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inNAS\NetBackup\Transfer\Hydrotesting\"/>
    </mc:Choice>
  </mc:AlternateContent>
  <xr:revisionPtr revIDLastSave="0" documentId="13_ncr:1_{629BABAC-B721-42DE-A436-C659D126B309}" xr6:coauthVersionLast="47" xr6:coauthVersionMax="47" xr10:uidLastSave="{00000000-0000-0000-0000-000000000000}"/>
  <bookViews>
    <workbookView xWindow="780" yWindow="780" windowWidth="21600" windowHeight="11295" xr2:uid="{CB839E92-75E2-4ADA-B9FF-9BA4A81A3E2C}"/>
  </bookViews>
  <sheets>
    <sheet name="Survey" sheetId="2" r:id="rId1"/>
    <sheet name="TSInputs" sheetId="1" r:id="rId2"/>
    <sheet name="PipeInputs" sheetId="3" r:id="rId3"/>
  </sheets>
  <definedNames>
    <definedName name="_xlnm._FilterDatabase" localSheetId="0" hidden="1">Survey!$A$1:$R$3647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47" i="2" l="1"/>
  <c r="O3646" i="2"/>
  <c r="O3645" i="2"/>
  <c r="O3644" i="2"/>
  <c r="O3643" i="2"/>
  <c r="O3642" i="2"/>
  <c r="O3641" i="2"/>
  <c r="O3640" i="2"/>
  <c r="O3639" i="2"/>
  <c r="O3638" i="2"/>
  <c r="O3637" i="2"/>
  <c r="O3636" i="2"/>
  <c r="O3635" i="2"/>
  <c r="O3634" i="2"/>
  <c r="O3633" i="2"/>
  <c r="O3632" i="2"/>
  <c r="O3631" i="2"/>
  <c r="O3630" i="2"/>
  <c r="O3629" i="2"/>
  <c r="O3628" i="2"/>
  <c r="O3627" i="2"/>
  <c r="O3626" i="2"/>
  <c r="O3625" i="2"/>
  <c r="O3624" i="2"/>
  <c r="O3623" i="2"/>
  <c r="O3622" i="2"/>
  <c r="O3621" i="2"/>
  <c r="O3620" i="2"/>
  <c r="O3619" i="2"/>
  <c r="O3618" i="2"/>
  <c r="O3617" i="2"/>
  <c r="O3616" i="2"/>
  <c r="O3615" i="2"/>
  <c r="O3614" i="2"/>
  <c r="O3613" i="2"/>
  <c r="O3612" i="2"/>
  <c r="O3611" i="2"/>
  <c r="O3610" i="2"/>
  <c r="O3609" i="2"/>
  <c r="O3608" i="2"/>
  <c r="O3607" i="2"/>
  <c r="O3606" i="2"/>
  <c r="O3605" i="2"/>
  <c r="O3604" i="2"/>
  <c r="O3603" i="2"/>
  <c r="O3602" i="2"/>
  <c r="O3601" i="2"/>
  <c r="O3600" i="2"/>
  <c r="O3599" i="2"/>
  <c r="O3598" i="2"/>
  <c r="O3597" i="2"/>
  <c r="O3596" i="2"/>
  <c r="O3595" i="2"/>
  <c r="O3594" i="2"/>
  <c r="O3593" i="2"/>
  <c r="O3592" i="2"/>
  <c r="O3591" i="2"/>
  <c r="O3590" i="2"/>
  <c r="O3589" i="2"/>
  <c r="O3588" i="2"/>
  <c r="O3587" i="2"/>
  <c r="O3586" i="2"/>
  <c r="O3585" i="2"/>
  <c r="O3584" i="2"/>
  <c r="O3583" i="2"/>
  <c r="O3582" i="2"/>
  <c r="O3581" i="2"/>
  <c r="O3580" i="2"/>
  <c r="O3579" i="2"/>
  <c r="O3578" i="2"/>
  <c r="O3577" i="2"/>
  <c r="O3576" i="2"/>
  <c r="O3575" i="2"/>
  <c r="O3574" i="2"/>
  <c r="O3573" i="2"/>
  <c r="O3572" i="2"/>
  <c r="O3571" i="2"/>
  <c r="O3570" i="2"/>
  <c r="O3569" i="2"/>
  <c r="O3568" i="2"/>
  <c r="O3567" i="2"/>
  <c r="O3566" i="2"/>
  <c r="O3565" i="2"/>
  <c r="O3564" i="2"/>
  <c r="O3563" i="2"/>
  <c r="O3562" i="2"/>
  <c r="O3561" i="2"/>
  <c r="O3560" i="2"/>
  <c r="O3559" i="2"/>
  <c r="O3558" i="2"/>
  <c r="O3557" i="2"/>
  <c r="O3556" i="2"/>
  <c r="O3555" i="2"/>
  <c r="O3554" i="2"/>
  <c r="O3553" i="2"/>
  <c r="O3552" i="2"/>
  <c r="O3551" i="2"/>
  <c r="O3550" i="2"/>
  <c r="O3549" i="2"/>
  <c r="O3548" i="2"/>
  <c r="O3547" i="2"/>
  <c r="O3546" i="2"/>
  <c r="O3545" i="2"/>
  <c r="O3544" i="2"/>
  <c r="O3543" i="2"/>
  <c r="O3542" i="2"/>
  <c r="O3541" i="2"/>
  <c r="O3540" i="2"/>
  <c r="O3539" i="2"/>
  <c r="O3538" i="2"/>
  <c r="O3537" i="2"/>
  <c r="O3536" i="2"/>
  <c r="O3535" i="2"/>
  <c r="O3534" i="2"/>
  <c r="O3533" i="2"/>
  <c r="O3532" i="2"/>
  <c r="O3531" i="2"/>
  <c r="O3530" i="2"/>
  <c r="O3529" i="2"/>
  <c r="O3528" i="2"/>
  <c r="O3527" i="2"/>
  <c r="O3526" i="2"/>
  <c r="O3525" i="2"/>
  <c r="O3524" i="2"/>
  <c r="O3523" i="2"/>
  <c r="O3522" i="2"/>
  <c r="O3521" i="2"/>
  <c r="O3520" i="2"/>
  <c r="O3519" i="2"/>
  <c r="O3518" i="2"/>
  <c r="O3517" i="2"/>
  <c r="O3516" i="2"/>
  <c r="O3515" i="2"/>
  <c r="O3514" i="2"/>
  <c r="O3513" i="2"/>
  <c r="O3512" i="2"/>
  <c r="O3511" i="2"/>
  <c r="O3510" i="2"/>
  <c r="O3509" i="2"/>
  <c r="O3508" i="2"/>
  <c r="O3507" i="2"/>
  <c r="O3506" i="2"/>
  <c r="O3505" i="2"/>
  <c r="O3504" i="2"/>
  <c r="O3503" i="2"/>
  <c r="O3502" i="2"/>
  <c r="O3501" i="2"/>
  <c r="O3500" i="2"/>
  <c r="O3499" i="2"/>
  <c r="O3498" i="2"/>
  <c r="O3497" i="2"/>
  <c r="O3496" i="2"/>
  <c r="O3495" i="2"/>
  <c r="O3494" i="2"/>
  <c r="O3493" i="2"/>
  <c r="O3492" i="2"/>
  <c r="O3491" i="2"/>
  <c r="O3490" i="2"/>
  <c r="O3489" i="2"/>
  <c r="O3488" i="2"/>
  <c r="O3487" i="2"/>
  <c r="O3486" i="2"/>
  <c r="O3485" i="2"/>
  <c r="O3484" i="2"/>
  <c r="O3483" i="2"/>
  <c r="O3482" i="2"/>
  <c r="O3481" i="2"/>
  <c r="O3480" i="2"/>
  <c r="O3479" i="2"/>
  <c r="O3478" i="2"/>
  <c r="O3477" i="2"/>
  <c r="O3476" i="2"/>
  <c r="O3475" i="2"/>
  <c r="O3474" i="2"/>
  <c r="O3473" i="2"/>
  <c r="O3472" i="2"/>
  <c r="O3471" i="2"/>
  <c r="O3470" i="2"/>
  <c r="O3469" i="2"/>
  <c r="O3468" i="2"/>
  <c r="O3467" i="2"/>
  <c r="O3466" i="2"/>
  <c r="O3465" i="2"/>
  <c r="O3464" i="2"/>
  <c r="O3463" i="2"/>
  <c r="O3462" i="2"/>
  <c r="O3461" i="2"/>
  <c r="O3460" i="2"/>
  <c r="O3459" i="2"/>
  <c r="O3458" i="2"/>
  <c r="O3457" i="2"/>
  <c r="O3456" i="2"/>
  <c r="O3455" i="2"/>
  <c r="O3454" i="2"/>
  <c r="O3453" i="2"/>
  <c r="O3452" i="2"/>
  <c r="O3451" i="2"/>
  <c r="O3450" i="2"/>
  <c r="O3449" i="2"/>
  <c r="O3448" i="2"/>
  <c r="O3447" i="2"/>
  <c r="O3446" i="2"/>
  <c r="O3445" i="2"/>
  <c r="O3444" i="2"/>
  <c r="O3443" i="2"/>
  <c r="O3442" i="2"/>
  <c r="O3441" i="2"/>
  <c r="O3440" i="2"/>
  <c r="O3439" i="2"/>
  <c r="O3438" i="2"/>
  <c r="O3437" i="2"/>
  <c r="O3436" i="2"/>
  <c r="O3435" i="2"/>
  <c r="O3434" i="2"/>
  <c r="O3433" i="2"/>
  <c r="O3432" i="2"/>
  <c r="O3431" i="2"/>
  <c r="O3430" i="2"/>
  <c r="O3429" i="2"/>
  <c r="O3428" i="2"/>
  <c r="O3427" i="2"/>
  <c r="O3426" i="2"/>
  <c r="O3425" i="2"/>
  <c r="O3424" i="2"/>
  <c r="O3423" i="2"/>
  <c r="O3422" i="2"/>
  <c r="O3421" i="2"/>
  <c r="O3420" i="2"/>
  <c r="O3419" i="2"/>
  <c r="O3418" i="2"/>
  <c r="O3417" i="2"/>
  <c r="O3416" i="2"/>
  <c r="O3415" i="2"/>
  <c r="O3414" i="2"/>
  <c r="O3413" i="2"/>
  <c r="O3412" i="2"/>
  <c r="O3411" i="2"/>
  <c r="O3410" i="2"/>
  <c r="O3409" i="2"/>
  <c r="O3408" i="2"/>
  <c r="O3407" i="2"/>
  <c r="O3406" i="2"/>
  <c r="O3405" i="2"/>
  <c r="O3404" i="2"/>
  <c r="O3403" i="2"/>
  <c r="O3402" i="2"/>
  <c r="O3401" i="2"/>
  <c r="O3400" i="2"/>
  <c r="O3399" i="2"/>
  <c r="O3398" i="2"/>
  <c r="O3397" i="2"/>
  <c r="O3396" i="2"/>
  <c r="O3395" i="2"/>
  <c r="O3394" i="2"/>
  <c r="O3393" i="2"/>
  <c r="O3392" i="2"/>
  <c r="O3391" i="2"/>
  <c r="O3390" i="2"/>
  <c r="O3389" i="2"/>
  <c r="O3388" i="2"/>
  <c r="O3387" i="2"/>
  <c r="O3386" i="2"/>
  <c r="O3385" i="2"/>
  <c r="O3384" i="2"/>
  <c r="O3383" i="2"/>
  <c r="O3382" i="2"/>
  <c r="O3381" i="2"/>
  <c r="O3380" i="2"/>
  <c r="O3379" i="2"/>
  <c r="O3378" i="2"/>
  <c r="O3377" i="2"/>
  <c r="O3376" i="2"/>
  <c r="O3375" i="2"/>
  <c r="O3374" i="2"/>
  <c r="O3373" i="2"/>
  <c r="O3372" i="2"/>
  <c r="O3371" i="2"/>
  <c r="O3370" i="2"/>
  <c r="O3369" i="2"/>
  <c r="O3368" i="2"/>
  <c r="O3367" i="2"/>
  <c r="O3366" i="2"/>
  <c r="O3365" i="2"/>
  <c r="O3364" i="2"/>
  <c r="O3363" i="2"/>
  <c r="O3362" i="2"/>
  <c r="O3361" i="2"/>
  <c r="O3360" i="2"/>
  <c r="O3359" i="2"/>
  <c r="O3358" i="2"/>
  <c r="O3357" i="2"/>
  <c r="O3356" i="2"/>
  <c r="O3355" i="2"/>
  <c r="O3354" i="2"/>
  <c r="O3353" i="2"/>
  <c r="O3352" i="2"/>
  <c r="O3351" i="2"/>
  <c r="O3350" i="2"/>
  <c r="O3349" i="2"/>
  <c r="O3348" i="2"/>
  <c r="O3347" i="2"/>
  <c r="O3346" i="2"/>
  <c r="O3345" i="2"/>
  <c r="O3344" i="2"/>
  <c r="O3343" i="2"/>
  <c r="O3342" i="2"/>
  <c r="O3341" i="2"/>
  <c r="O3340" i="2"/>
  <c r="O3339" i="2"/>
  <c r="O3338" i="2"/>
  <c r="O3337" i="2"/>
  <c r="O3336" i="2"/>
  <c r="O3335" i="2"/>
  <c r="O3334" i="2"/>
  <c r="O3333" i="2"/>
  <c r="O3332" i="2"/>
  <c r="O3331" i="2"/>
  <c r="O3330" i="2"/>
  <c r="O3329" i="2"/>
  <c r="O3328" i="2"/>
  <c r="O3327" i="2"/>
  <c r="O3326" i="2"/>
  <c r="O3325" i="2"/>
  <c r="O3324" i="2"/>
  <c r="O3323" i="2"/>
  <c r="O3322" i="2"/>
  <c r="O3321" i="2"/>
  <c r="O3320" i="2"/>
  <c r="O3319" i="2"/>
  <c r="O3318" i="2"/>
  <c r="O3317" i="2"/>
  <c r="O3316" i="2"/>
  <c r="O3315" i="2"/>
  <c r="O3314" i="2"/>
  <c r="O3313" i="2"/>
  <c r="O3312" i="2"/>
  <c r="O3311" i="2"/>
  <c r="O3310" i="2"/>
  <c r="O3309" i="2"/>
  <c r="O3308" i="2"/>
  <c r="O3307" i="2"/>
  <c r="O3306" i="2"/>
  <c r="O3305" i="2"/>
  <c r="O3304" i="2"/>
  <c r="O3303" i="2"/>
  <c r="O3302" i="2"/>
  <c r="O3301" i="2"/>
  <c r="O3300" i="2"/>
  <c r="O3299" i="2"/>
  <c r="O3298" i="2"/>
  <c r="O3297" i="2"/>
  <c r="O3296" i="2"/>
  <c r="O3295" i="2"/>
  <c r="O3294" i="2"/>
  <c r="O3293" i="2"/>
  <c r="O3292" i="2"/>
  <c r="O3291" i="2"/>
  <c r="O3290" i="2"/>
  <c r="O3289" i="2"/>
  <c r="O3288" i="2"/>
  <c r="O3287" i="2"/>
  <c r="O3286" i="2"/>
  <c r="O3285" i="2"/>
  <c r="O3284" i="2"/>
  <c r="O3283" i="2"/>
  <c r="O3282" i="2"/>
  <c r="O3281" i="2"/>
  <c r="O3280" i="2"/>
  <c r="O3279" i="2"/>
  <c r="O3278" i="2"/>
  <c r="O3277" i="2"/>
  <c r="O3276" i="2"/>
  <c r="O3275" i="2"/>
  <c r="O3274" i="2"/>
  <c r="O3273" i="2"/>
  <c r="O3272" i="2"/>
  <c r="O3271" i="2"/>
  <c r="O3270" i="2"/>
  <c r="O3269" i="2"/>
  <c r="O3268" i="2"/>
  <c r="O3267" i="2"/>
  <c r="O3266" i="2"/>
  <c r="O3265" i="2"/>
  <c r="O3264" i="2"/>
  <c r="O3263" i="2"/>
  <c r="O3262" i="2"/>
  <c r="O3261" i="2"/>
  <c r="O3260" i="2"/>
  <c r="O3259" i="2"/>
  <c r="O3258" i="2"/>
  <c r="O3257" i="2"/>
  <c r="O3256" i="2"/>
  <c r="O3255" i="2"/>
  <c r="O3254" i="2"/>
  <c r="O3253" i="2"/>
  <c r="O3252" i="2"/>
  <c r="O3251" i="2"/>
  <c r="O3250" i="2"/>
  <c r="O3249" i="2"/>
  <c r="O3248" i="2"/>
  <c r="O3247" i="2"/>
  <c r="O3246" i="2"/>
  <c r="O3245" i="2"/>
  <c r="O3244" i="2"/>
  <c r="O3243" i="2"/>
  <c r="O3242" i="2"/>
  <c r="O3241" i="2"/>
  <c r="O3240" i="2"/>
  <c r="O3239" i="2"/>
  <c r="O3238" i="2"/>
  <c r="O3237" i="2"/>
  <c r="O3236" i="2"/>
  <c r="O3235" i="2"/>
  <c r="O3234" i="2"/>
  <c r="O3233" i="2"/>
  <c r="O3232" i="2"/>
  <c r="O3231" i="2"/>
  <c r="O3230" i="2"/>
  <c r="O3229" i="2"/>
  <c r="O3228" i="2"/>
  <c r="O3227" i="2"/>
  <c r="O3226" i="2"/>
  <c r="O3225" i="2"/>
  <c r="O3224" i="2"/>
  <c r="O3223" i="2"/>
  <c r="O3222" i="2"/>
  <c r="O3221" i="2"/>
  <c r="O3220" i="2"/>
  <c r="O3219" i="2"/>
  <c r="O3218" i="2"/>
  <c r="O3217" i="2"/>
  <c r="O3216" i="2"/>
  <c r="O3215" i="2"/>
  <c r="O3214" i="2"/>
  <c r="O3213" i="2"/>
  <c r="O3212" i="2"/>
  <c r="O3211" i="2"/>
  <c r="O3210" i="2"/>
  <c r="O3209" i="2"/>
  <c r="O3208" i="2"/>
  <c r="O3207" i="2"/>
  <c r="O3206" i="2"/>
  <c r="O3205" i="2"/>
  <c r="O3204" i="2"/>
  <c r="O3203" i="2"/>
  <c r="O3202" i="2"/>
  <c r="O3201" i="2"/>
  <c r="O3200" i="2"/>
  <c r="O3199" i="2"/>
  <c r="O3198" i="2"/>
  <c r="O3197" i="2"/>
  <c r="O3196" i="2"/>
  <c r="O3195" i="2"/>
  <c r="O3194" i="2"/>
  <c r="O3193" i="2"/>
  <c r="O3192" i="2"/>
  <c r="O3191" i="2"/>
  <c r="O3190" i="2"/>
  <c r="O3189" i="2"/>
  <c r="O3188" i="2"/>
  <c r="O3187" i="2"/>
  <c r="O3186" i="2"/>
  <c r="O3185" i="2"/>
  <c r="O3184" i="2"/>
  <c r="O3183" i="2"/>
  <c r="O3182" i="2"/>
  <c r="O3181" i="2"/>
  <c r="O3180" i="2"/>
  <c r="O3179" i="2"/>
  <c r="O3178" i="2"/>
  <c r="O3177" i="2"/>
  <c r="O3176" i="2"/>
  <c r="O3175" i="2"/>
  <c r="O3174" i="2"/>
  <c r="O3173" i="2"/>
  <c r="O3172" i="2"/>
  <c r="O3171" i="2"/>
  <c r="O3170" i="2"/>
  <c r="O3169" i="2"/>
  <c r="O3168" i="2"/>
  <c r="O3167" i="2"/>
  <c r="O3166" i="2"/>
  <c r="O3165" i="2"/>
  <c r="O3164" i="2"/>
  <c r="O3163" i="2"/>
  <c r="O3162" i="2"/>
  <c r="O3161" i="2"/>
  <c r="O3160" i="2"/>
  <c r="O3159" i="2"/>
  <c r="O3158" i="2"/>
  <c r="O3157" i="2"/>
  <c r="O3156" i="2"/>
  <c r="O3155" i="2"/>
  <c r="O3154" i="2"/>
  <c r="O3153" i="2"/>
  <c r="O3152" i="2"/>
  <c r="O3151" i="2"/>
  <c r="O3150" i="2"/>
  <c r="O3149" i="2"/>
  <c r="O3148" i="2"/>
  <c r="O3147" i="2"/>
  <c r="O3146" i="2"/>
  <c r="O3145" i="2"/>
  <c r="O3144" i="2"/>
  <c r="O3143" i="2"/>
  <c r="O3142" i="2"/>
  <c r="O3141" i="2"/>
  <c r="O3140" i="2"/>
  <c r="O3139" i="2"/>
  <c r="O3138" i="2"/>
  <c r="O3137" i="2"/>
  <c r="O3136" i="2"/>
  <c r="O3135" i="2"/>
  <c r="O3134" i="2"/>
  <c r="O3133" i="2"/>
  <c r="O3132" i="2"/>
  <c r="O3131" i="2"/>
  <c r="O3130" i="2"/>
  <c r="O3129" i="2"/>
  <c r="O3128" i="2"/>
  <c r="O3127" i="2"/>
  <c r="O3126" i="2"/>
  <c r="O3125" i="2"/>
  <c r="O3124" i="2"/>
  <c r="O3123" i="2"/>
  <c r="O3122" i="2"/>
  <c r="O3121" i="2"/>
  <c r="O3120" i="2"/>
  <c r="O3119" i="2"/>
  <c r="O3118" i="2"/>
  <c r="O3117" i="2"/>
  <c r="O3116" i="2"/>
  <c r="O3115" i="2"/>
  <c r="O3114" i="2"/>
  <c r="O3113" i="2"/>
  <c r="O3112" i="2"/>
  <c r="O3111" i="2"/>
  <c r="O3110" i="2"/>
  <c r="O3109" i="2"/>
  <c r="O3108" i="2"/>
  <c r="O3107" i="2"/>
  <c r="O3106" i="2"/>
  <c r="O3105" i="2"/>
  <c r="O3104" i="2"/>
  <c r="O3103" i="2"/>
  <c r="O3102" i="2"/>
  <c r="O3101" i="2"/>
  <c r="O3100" i="2"/>
  <c r="O3099" i="2"/>
  <c r="O3098" i="2"/>
  <c r="O3097" i="2"/>
  <c r="O3096" i="2"/>
  <c r="O3095" i="2"/>
  <c r="O3094" i="2"/>
  <c r="O3093" i="2"/>
  <c r="O3092" i="2"/>
  <c r="O3091" i="2"/>
  <c r="O3090" i="2"/>
  <c r="O3089" i="2"/>
  <c r="O3088" i="2"/>
  <c r="O3087" i="2"/>
  <c r="O3086" i="2"/>
  <c r="O3085" i="2"/>
  <c r="O3084" i="2"/>
  <c r="O3083" i="2"/>
  <c r="O3082" i="2"/>
  <c r="O3081" i="2"/>
  <c r="O3080" i="2"/>
  <c r="O3079" i="2"/>
  <c r="O3078" i="2"/>
  <c r="O3077" i="2"/>
  <c r="O3076" i="2"/>
  <c r="O3075" i="2"/>
  <c r="O3074" i="2"/>
  <c r="O3073" i="2"/>
  <c r="O3072" i="2"/>
  <c r="O3071" i="2"/>
  <c r="O3070" i="2"/>
  <c r="O3069" i="2"/>
  <c r="O3068" i="2"/>
  <c r="O3067" i="2"/>
  <c r="O3066" i="2"/>
  <c r="O3065" i="2"/>
  <c r="O3064" i="2"/>
  <c r="O3063" i="2"/>
  <c r="O3062" i="2"/>
  <c r="O3061" i="2"/>
  <c r="O3060" i="2"/>
  <c r="O3059" i="2"/>
  <c r="O3058" i="2"/>
  <c r="O3057" i="2"/>
  <c r="O3056" i="2"/>
  <c r="O3055" i="2"/>
  <c r="O3054" i="2"/>
  <c r="O3053" i="2"/>
  <c r="O3052" i="2"/>
  <c r="O3051" i="2"/>
  <c r="O3050" i="2"/>
  <c r="O3049" i="2"/>
  <c r="O3048" i="2"/>
  <c r="O3047" i="2"/>
  <c r="O3046" i="2"/>
  <c r="O3045" i="2"/>
  <c r="O3044" i="2"/>
  <c r="O3043" i="2"/>
  <c r="O3042" i="2"/>
  <c r="O3041" i="2"/>
  <c r="O3040" i="2"/>
  <c r="O3039" i="2"/>
  <c r="O3038" i="2"/>
  <c r="O3037" i="2"/>
  <c r="O3036" i="2"/>
  <c r="O3035" i="2"/>
  <c r="O3034" i="2"/>
  <c r="O3033" i="2"/>
  <c r="O3032" i="2"/>
  <c r="O3031" i="2"/>
  <c r="O3030" i="2"/>
  <c r="O3029" i="2"/>
  <c r="O3028" i="2"/>
  <c r="O3027" i="2"/>
  <c r="O3026" i="2"/>
  <c r="O3025" i="2"/>
  <c r="O3024" i="2"/>
  <c r="O3023" i="2"/>
  <c r="O3022" i="2"/>
  <c r="O3021" i="2"/>
  <c r="O3020" i="2"/>
  <c r="O3019" i="2"/>
  <c r="O3018" i="2"/>
  <c r="O3017" i="2"/>
  <c r="O3016" i="2"/>
  <c r="O3015" i="2"/>
  <c r="O3014" i="2"/>
  <c r="O3013" i="2"/>
  <c r="O3012" i="2"/>
  <c r="O3011" i="2"/>
  <c r="O3010" i="2"/>
  <c r="O3009" i="2"/>
  <c r="O3008" i="2"/>
  <c r="O3007" i="2"/>
  <c r="O3006" i="2"/>
  <c r="O3005" i="2"/>
  <c r="O3004" i="2"/>
  <c r="O3003" i="2"/>
  <c r="O3002" i="2"/>
  <c r="O3001" i="2"/>
  <c r="O3000" i="2"/>
  <c r="O2999" i="2"/>
  <c r="O2998" i="2"/>
  <c r="O2997" i="2"/>
  <c r="O2996" i="2"/>
  <c r="O2995" i="2"/>
  <c r="O2994" i="2"/>
  <c r="O2993" i="2"/>
  <c r="O2992" i="2"/>
  <c r="O2991" i="2"/>
  <c r="O2990" i="2"/>
  <c r="O2989" i="2"/>
  <c r="O2988" i="2"/>
  <c r="O2987" i="2"/>
  <c r="O2986" i="2"/>
  <c r="O2985" i="2"/>
  <c r="O2984" i="2"/>
  <c r="O2983" i="2"/>
  <c r="O2982" i="2"/>
  <c r="O2981" i="2"/>
  <c r="O2980" i="2"/>
  <c r="O2979" i="2"/>
  <c r="O2978" i="2"/>
  <c r="O2977" i="2"/>
  <c r="O2976" i="2"/>
  <c r="O2975" i="2"/>
  <c r="O2974" i="2"/>
  <c r="O2973" i="2"/>
  <c r="O2972" i="2"/>
  <c r="O2971" i="2"/>
  <c r="O2970" i="2"/>
  <c r="O2969" i="2"/>
  <c r="O2968" i="2"/>
  <c r="O2967" i="2"/>
  <c r="O2966" i="2"/>
  <c r="O2965" i="2"/>
  <c r="O2964" i="2"/>
  <c r="O2963" i="2"/>
  <c r="O2962" i="2"/>
  <c r="O2961" i="2"/>
  <c r="O2960" i="2"/>
  <c r="O2959" i="2"/>
  <c r="O2958" i="2"/>
  <c r="O2957" i="2"/>
  <c r="O2956" i="2"/>
  <c r="O2955" i="2"/>
  <c r="O2954" i="2"/>
  <c r="O2953" i="2"/>
  <c r="O2952" i="2"/>
  <c r="O2951" i="2"/>
  <c r="O2950" i="2"/>
  <c r="O2949" i="2"/>
  <c r="O2948" i="2"/>
  <c r="O2947" i="2"/>
  <c r="O2946" i="2"/>
  <c r="O2945" i="2"/>
  <c r="O2944" i="2"/>
  <c r="O2943" i="2"/>
  <c r="O2942" i="2"/>
  <c r="O2941" i="2"/>
  <c r="O2940" i="2"/>
  <c r="O2939" i="2"/>
  <c r="O2938" i="2"/>
  <c r="O2937" i="2"/>
  <c r="O2936" i="2"/>
  <c r="O2935" i="2"/>
  <c r="O2934" i="2"/>
  <c r="O2933" i="2"/>
  <c r="O2932" i="2"/>
  <c r="O2931" i="2"/>
  <c r="O2930" i="2"/>
  <c r="O2929" i="2"/>
  <c r="O2928" i="2"/>
  <c r="O2927" i="2"/>
  <c r="O2926" i="2"/>
  <c r="O2925" i="2"/>
  <c r="O2924" i="2"/>
  <c r="O2923" i="2"/>
  <c r="O2922" i="2"/>
  <c r="O2921" i="2"/>
  <c r="O2920" i="2"/>
  <c r="O2919" i="2"/>
  <c r="O2918" i="2"/>
  <c r="O2917" i="2"/>
  <c r="O2916" i="2"/>
  <c r="O2915" i="2"/>
  <c r="O2914" i="2"/>
  <c r="O2913" i="2"/>
  <c r="O2912" i="2"/>
  <c r="O2911" i="2"/>
  <c r="O2910" i="2"/>
  <c r="O2909" i="2"/>
  <c r="O2908" i="2"/>
  <c r="O2907" i="2"/>
  <c r="O2906" i="2"/>
  <c r="O2905" i="2"/>
  <c r="O2904" i="2"/>
  <c r="O2903" i="2"/>
  <c r="O2902" i="2"/>
  <c r="O2901" i="2"/>
  <c r="O2900" i="2"/>
  <c r="O2899" i="2"/>
  <c r="O2898" i="2"/>
  <c r="O2897" i="2"/>
  <c r="O2896" i="2"/>
  <c r="O2895" i="2"/>
  <c r="O2894" i="2"/>
  <c r="O2893" i="2"/>
  <c r="O2892" i="2"/>
  <c r="O2891" i="2"/>
  <c r="O2890" i="2"/>
  <c r="O2889" i="2"/>
  <c r="O2888" i="2"/>
  <c r="O2887" i="2"/>
  <c r="O2886" i="2"/>
  <c r="O2885" i="2"/>
  <c r="O2884" i="2"/>
  <c r="O2883" i="2"/>
  <c r="O2882" i="2"/>
  <c r="O2881" i="2"/>
  <c r="O2880" i="2"/>
  <c r="O2879" i="2"/>
  <c r="O2878" i="2"/>
  <c r="O2877" i="2"/>
  <c r="O2876" i="2"/>
  <c r="O2875" i="2"/>
  <c r="O2874" i="2"/>
  <c r="O2873" i="2"/>
  <c r="O2872" i="2"/>
  <c r="O2871" i="2"/>
  <c r="O2870" i="2"/>
  <c r="O2869" i="2"/>
  <c r="O2868" i="2"/>
  <c r="O2867" i="2"/>
  <c r="O2866" i="2"/>
  <c r="O2865" i="2"/>
  <c r="O2864" i="2"/>
  <c r="O2863" i="2"/>
  <c r="O2862" i="2"/>
  <c r="O2861" i="2"/>
  <c r="O2860" i="2"/>
  <c r="O2859" i="2"/>
  <c r="O2858" i="2"/>
  <c r="O2857" i="2"/>
  <c r="O2856" i="2"/>
  <c r="O2855" i="2"/>
  <c r="O2854" i="2"/>
  <c r="O2853" i="2"/>
  <c r="O2852" i="2"/>
  <c r="O2851" i="2"/>
  <c r="O2850" i="2"/>
  <c r="O2849" i="2"/>
  <c r="O2848" i="2"/>
  <c r="O2847" i="2"/>
  <c r="O2846" i="2"/>
  <c r="O2845" i="2"/>
  <c r="O2844" i="2"/>
  <c r="O2843" i="2"/>
  <c r="O2842" i="2"/>
  <c r="O2841" i="2"/>
  <c r="O2840" i="2"/>
  <c r="O2839" i="2"/>
  <c r="O2838" i="2"/>
  <c r="O2837" i="2"/>
  <c r="O2836" i="2"/>
  <c r="O2835" i="2"/>
  <c r="O2834" i="2"/>
  <c r="O2833" i="2"/>
  <c r="O2832" i="2"/>
  <c r="O2831" i="2"/>
  <c r="O2830" i="2"/>
  <c r="O2829" i="2"/>
  <c r="O2828" i="2"/>
  <c r="O2827" i="2"/>
  <c r="O2826" i="2"/>
  <c r="O2825" i="2"/>
  <c r="O2824" i="2"/>
  <c r="O2823" i="2"/>
  <c r="O2822" i="2"/>
  <c r="O2821" i="2"/>
  <c r="O2820" i="2"/>
  <c r="O2819" i="2"/>
  <c r="O2818" i="2"/>
  <c r="O2817" i="2"/>
  <c r="O2816" i="2"/>
  <c r="O2815" i="2"/>
  <c r="O2814" i="2"/>
  <c r="O2813" i="2"/>
  <c r="O2812" i="2"/>
  <c r="O2811" i="2"/>
  <c r="O2810" i="2"/>
  <c r="O2809" i="2"/>
  <c r="O2808" i="2"/>
  <c r="O2807" i="2"/>
  <c r="O2806" i="2"/>
  <c r="O2805" i="2"/>
  <c r="O2804" i="2"/>
  <c r="O2803" i="2"/>
  <c r="O2802" i="2"/>
  <c r="O2801" i="2"/>
  <c r="O2800" i="2"/>
  <c r="O2799" i="2"/>
  <c r="O2798" i="2"/>
  <c r="O2797" i="2"/>
  <c r="O2796" i="2"/>
  <c r="O2795" i="2"/>
  <c r="O2794" i="2"/>
  <c r="O2793" i="2"/>
  <c r="O2792" i="2"/>
  <c r="O2791" i="2"/>
  <c r="O2790" i="2"/>
  <c r="O2789" i="2"/>
  <c r="O2788" i="2"/>
  <c r="O2787" i="2"/>
  <c r="O2786" i="2"/>
  <c r="O2785" i="2"/>
  <c r="O2784" i="2"/>
  <c r="O2783" i="2"/>
  <c r="O2782" i="2"/>
  <c r="O2781" i="2"/>
  <c r="O2780" i="2"/>
  <c r="O2779" i="2"/>
  <c r="O2778" i="2"/>
  <c r="O2777" i="2"/>
  <c r="O2776" i="2"/>
  <c r="O2775" i="2"/>
  <c r="O2774" i="2"/>
  <c r="O2773" i="2"/>
  <c r="O2772" i="2"/>
  <c r="O2771" i="2"/>
  <c r="O2770" i="2"/>
  <c r="O2769" i="2"/>
  <c r="O2768" i="2"/>
  <c r="O2767" i="2"/>
  <c r="O2766" i="2"/>
  <c r="O2765" i="2"/>
  <c r="O2764" i="2"/>
  <c r="O2763" i="2"/>
  <c r="O2762" i="2"/>
  <c r="O2761" i="2"/>
  <c r="O2760" i="2"/>
  <c r="O2759" i="2"/>
  <c r="O2758" i="2"/>
  <c r="O2757" i="2"/>
  <c r="O2756" i="2"/>
  <c r="O2755" i="2"/>
  <c r="O2754" i="2"/>
  <c r="O2753" i="2"/>
  <c r="O2752" i="2"/>
  <c r="O2751" i="2"/>
  <c r="O2750" i="2"/>
  <c r="O2749" i="2"/>
  <c r="O2748" i="2"/>
  <c r="O2747" i="2"/>
  <c r="O2746" i="2"/>
  <c r="O2745" i="2"/>
  <c r="O2744" i="2"/>
  <c r="O2743" i="2"/>
  <c r="O2742" i="2"/>
  <c r="O2741" i="2"/>
  <c r="O2740" i="2"/>
  <c r="O2739" i="2"/>
  <c r="O2738" i="2"/>
  <c r="O2737" i="2"/>
  <c r="O2736" i="2"/>
  <c r="O2735" i="2"/>
  <c r="O2734" i="2"/>
  <c r="O2733" i="2"/>
  <c r="O2732" i="2"/>
  <c r="O2731" i="2"/>
  <c r="O2730" i="2"/>
  <c r="O2729" i="2"/>
  <c r="O2728" i="2"/>
  <c r="O2727" i="2"/>
  <c r="O2726" i="2"/>
  <c r="O2725" i="2"/>
  <c r="O2724" i="2"/>
  <c r="O2723" i="2"/>
  <c r="O2722" i="2"/>
  <c r="O2721" i="2"/>
  <c r="O2720" i="2"/>
  <c r="O2719" i="2"/>
  <c r="O2718" i="2"/>
  <c r="O2717" i="2"/>
  <c r="O2716" i="2"/>
  <c r="O2715" i="2"/>
  <c r="O2714" i="2"/>
  <c r="O2713" i="2"/>
  <c r="O2712" i="2"/>
  <c r="O2711" i="2"/>
  <c r="O2710" i="2"/>
  <c r="O2709" i="2"/>
  <c r="O2708" i="2"/>
  <c r="O2707" i="2"/>
  <c r="O2706" i="2"/>
  <c r="O2705" i="2"/>
  <c r="O2704" i="2"/>
  <c r="O2703" i="2"/>
  <c r="O2702" i="2"/>
  <c r="O2701" i="2"/>
  <c r="O2700" i="2"/>
  <c r="O2699" i="2"/>
  <c r="O2698" i="2"/>
  <c r="O2697" i="2"/>
  <c r="O2696" i="2"/>
  <c r="O2695" i="2"/>
  <c r="O2694" i="2"/>
  <c r="O2693" i="2"/>
  <c r="O2692" i="2"/>
  <c r="O2691" i="2"/>
  <c r="O2690" i="2"/>
  <c r="O2689" i="2"/>
  <c r="O2688" i="2"/>
  <c r="O2687" i="2"/>
  <c r="O2686" i="2"/>
  <c r="O2685" i="2"/>
  <c r="O2684" i="2"/>
  <c r="O2683" i="2"/>
  <c r="O2682" i="2"/>
  <c r="O2681" i="2"/>
  <c r="O2680" i="2"/>
  <c r="O2679" i="2"/>
  <c r="O2678" i="2"/>
  <c r="O2677" i="2"/>
  <c r="O2676" i="2"/>
  <c r="O2675" i="2"/>
  <c r="O2674" i="2"/>
  <c r="O2673" i="2"/>
  <c r="O2672" i="2"/>
  <c r="O2671" i="2"/>
  <c r="O2670" i="2"/>
  <c r="O2669" i="2"/>
  <c r="O2668" i="2"/>
  <c r="O2667" i="2"/>
  <c r="O2666" i="2"/>
  <c r="O2665" i="2"/>
  <c r="O2664" i="2"/>
  <c r="O2663" i="2"/>
  <c r="O2662" i="2"/>
  <c r="O2661" i="2"/>
  <c r="O2660" i="2"/>
  <c r="O2659" i="2"/>
  <c r="O2658" i="2"/>
  <c r="O2657" i="2"/>
  <c r="O2656" i="2"/>
  <c r="O2655" i="2"/>
  <c r="O2654" i="2"/>
  <c r="O2653" i="2"/>
  <c r="O2652" i="2"/>
  <c r="O2651" i="2"/>
  <c r="O2650" i="2"/>
  <c r="O2649" i="2"/>
  <c r="O2648" i="2"/>
  <c r="O2647" i="2"/>
  <c r="O2646" i="2"/>
  <c r="O2645" i="2"/>
  <c r="O2644" i="2"/>
  <c r="O2643" i="2"/>
  <c r="O2642" i="2"/>
  <c r="O2641" i="2"/>
  <c r="O2640" i="2"/>
  <c r="O2639" i="2"/>
  <c r="O2638" i="2"/>
  <c r="O2637" i="2"/>
  <c r="O2636" i="2"/>
  <c r="O2635" i="2"/>
  <c r="O2634" i="2"/>
  <c r="O2633" i="2"/>
  <c r="O2632" i="2"/>
  <c r="O2631" i="2"/>
  <c r="O2630" i="2"/>
  <c r="O2629" i="2"/>
  <c r="O2628" i="2"/>
  <c r="O2627" i="2"/>
  <c r="O2626" i="2"/>
  <c r="O2625" i="2"/>
  <c r="O2624" i="2"/>
  <c r="O2623" i="2"/>
  <c r="O2622" i="2"/>
  <c r="O2621" i="2"/>
  <c r="O2620" i="2"/>
  <c r="O2619" i="2"/>
  <c r="O2618" i="2"/>
  <c r="O2617" i="2"/>
  <c r="O2616" i="2"/>
  <c r="O2615" i="2"/>
  <c r="O2614" i="2"/>
  <c r="O2613" i="2"/>
  <c r="O2612" i="2"/>
  <c r="O2611" i="2"/>
  <c r="O2610" i="2"/>
  <c r="O2609" i="2"/>
  <c r="O2608" i="2"/>
  <c r="O2607" i="2"/>
  <c r="O2606" i="2"/>
  <c r="O2605" i="2"/>
  <c r="O2604" i="2"/>
  <c r="O2603" i="2"/>
  <c r="O2602" i="2"/>
  <c r="O2601" i="2"/>
  <c r="O2600" i="2"/>
  <c r="O2599" i="2"/>
  <c r="O2598" i="2"/>
  <c r="O2597" i="2"/>
  <c r="O2596" i="2"/>
  <c r="O2595" i="2"/>
  <c r="O2594" i="2"/>
  <c r="O2593" i="2"/>
  <c r="O2592" i="2"/>
  <c r="O2591" i="2"/>
  <c r="O2590" i="2"/>
  <c r="O2589" i="2"/>
  <c r="O2588" i="2"/>
  <c r="O2587" i="2"/>
  <c r="O2586" i="2"/>
  <c r="O2585" i="2"/>
  <c r="O2584" i="2"/>
  <c r="O2583" i="2"/>
  <c r="O2582" i="2"/>
  <c r="O2581" i="2"/>
  <c r="O2580" i="2"/>
  <c r="O2579" i="2"/>
  <c r="O2578" i="2"/>
  <c r="O2577" i="2"/>
  <c r="O2576" i="2"/>
  <c r="O2575" i="2"/>
  <c r="O2574" i="2"/>
  <c r="O2573" i="2"/>
  <c r="O2572" i="2"/>
  <c r="O2571" i="2"/>
  <c r="O2570" i="2"/>
  <c r="O2569" i="2"/>
  <c r="O2568" i="2"/>
  <c r="O2567" i="2"/>
  <c r="O2566" i="2"/>
  <c r="O2565" i="2"/>
  <c r="O2564" i="2"/>
  <c r="O2563" i="2"/>
  <c r="O2562" i="2"/>
  <c r="O2561" i="2"/>
  <c r="O2560" i="2"/>
  <c r="O2559" i="2"/>
  <c r="O2558" i="2"/>
  <c r="O2557" i="2"/>
  <c r="O2556" i="2"/>
  <c r="O2555" i="2"/>
  <c r="O2554" i="2"/>
  <c r="O2553" i="2"/>
  <c r="O2552" i="2"/>
  <c r="O2551" i="2"/>
  <c r="O2550" i="2"/>
  <c r="O2549" i="2"/>
  <c r="O2548" i="2"/>
  <c r="O2547" i="2"/>
  <c r="O2546" i="2"/>
  <c r="O2545" i="2"/>
  <c r="O2544" i="2"/>
  <c r="O2543" i="2"/>
  <c r="O2542" i="2"/>
  <c r="O2541" i="2"/>
  <c r="O2540" i="2"/>
  <c r="O2539" i="2"/>
  <c r="O2538" i="2"/>
  <c r="O2537" i="2"/>
  <c r="O2536" i="2"/>
  <c r="O2535" i="2"/>
  <c r="O2534" i="2"/>
  <c r="O2533" i="2"/>
  <c r="O2532" i="2"/>
  <c r="O2531" i="2"/>
  <c r="O2530" i="2"/>
  <c r="O2529" i="2"/>
  <c r="O2528" i="2"/>
  <c r="O2527" i="2"/>
  <c r="O2526" i="2"/>
  <c r="O2525" i="2"/>
  <c r="O2524" i="2"/>
  <c r="O2523" i="2"/>
  <c r="O2522" i="2"/>
  <c r="O2521" i="2"/>
  <c r="O2520" i="2"/>
  <c r="O2519" i="2"/>
  <c r="O2518" i="2"/>
  <c r="O2517" i="2"/>
  <c r="O2516" i="2"/>
  <c r="O2515" i="2"/>
  <c r="O2514" i="2"/>
  <c r="O2513" i="2"/>
  <c r="O2512" i="2"/>
  <c r="O2511" i="2"/>
  <c r="O2510" i="2"/>
  <c r="O2509" i="2"/>
  <c r="O2508" i="2"/>
  <c r="O2507" i="2"/>
  <c r="O2506" i="2"/>
  <c r="O2505" i="2"/>
  <c r="O2504" i="2"/>
  <c r="O2503" i="2"/>
  <c r="O2502" i="2"/>
  <c r="O2501" i="2"/>
  <c r="O2500" i="2"/>
  <c r="O2499" i="2"/>
  <c r="O2498" i="2"/>
  <c r="O2497" i="2"/>
  <c r="O2496" i="2"/>
  <c r="O2495" i="2"/>
  <c r="O2494" i="2"/>
  <c r="O2493" i="2"/>
  <c r="O2492" i="2"/>
  <c r="O2491" i="2"/>
  <c r="O2490" i="2"/>
  <c r="O2489" i="2"/>
  <c r="O2488" i="2"/>
  <c r="O2487" i="2"/>
  <c r="O2486" i="2"/>
  <c r="O2485" i="2"/>
  <c r="O2484" i="2"/>
  <c r="O2483" i="2"/>
  <c r="O2482" i="2"/>
  <c r="O2481" i="2"/>
  <c r="O2480" i="2"/>
  <c r="O2479" i="2"/>
  <c r="O2478" i="2"/>
  <c r="O2477" i="2"/>
  <c r="O2476" i="2"/>
  <c r="O2475" i="2"/>
  <c r="O2474" i="2"/>
  <c r="O2473" i="2"/>
  <c r="O2472" i="2"/>
  <c r="O2471" i="2"/>
  <c r="O2470" i="2"/>
  <c r="O2469" i="2"/>
  <c r="O2468" i="2"/>
  <c r="O2467" i="2"/>
  <c r="O2466" i="2"/>
  <c r="O2465" i="2"/>
  <c r="O2464" i="2"/>
  <c r="O2463" i="2"/>
  <c r="O2462" i="2"/>
  <c r="O2461" i="2"/>
  <c r="O2460" i="2"/>
  <c r="O2459" i="2"/>
  <c r="O2458" i="2"/>
  <c r="O2457" i="2"/>
  <c r="O2456" i="2"/>
  <c r="O2455" i="2"/>
  <c r="O2454" i="2"/>
  <c r="O2453" i="2"/>
  <c r="O2452" i="2"/>
  <c r="O2451" i="2"/>
  <c r="O2450" i="2"/>
  <c r="O2449" i="2"/>
  <c r="O2448" i="2"/>
  <c r="O2447" i="2"/>
  <c r="O2446" i="2"/>
  <c r="O2445" i="2"/>
  <c r="O2444" i="2"/>
  <c r="O2443" i="2"/>
  <c r="O2442" i="2"/>
  <c r="O2441" i="2"/>
  <c r="O2440" i="2"/>
  <c r="O2439" i="2"/>
  <c r="O2438" i="2"/>
  <c r="O2437" i="2"/>
  <c r="O2436" i="2"/>
  <c r="O2435" i="2"/>
  <c r="O2434" i="2"/>
  <c r="O2433" i="2"/>
  <c r="O2432" i="2"/>
  <c r="O2431" i="2"/>
  <c r="O2430" i="2"/>
  <c r="O2429" i="2"/>
  <c r="O2428" i="2"/>
  <c r="O2427" i="2"/>
  <c r="O2426" i="2"/>
  <c r="O2425" i="2"/>
  <c r="O2424" i="2"/>
  <c r="O2423" i="2"/>
  <c r="O2422" i="2"/>
  <c r="O2421" i="2"/>
  <c r="O2420" i="2"/>
  <c r="O2419" i="2"/>
  <c r="O2418" i="2"/>
  <c r="O2417" i="2"/>
  <c r="O2416" i="2"/>
  <c r="O2415" i="2"/>
  <c r="O2414" i="2"/>
  <c r="O2413" i="2"/>
  <c r="O2412" i="2"/>
  <c r="O2411" i="2"/>
  <c r="O2410" i="2"/>
  <c r="O2409" i="2"/>
  <c r="O2408" i="2"/>
  <c r="O2407" i="2"/>
  <c r="O2406" i="2"/>
  <c r="O2405" i="2"/>
  <c r="O2404" i="2"/>
  <c r="O2403" i="2"/>
  <c r="O2402" i="2"/>
  <c r="O2401" i="2"/>
  <c r="O2400" i="2"/>
  <c r="O2399" i="2"/>
  <c r="O2398" i="2"/>
  <c r="O2397" i="2"/>
  <c r="O2396" i="2"/>
  <c r="O2395" i="2"/>
  <c r="O2394" i="2"/>
  <c r="O2393" i="2"/>
  <c r="O2392" i="2"/>
  <c r="O2391" i="2"/>
  <c r="O2390" i="2"/>
  <c r="O2389" i="2"/>
  <c r="O2388" i="2"/>
  <c r="O2387" i="2"/>
  <c r="O2386" i="2"/>
  <c r="O2385" i="2"/>
  <c r="O2384" i="2"/>
  <c r="O2383" i="2"/>
  <c r="O2382" i="2"/>
  <c r="O2381" i="2"/>
  <c r="O2380" i="2"/>
  <c r="O2379" i="2"/>
  <c r="O2378" i="2"/>
  <c r="O2377" i="2"/>
  <c r="O2376" i="2"/>
  <c r="O2375" i="2"/>
  <c r="O2374" i="2"/>
  <c r="O2373" i="2"/>
  <c r="O2372" i="2"/>
  <c r="O2371" i="2"/>
  <c r="O2370" i="2"/>
  <c r="O2369" i="2"/>
  <c r="O2368" i="2"/>
  <c r="O2367" i="2"/>
  <c r="O2366" i="2"/>
  <c r="O2365" i="2"/>
  <c r="O2364" i="2"/>
  <c r="O2363" i="2"/>
  <c r="O2362" i="2"/>
  <c r="O2361" i="2"/>
  <c r="O2360" i="2"/>
  <c r="O2359" i="2"/>
  <c r="O2358" i="2"/>
  <c r="O2357" i="2"/>
  <c r="O2356" i="2"/>
  <c r="O2355" i="2"/>
  <c r="O2354" i="2"/>
  <c r="O2353" i="2"/>
  <c r="O2352" i="2"/>
  <c r="O2351" i="2"/>
  <c r="O2350" i="2"/>
  <c r="O2349" i="2"/>
  <c r="O2348" i="2"/>
  <c r="O2347" i="2"/>
  <c r="O2346" i="2"/>
  <c r="O2345" i="2"/>
  <c r="O2344" i="2"/>
  <c r="O2343" i="2"/>
  <c r="O2342" i="2"/>
  <c r="O2341" i="2"/>
  <c r="O2340" i="2"/>
  <c r="O2339" i="2"/>
  <c r="O2338" i="2"/>
  <c r="O2337" i="2"/>
  <c r="O2336" i="2"/>
  <c r="O2335" i="2"/>
  <c r="O2334" i="2"/>
  <c r="O2333" i="2"/>
  <c r="O2332" i="2"/>
  <c r="O2331" i="2"/>
  <c r="O2330" i="2"/>
  <c r="O2329" i="2"/>
  <c r="O2328" i="2"/>
  <c r="O2327" i="2"/>
  <c r="O2326" i="2"/>
  <c r="O2325" i="2"/>
  <c r="O2324" i="2"/>
  <c r="O2323" i="2"/>
  <c r="O2322" i="2"/>
  <c r="O2321" i="2"/>
  <c r="O2320" i="2"/>
  <c r="O2319" i="2"/>
  <c r="O2318" i="2"/>
  <c r="O2317" i="2"/>
  <c r="O2316" i="2"/>
  <c r="O2315" i="2"/>
  <c r="O2314" i="2"/>
  <c r="O2313" i="2"/>
  <c r="O2312" i="2"/>
  <c r="O2311" i="2"/>
  <c r="O2310" i="2"/>
  <c r="O2309" i="2"/>
  <c r="O2308" i="2"/>
  <c r="O2307" i="2"/>
  <c r="O2306" i="2"/>
  <c r="O2305" i="2"/>
  <c r="O2304" i="2"/>
  <c r="O2303" i="2"/>
  <c r="O2302" i="2"/>
  <c r="O2301" i="2"/>
  <c r="O2300" i="2"/>
  <c r="O2299" i="2"/>
  <c r="O2298" i="2"/>
  <c r="O2297" i="2"/>
  <c r="O2296" i="2"/>
  <c r="O2295" i="2"/>
  <c r="O2294" i="2"/>
  <c r="O2293" i="2"/>
  <c r="O2292" i="2"/>
  <c r="O2291" i="2"/>
  <c r="O2290" i="2"/>
  <c r="O2289" i="2"/>
  <c r="O2288" i="2"/>
  <c r="O2287" i="2"/>
  <c r="O2286" i="2"/>
  <c r="O2285" i="2"/>
  <c r="O2284" i="2"/>
  <c r="O2283" i="2"/>
  <c r="O2282" i="2"/>
  <c r="O2281" i="2"/>
  <c r="O2280" i="2"/>
  <c r="O2279" i="2"/>
  <c r="O2278" i="2"/>
  <c r="O2277" i="2"/>
  <c r="O2276" i="2"/>
  <c r="O2275" i="2"/>
  <c r="O2274" i="2"/>
  <c r="O2273" i="2"/>
  <c r="O2272" i="2"/>
  <c r="O2271" i="2"/>
  <c r="O2270" i="2"/>
  <c r="O2269" i="2"/>
  <c r="O2268" i="2"/>
  <c r="O2267" i="2"/>
  <c r="O2266" i="2"/>
  <c r="O2265" i="2"/>
  <c r="O2264" i="2"/>
  <c r="O2263" i="2"/>
  <c r="O2262" i="2"/>
  <c r="O2261" i="2"/>
  <c r="O2260" i="2"/>
  <c r="O2259" i="2"/>
  <c r="O2258" i="2"/>
  <c r="O2257" i="2"/>
  <c r="O2256" i="2"/>
  <c r="O2255" i="2"/>
  <c r="O2254" i="2"/>
  <c r="O2253" i="2"/>
  <c r="O2252" i="2"/>
  <c r="O2251" i="2"/>
  <c r="O2250" i="2"/>
  <c r="O2249" i="2"/>
  <c r="O2248" i="2"/>
  <c r="O2247" i="2"/>
  <c r="O2246" i="2"/>
  <c r="O2245" i="2"/>
  <c r="O2244" i="2"/>
  <c r="O2243" i="2"/>
  <c r="O2242" i="2"/>
  <c r="O2241" i="2"/>
  <c r="O2240" i="2"/>
  <c r="O2239" i="2"/>
  <c r="O2238" i="2"/>
  <c r="O2237" i="2"/>
  <c r="O2236" i="2"/>
  <c r="O2235" i="2"/>
  <c r="O2234" i="2"/>
  <c r="O2233" i="2"/>
  <c r="O2232" i="2"/>
  <c r="O2231" i="2"/>
  <c r="O2230" i="2"/>
  <c r="O2229" i="2"/>
  <c r="O2228" i="2"/>
  <c r="O2227" i="2"/>
  <c r="O2226" i="2"/>
  <c r="O2225" i="2"/>
  <c r="O2224" i="2"/>
  <c r="O2223" i="2"/>
  <c r="O2222" i="2"/>
  <c r="O2221" i="2"/>
  <c r="O2220" i="2"/>
  <c r="O2219" i="2"/>
  <c r="O2218" i="2"/>
  <c r="O2217" i="2"/>
  <c r="O2216" i="2"/>
  <c r="O2215" i="2"/>
  <c r="O2214" i="2"/>
  <c r="O2213" i="2"/>
  <c r="O2212" i="2"/>
  <c r="O2211" i="2"/>
  <c r="O2210" i="2"/>
  <c r="O2209" i="2"/>
  <c r="O2208" i="2"/>
  <c r="O2207" i="2"/>
  <c r="O2206" i="2"/>
  <c r="O2205" i="2"/>
  <c r="O2204" i="2"/>
  <c r="O2203" i="2"/>
  <c r="O2202" i="2"/>
  <c r="O2201" i="2"/>
  <c r="O2200" i="2"/>
  <c r="O2199" i="2"/>
  <c r="O2198" i="2"/>
  <c r="O2197" i="2"/>
  <c r="O2196" i="2"/>
  <c r="O2195" i="2"/>
  <c r="O2194" i="2"/>
  <c r="O2193" i="2"/>
  <c r="O2192" i="2"/>
  <c r="O2191" i="2"/>
  <c r="O2190" i="2"/>
  <c r="O2189" i="2"/>
  <c r="O2188" i="2"/>
  <c r="O2187" i="2"/>
  <c r="O2186" i="2"/>
  <c r="O2185" i="2"/>
  <c r="O2184" i="2"/>
  <c r="O2183" i="2"/>
  <c r="O2182" i="2"/>
  <c r="O2181" i="2"/>
  <c r="O2180" i="2"/>
  <c r="O2179" i="2"/>
  <c r="O2178" i="2"/>
  <c r="O2177" i="2"/>
  <c r="O2176" i="2"/>
  <c r="O2175" i="2"/>
  <c r="O2174" i="2"/>
  <c r="O2173" i="2"/>
  <c r="O2172" i="2"/>
  <c r="O2171" i="2"/>
  <c r="O2170" i="2"/>
  <c r="O2169" i="2"/>
  <c r="O2168" i="2"/>
  <c r="O2167" i="2"/>
  <c r="O2166" i="2"/>
  <c r="O2165" i="2"/>
  <c r="O2164" i="2"/>
  <c r="O2163" i="2"/>
  <c r="O2162" i="2"/>
  <c r="O2161" i="2"/>
  <c r="O2160" i="2"/>
  <c r="O2159" i="2"/>
  <c r="O2158" i="2"/>
  <c r="O2157" i="2"/>
  <c r="O2156" i="2"/>
  <c r="O2155" i="2"/>
  <c r="O2154" i="2"/>
  <c r="O2153" i="2"/>
  <c r="O2152" i="2"/>
  <c r="O2151" i="2"/>
  <c r="O2150" i="2"/>
  <c r="O2149" i="2"/>
  <c r="O2148" i="2"/>
  <c r="O2147" i="2"/>
  <c r="O2146" i="2"/>
  <c r="O2145" i="2"/>
  <c r="O2144" i="2"/>
  <c r="O2143" i="2"/>
  <c r="O2142" i="2"/>
  <c r="O2141" i="2"/>
  <c r="O2140" i="2"/>
  <c r="O2139" i="2"/>
  <c r="O2138" i="2"/>
  <c r="O2137" i="2"/>
  <c r="O2136" i="2"/>
  <c r="O2135" i="2"/>
  <c r="O2134" i="2"/>
  <c r="O2133" i="2"/>
  <c r="O2132" i="2"/>
  <c r="O2131" i="2"/>
  <c r="O2130" i="2"/>
  <c r="O2129" i="2"/>
  <c r="O2128" i="2"/>
  <c r="O2127" i="2"/>
  <c r="O2126" i="2"/>
  <c r="O2125" i="2"/>
  <c r="O2124" i="2"/>
  <c r="O2123" i="2"/>
  <c r="O2122" i="2"/>
  <c r="O2121" i="2"/>
  <c r="O2120" i="2"/>
  <c r="O2119" i="2"/>
  <c r="O2118" i="2"/>
  <c r="O2117" i="2"/>
  <c r="O2116" i="2"/>
  <c r="O2115" i="2"/>
  <c r="O2114" i="2"/>
  <c r="O2113" i="2"/>
  <c r="O2112" i="2"/>
  <c r="O2111" i="2"/>
  <c r="O2110" i="2"/>
  <c r="O2109" i="2"/>
  <c r="O2108" i="2"/>
  <c r="O2107" i="2"/>
  <c r="O2106" i="2"/>
  <c r="O2105" i="2"/>
  <c r="O2104" i="2"/>
  <c r="O2103" i="2"/>
  <c r="O2102" i="2"/>
  <c r="O2101" i="2"/>
  <c r="O2100" i="2"/>
  <c r="O2099" i="2"/>
  <c r="O2098" i="2"/>
  <c r="O2097" i="2"/>
  <c r="O2096" i="2"/>
  <c r="O2095" i="2"/>
  <c r="O2094" i="2"/>
  <c r="O2093" i="2"/>
  <c r="O2092" i="2"/>
  <c r="O2091" i="2"/>
  <c r="O2090" i="2"/>
  <c r="O2089" i="2"/>
  <c r="O2088" i="2"/>
  <c r="O2087" i="2"/>
  <c r="O2086" i="2"/>
  <c r="O2085" i="2"/>
  <c r="O2084" i="2"/>
  <c r="O2083" i="2"/>
  <c r="O2082" i="2"/>
  <c r="O2081" i="2"/>
  <c r="O2080" i="2"/>
  <c r="O2079" i="2"/>
  <c r="O2078" i="2"/>
  <c r="O2077" i="2"/>
  <c r="O2076" i="2"/>
  <c r="O2075" i="2"/>
  <c r="O2074" i="2"/>
  <c r="O2073" i="2"/>
  <c r="O2072" i="2"/>
  <c r="O2071" i="2"/>
  <c r="O2070" i="2"/>
  <c r="O2069" i="2"/>
  <c r="O2068" i="2"/>
  <c r="O2067" i="2"/>
  <c r="O2066" i="2"/>
  <c r="O2065" i="2"/>
  <c r="O2064" i="2"/>
  <c r="O2063" i="2"/>
  <c r="O2062" i="2"/>
  <c r="O2061" i="2"/>
  <c r="O2060" i="2"/>
  <c r="O2059" i="2"/>
  <c r="O2058" i="2"/>
  <c r="O2057" i="2"/>
  <c r="O2056" i="2"/>
  <c r="O2055" i="2"/>
  <c r="O2054" i="2"/>
  <c r="O2053" i="2"/>
  <c r="O2052" i="2"/>
  <c r="O2051" i="2"/>
  <c r="O2050" i="2"/>
  <c r="O2049" i="2"/>
  <c r="O2048" i="2"/>
  <c r="O2047" i="2"/>
  <c r="O2046" i="2"/>
  <c r="O2045" i="2"/>
  <c r="O2044" i="2"/>
  <c r="O2043" i="2"/>
  <c r="O2042" i="2"/>
  <c r="O2041" i="2"/>
  <c r="O2040" i="2"/>
  <c r="O2039" i="2"/>
  <c r="O2038" i="2"/>
  <c r="O2037" i="2"/>
  <c r="O2036" i="2"/>
  <c r="O2035" i="2"/>
  <c r="O2034" i="2"/>
  <c r="O2033" i="2"/>
  <c r="O2032" i="2"/>
  <c r="O2031" i="2"/>
  <c r="O2030" i="2"/>
  <c r="O2029" i="2"/>
  <c r="O2028" i="2"/>
  <c r="O2027" i="2"/>
  <c r="O2026" i="2"/>
  <c r="O2025" i="2"/>
  <c r="O2024" i="2"/>
  <c r="O2023" i="2"/>
  <c r="O2022" i="2"/>
  <c r="O2021" i="2"/>
  <c r="O2020" i="2"/>
  <c r="O2019" i="2"/>
  <c r="O2018" i="2"/>
  <c r="O2017" i="2"/>
  <c r="O2016" i="2"/>
  <c r="O2015" i="2"/>
  <c r="O2014" i="2"/>
  <c r="O2013" i="2"/>
  <c r="O2012" i="2"/>
  <c r="O2011" i="2"/>
  <c r="O2010" i="2"/>
  <c r="O2009" i="2"/>
  <c r="O2008" i="2"/>
  <c r="O2007" i="2"/>
  <c r="O2006" i="2"/>
  <c r="O2005" i="2"/>
  <c r="O2004" i="2"/>
  <c r="O2003" i="2"/>
  <c r="O2002" i="2"/>
  <c r="O2001" i="2"/>
  <c r="O2000" i="2"/>
  <c r="O1999" i="2"/>
  <c r="O1998" i="2"/>
  <c r="O1997" i="2"/>
  <c r="O1996" i="2"/>
  <c r="O1995" i="2"/>
  <c r="O1994" i="2"/>
  <c r="O1993" i="2"/>
  <c r="O1992" i="2"/>
  <c r="O1991" i="2"/>
  <c r="O1990" i="2"/>
  <c r="O1989" i="2"/>
  <c r="O1988" i="2"/>
  <c r="O1987" i="2"/>
  <c r="O1986" i="2"/>
  <c r="O1985" i="2"/>
  <c r="O1984" i="2"/>
  <c r="O1983" i="2"/>
  <c r="O1982" i="2"/>
  <c r="O1981" i="2"/>
  <c r="O1980" i="2"/>
  <c r="O1979" i="2"/>
  <c r="O1978" i="2"/>
  <c r="O1977" i="2"/>
  <c r="O1976" i="2"/>
  <c r="O1975" i="2"/>
  <c r="O1974" i="2"/>
  <c r="O1973" i="2"/>
  <c r="O1972" i="2"/>
  <c r="O1971" i="2"/>
  <c r="O1970" i="2"/>
  <c r="O1969" i="2"/>
  <c r="O1968" i="2"/>
  <c r="O1967" i="2"/>
  <c r="O1966" i="2"/>
  <c r="O1965" i="2"/>
  <c r="O1964" i="2"/>
  <c r="O1963" i="2"/>
  <c r="O1962" i="2"/>
  <c r="O1961" i="2"/>
  <c r="O1960" i="2"/>
  <c r="O1959" i="2"/>
  <c r="O1958" i="2"/>
  <c r="O1957" i="2"/>
  <c r="O1956" i="2"/>
  <c r="O1955" i="2"/>
  <c r="O1954" i="2"/>
  <c r="O1953" i="2"/>
  <c r="O1952" i="2"/>
  <c r="O1951" i="2"/>
  <c r="O1950" i="2"/>
  <c r="O1949" i="2"/>
  <c r="O1948" i="2"/>
  <c r="O1947" i="2"/>
  <c r="O1946" i="2"/>
  <c r="O1945" i="2"/>
  <c r="O1944" i="2"/>
  <c r="O1943" i="2"/>
  <c r="O1942" i="2"/>
  <c r="O1941" i="2"/>
  <c r="O1940" i="2"/>
  <c r="O1939" i="2"/>
  <c r="O1938" i="2"/>
  <c r="O1937" i="2"/>
  <c r="O1936" i="2"/>
  <c r="O1935" i="2"/>
  <c r="O1934" i="2"/>
  <c r="O1933" i="2"/>
  <c r="O1932" i="2"/>
  <c r="O1931" i="2"/>
  <c r="O1930" i="2"/>
  <c r="O1929" i="2"/>
  <c r="O1928" i="2"/>
  <c r="O1927" i="2"/>
  <c r="O1926" i="2"/>
  <c r="O1925" i="2"/>
  <c r="O1924" i="2"/>
  <c r="O1923" i="2"/>
  <c r="O1922" i="2"/>
  <c r="O1921" i="2"/>
  <c r="O1920" i="2"/>
  <c r="O1919" i="2"/>
  <c r="O1918" i="2"/>
  <c r="O1917" i="2"/>
  <c r="O1916" i="2"/>
  <c r="O1915" i="2"/>
  <c r="O1914" i="2"/>
  <c r="O1913" i="2"/>
  <c r="O1912" i="2"/>
  <c r="O1911" i="2"/>
  <c r="O1910" i="2"/>
  <c r="O1909" i="2"/>
  <c r="O1908" i="2"/>
  <c r="O1907" i="2"/>
  <c r="O1906" i="2"/>
  <c r="O1905" i="2"/>
  <c r="O1904" i="2"/>
  <c r="O1903" i="2"/>
  <c r="O1902" i="2"/>
  <c r="O1901" i="2"/>
  <c r="O1900" i="2"/>
  <c r="O1899" i="2"/>
  <c r="O1898" i="2"/>
  <c r="O1897" i="2"/>
  <c r="O1896" i="2"/>
  <c r="O1895" i="2"/>
  <c r="O1894" i="2"/>
  <c r="O1893" i="2"/>
  <c r="O1892" i="2"/>
  <c r="O1891" i="2"/>
  <c r="O1890" i="2"/>
  <c r="O1889" i="2"/>
  <c r="O1888" i="2"/>
  <c r="O1887" i="2"/>
  <c r="O1886" i="2"/>
  <c r="O1885" i="2"/>
  <c r="O1884" i="2"/>
  <c r="O1883" i="2"/>
  <c r="O1882" i="2"/>
  <c r="O1881" i="2"/>
  <c r="O1880" i="2"/>
  <c r="O1879" i="2"/>
  <c r="O1878" i="2"/>
  <c r="O1877" i="2"/>
  <c r="O1876" i="2"/>
  <c r="O1875" i="2"/>
  <c r="O1874" i="2"/>
  <c r="O1873" i="2"/>
  <c r="O1872" i="2"/>
  <c r="O1871" i="2"/>
  <c r="O1870" i="2"/>
  <c r="O1869" i="2"/>
  <c r="O1868" i="2"/>
  <c r="O1867" i="2"/>
  <c r="O1866" i="2"/>
  <c r="O1865" i="2"/>
  <c r="O1864" i="2"/>
  <c r="O1863" i="2"/>
  <c r="O1862" i="2"/>
  <c r="O1861" i="2"/>
  <c r="O1860" i="2"/>
  <c r="O1859" i="2"/>
  <c r="O1858" i="2"/>
  <c r="O1857" i="2"/>
  <c r="O1856" i="2"/>
  <c r="O1855" i="2"/>
  <c r="O1854" i="2"/>
  <c r="O1853" i="2"/>
  <c r="O1852" i="2"/>
  <c r="O1851" i="2"/>
  <c r="O1850" i="2"/>
  <c r="O1849" i="2"/>
  <c r="O1848" i="2"/>
  <c r="O1847" i="2"/>
  <c r="O1846" i="2"/>
  <c r="O1845" i="2"/>
  <c r="O1844" i="2"/>
  <c r="O1843" i="2"/>
  <c r="O1842" i="2"/>
  <c r="O1841" i="2"/>
  <c r="O1840" i="2"/>
  <c r="O1839" i="2"/>
  <c r="O1838" i="2"/>
  <c r="O1837" i="2"/>
  <c r="O1836" i="2"/>
  <c r="O1835" i="2"/>
  <c r="O1834" i="2"/>
  <c r="O1833" i="2"/>
  <c r="O1832" i="2"/>
  <c r="O1831" i="2"/>
  <c r="O1830" i="2"/>
  <c r="O1829" i="2"/>
  <c r="O1828" i="2"/>
  <c r="O1827" i="2"/>
  <c r="O1826" i="2"/>
  <c r="O1825" i="2"/>
  <c r="O1824" i="2"/>
  <c r="O1823" i="2"/>
  <c r="O1822" i="2"/>
  <c r="O1821" i="2"/>
  <c r="O1820" i="2"/>
  <c r="O1819" i="2"/>
  <c r="O1818" i="2"/>
  <c r="O1817" i="2"/>
  <c r="O1816" i="2"/>
  <c r="O1815" i="2"/>
  <c r="O1814" i="2"/>
  <c r="O1813" i="2"/>
  <c r="O1812" i="2"/>
  <c r="O1811" i="2"/>
  <c r="O1810" i="2"/>
  <c r="O1809" i="2"/>
  <c r="O1808" i="2"/>
  <c r="O1807" i="2"/>
  <c r="O1806" i="2"/>
  <c r="O1805" i="2"/>
  <c r="O1804" i="2"/>
  <c r="O1803" i="2"/>
  <c r="O1802" i="2"/>
  <c r="O1801" i="2"/>
  <c r="O1800" i="2"/>
  <c r="O1799" i="2"/>
  <c r="O1798" i="2"/>
  <c r="O1797" i="2"/>
  <c r="O1796" i="2"/>
  <c r="O1795" i="2"/>
  <c r="O1794" i="2"/>
  <c r="O1793" i="2"/>
  <c r="O1792" i="2"/>
  <c r="O1791" i="2"/>
  <c r="O1790" i="2"/>
  <c r="O1789" i="2"/>
  <c r="O1788" i="2"/>
  <c r="O1787" i="2"/>
  <c r="O1786" i="2"/>
  <c r="O1785" i="2"/>
  <c r="O1784" i="2"/>
  <c r="O1783" i="2"/>
  <c r="O1782" i="2"/>
  <c r="O1781" i="2"/>
  <c r="O1780" i="2"/>
  <c r="O1779" i="2"/>
  <c r="O1778" i="2"/>
  <c r="O1777" i="2"/>
  <c r="O1776" i="2"/>
  <c r="O1775" i="2"/>
  <c r="O1774" i="2"/>
  <c r="O1773" i="2"/>
  <c r="O1772" i="2"/>
  <c r="O1771" i="2"/>
  <c r="O1770" i="2"/>
  <c r="O1769" i="2"/>
  <c r="O1768" i="2"/>
  <c r="O1767" i="2"/>
  <c r="O1766" i="2"/>
  <c r="O1765" i="2"/>
  <c r="O1764" i="2"/>
  <c r="O1763" i="2"/>
  <c r="O1762" i="2"/>
  <c r="O1761" i="2"/>
  <c r="O1760" i="2"/>
  <c r="O1759" i="2"/>
  <c r="O1758" i="2"/>
  <c r="O1757" i="2"/>
  <c r="O1756" i="2"/>
  <c r="O1755" i="2"/>
  <c r="O1754" i="2"/>
  <c r="O1753" i="2"/>
  <c r="O1752" i="2"/>
  <c r="O1751" i="2"/>
  <c r="O1750" i="2"/>
  <c r="O1749" i="2"/>
  <c r="O1748" i="2"/>
  <c r="O1747" i="2"/>
  <c r="O1746" i="2"/>
  <c r="O1745" i="2"/>
  <c r="O1744" i="2"/>
  <c r="O1743" i="2"/>
  <c r="O1742" i="2"/>
  <c r="O1741" i="2"/>
  <c r="O1740" i="2"/>
  <c r="O1739" i="2"/>
  <c r="O1738" i="2"/>
  <c r="O1737" i="2"/>
  <c r="O1736" i="2"/>
  <c r="O1735" i="2"/>
  <c r="O1734" i="2"/>
  <c r="O1733" i="2"/>
  <c r="O1732" i="2"/>
  <c r="O1731" i="2"/>
  <c r="O1730" i="2"/>
  <c r="O1729" i="2"/>
  <c r="O1728" i="2"/>
  <c r="O1727" i="2"/>
  <c r="O1726" i="2"/>
  <c r="O1725" i="2"/>
  <c r="O1724" i="2"/>
  <c r="O1723" i="2"/>
  <c r="O1722" i="2"/>
  <c r="O1721" i="2"/>
  <c r="O1720" i="2"/>
  <c r="O1719" i="2"/>
  <c r="O1718" i="2"/>
  <c r="O1717" i="2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O1702" i="2"/>
  <c r="O1701" i="2"/>
  <c r="O1700" i="2"/>
  <c r="O1699" i="2"/>
  <c r="O1698" i="2"/>
  <c r="O1697" i="2"/>
  <c r="O1696" i="2"/>
  <c r="O1695" i="2"/>
  <c r="O1694" i="2"/>
  <c r="O1693" i="2"/>
  <c r="O1692" i="2"/>
  <c r="O1691" i="2"/>
  <c r="O1690" i="2"/>
  <c r="O1689" i="2"/>
  <c r="O1688" i="2"/>
  <c r="O1687" i="2"/>
  <c r="O1686" i="2"/>
  <c r="O1685" i="2"/>
  <c r="O1684" i="2"/>
  <c r="O1683" i="2"/>
  <c r="O1682" i="2"/>
  <c r="O1681" i="2"/>
  <c r="O1680" i="2"/>
  <c r="O1679" i="2"/>
  <c r="O1678" i="2"/>
  <c r="O1677" i="2"/>
  <c r="O1676" i="2"/>
  <c r="O1675" i="2"/>
  <c r="O1674" i="2"/>
  <c r="O1673" i="2"/>
  <c r="O1672" i="2"/>
  <c r="O1671" i="2"/>
  <c r="O1670" i="2"/>
  <c r="O1669" i="2"/>
  <c r="O1668" i="2"/>
  <c r="O1667" i="2"/>
  <c r="O1666" i="2"/>
  <c r="O1665" i="2"/>
  <c r="O1664" i="2"/>
  <c r="O1663" i="2"/>
  <c r="O1662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F10" i="3"/>
  <c r="F9" i="3"/>
  <c r="F8" i="3"/>
  <c r="F7" i="3"/>
  <c r="F6" i="3"/>
  <c r="F5" i="3"/>
  <c r="F4" i="3"/>
  <c r="F3" i="3"/>
  <c r="F2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Q2524" i="2" s="1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Q3279" i="2" s="1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Q3503" i="2" s="1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Q3519" i="2" s="1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Q3531" i="2" s="1"/>
  <c r="M3532" i="2"/>
  <c r="M3533" i="2"/>
  <c r="M3534" i="2"/>
  <c r="M3535" i="2"/>
  <c r="Q3535" i="2" s="1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Q3551" i="2" s="1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Q3567" i="2" s="1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Q3583" i="2" s="1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Q3599" i="2" s="1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Q3615" i="2" s="1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Q3631" i="2" s="1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Q3647" i="2" s="1"/>
  <c r="Q3327" i="2" l="1"/>
  <c r="Q3103" i="2"/>
  <c r="Q3646" i="2"/>
  <c r="Q3438" i="2"/>
  <c r="Q3500" i="2"/>
  <c r="Q3340" i="2"/>
  <c r="Q3164" i="2"/>
  <c r="Q2972" i="2"/>
  <c r="Q2572" i="2"/>
  <c r="Q3627" i="2"/>
  <c r="Q3611" i="2"/>
  <c r="Q3595" i="2"/>
  <c r="Q3579" i="2"/>
  <c r="Q3563" i="2"/>
  <c r="Q3547" i="2"/>
  <c r="Q3515" i="2"/>
  <c r="Q3439" i="2"/>
  <c r="Q3231" i="2"/>
  <c r="Q3007" i="2"/>
  <c r="Q3550" i="2"/>
  <c r="Q3596" i="2"/>
  <c r="Q3420" i="2"/>
  <c r="Q3260" i="2"/>
  <c r="Q3116" i="2"/>
  <c r="Q2940" i="2"/>
  <c r="Q2812" i="2"/>
  <c r="Q2652" i="2"/>
  <c r="Q3643" i="2"/>
  <c r="Q3545" i="2"/>
  <c r="Q3465" i="2"/>
  <c r="Q3449" i="2"/>
  <c r="Q3433" i="2"/>
  <c r="Q3417" i="2"/>
  <c r="Q3401" i="2"/>
  <c r="Q3385" i="2"/>
  <c r="Q3369" i="2"/>
  <c r="Q3353" i="2"/>
  <c r="Q3337" i="2"/>
  <c r="Q3321" i="2"/>
  <c r="Q3305" i="2"/>
  <c r="Q3289" i="2"/>
  <c r="Q3455" i="2"/>
  <c r="Q3247" i="2"/>
  <c r="Q3071" i="2"/>
  <c r="Q3598" i="2"/>
  <c r="Q3644" i="2"/>
  <c r="Q3468" i="2"/>
  <c r="Q3308" i="2"/>
  <c r="Q3132" i="2"/>
  <c r="Q2988" i="2"/>
  <c r="Q2844" i="2"/>
  <c r="Q2700" i="2"/>
  <c r="Q2540" i="2"/>
  <c r="Q3529" i="2"/>
  <c r="Q3576" i="2"/>
  <c r="Q3512" i="2"/>
  <c r="Q3496" i="2"/>
  <c r="Q3480" i="2"/>
  <c r="Q3464" i="2"/>
  <c r="Q3448" i="2"/>
  <c r="Q3432" i="2"/>
  <c r="Q3416" i="2"/>
  <c r="Q3400" i="2"/>
  <c r="Q3384" i="2"/>
  <c r="Q3368" i="2"/>
  <c r="Q3352" i="2"/>
  <c r="Q3336" i="2"/>
  <c r="Q3320" i="2"/>
  <c r="Q3343" i="2"/>
  <c r="Q3135" i="2"/>
  <c r="Q2927" i="2"/>
  <c r="Q3470" i="2"/>
  <c r="Q3564" i="2"/>
  <c r="Q3388" i="2"/>
  <c r="Q3228" i="2"/>
  <c r="Q3052" i="2"/>
  <c r="Q2684" i="2"/>
  <c r="Q3641" i="2"/>
  <c r="Q3497" i="2"/>
  <c r="Q3544" i="2"/>
  <c r="Q3367" i="2"/>
  <c r="Q3239" i="2"/>
  <c r="Q2999" i="2"/>
  <c r="Q2807" i="2"/>
  <c r="Q2679" i="2"/>
  <c r="Q2647" i="2"/>
  <c r="Q2631" i="2"/>
  <c r="Q2615" i="2"/>
  <c r="Q2599" i="2"/>
  <c r="Q3407" i="2"/>
  <c r="Q3215" i="2"/>
  <c r="Q3518" i="2"/>
  <c r="Q3580" i="2"/>
  <c r="Q3404" i="2"/>
  <c r="Q3244" i="2"/>
  <c r="Q3068" i="2"/>
  <c r="Q2908" i="2"/>
  <c r="Q2780" i="2"/>
  <c r="Q2636" i="2"/>
  <c r="Q3625" i="2"/>
  <c r="Q3481" i="2"/>
  <c r="Q3560" i="2"/>
  <c r="Q3559" i="2"/>
  <c r="Q3463" i="2"/>
  <c r="Q3351" i="2"/>
  <c r="Q3223" i="2"/>
  <c r="Q3127" i="2"/>
  <c r="Q3015" i="2"/>
  <c r="Q2903" i="2"/>
  <c r="Q2791" i="2"/>
  <c r="Q2663" i="2"/>
  <c r="Q3558" i="2"/>
  <c r="Q3462" i="2"/>
  <c r="Q3430" i="2"/>
  <c r="Q3318" i="2"/>
  <c r="Q3190" i="2"/>
  <c r="Q3039" i="2"/>
  <c r="Q3582" i="2"/>
  <c r="Q3612" i="2"/>
  <c r="Q3452" i="2"/>
  <c r="Q3292" i="2"/>
  <c r="Q3084" i="2"/>
  <c r="Q2956" i="2"/>
  <c r="Q2828" i="2"/>
  <c r="Q2556" i="2"/>
  <c r="Q3592" i="2"/>
  <c r="Q3623" i="2"/>
  <c r="Q3495" i="2"/>
  <c r="Q3415" i="2"/>
  <c r="Q3287" i="2"/>
  <c r="Q3175" i="2"/>
  <c r="Q3063" i="2"/>
  <c r="Q2951" i="2"/>
  <c r="Q2839" i="2"/>
  <c r="Q2743" i="2"/>
  <c r="Q3606" i="2"/>
  <c r="Q3526" i="2"/>
  <c r="Q3398" i="2"/>
  <c r="Q3270" i="2"/>
  <c r="Q3206" i="2"/>
  <c r="Q3295" i="2"/>
  <c r="Q3087" i="2"/>
  <c r="Q3614" i="2"/>
  <c r="Q3422" i="2"/>
  <c r="Q3484" i="2"/>
  <c r="Q3324" i="2"/>
  <c r="Q3148" i="2"/>
  <c r="Q2860" i="2"/>
  <c r="Q2732" i="2"/>
  <c r="Q2620" i="2"/>
  <c r="Q3609" i="2"/>
  <c r="Q3608" i="2"/>
  <c r="Q3591" i="2"/>
  <c r="Q3479" i="2"/>
  <c r="Q3383" i="2"/>
  <c r="Q3255" i="2"/>
  <c r="Q3143" i="2"/>
  <c r="Q3047" i="2"/>
  <c r="Q2919" i="2"/>
  <c r="Q2823" i="2"/>
  <c r="Q2695" i="2"/>
  <c r="Q3574" i="2"/>
  <c r="Q3510" i="2"/>
  <c r="Q3414" i="2"/>
  <c r="Q3302" i="2"/>
  <c r="Q3222" i="2"/>
  <c r="Q3391" i="2"/>
  <c r="Q3183" i="2"/>
  <c r="Q2959" i="2"/>
  <c r="Q3486" i="2"/>
  <c r="Q3532" i="2"/>
  <c r="Q3356" i="2"/>
  <c r="Q3180" i="2"/>
  <c r="Q3020" i="2"/>
  <c r="Q2876" i="2"/>
  <c r="Q2764" i="2"/>
  <c r="Q2588" i="2"/>
  <c r="Q3593" i="2"/>
  <c r="Q3624" i="2"/>
  <c r="Q3528" i="2"/>
  <c r="Q3527" i="2"/>
  <c r="Q3431" i="2"/>
  <c r="Q3335" i="2"/>
  <c r="Q3191" i="2"/>
  <c r="Q3095" i="2"/>
  <c r="Q2967" i="2"/>
  <c r="Q2887" i="2"/>
  <c r="Q2711" i="2"/>
  <c r="Q3622" i="2"/>
  <c r="Q3494" i="2"/>
  <c r="Q3350" i="2"/>
  <c r="Q3238" i="2"/>
  <c r="Q3174" i="2"/>
  <c r="Q3311" i="2"/>
  <c r="Q3119" i="2"/>
  <c r="Q3630" i="2"/>
  <c r="Q3454" i="2"/>
  <c r="Q3516" i="2"/>
  <c r="Q3372" i="2"/>
  <c r="Q3212" i="2"/>
  <c r="Q3036" i="2"/>
  <c r="Q2716" i="2"/>
  <c r="Q3513" i="2"/>
  <c r="Q3575" i="2"/>
  <c r="Q3271" i="2"/>
  <c r="Q3031" i="2"/>
  <c r="Q2775" i="2"/>
  <c r="Q3446" i="2"/>
  <c r="Q3334" i="2"/>
  <c r="Q3142" i="2"/>
  <c r="Q3375" i="2"/>
  <c r="Q3167" i="2"/>
  <c r="Q2975" i="2"/>
  <c r="Q3502" i="2"/>
  <c r="Q3548" i="2"/>
  <c r="Q3196" i="2"/>
  <c r="Q3004" i="2"/>
  <c r="Q2892" i="2"/>
  <c r="Q2748" i="2"/>
  <c r="Q2604" i="2"/>
  <c r="Q3577" i="2"/>
  <c r="Q3640" i="2"/>
  <c r="Q3639" i="2"/>
  <c r="Q3543" i="2"/>
  <c r="Q3447" i="2"/>
  <c r="Q3319" i="2"/>
  <c r="Q3207" i="2"/>
  <c r="Q3111" i="2"/>
  <c r="Q2983" i="2"/>
  <c r="Q2871" i="2"/>
  <c r="Q2759" i="2"/>
  <c r="Q3638" i="2"/>
  <c r="Q3478" i="2"/>
  <c r="Q3366" i="2"/>
  <c r="Q3254" i="2"/>
  <c r="Q3158" i="2"/>
  <c r="Q3487" i="2"/>
  <c r="Q3263" i="2"/>
  <c r="Q3055" i="2"/>
  <c r="Q3566" i="2"/>
  <c r="Q3628" i="2"/>
  <c r="Q3436" i="2"/>
  <c r="Q3276" i="2"/>
  <c r="Q3100" i="2"/>
  <c r="Q2924" i="2"/>
  <c r="Q2796" i="2"/>
  <c r="Q2668" i="2"/>
  <c r="Q3561" i="2"/>
  <c r="Q3607" i="2"/>
  <c r="Q3511" i="2"/>
  <c r="Q3399" i="2"/>
  <c r="Q3303" i="2"/>
  <c r="Q3159" i="2"/>
  <c r="Q3079" i="2"/>
  <c r="Q2935" i="2"/>
  <c r="Q2855" i="2"/>
  <c r="Q2727" i="2"/>
  <c r="Q3590" i="2"/>
  <c r="Q3542" i="2"/>
  <c r="Q3382" i="2"/>
  <c r="Q3286" i="2"/>
  <c r="Q3126" i="2"/>
  <c r="Q3359" i="2"/>
  <c r="Q3151" i="2"/>
  <c r="Q2943" i="2"/>
  <c r="Q2911" i="2"/>
  <c r="Q2895" i="2"/>
  <c r="Q2879" i="2"/>
  <c r="Q2863" i="2"/>
  <c r="Q2847" i="2"/>
  <c r="Q2831" i="2"/>
  <c r="Q2815" i="2"/>
  <c r="Q2799" i="2"/>
  <c r="Q2783" i="2"/>
  <c r="Q2767" i="2"/>
  <c r="Q2751" i="2"/>
  <c r="Q2735" i="2"/>
  <c r="Q2719" i="2"/>
  <c r="Q2703" i="2"/>
  <c r="Q2687" i="2"/>
  <c r="Q2671" i="2"/>
  <c r="Q2655" i="2"/>
  <c r="Q2639" i="2"/>
  <c r="Q2623" i="2"/>
  <c r="Q3423" i="2"/>
  <c r="Q3199" i="2"/>
  <c r="Q2991" i="2"/>
  <c r="Q3390" i="2"/>
  <c r="Q3358" i="2"/>
  <c r="Q3310" i="2"/>
  <c r="Q3278" i="2"/>
  <c r="Q3246" i="2"/>
  <c r="Q3214" i="2"/>
  <c r="Q3182" i="2"/>
  <c r="Q3166" i="2"/>
  <c r="Q3150" i="2"/>
  <c r="Q3134" i="2"/>
  <c r="Q3118" i="2"/>
  <c r="Q3102" i="2"/>
  <c r="Q3086" i="2"/>
  <c r="Q3070" i="2"/>
  <c r="Q3054" i="2"/>
  <c r="Q3038" i="2"/>
  <c r="Q3022" i="2"/>
  <c r="Q3006" i="2"/>
  <c r="Q2990" i="2"/>
  <c r="Q2974" i="2"/>
  <c r="Q2958" i="2"/>
  <c r="Q2942" i="2"/>
  <c r="Q3471" i="2"/>
  <c r="Q3023" i="2"/>
  <c r="Q3534" i="2"/>
  <c r="Q3406" i="2"/>
  <c r="Q3374" i="2"/>
  <c r="Q3342" i="2"/>
  <c r="Q3326" i="2"/>
  <c r="Q3294" i="2"/>
  <c r="Q3262" i="2"/>
  <c r="Q3230" i="2"/>
  <c r="Q3198" i="2"/>
  <c r="Q3645" i="2"/>
  <c r="Q3629" i="2"/>
  <c r="Q3613" i="2"/>
  <c r="Q3597" i="2"/>
  <c r="Q3581" i="2"/>
  <c r="Q3565" i="2"/>
  <c r="Q3549" i="2"/>
  <c r="Q3533" i="2"/>
  <c r="Q3517" i="2"/>
  <c r="Q3501" i="2"/>
  <c r="Q3485" i="2"/>
  <c r="Q2508" i="2"/>
  <c r="Q2492" i="2"/>
  <c r="Q2476" i="2"/>
  <c r="Q2460" i="2"/>
  <c r="Q2444" i="2"/>
  <c r="Q2428" i="2"/>
  <c r="Q2412" i="2"/>
  <c r="Q2396" i="2"/>
  <c r="Q2380" i="2"/>
  <c r="Q2364" i="2"/>
  <c r="Q2348" i="2"/>
  <c r="Q2332" i="2"/>
  <c r="Q2316" i="2"/>
  <c r="Q2300" i="2"/>
  <c r="Q2284" i="2"/>
  <c r="Q2268" i="2"/>
  <c r="Q2252" i="2"/>
  <c r="Q2236" i="2"/>
  <c r="Q2220" i="2"/>
  <c r="Q2204" i="2"/>
  <c r="Q2188" i="2"/>
  <c r="Q2172" i="2"/>
  <c r="Q2156" i="2"/>
  <c r="Q2140" i="2"/>
  <c r="Q2124" i="2"/>
  <c r="Q2108" i="2"/>
  <c r="Q2092" i="2"/>
  <c r="Q2076" i="2"/>
  <c r="Q2060" i="2"/>
  <c r="Q2044" i="2"/>
  <c r="Q2028" i="2"/>
  <c r="Q2012" i="2"/>
  <c r="Q1996" i="2"/>
  <c r="Q1980" i="2"/>
  <c r="Q1964" i="2"/>
  <c r="Q1948" i="2"/>
  <c r="Q1932" i="2"/>
  <c r="Q1916" i="2"/>
  <c r="Q1900" i="2"/>
  <c r="Q1884" i="2"/>
  <c r="Q1868" i="2"/>
  <c r="Q1852" i="2"/>
  <c r="Q1836" i="2"/>
  <c r="Q1820" i="2"/>
  <c r="Q1804" i="2"/>
  <c r="Q1788" i="2"/>
  <c r="Q1772" i="2"/>
  <c r="Q1756" i="2"/>
  <c r="Q1740" i="2"/>
  <c r="Q1724" i="2"/>
  <c r="Q1708" i="2"/>
  <c r="Q1692" i="2"/>
  <c r="Q1676" i="2"/>
  <c r="Q1660" i="2"/>
  <c r="Q1644" i="2"/>
  <c r="Q1628" i="2"/>
  <c r="Q1612" i="2"/>
  <c r="Q1596" i="2"/>
  <c r="Q1580" i="2"/>
  <c r="Q1564" i="2"/>
  <c r="Q1548" i="2"/>
  <c r="Q1532" i="2"/>
  <c r="Q1516" i="2"/>
  <c r="Q1500" i="2"/>
  <c r="Q1484" i="2"/>
  <c r="Q1468" i="2"/>
  <c r="Q1452" i="2"/>
  <c r="Q1436" i="2"/>
  <c r="Q1420" i="2"/>
  <c r="Q1404" i="2"/>
  <c r="Q1388" i="2"/>
  <c r="Q1372" i="2"/>
  <c r="Q1356" i="2"/>
  <c r="Q1340" i="2"/>
  <c r="Q1324" i="2"/>
  <c r="Q1308" i="2"/>
  <c r="Q1292" i="2"/>
  <c r="Q1276" i="2"/>
  <c r="Q1260" i="2"/>
  <c r="Q1244" i="2"/>
  <c r="Q1228" i="2"/>
  <c r="Q1212" i="2"/>
  <c r="Q1196" i="2"/>
  <c r="Q1180" i="2"/>
  <c r="Q1164" i="2"/>
  <c r="Q1148" i="2"/>
  <c r="Q1132" i="2"/>
  <c r="Q1116" i="2"/>
  <c r="Q1100" i="2"/>
  <c r="Q1084" i="2"/>
  <c r="Q1068" i="2"/>
  <c r="Q1052" i="2"/>
  <c r="Q1036" i="2"/>
  <c r="Q1020" i="2"/>
  <c r="Q1004" i="2"/>
  <c r="Q988" i="2"/>
  <c r="Q972" i="2"/>
  <c r="Q956" i="2"/>
  <c r="Q940" i="2"/>
  <c r="Q924" i="2"/>
  <c r="Q3499" i="2"/>
  <c r="Q3467" i="2"/>
  <c r="Q3435" i="2"/>
  <c r="Q3419" i="2"/>
  <c r="Q3403" i="2"/>
  <c r="Q3387" i="2"/>
  <c r="Q3371" i="2"/>
  <c r="Q3355" i="2"/>
  <c r="Q3339" i="2"/>
  <c r="Q3323" i="2"/>
  <c r="Q3307" i="2"/>
  <c r="Q3291" i="2"/>
  <c r="Q3275" i="2"/>
  <c r="Q3259" i="2"/>
  <c r="Q3243" i="2"/>
  <c r="Q3227" i="2"/>
  <c r="Q3211" i="2"/>
  <c r="Q3195" i="2"/>
  <c r="Q3179" i="2"/>
  <c r="Q3163" i="2"/>
  <c r="Q3147" i="2"/>
  <c r="Q3131" i="2"/>
  <c r="Q3115" i="2"/>
  <c r="Q3099" i="2"/>
  <c r="Q3083" i="2"/>
  <c r="Q3067" i="2"/>
  <c r="Q3051" i="2"/>
  <c r="Q3035" i="2"/>
  <c r="Q3019" i="2"/>
  <c r="Q3003" i="2"/>
  <c r="Q2987" i="2"/>
  <c r="Q2971" i="2"/>
  <c r="Q2955" i="2"/>
  <c r="Q2939" i="2"/>
  <c r="Q2923" i="2"/>
  <c r="Q2907" i="2"/>
  <c r="Q2891" i="2"/>
  <c r="Q2875" i="2"/>
  <c r="Q2859" i="2"/>
  <c r="Q2843" i="2"/>
  <c r="Q2827" i="2"/>
  <c r="Q2811" i="2"/>
  <c r="Q2795" i="2"/>
  <c r="Q2779" i="2"/>
  <c r="Q2763" i="2"/>
  <c r="Q2747" i="2"/>
  <c r="Q2731" i="2"/>
  <c r="Q2715" i="2"/>
  <c r="Q2699" i="2"/>
  <c r="Q2683" i="2"/>
  <c r="Q2667" i="2"/>
  <c r="Q2651" i="2"/>
  <c r="Q2635" i="2"/>
  <c r="Q2619" i="2"/>
  <c r="Q2603" i="2"/>
  <c r="Q2587" i="2"/>
  <c r="Q2571" i="2"/>
  <c r="Q2555" i="2"/>
  <c r="Q2539" i="2"/>
  <c r="Q2523" i="2"/>
  <c r="Q2507" i="2"/>
  <c r="Q2491" i="2"/>
  <c r="Q2475" i="2"/>
  <c r="Q2459" i="2"/>
  <c r="Q2443" i="2"/>
  <c r="Q2427" i="2"/>
  <c r="Q2411" i="2"/>
  <c r="Q2395" i="2"/>
  <c r="Q2379" i="2"/>
  <c r="Q2363" i="2"/>
  <c r="Q2347" i="2"/>
  <c r="Q2331" i="2"/>
  <c r="Q2315" i="2"/>
  <c r="Q2299" i="2"/>
  <c r="Q2283" i="2"/>
  <c r="Q2267" i="2"/>
  <c r="Q2251" i="2"/>
  <c r="Q2235" i="2"/>
  <c r="Q2219" i="2"/>
  <c r="Q2203" i="2"/>
  <c r="Q2187" i="2"/>
  <c r="Q2171" i="2"/>
  <c r="Q2155" i="2"/>
  <c r="Q2139" i="2"/>
  <c r="Q2123" i="2"/>
  <c r="Q2107" i="2"/>
  <c r="Q2091" i="2"/>
  <c r="Q2075" i="2"/>
  <c r="Q2059" i="2"/>
  <c r="Q2043" i="2"/>
  <c r="Q2027" i="2"/>
  <c r="Q2011" i="2"/>
  <c r="Q1995" i="2"/>
  <c r="Q1979" i="2"/>
  <c r="Q1963" i="2"/>
  <c r="Q1947" i="2"/>
  <c r="Q1931" i="2"/>
  <c r="Q1915" i="2"/>
  <c r="Q1899" i="2"/>
  <c r="Q1883" i="2"/>
  <c r="Q1867" i="2"/>
  <c r="Q1851" i="2"/>
  <c r="Q1835" i="2"/>
  <c r="Q1819" i="2"/>
  <c r="Q1803" i="2"/>
  <c r="Q1787" i="2"/>
  <c r="Q1771" i="2"/>
  <c r="Q1755" i="2"/>
  <c r="Q1739" i="2"/>
  <c r="Q1723" i="2"/>
  <c r="Q1707" i="2"/>
  <c r="Q1691" i="2"/>
  <c r="Q1675" i="2"/>
  <c r="Q1659" i="2"/>
  <c r="Q1643" i="2"/>
  <c r="Q1627" i="2"/>
  <c r="Q1611" i="2"/>
  <c r="Q1595" i="2"/>
  <c r="Q1579" i="2"/>
  <c r="Q1563" i="2"/>
  <c r="Q1547" i="2"/>
  <c r="Q1531" i="2"/>
  <c r="Q1515" i="2"/>
  <c r="Q1499" i="2"/>
  <c r="Q1483" i="2"/>
  <c r="Q1467" i="2"/>
  <c r="Q1451" i="2"/>
  <c r="Q1435" i="2"/>
  <c r="Q1419" i="2"/>
  <c r="Q1403" i="2"/>
  <c r="Q1387" i="2"/>
  <c r="Q1371" i="2"/>
  <c r="Q1355" i="2"/>
  <c r="Q1339" i="2"/>
  <c r="Q1323" i="2"/>
  <c r="Q1307" i="2"/>
  <c r="Q1291" i="2"/>
  <c r="Q1275" i="2"/>
  <c r="Q3483" i="2"/>
  <c r="Q3451" i="2"/>
  <c r="Q3642" i="2"/>
  <c r="Q3626" i="2"/>
  <c r="Q3610" i="2"/>
  <c r="Q3594" i="2"/>
  <c r="Q3578" i="2"/>
  <c r="Q3562" i="2"/>
  <c r="Q3546" i="2"/>
  <c r="Q3530" i="2"/>
  <c r="Q3514" i="2"/>
  <c r="Q3498" i="2"/>
  <c r="Q3482" i="2"/>
  <c r="Q3466" i="2"/>
  <c r="Q3450" i="2"/>
  <c r="Q3434" i="2"/>
  <c r="Q3418" i="2"/>
  <c r="Q3402" i="2"/>
  <c r="Q3386" i="2"/>
  <c r="Q3370" i="2"/>
  <c r="Q3354" i="2"/>
  <c r="Q3338" i="2"/>
  <c r="Q3322" i="2"/>
  <c r="Q3306" i="2"/>
  <c r="Q3290" i="2"/>
  <c r="Q3274" i="2"/>
  <c r="Q3258" i="2"/>
  <c r="Q3242" i="2"/>
  <c r="Q3226" i="2"/>
  <c r="Q3210" i="2"/>
  <c r="Q3194" i="2"/>
  <c r="Q3178" i="2"/>
  <c r="Q3162" i="2"/>
  <c r="Q3146" i="2"/>
  <c r="Q3130" i="2"/>
  <c r="Q3114" i="2"/>
  <c r="Q3098" i="2"/>
  <c r="Q3082" i="2"/>
  <c r="Q3066" i="2"/>
  <c r="Q3050" i="2"/>
  <c r="Q3034" i="2"/>
  <c r="Q3018" i="2"/>
  <c r="Q3002" i="2"/>
  <c r="Q2986" i="2"/>
  <c r="Q2970" i="2"/>
  <c r="Q2954" i="2"/>
  <c r="Q2938" i="2"/>
  <c r="Q2922" i="2"/>
  <c r="Q2906" i="2"/>
  <c r="Q2890" i="2"/>
  <c r="Q2874" i="2"/>
  <c r="Q2858" i="2"/>
  <c r="Q2842" i="2"/>
  <c r="Q2826" i="2"/>
  <c r="Q2810" i="2"/>
  <c r="Q2794" i="2"/>
  <c r="Q2778" i="2"/>
  <c r="Q2762" i="2"/>
  <c r="Q2746" i="2"/>
  <c r="Q2730" i="2"/>
  <c r="Q2714" i="2"/>
  <c r="Q2698" i="2"/>
  <c r="Q2682" i="2"/>
  <c r="Q2666" i="2"/>
  <c r="Q2650" i="2"/>
  <c r="Q2634" i="2"/>
  <c r="Q2618" i="2"/>
  <c r="Q2602" i="2"/>
  <c r="Q2586" i="2"/>
  <c r="Q2570" i="2"/>
  <c r="Q2554" i="2"/>
  <c r="Q2538" i="2"/>
  <c r="Q2522" i="2"/>
  <c r="Q2506" i="2"/>
  <c r="Q2490" i="2"/>
  <c r="Q2474" i="2"/>
  <c r="Q2458" i="2"/>
  <c r="Q2442" i="2"/>
  <c r="Q2426" i="2"/>
  <c r="Q2410" i="2"/>
  <c r="Q2394" i="2"/>
  <c r="Q2378" i="2"/>
  <c r="Q2362" i="2"/>
  <c r="Q2346" i="2"/>
  <c r="Q2330" i="2"/>
  <c r="Q2314" i="2"/>
  <c r="Q2298" i="2"/>
  <c r="Q2282" i="2"/>
  <c r="Q2266" i="2"/>
  <c r="Q2250" i="2"/>
  <c r="Q2234" i="2"/>
  <c r="Q2218" i="2"/>
  <c r="Q2202" i="2"/>
  <c r="Q2186" i="2"/>
  <c r="Q2170" i="2"/>
  <c r="Q2154" i="2"/>
  <c r="Q2138" i="2"/>
  <c r="Q2122" i="2"/>
  <c r="Q2106" i="2"/>
  <c r="Q2090" i="2"/>
  <c r="Q2074" i="2"/>
  <c r="Q2058" i="2"/>
  <c r="Q2042" i="2"/>
  <c r="Q2026" i="2"/>
  <c r="Q2010" i="2"/>
  <c r="Q1994" i="2"/>
  <c r="Q1978" i="2"/>
  <c r="Q1962" i="2"/>
  <c r="Q1946" i="2"/>
  <c r="Q1930" i="2"/>
  <c r="Q1914" i="2"/>
  <c r="Q1898" i="2"/>
  <c r="Q1882" i="2"/>
  <c r="Q1866" i="2"/>
  <c r="Q1850" i="2"/>
  <c r="Q1834" i="2"/>
  <c r="Q1818" i="2"/>
  <c r="Q1802" i="2"/>
  <c r="Q1786" i="2"/>
  <c r="Q1770" i="2"/>
  <c r="Q1754" i="2"/>
  <c r="Q1738" i="2"/>
  <c r="Q1722" i="2"/>
  <c r="Q1706" i="2"/>
  <c r="Q1690" i="2"/>
  <c r="Q1674" i="2"/>
  <c r="Q1658" i="2"/>
  <c r="Q1642" i="2"/>
  <c r="Q1626" i="2"/>
  <c r="Q1610" i="2"/>
  <c r="Q1594" i="2"/>
  <c r="Q1578" i="2"/>
  <c r="Q1562" i="2"/>
  <c r="Q1546" i="2"/>
  <c r="Q1530" i="2"/>
  <c r="Q1514" i="2"/>
  <c r="Q1498" i="2"/>
  <c r="Q1482" i="2"/>
  <c r="Q1466" i="2"/>
  <c r="Q1450" i="2"/>
  <c r="Q1434" i="2"/>
  <c r="Q1418" i="2"/>
  <c r="Q1402" i="2"/>
  <c r="Q1386" i="2"/>
  <c r="Q1370" i="2"/>
  <c r="Q1354" i="2"/>
  <c r="Q3273" i="2"/>
  <c r="Q3257" i="2"/>
  <c r="Q3241" i="2"/>
  <c r="Q3225" i="2"/>
  <c r="Q3209" i="2"/>
  <c r="Q3193" i="2"/>
  <c r="Q3177" i="2"/>
  <c r="Q3161" i="2"/>
  <c r="Q3145" i="2"/>
  <c r="Q3129" i="2"/>
  <c r="Q3113" i="2"/>
  <c r="Q3097" i="2"/>
  <c r="Q3081" i="2"/>
  <c r="Q3065" i="2"/>
  <c r="Q3049" i="2"/>
  <c r="Q3033" i="2"/>
  <c r="Q3017" i="2"/>
  <c r="Q3001" i="2"/>
  <c r="Q2985" i="2"/>
  <c r="Q2969" i="2"/>
  <c r="Q2953" i="2"/>
  <c r="Q2937" i="2"/>
  <c r="Q2921" i="2"/>
  <c r="Q2905" i="2"/>
  <c r="Q2889" i="2"/>
  <c r="Q2873" i="2"/>
  <c r="Q2857" i="2"/>
  <c r="Q2841" i="2"/>
  <c r="Q2825" i="2"/>
  <c r="Q2809" i="2"/>
  <c r="Q2793" i="2"/>
  <c r="Q2777" i="2"/>
  <c r="Q2761" i="2"/>
  <c r="Q2745" i="2"/>
  <c r="Q2729" i="2"/>
  <c r="Q2713" i="2"/>
  <c r="Q2697" i="2"/>
  <c r="Q2681" i="2"/>
  <c r="Q2665" i="2"/>
  <c r="Q2649" i="2"/>
  <c r="Q2633" i="2"/>
  <c r="Q2617" i="2"/>
  <c r="Q2601" i="2"/>
  <c r="Q2585" i="2"/>
  <c r="Q2569" i="2"/>
  <c r="Q2553" i="2"/>
  <c r="Q2537" i="2"/>
  <c r="Q2521" i="2"/>
  <c r="Q2505" i="2"/>
  <c r="Q2489" i="2"/>
  <c r="Q2473" i="2"/>
  <c r="Q2457" i="2"/>
  <c r="Q2441" i="2"/>
  <c r="Q2425" i="2"/>
  <c r="Q2409" i="2"/>
  <c r="Q2393" i="2"/>
  <c r="Q2377" i="2"/>
  <c r="Q2361" i="2"/>
  <c r="Q2345" i="2"/>
  <c r="Q2329" i="2"/>
  <c r="Q2313" i="2"/>
  <c r="Q2297" i="2"/>
  <c r="Q2281" i="2"/>
  <c r="Q2265" i="2"/>
  <c r="Q2249" i="2"/>
  <c r="Q2233" i="2"/>
  <c r="Q2217" i="2"/>
  <c r="Q2201" i="2"/>
  <c r="Q2185" i="2"/>
  <c r="Q2169" i="2"/>
  <c r="Q2153" i="2"/>
  <c r="Q2137" i="2"/>
  <c r="Q2121" i="2"/>
  <c r="Q2105" i="2"/>
  <c r="Q2089" i="2"/>
  <c r="Q2073" i="2"/>
  <c r="Q2057" i="2"/>
  <c r="Q2041" i="2"/>
  <c r="Q2025" i="2"/>
  <c r="Q2009" i="2"/>
  <c r="Q1993" i="2"/>
  <c r="Q1977" i="2"/>
  <c r="Q1961" i="2"/>
  <c r="Q1945" i="2"/>
  <c r="Q1929" i="2"/>
  <c r="Q1913" i="2"/>
  <c r="Q1897" i="2"/>
  <c r="Q1881" i="2"/>
  <c r="Q1865" i="2"/>
  <c r="Q1849" i="2"/>
  <c r="Q1833" i="2"/>
  <c r="Q1817" i="2"/>
  <c r="Q1801" i="2"/>
  <c r="Q1785" i="2"/>
  <c r="Q1769" i="2"/>
  <c r="Q1753" i="2"/>
  <c r="Q1737" i="2"/>
  <c r="Q1721" i="2"/>
  <c r="Q1705" i="2"/>
  <c r="Q1689" i="2"/>
  <c r="Q1673" i="2"/>
  <c r="Q1657" i="2"/>
  <c r="Q1641" i="2"/>
  <c r="Q1625" i="2"/>
  <c r="Q1609" i="2"/>
  <c r="Q1593" i="2"/>
  <c r="Q1577" i="2"/>
  <c r="Q1561" i="2"/>
  <c r="Q1545" i="2"/>
  <c r="Q1529" i="2"/>
  <c r="Q1513" i="2"/>
  <c r="Q1497" i="2"/>
  <c r="Q1481" i="2"/>
  <c r="Q1465" i="2"/>
  <c r="Q1449" i="2"/>
  <c r="Q1433" i="2"/>
  <c r="Q1417" i="2"/>
  <c r="Q1401" i="2"/>
  <c r="Q1385" i="2"/>
  <c r="Q1369" i="2"/>
  <c r="Q1353" i="2"/>
  <c r="Q1337" i="2"/>
  <c r="Q1321" i="2"/>
  <c r="Q1305" i="2"/>
  <c r="Q1289" i="2"/>
  <c r="Q1273" i="2"/>
  <c r="Q1257" i="2"/>
  <c r="Q1241" i="2"/>
  <c r="Q1225" i="2"/>
  <c r="Q1209" i="2"/>
  <c r="Q1193" i="2"/>
  <c r="Q1177" i="2"/>
  <c r="Q1161" i="2"/>
  <c r="Q1145" i="2"/>
  <c r="Q1129" i="2"/>
  <c r="Q1113" i="2"/>
  <c r="Q3304" i="2"/>
  <c r="Q3288" i="2"/>
  <c r="Q3272" i="2"/>
  <c r="Q3256" i="2"/>
  <c r="Q3240" i="2"/>
  <c r="Q3224" i="2"/>
  <c r="Q3208" i="2"/>
  <c r="Q3192" i="2"/>
  <c r="Q3176" i="2"/>
  <c r="Q3160" i="2"/>
  <c r="Q3144" i="2"/>
  <c r="Q3128" i="2"/>
  <c r="Q3112" i="2"/>
  <c r="Q3096" i="2"/>
  <c r="Q3080" i="2"/>
  <c r="Q3064" i="2"/>
  <c r="Q3048" i="2"/>
  <c r="Q3032" i="2"/>
  <c r="Q3016" i="2"/>
  <c r="Q3000" i="2"/>
  <c r="Q2984" i="2"/>
  <c r="Q2968" i="2"/>
  <c r="Q2952" i="2"/>
  <c r="Q2936" i="2"/>
  <c r="Q2920" i="2"/>
  <c r="Q2904" i="2"/>
  <c r="Q2888" i="2"/>
  <c r="Q2872" i="2"/>
  <c r="Q2856" i="2"/>
  <c r="Q2840" i="2"/>
  <c r="Q2824" i="2"/>
  <c r="Q2808" i="2"/>
  <c r="Q2792" i="2"/>
  <c r="Q2776" i="2"/>
  <c r="Q2760" i="2"/>
  <c r="Q2744" i="2"/>
  <c r="Q2728" i="2"/>
  <c r="Q2712" i="2"/>
  <c r="Q2696" i="2"/>
  <c r="Q2680" i="2"/>
  <c r="Q2664" i="2"/>
  <c r="Q2648" i="2"/>
  <c r="Q2632" i="2"/>
  <c r="Q2616" i="2"/>
  <c r="Q2600" i="2"/>
  <c r="Q2584" i="2"/>
  <c r="Q2568" i="2"/>
  <c r="Q2552" i="2"/>
  <c r="Q2536" i="2"/>
  <c r="Q2520" i="2"/>
  <c r="Q2504" i="2"/>
  <c r="Q2488" i="2"/>
  <c r="Q2472" i="2"/>
  <c r="Q2456" i="2"/>
  <c r="Q2440" i="2"/>
  <c r="Q2424" i="2"/>
  <c r="Q2408" i="2"/>
  <c r="Q2392" i="2"/>
  <c r="Q2376" i="2"/>
  <c r="Q2360" i="2"/>
  <c r="Q2344" i="2"/>
  <c r="Q2328" i="2"/>
  <c r="Q2312" i="2"/>
  <c r="Q2296" i="2"/>
  <c r="Q2280" i="2"/>
  <c r="Q2264" i="2"/>
  <c r="Q2248" i="2"/>
  <c r="Q2232" i="2"/>
  <c r="Q2216" i="2"/>
  <c r="Q2200" i="2"/>
  <c r="Q2184" i="2"/>
  <c r="Q2168" i="2"/>
  <c r="Q2152" i="2"/>
  <c r="Q2136" i="2"/>
  <c r="Q2120" i="2"/>
  <c r="Q2104" i="2"/>
  <c r="Q2088" i="2"/>
  <c r="Q2072" i="2"/>
  <c r="Q2056" i="2"/>
  <c r="Q2040" i="2"/>
  <c r="Q2024" i="2"/>
  <c r="Q2008" i="2"/>
  <c r="Q1992" i="2"/>
  <c r="Q1976" i="2"/>
  <c r="Q1960" i="2"/>
  <c r="Q1944" i="2"/>
  <c r="Q1928" i="2"/>
  <c r="Q1912" i="2"/>
  <c r="Q1896" i="2"/>
  <c r="Q1880" i="2"/>
  <c r="Q1864" i="2"/>
  <c r="Q1848" i="2"/>
  <c r="Q1832" i="2"/>
  <c r="Q1816" i="2"/>
  <c r="Q1800" i="2"/>
  <c r="Q1784" i="2"/>
  <c r="Q1768" i="2"/>
  <c r="Q1752" i="2"/>
  <c r="Q1736" i="2"/>
  <c r="Q1720" i="2"/>
  <c r="Q1704" i="2"/>
  <c r="Q1688" i="2"/>
  <c r="Q1672" i="2"/>
  <c r="Q1656" i="2"/>
  <c r="Q1640" i="2"/>
  <c r="Q1624" i="2"/>
  <c r="Q1608" i="2"/>
  <c r="Q1592" i="2"/>
  <c r="Q1576" i="2"/>
  <c r="Q1560" i="2"/>
  <c r="Q1544" i="2"/>
  <c r="Q1528" i="2"/>
  <c r="Q1512" i="2"/>
  <c r="Q1496" i="2"/>
  <c r="Q1480" i="2"/>
  <c r="Q1464" i="2"/>
  <c r="Q1448" i="2"/>
  <c r="Q1432" i="2"/>
  <c r="Q1416" i="2"/>
  <c r="Q1400" i="2"/>
  <c r="Q1384" i="2"/>
  <c r="Q1368" i="2"/>
  <c r="Q1352" i="2"/>
  <c r="Q1336" i="2"/>
  <c r="Q1320" i="2"/>
  <c r="Q1304" i="2"/>
  <c r="Q1288" i="2"/>
  <c r="Q1272" i="2"/>
  <c r="Q1256" i="2"/>
  <c r="Q1240" i="2"/>
  <c r="Q1224" i="2"/>
  <c r="Q1208" i="2"/>
  <c r="Q1192" i="2"/>
  <c r="Q1176" i="2"/>
  <c r="Q2583" i="2"/>
  <c r="Q2567" i="2"/>
  <c r="Q2551" i="2"/>
  <c r="Q2535" i="2"/>
  <c r="Q2519" i="2"/>
  <c r="Q2503" i="2"/>
  <c r="Q2487" i="2"/>
  <c r="Q2471" i="2"/>
  <c r="Q2455" i="2"/>
  <c r="Q2439" i="2"/>
  <c r="Q2423" i="2"/>
  <c r="Q2407" i="2"/>
  <c r="Q2391" i="2"/>
  <c r="Q2375" i="2"/>
  <c r="Q2359" i="2"/>
  <c r="Q2343" i="2"/>
  <c r="Q2327" i="2"/>
  <c r="Q2311" i="2"/>
  <c r="Q2295" i="2"/>
  <c r="Q2279" i="2"/>
  <c r="Q2263" i="2"/>
  <c r="Q2247" i="2"/>
  <c r="Q2231" i="2"/>
  <c r="Q2215" i="2"/>
  <c r="Q2199" i="2"/>
  <c r="Q2183" i="2"/>
  <c r="Q2167" i="2"/>
  <c r="Q2151" i="2"/>
  <c r="Q2135" i="2"/>
  <c r="Q2119" i="2"/>
  <c r="Q2103" i="2"/>
  <c r="Q2087" i="2"/>
  <c r="Q2071" i="2"/>
  <c r="Q2055" i="2"/>
  <c r="Q2039" i="2"/>
  <c r="Q2023" i="2"/>
  <c r="Q2007" i="2"/>
  <c r="Q1991" i="2"/>
  <c r="Q1975" i="2"/>
  <c r="Q1959" i="2"/>
  <c r="Q1943" i="2"/>
  <c r="Q1927" i="2"/>
  <c r="Q1911" i="2"/>
  <c r="Q1895" i="2"/>
  <c r="Q1879" i="2"/>
  <c r="Q1863" i="2"/>
  <c r="Q1847" i="2"/>
  <c r="Q1831" i="2"/>
  <c r="Q1815" i="2"/>
  <c r="Q1799" i="2"/>
  <c r="Q1783" i="2"/>
  <c r="Q1767" i="2"/>
  <c r="Q1751" i="2"/>
  <c r="Q1735" i="2"/>
  <c r="Q1719" i="2"/>
  <c r="Q1703" i="2"/>
  <c r="Q1687" i="2"/>
  <c r="Q1671" i="2"/>
  <c r="Q1655" i="2"/>
  <c r="Q1639" i="2"/>
  <c r="Q1623" i="2"/>
  <c r="Q1607" i="2"/>
  <c r="Q1591" i="2"/>
  <c r="Q1575" i="2"/>
  <c r="Q1559" i="2"/>
  <c r="Q1543" i="2"/>
  <c r="Q1527" i="2"/>
  <c r="Q1511" i="2"/>
  <c r="Q1495" i="2"/>
  <c r="Q1479" i="2"/>
  <c r="Q1463" i="2"/>
  <c r="Q1447" i="2"/>
  <c r="Q1431" i="2"/>
  <c r="Q1415" i="2"/>
  <c r="Q1399" i="2"/>
  <c r="Q1383" i="2"/>
  <c r="Q1367" i="2"/>
  <c r="Q1351" i="2"/>
  <c r="Q1335" i="2"/>
  <c r="Q1319" i="2"/>
  <c r="Q1303" i="2"/>
  <c r="Q1287" i="2"/>
  <c r="Q1271" i="2"/>
  <c r="Q1255" i="2"/>
  <c r="Q1239" i="2"/>
  <c r="Q1223" i="2"/>
  <c r="Q1207" i="2"/>
  <c r="Q1191" i="2"/>
  <c r="Q1175" i="2"/>
  <c r="Q1159" i="2"/>
  <c r="Q1143" i="2"/>
  <c r="Q1127" i="2"/>
  <c r="Q1111" i="2"/>
  <c r="Q1095" i="2"/>
  <c r="Q1079" i="2"/>
  <c r="Q1063" i="2"/>
  <c r="Q1047" i="2"/>
  <c r="Q1031" i="2"/>
  <c r="Q1015" i="2"/>
  <c r="Q999" i="2"/>
  <c r="Q983" i="2"/>
  <c r="Q967" i="2"/>
  <c r="Q951" i="2"/>
  <c r="Q935" i="2"/>
  <c r="Q919" i="2"/>
  <c r="Q903" i="2"/>
  <c r="Q887" i="2"/>
  <c r="Q871" i="2"/>
  <c r="Q855" i="2"/>
  <c r="Q839" i="2"/>
  <c r="Q823" i="2"/>
  <c r="Q807" i="2"/>
  <c r="Q791" i="2"/>
  <c r="Q775" i="2"/>
  <c r="Q759" i="2"/>
  <c r="Q743" i="2"/>
  <c r="Q727" i="2"/>
  <c r="Q711" i="2"/>
  <c r="Q695" i="2"/>
  <c r="Q679" i="2"/>
  <c r="Q663" i="2"/>
  <c r="Q647" i="2"/>
  <c r="Q631" i="2"/>
  <c r="Q615" i="2"/>
  <c r="Q599" i="2"/>
  <c r="Q3094" i="2"/>
  <c r="Q3030" i="2"/>
  <c r="Q3014" i="2"/>
  <c r="Q2998" i="2"/>
  <c r="Q2982" i="2"/>
  <c r="Q2966" i="2"/>
  <c r="Q2950" i="2"/>
  <c r="Q2934" i="2"/>
  <c r="Q2918" i="2"/>
  <c r="Q2902" i="2"/>
  <c r="Q2886" i="2"/>
  <c r="Q2870" i="2"/>
  <c r="Q2854" i="2"/>
  <c r="Q2838" i="2"/>
  <c r="Q2822" i="2"/>
  <c r="Q2806" i="2"/>
  <c r="Q2790" i="2"/>
  <c r="Q2774" i="2"/>
  <c r="Q2758" i="2"/>
  <c r="Q2742" i="2"/>
  <c r="Q2726" i="2"/>
  <c r="Q2710" i="2"/>
  <c r="Q2694" i="2"/>
  <c r="Q2678" i="2"/>
  <c r="Q2662" i="2"/>
  <c r="Q2646" i="2"/>
  <c r="Q2630" i="2"/>
  <c r="Q2614" i="2"/>
  <c r="Q2598" i="2"/>
  <c r="Q2582" i="2"/>
  <c r="Q2566" i="2"/>
  <c r="Q2550" i="2"/>
  <c r="Q2534" i="2"/>
  <c r="Q2518" i="2"/>
  <c r="Q2502" i="2"/>
  <c r="Q2486" i="2"/>
  <c r="Q2470" i="2"/>
  <c r="Q2454" i="2"/>
  <c r="Q2438" i="2"/>
  <c r="Q2422" i="2"/>
  <c r="Q2406" i="2"/>
  <c r="Q2390" i="2"/>
  <c r="Q2374" i="2"/>
  <c r="Q2358" i="2"/>
  <c r="Q2342" i="2"/>
  <c r="Q2326" i="2"/>
  <c r="Q2310" i="2"/>
  <c r="Q2294" i="2"/>
  <c r="Q2278" i="2"/>
  <c r="Q2262" i="2"/>
  <c r="Q2246" i="2"/>
  <c r="Q2230" i="2"/>
  <c r="Q2214" i="2"/>
  <c r="Q2198" i="2"/>
  <c r="Q2182" i="2"/>
  <c r="Q2166" i="2"/>
  <c r="Q2150" i="2"/>
  <c r="Q2134" i="2"/>
  <c r="Q2118" i="2"/>
  <c r="Q2102" i="2"/>
  <c r="Q2086" i="2"/>
  <c r="Q2070" i="2"/>
  <c r="Q2054" i="2"/>
  <c r="Q2038" i="2"/>
  <c r="Q2022" i="2"/>
  <c r="Q2006" i="2"/>
  <c r="Q1990" i="2"/>
  <c r="Q1974" i="2"/>
  <c r="Q1958" i="2"/>
  <c r="Q1942" i="2"/>
  <c r="Q1926" i="2"/>
  <c r="Q1910" i="2"/>
  <c r="Q1894" i="2"/>
  <c r="Q1878" i="2"/>
  <c r="Q1862" i="2"/>
  <c r="Q1846" i="2"/>
  <c r="Q1830" i="2"/>
  <c r="Q1814" i="2"/>
  <c r="Q1798" i="2"/>
  <c r="Q1782" i="2"/>
  <c r="Q1766" i="2"/>
  <c r="Q1750" i="2"/>
  <c r="Q1734" i="2"/>
  <c r="Q1718" i="2"/>
  <c r="Q1702" i="2"/>
  <c r="Q1686" i="2"/>
  <c r="Q1670" i="2"/>
  <c r="Q1654" i="2"/>
  <c r="Q1638" i="2"/>
  <c r="Q1622" i="2"/>
  <c r="Q1606" i="2"/>
  <c r="Q1590" i="2"/>
  <c r="Q1574" i="2"/>
  <c r="Q1558" i="2"/>
  <c r="Q1542" i="2"/>
  <c r="Q1526" i="2"/>
  <c r="Q1510" i="2"/>
  <c r="Q1494" i="2"/>
  <c r="Q1478" i="2"/>
  <c r="Q1462" i="2"/>
  <c r="Q1446" i="2"/>
  <c r="Q1430" i="2"/>
  <c r="Q1414" i="2"/>
  <c r="Q1398" i="2"/>
  <c r="Q1382" i="2"/>
  <c r="Q1366" i="2"/>
  <c r="Q1350" i="2"/>
  <c r="Q1334" i="2"/>
  <c r="Q1318" i="2"/>
  <c r="Q1302" i="2"/>
  <c r="Q3110" i="2"/>
  <c r="Q3621" i="2"/>
  <c r="Q3557" i="2"/>
  <c r="Q3525" i="2"/>
  <c r="Q3493" i="2"/>
  <c r="Q3477" i="2"/>
  <c r="Q3445" i="2"/>
  <c r="Q3413" i="2"/>
  <c r="Q3381" i="2"/>
  <c r="Q3349" i="2"/>
  <c r="Q3317" i="2"/>
  <c r="Q3285" i="2"/>
  <c r="Q3269" i="2"/>
  <c r="Q3253" i="2"/>
  <c r="Q3237" i="2"/>
  <c r="Q3221" i="2"/>
  <c r="Q3205" i="2"/>
  <c r="Q3189" i="2"/>
  <c r="Q3173" i="2"/>
  <c r="Q3157" i="2"/>
  <c r="Q3141" i="2"/>
  <c r="Q3125" i="2"/>
  <c r="Q3109" i="2"/>
  <c r="Q3093" i="2"/>
  <c r="Q3077" i="2"/>
  <c r="Q3061" i="2"/>
  <c r="Q3045" i="2"/>
  <c r="Q3029" i="2"/>
  <c r="Q3013" i="2"/>
  <c r="Q2997" i="2"/>
  <c r="Q2981" i="2"/>
  <c r="Q2965" i="2"/>
  <c r="Q2949" i="2"/>
  <c r="Q2933" i="2"/>
  <c r="Q2917" i="2"/>
  <c r="Q2901" i="2"/>
  <c r="Q2885" i="2"/>
  <c r="Q2869" i="2"/>
  <c r="Q2853" i="2"/>
  <c r="Q2837" i="2"/>
  <c r="Q2821" i="2"/>
  <c r="Q2805" i="2"/>
  <c r="Q2789" i="2"/>
  <c r="Q2773" i="2"/>
  <c r="Q2757" i="2"/>
  <c r="Q2741" i="2"/>
  <c r="Q2725" i="2"/>
  <c r="Q2709" i="2"/>
  <c r="Q2693" i="2"/>
  <c r="Q2677" i="2"/>
  <c r="Q2661" i="2"/>
  <c r="Q2645" i="2"/>
  <c r="Q2629" i="2"/>
  <c r="Q2613" i="2"/>
  <c r="Q2597" i="2"/>
  <c r="Q2581" i="2"/>
  <c r="Q2565" i="2"/>
  <c r="Q2549" i="2"/>
  <c r="Q2533" i="2"/>
  <c r="Q2517" i="2"/>
  <c r="Q2501" i="2"/>
  <c r="Q2485" i="2"/>
  <c r="Q2469" i="2"/>
  <c r="Q2453" i="2"/>
  <c r="Q2437" i="2"/>
  <c r="Q2421" i="2"/>
  <c r="Q2405" i="2"/>
  <c r="Q2389" i="2"/>
  <c r="Q2373" i="2"/>
  <c r="Q2357" i="2"/>
  <c r="Q2341" i="2"/>
  <c r="Q2325" i="2"/>
  <c r="Q2309" i="2"/>
  <c r="Q2293" i="2"/>
  <c r="Q2277" i="2"/>
  <c r="Q2261" i="2"/>
  <c r="Q2245" i="2"/>
  <c r="Q2229" i="2"/>
  <c r="Q2213" i="2"/>
  <c r="Q2197" i="2"/>
  <c r="Q2181" i="2"/>
  <c r="Q2165" i="2"/>
  <c r="Q2149" i="2"/>
  <c r="Q2133" i="2"/>
  <c r="Q2117" i="2"/>
  <c r="Q2101" i="2"/>
  <c r="Q2085" i="2"/>
  <c r="Q2069" i="2"/>
  <c r="Q2053" i="2"/>
  <c r="Q2037" i="2"/>
  <c r="Q2021" i="2"/>
  <c r="Q2005" i="2"/>
  <c r="Q1989" i="2"/>
  <c r="Q1973" i="2"/>
  <c r="Q1957" i="2"/>
  <c r="Q1941" i="2"/>
  <c r="Q1925" i="2"/>
  <c r="Q1909" i="2"/>
  <c r="Q1893" i="2"/>
  <c r="Q1877" i="2"/>
  <c r="Q1861" i="2"/>
  <c r="Q1845" i="2"/>
  <c r="Q1829" i="2"/>
  <c r="Q1813" i="2"/>
  <c r="Q1797" i="2"/>
  <c r="Q1781" i="2"/>
  <c r="Q1765" i="2"/>
  <c r="Q1749" i="2"/>
  <c r="Q1733" i="2"/>
  <c r="Q1717" i="2"/>
  <c r="Q1701" i="2"/>
  <c r="Q1685" i="2"/>
  <c r="Q1669" i="2"/>
  <c r="Q1653" i="2"/>
  <c r="Q1637" i="2"/>
  <c r="Q1621" i="2"/>
  <c r="Q1605" i="2"/>
  <c r="Q1589" i="2"/>
  <c r="Q1573" i="2"/>
  <c r="Q1557" i="2"/>
  <c r="Q1541" i="2"/>
  <c r="Q1525" i="2"/>
  <c r="Q1509" i="2"/>
  <c r="Q1493" i="2"/>
  <c r="Q1477" i="2"/>
  <c r="Q1461" i="2"/>
  <c r="Q1445" i="2"/>
  <c r="Q1429" i="2"/>
  <c r="Q1413" i="2"/>
  <c r="Q1397" i="2"/>
  <c r="Q1381" i="2"/>
  <c r="Q1365" i="2"/>
  <c r="Q1349" i="2"/>
  <c r="Q1333" i="2"/>
  <c r="Q1317" i="2"/>
  <c r="Q1301" i="2"/>
  <c r="Q1285" i="2"/>
  <c r="Q1269" i="2"/>
  <c r="Q1253" i="2"/>
  <c r="Q1237" i="2"/>
  <c r="Q1221" i="2"/>
  <c r="Q1205" i="2"/>
  <c r="Q1189" i="2"/>
  <c r="Q1173" i="2"/>
  <c r="Q1157" i="2"/>
  <c r="Q1141" i="2"/>
  <c r="Q3078" i="2"/>
  <c r="Q3541" i="2"/>
  <c r="Q3509" i="2"/>
  <c r="Q3461" i="2"/>
  <c r="Q3429" i="2"/>
  <c r="Q3397" i="2"/>
  <c r="Q3365" i="2"/>
  <c r="Q3333" i="2"/>
  <c r="Q3301" i="2"/>
  <c r="Q3636" i="2"/>
  <c r="Q3620" i="2"/>
  <c r="Q3604" i="2"/>
  <c r="Q3588" i="2"/>
  <c r="Q3572" i="2"/>
  <c r="Q3556" i="2"/>
  <c r="Q3540" i="2"/>
  <c r="Q3524" i="2"/>
  <c r="Q3508" i="2"/>
  <c r="Q3492" i="2"/>
  <c r="Q3476" i="2"/>
  <c r="Q3460" i="2"/>
  <c r="Q3444" i="2"/>
  <c r="Q3428" i="2"/>
  <c r="Q3412" i="2"/>
  <c r="Q3396" i="2"/>
  <c r="Q3380" i="2"/>
  <c r="Q3364" i="2"/>
  <c r="Q3348" i="2"/>
  <c r="Q3332" i="2"/>
  <c r="Q3316" i="2"/>
  <c r="Q3300" i="2"/>
  <c r="Q3284" i="2"/>
  <c r="Q3268" i="2"/>
  <c r="Q3252" i="2"/>
  <c r="Q3236" i="2"/>
  <c r="Q3220" i="2"/>
  <c r="Q3204" i="2"/>
  <c r="Q3188" i="2"/>
  <c r="Q3172" i="2"/>
  <c r="Q3156" i="2"/>
  <c r="Q3140" i="2"/>
  <c r="Q3124" i="2"/>
  <c r="Q3108" i="2"/>
  <c r="Q3092" i="2"/>
  <c r="Q3076" i="2"/>
  <c r="Q3060" i="2"/>
  <c r="Q3044" i="2"/>
  <c r="Q3028" i="2"/>
  <c r="Q3012" i="2"/>
  <c r="Q2996" i="2"/>
  <c r="Q2980" i="2"/>
  <c r="Q2964" i="2"/>
  <c r="Q2948" i="2"/>
  <c r="Q2932" i="2"/>
  <c r="Q2916" i="2"/>
  <c r="Q2900" i="2"/>
  <c r="Q2884" i="2"/>
  <c r="Q2868" i="2"/>
  <c r="Q2852" i="2"/>
  <c r="Q2836" i="2"/>
  <c r="Q2820" i="2"/>
  <c r="Q2804" i="2"/>
  <c r="Q2788" i="2"/>
  <c r="Q2772" i="2"/>
  <c r="Q2756" i="2"/>
  <c r="Q2740" i="2"/>
  <c r="Q2724" i="2"/>
  <c r="Q2708" i="2"/>
  <c r="Q2692" i="2"/>
  <c r="Q2676" i="2"/>
  <c r="Q2660" i="2"/>
  <c r="Q2644" i="2"/>
  <c r="Q2628" i="2"/>
  <c r="Q2612" i="2"/>
  <c r="Q2596" i="2"/>
  <c r="Q2580" i="2"/>
  <c r="Q2564" i="2"/>
  <c r="Q2548" i="2"/>
  <c r="Q2532" i="2"/>
  <c r="Q2516" i="2"/>
  <c r="Q2500" i="2"/>
  <c r="Q2484" i="2"/>
  <c r="Q2468" i="2"/>
  <c r="Q2452" i="2"/>
  <c r="Q2436" i="2"/>
  <c r="Q2420" i="2"/>
  <c r="Q2404" i="2"/>
  <c r="Q2388" i="2"/>
  <c r="Q2372" i="2"/>
  <c r="Q2356" i="2"/>
  <c r="Q2340" i="2"/>
  <c r="Q2324" i="2"/>
  <c r="Q2308" i="2"/>
  <c r="Q2292" i="2"/>
  <c r="Q2276" i="2"/>
  <c r="Q2260" i="2"/>
  <c r="Q2244" i="2"/>
  <c r="Q2228" i="2"/>
  <c r="Q2212" i="2"/>
  <c r="Q2196" i="2"/>
  <c r="Q2180" i="2"/>
  <c r="Q2164" i="2"/>
  <c r="Q2148" i="2"/>
  <c r="Q2132" i="2"/>
  <c r="Q2116" i="2"/>
  <c r="Q2100" i="2"/>
  <c r="Q2084" i="2"/>
  <c r="Q2068" i="2"/>
  <c r="Q2052" i="2"/>
  <c r="Q2036" i="2"/>
  <c r="Q2020" i="2"/>
  <c r="Q2004" i="2"/>
  <c r="Q1988" i="2"/>
  <c r="Q1972" i="2"/>
  <c r="Q1956" i="2"/>
  <c r="Q1940" i="2"/>
  <c r="Q1924" i="2"/>
  <c r="Q1908" i="2"/>
  <c r="Q1892" i="2"/>
  <c r="Q1876" i="2"/>
  <c r="Q1860" i="2"/>
  <c r="Q1844" i="2"/>
  <c r="Q1828" i="2"/>
  <c r="Q1812" i="2"/>
  <c r="Q1796" i="2"/>
  <c r="Q1780" i="2"/>
  <c r="Q1764" i="2"/>
  <c r="Q1748" i="2"/>
  <c r="Q1732" i="2"/>
  <c r="Q1716" i="2"/>
  <c r="Q1700" i="2"/>
  <c r="Q1684" i="2"/>
  <c r="Q1668" i="2"/>
  <c r="Q1652" i="2"/>
  <c r="Q1636" i="2"/>
  <c r="Q1620" i="2"/>
  <c r="Q1604" i="2"/>
  <c r="Q1588" i="2"/>
  <c r="Q1572" i="2"/>
  <c r="Q1556" i="2"/>
  <c r="Q1540" i="2"/>
  <c r="Q1524" i="2"/>
  <c r="Q1508" i="2"/>
  <c r="Q1492" i="2"/>
  <c r="Q1476" i="2"/>
  <c r="Q1460" i="2"/>
  <c r="Q1444" i="2"/>
  <c r="Q1428" i="2"/>
  <c r="Q1412" i="2"/>
  <c r="Q3062" i="2"/>
  <c r="Q3589" i="2"/>
  <c r="Q3619" i="2"/>
  <c r="Q3539" i="2"/>
  <c r="Q3507" i="2"/>
  <c r="Q3427" i="2"/>
  <c r="Q3395" i="2"/>
  <c r="Q3379" i="2"/>
  <c r="Q3363" i="2"/>
  <c r="Q3347" i="2"/>
  <c r="Q3331" i="2"/>
  <c r="Q3315" i="2"/>
  <c r="Q3299" i="2"/>
  <c r="Q3283" i="2"/>
  <c r="Q3267" i="2"/>
  <c r="Q3251" i="2"/>
  <c r="Q3235" i="2"/>
  <c r="Q3219" i="2"/>
  <c r="Q3203" i="2"/>
  <c r="Q3187" i="2"/>
  <c r="Q3171" i="2"/>
  <c r="Q3155" i="2"/>
  <c r="Q3139" i="2"/>
  <c r="Q3123" i="2"/>
  <c r="Q3107" i="2"/>
  <c r="Q3091" i="2"/>
  <c r="Q3075" i="2"/>
  <c r="Q3059" i="2"/>
  <c r="Q3043" i="2"/>
  <c r="Q3027" i="2"/>
  <c r="Q3011" i="2"/>
  <c r="Q2995" i="2"/>
  <c r="Q2979" i="2"/>
  <c r="Q2963" i="2"/>
  <c r="Q2947" i="2"/>
  <c r="Q2931" i="2"/>
  <c r="Q2915" i="2"/>
  <c r="Q2899" i="2"/>
  <c r="Q2883" i="2"/>
  <c r="Q2867" i="2"/>
  <c r="Q2851" i="2"/>
  <c r="Q2835" i="2"/>
  <c r="Q2819" i="2"/>
  <c r="Q2803" i="2"/>
  <c r="Q2787" i="2"/>
  <c r="Q2771" i="2"/>
  <c r="Q2755" i="2"/>
  <c r="Q2739" i="2"/>
  <c r="Q2723" i="2"/>
  <c r="Q2707" i="2"/>
  <c r="Q2691" i="2"/>
  <c r="Q2675" i="2"/>
  <c r="Q2659" i="2"/>
  <c r="Q2643" i="2"/>
  <c r="Q2627" i="2"/>
  <c r="Q2611" i="2"/>
  <c r="Q2595" i="2"/>
  <c r="Q2579" i="2"/>
  <c r="Q2563" i="2"/>
  <c r="Q2547" i="2"/>
  <c r="Q2531" i="2"/>
  <c r="Q2515" i="2"/>
  <c r="Q2499" i="2"/>
  <c r="Q2483" i="2"/>
  <c r="Q2467" i="2"/>
  <c r="Q2451" i="2"/>
  <c r="Q2435" i="2"/>
  <c r="Q2419" i="2"/>
  <c r="Q2403" i="2"/>
  <c r="Q2387" i="2"/>
  <c r="Q2371" i="2"/>
  <c r="Q2355" i="2"/>
  <c r="Q2339" i="2"/>
  <c r="Q2323" i="2"/>
  <c r="Q2307" i="2"/>
  <c r="Q2291" i="2"/>
  <c r="Q2275" i="2"/>
  <c r="Q2259" i="2"/>
  <c r="Q2243" i="2"/>
  <c r="Q2227" i="2"/>
  <c r="Q2211" i="2"/>
  <c r="Q2195" i="2"/>
  <c r="Q2179" i="2"/>
  <c r="Q2163" i="2"/>
  <c r="Q2147" i="2"/>
  <c r="Q2131" i="2"/>
  <c r="Q2115" i="2"/>
  <c r="Q2099" i="2"/>
  <c r="Q2083" i="2"/>
  <c r="Q2067" i="2"/>
  <c r="Q2051" i="2"/>
  <c r="Q2035" i="2"/>
  <c r="Q2019" i="2"/>
  <c r="Q2003" i="2"/>
  <c r="Q1987" i="2"/>
  <c r="Q1971" i="2"/>
  <c r="Q1955" i="2"/>
  <c r="Q1939" i="2"/>
  <c r="Q1923" i="2"/>
  <c r="Q1907" i="2"/>
  <c r="Q1891" i="2"/>
  <c r="Q1875" i="2"/>
  <c r="Q1859" i="2"/>
  <c r="Q1843" i="2"/>
  <c r="Q1827" i="2"/>
  <c r="Q1811" i="2"/>
  <c r="Q1795" i="2"/>
  <c r="Q1779" i="2"/>
  <c r="Q1763" i="2"/>
  <c r="Q1747" i="2"/>
  <c r="Q1731" i="2"/>
  <c r="Q1715" i="2"/>
  <c r="Q1699" i="2"/>
  <c r="Q1683" i="2"/>
  <c r="Q1667" i="2"/>
  <c r="Q1651" i="2"/>
  <c r="Q1635" i="2"/>
  <c r="Q1619" i="2"/>
  <c r="Q1603" i="2"/>
  <c r="Q1587" i="2"/>
  <c r="Q1571" i="2"/>
  <c r="Q1555" i="2"/>
  <c r="Q1539" i="2"/>
  <c r="Q1523" i="2"/>
  <c r="Q1507" i="2"/>
  <c r="Q1491" i="2"/>
  <c r="Q1475" i="2"/>
  <c r="Q1459" i="2"/>
  <c r="Q1443" i="2"/>
  <c r="Q1427" i="2"/>
  <c r="Q1411" i="2"/>
  <c r="Q1395" i="2"/>
  <c r="Q1379" i="2"/>
  <c r="Q1363" i="2"/>
  <c r="Q1347" i="2"/>
  <c r="Q1331" i="2"/>
  <c r="Q1315" i="2"/>
  <c r="Q1299" i="2"/>
  <c r="Q1283" i="2"/>
  <c r="Q1267" i="2"/>
  <c r="Q1251" i="2"/>
  <c r="Q1235" i="2"/>
  <c r="Q1219" i="2"/>
  <c r="Q1203" i="2"/>
  <c r="Q1187" i="2"/>
  <c r="Q1171" i="2"/>
  <c r="Q3605" i="2"/>
  <c r="Q3571" i="2"/>
  <c r="Q3459" i="2"/>
  <c r="Q3634" i="2"/>
  <c r="Q3586" i="2"/>
  <c r="Q3538" i="2"/>
  <c r="Q3490" i="2"/>
  <c r="Q3442" i="2"/>
  <c r="Q3394" i="2"/>
  <c r="Q3346" i="2"/>
  <c r="Q3314" i="2"/>
  <c r="Q3202" i="2"/>
  <c r="Q3154" i="2"/>
  <c r="Q3106" i="2"/>
  <c r="Q3058" i="2"/>
  <c r="Q3010" i="2"/>
  <c r="Q2962" i="2"/>
  <c r="Q2914" i="2"/>
  <c r="Q2866" i="2"/>
  <c r="Q2818" i="2"/>
  <c r="Q2770" i="2"/>
  <c r="Q2722" i="2"/>
  <c r="Q2674" i="2"/>
  <c r="Q2626" i="2"/>
  <c r="Q2610" i="2"/>
  <c r="Q2594" i="2"/>
  <c r="Q2578" i="2"/>
  <c r="Q2562" i="2"/>
  <c r="Q2546" i="2"/>
  <c r="Q2530" i="2"/>
  <c r="Q2514" i="2"/>
  <c r="Q2498" i="2"/>
  <c r="Q2482" i="2"/>
  <c r="Q2466" i="2"/>
  <c r="Q2450" i="2"/>
  <c r="Q2434" i="2"/>
  <c r="Q2418" i="2"/>
  <c r="Q2402" i="2"/>
  <c r="Q2386" i="2"/>
  <c r="Q2370" i="2"/>
  <c r="Q2354" i="2"/>
  <c r="Q2338" i="2"/>
  <c r="Q2322" i="2"/>
  <c r="Q2306" i="2"/>
  <c r="Q2290" i="2"/>
  <c r="Q2274" i="2"/>
  <c r="Q2258" i="2"/>
  <c r="Q2242" i="2"/>
  <c r="Q2226" i="2"/>
  <c r="Q2210" i="2"/>
  <c r="Q2194" i="2"/>
  <c r="Q2178" i="2"/>
  <c r="Q2162" i="2"/>
  <c r="Q2146" i="2"/>
  <c r="Q2130" i="2"/>
  <c r="Q2114" i="2"/>
  <c r="Q2098" i="2"/>
  <c r="Q2082" i="2"/>
  <c r="Q2066" i="2"/>
  <c r="Q2050" i="2"/>
  <c r="Q2034" i="2"/>
  <c r="Q2018" i="2"/>
  <c r="Q2002" i="2"/>
  <c r="Q1986" i="2"/>
  <c r="Q1970" i="2"/>
  <c r="Q1954" i="2"/>
  <c r="Q1938" i="2"/>
  <c r="Q1922" i="2"/>
  <c r="Q1906" i="2"/>
  <c r="Q1890" i="2"/>
  <c r="Q1874" i="2"/>
  <c r="Q1858" i="2"/>
  <c r="Q1842" i="2"/>
  <c r="Q1826" i="2"/>
  <c r="Q1810" i="2"/>
  <c r="Q1794" i="2"/>
  <c r="Q1778" i="2"/>
  <c r="Q1762" i="2"/>
  <c r="Q1746" i="2"/>
  <c r="Q1730" i="2"/>
  <c r="Q1714" i="2"/>
  <c r="Q1698" i="2"/>
  <c r="Q1682" i="2"/>
  <c r="Q1666" i="2"/>
  <c r="Q1650" i="2"/>
  <c r="Q1634" i="2"/>
  <c r="Q1618" i="2"/>
  <c r="Q1602" i="2"/>
  <c r="Q1586" i="2"/>
  <c r="Q1570" i="2"/>
  <c r="Q1554" i="2"/>
  <c r="Q1538" i="2"/>
  <c r="Q1522" i="2"/>
  <c r="Q1506" i="2"/>
  <c r="Q1490" i="2"/>
  <c r="Q1474" i="2"/>
  <c r="Q1458" i="2"/>
  <c r="Q1442" i="2"/>
  <c r="Q1426" i="2"/>
  <c r="Q1410" i="2"/>
  <c r="Q1394" i="2"/>
  <c r="Q1378" i="2"/>
  <c r="Q1362" i="2"/>
  <c r="Q1346" i="2"/>
  <c r="Q1330" i="2"/>
  <c r="Q1314" i="2"/>
  <c r="Q1298" i="2"/>
  <c r="Q1282" i="2"/>
  <c r="Q1266" i="2"/>
  <c r="Q1250" i="2"/>
  <c r="Q1234" i="2"/>
  <c r="Q1218" i="2"/>
  <c r="Q1202" i="2"/>
  <c r="Q1186" i="2"/>
  <c r="Q1170" i="2"/>
  <c r="Q1154" i="2"/>
  <c r="Q1138" i="2"/>
  <c r="Q1122" i="2"/>
  <c r="Q1106" i="2"/>
  <c r="Q1090" i="2"/>
  <c r="Q1074" i="2"/>
  <c r="Q1058" i="2"/>
  <c r="Q1042" i="2"/>
  <c r="Q1026" i="2"/>
  <c r="Q1010" i="2"/>
  <c r="Q994" i="2"/>
  <c r="Q978" i="2"/>
  <c r="Q962" i="2"/>
  <c r="Q946" i="2"/>
  <c r="Q930" i="2"/>
  <c r="Q914" i="2"/>
  <c r="Q3046" i="2"/>
  <c r="Q3573" i="2"/>
  <c r="Q3603" i="2"/>
  <c r="Q3555" i="2"/>
  <c r="Q3491" i="2"/>
  <c r="Q3443" i="2"/>
  <c r="Q3618" i="2"/>
  <c r="Q3570" i="2"/>
  <c r="Q3522" i="2"/>
  <c r="Q3474" i="2"/>
  <c r="Q3426" i="2"/>
  <c r="Q3378" i="2"/>
  <c r="Q3330" i="2"/>
  <c r="Q3282" i="2"/>
  <c r="Q3250" i="2"/>
  <c r="Q3218" i="2"/>
  <c r="Q3170" i="2"/>
  <c r="Q3122" i="2"/>
  <c r="Q3074" i="2"/>
  <c r="Q3026" i="2"/>
  <c r="Q2978" i="2"/>
  <c r="Q2930" i="2"/>
  <c r="Q2882" i="2"/>
  <c r="Q2834" i="2"/>
  <c r="Q2786" i="2"/>
  <c r="Q2738" i="2"/>
  <c r="Q2706" i="2"/>
  <c r="Q2642" i="2"/>
  <c r="Q3617" i="2"/>
  <c r="Q3585" i="2"/>
  <c r="Q3553" i="2"/>
  <c r="Q3521" i="2"/>
  <c r="Q3489" i="2"/>
  <c r="Q3457" i="2"/>
  <c r="Q3425" i="2"/>
  <c r="Q3393" i="2"/>
  <c r="Q3361" i="2"/>
  <c r="Q3329" i="2"/>
  <c r="Q3297" i="2"/>
  <c r="Q3265" i="2"/>
  <c r="Q3233" i="2"/>
  <c r="Q3217" i="2"/>
  <c r="Q3185" i="2"/>
  <c r="Q3153" i="2"/>
  <c r="Q3121" i="2"/>
  <c r="Q3089" i="2"/>
  <c r="Q3057" i="2"/>
  <c r="Q3025" i="2"/>
  <c r="Q2993" i="2"/>
  <c r="Q2961" i="2"/>
  <c r="Q2929" i="2"/>
  <c r="Q2897" i="2"/>
  <c r="Q2865" i="2"/>
  <c r="Q2833" i="2"/>
  <c r="Q2801" i="2"/>
  <c r="Q2769" i="2"/>
  <c r="Q2737" i="2"/>
  <c r="Q2705" i="2"/>
  <c r="Q2673" i="2"/>
  <c r="Q2641" i="2"/>
  <c r="Q2609" i="2"/>
  <c r="Q2593" i="2"/>
  <c r="Q2577" i="2"/>
  <c r="Q2561" i="2"/>
  <c r="Q2545" i="2"/>
  <c r="Q2529" i="2"/>
  <c r="Q2513" i="2"/>
  <c r="Q2497" i="2"/>
  <c r="Q2481" i="2"/>
  <c r="Q2465" i="2"/>
  <c r="Q2449" i="2"/>
  <c r="Q2433" i="2"/>
  <c r="Q2417" i="2"/>
  <c r="Q2401" i="2"/>
  <c r="Q2385" i="2"/>
  <c r="Q2369" i="2"/>
  <c r="Q2353" i="2"/>
  <c r="Q2337" i="2"/>
  <c r="Q2321" i="2"/>
  <c r="Q2305" i="2"/>
  <c r="Q2289" i="2"/>
  <c r="Q2273" i="2"/>
  <c r="Q2257" i="2"/>
  <c r="Q2241" i="2"/>
  <c r="Q2225" i="2"/>
  <c r="Q2209" i="2"/>
  <c r="Q2193" i="2"/>
  <c r="Q2177" i="2"/>
  <c r="Q2161" i="2"/>
  <c r="Q2145" i="2"/>
  <c r="Q2129" i="2"/>
  <c r="Q2113" i="2"/>
  <c r="Q2097" i="2"/>
  <c r="Q2081" i="2"/>
  <c r="Q2065" i="2"/>
  <c r="Q2049" i="2"/>
  <c r="Q2033" i="2"/>
  <c r="Q2017" i="2"/>
  <c r="Q2001" i="2"/>
  <c r="Q1985" i="2"/>
  <c r="Q1969" i="2"/>
  <c r="Q1953" i="2"/>
  <c r="Q1937" i="2"/>
  <c r="Q1921" i="2"/>
  <c r="Q1905" i="2"/>
  <c r="Q1889" i="2"/>
  <c r="Q1873" i="2"/>
  <c r="Q1857" i="2"/>
  <c r="Q1841" i="2"/>
  <c r="Q1825" i="2"/>
  <c r="Q1809" i="2"/>
  <c r="Q1793" i="2"/>
  <c r="Q1777" i="2"/>
  <c r="Q1761" i="2"/>
  <c r="Q1745" i="2"/>
  <c r="Q1729" i="2"/>
  <c r="Q1713" i="2"/>
  <c r="Q1697" i="2"/>
  <c r="Q1681" i="2"/>
  <c r="Q1665" i="2"/>
  <c r="Q1649" i="2"/>
  <c r="Q1633" i="2"/>
  <c r="Q1617" i="2"/>
  <c r="Q1601" i="2"/>
  <c r="Q1585" i="2"/>
  <c r="Q1569" i="2"/>
  <c r="Q1553" i="2"/>
  <c r="Q1537" i="2"/>
  <c r="Q1521" i="2"/>
  <c r="Q1505" i="2"/>
  <c r="Q1489" i="2"/>
  <c r="Q1473" i="2"/>
  <c r="Q1457" i="2"/>
  <c r="Q1441" i="2"/>
  <c r="Q1425" i="2"/>
  <c r="Q1409" i="2"/>
  <c r="Q1393" i="2"/>
  <c r="Q1377" i="2"/>
  <c r="Q1361" i="2"/>
  <c r="Q1345" i="2"/>
  <c r="Q1329" i="2"/>
  <c r="Q1313" i="2"/>
  <c r="Q1297" i="2"/>
  <c r="Q1281" i="2"/>
  <c r="Q1265" i="2"/>
  <c r="Q1249" i="2"/>
  <c r="Q1233" i="2"/>
  <c r="Q3637" i="2"/>
  <c r="Q3635" i="2"/>
  <c r="Q3587" i="2"/>
  <c r="Q3523" i="2"/>
  <c r="Q3475" i="2"/>
  <c r="Q3411" i="2"/>
  <c r="Q3602" i="2"/>
  <c r="Q3554" i="2"/>
  <c r="Q3506" i="2"/>
  <c r="Q3458" i="2"/>
  <c r="Q3410" i="2"/>
  <c r="Q3362" i="2"/>
  <c r="Q3298" i="2"/>
  <c r="Q3266" i="2"/>
  <c r="Q3234" i="2"/>
  <c r="Q3186" i="2"/>
  <c r="Q3138" i="2"/>
  <c r="Q3090" i="2"/>
  <c r="Q3042" i="2"/>
  <c r="Q2994" i="2"/>
  <c r="Q2946" i="2"/>
  <c r="Q2898" i="2"/>
  <c r="Q2850" i="2"/>
  <c r="Q2802" i="2"/>
  <c r="Q2754" i="2"/>
  <c r="Q2690" i="2"/>
  <c r="Q2658" i="2"/>
  <c r="Q3633" i="2"/>
  <c r="Q3601" i="2"/>
  <c r="Q3569" i="2"/>
  <c r="Q3537" i="2"/>
  <c r="Q3505" i="2"/>
  <c r="Q3473" i="2"/>
  <c r="Q3441" i="2"/>
  <c r="Q3409" i="2"/>
  <c r="Q3377" i="2"/>
  <c r="Q3345" i="2"/>
  <c r="Q3313" i="2"/>
  <c r="Q3281" i="2"/>
  <c r="Q3249" i="2"/>
  <c r="Q3201" i="2"/>
  <c r="Q3169" i="2"/>
  <c r="Q3137" i="2"/>
  <c r="Q3105" i="2"/>
  <c r="Q3073" i="2"/>
  <c r="Q3041" i="2"/>
  <c r="Q3009" i="2"/>
  <c r="Q2977" i="2"/>
  <c r="Q2945" i="2"/>
  <c r="Q2913" i="2"/>
  <c r="Q2881" i="2"/>
  <c r="Q2849" i="2"/>
  <c r="Q2817" i="2"/>
  <c r="Q2785" i="2"/>
  <c r="Q2753" i="2"/>
  <c r="Q2721" i="2"/>
  <c r="Q2689" i="2"/>
  <c r="Q2657" i="2"/>
  <c r="Q2625" i="2"/>
  <c r="Q3632" i="2"/>
  <c r="Q3616" i="2"/>
  <c r="Q3600" i="2"/>
  <c r="Q3584" i="2"/>
  <c r="Q3568" i="2"/>
  <c r="Q3552" i="2"/>
  <c r="Q3536" i="2"/>
  <c r="Q3520" i="2"/>
  <c r="Q3504" i="2"/>
  <c r="Q3488" i="2"/>
  <c r="Q3472" i="2"/>
  <c r="Q3456" i="2"/>
  <c r="Q3440" i="2"/>
  <c r="Q3424" i="2"/>
  <c r="Q3408" i="2"/>
  <c r="Q3392" i="2"/>
  <c r="Q3376" i="2"/>
  <c r="Q3360" i="2"/>
  <c r="Q3344" i="2"/>
  <c r="Q3328" i="2"/>
  <c r="Q3312" i="2"/>
  <c r="Q3296" i="2"/>
  <c r="Q3280" i="2"/>
  <c r="Q3264" i="2"/>
  <c r="Q3248" i="2"/>
  <c r="Q3232" i="2"/>
  <c r="Q3216" i="2"/>
  <c r="Q3200" i="2"/>
  <c r="Q3184" i="2"/>
  <c r="Q3168" i="2"/>
  <c r="Q3152" i="2"/>
  <c r="Q3136" i="2"/>
  <c r="Q3120" i="2"/>
  <c r="Q3104" i="2"/>
  <c r="Q3088" i="2"/>
  <c r="Q3072" i="2"/>
  <c r="Q3056" i="2"/>
  <c r="Q3040" i="2"/>
  <c r="Q3024" i="2"/>
  <c r="Q3008" i="2"/>
  <c r="Q2992" i="2"/>
  <c r="Q2976" i="2"/>
  <c r="Q2960" i="2"/>
  <c r="Q2944" i="2"/>
  <c r="Q2928" i="2"/>
  <c r="Q2912" i="2"/>
  <c r="Q2896" i="2"/>
  <c r="Q2880" i="2"/>
  <c r="Q2864" i="2"/>
  <c r="Q2848" i="2"/>
  <c r="Q2832" i="2"/>
  <c r="Q2816" i="2"/>
  <c r="Q2800" i="2"/>
  <c r="Q2784" i="2"/>
  <c r="Q2768" i="2"/>
  <c r="Q2752" i="2"/>
  <c r="Q2736" i="2"/>
  <c r="Q2720" i="2"/>
  <c r="Q2704" i="2"/>
  <c r="Q2688" i="2"/>
  <c r="Q2672" i="2"/>
  <c r="Q2656" i="2"/>
  <c r="Q2640" i="2"/>
  <c r="Q2624" i="2"/>
  <c r="Q2608" i="2"/>
  <c r="Q2592" i="2"/>
  <c r="Q2576" i="2"/>
  <c r="Q2560" i="2"/>
  <c r="Q2544" i="2"/>
  <c r="Q2528" i="2"/>
  <c r="Q2512" i="2"/>
  <c r="Q2496" i="2"/>
  <c r="Q2480" i="2"/>
  <c r="Q2464" i="2"/>
  <c r="Q2448" i="2"/>
  <c r="Q2432" i="2"/>
  <c r="Q2416" i="2"/>
  <c r="Q2400" i="2"/>
  <c r="Q2384" i="2"/>
  <c r="Q2368" i="2"/>
  <c r="Q2352" i="2"/>
  <c r="Q2336" i="2"/>
  <c r="Q2320" i="2"/>
  <c r="Q2304" i="2"/>
  <c r="Q2288" i="2"/>
  <c r="Q2272" i="2"/>
  <c r="Q2256" i="2"/>
  <c r="Q2240" i="2"/>
  <c r="Q2224" i="2"/>
  <c r="Q2208" i="2"/>
  <c r="Q2192" i="2"/>
  <c r="Q2176" i="2"/>
  <c r="Q2160" i="2"/>
  <c r="Q2144" i="2"/>
  <c r="Q2128" i="2"/>
  <c r="Q2112" i="2"/>
  <c r="Q2096" i="2"/>
  <c r="Q2080" i="2"/>
  <c r="Q2064" i="2"/>
  <c r="Q2048" i="2"/>
  <c r="Q2032" i="2"/>
  <c r="Q2016" i="2"/>
  <c r="Q2000" i="2"/>
  <c r="Q1984" i="2"/>
  <c r="Q1968" i="2"/>
  <c r="Q1952" i="2"/>
  <c r="Q1936" i="2"/>
  <c r="Q1920" i="2"/>
  <c r="Q1904" i="2"/>
  <c r="Q1888" i="2"/>
  <c r="Q1872" i="2"/>
  <c r="Q2607" i="2"/>
  <c r="Q2591" i="2"/>
  <c r="Q2575" i="2"/>
  <c r="Q2559" i="2"/>
  <c r="Q2543" i="2"/>
  <c r="Q2527" i="2"/>
  <c r="Q2511" i="2"/>
  <c r="Q2495" i="2"/>
  <c r="Q2479" i="2"/>
  <c r="Q2463" i="2"/>
  <c r="Q2447" i="2"/>
  <c r="Q2431" i="2"/>
  <c r="Q2415" i="2"/>
  <c r="Q2399" i="2"/>
  <c r="Q2383" i="2"/>
  <c r="Q2367" i="2"/>
  <c r="Q2351" i="2"/>
  <c r="Q2335" i="2"/>
  <c r="Q2319" i="2"/>
  <c r="Q2303" i="2"/>
  <c r="Q2287" i="2"/>
  <c r="Q2271" i="2"/>
  <c r="Q2255" i="2"/>
  <c r="Q2239" i="2"/>
  <c r="Q2223" i="2"/>
  <c r="Q2207" i="2"/>
  <c r="Q2191" i="2"/>
  <c r="Q2175" i="2"/>
  <c r="Q2159" i="2"/>
  <c r="Q2143" i="2"/>
  <c r="Q2127" i="2"/>
  <c r="Q2111" i="2"/>
  <c r="Q2095" i="2"/>
  <c r="Q2079" i="2"/>
  <c r="Q2063" i="2"/>
  <c r="Q2047" i="2"/>
  <c r="Q2031" i="2"/>
  <c r="Q2015" i="2"/>
  <c r="Q1999" i="2"/>
  <c r="Q1983" i="2"/>
  <c r="Q1967" i="2"/>
  <c r="Q1951" i="2"/>
  <c r="Q1935" i="2"/>
  <c r="Q1919" i="2"/>
  <c r="Q1903" i="2"/>
  <c r="Q1887" i="2"/>
  <c r="Q1871" i="2"/>
  <c r="Q1855" i="2"/>
  <c r="Q1839" i="2"/>
  <c r="Q1823" i="2"/>
  <c r="Q1807" i="2"/>
  <c r="Q1791" i="2"/>
  <c r="Q1775" i="2"/>
  <c r="Q1759" i="2"/>
  <c r="Q1743" i="2"/>
  <c r="Q1727" i="2"/>
  <c r="Q1711" i="2"/>
  <c r="Q1695" i="2"/>
  <c r="Q1679" i="2"/>
  <c r="Q1663" i="2"/>
  <c r="Q1647" i="2"/>
  <c r="Q1631" i="2"/>
  <c r="Q1615" i="2"/>
  <c r="Q1599" i="2"/>
  <c r="Q1583" i="2"/>
  <c r="Q1567" i="2"/>
  <c r="Q1551" i="2"/>
  <c r="Q1535" i="2"/>
  <c r="Q1519" i="2"/>
  <c r="Q1503" i="2"/>
  <c r="Q1487" i="2"/>
  <c r="Q1471" i="2"/>
  <c r="Q1455" i="2"/>
  <c r="Q1439" i="2"/>
  <c r="Q1423" i="2"/>
  <c r="Q1407" i="2"/>
  <c r="Q1391" i="2"/>
  <c r="Q1375" i="2"/>
  <c r="Q1359" i="2"/>
  <c r="Q1343" i="2"/>
  <c r="Q1327" i="2"/>
  <c r="Q1311" i="2"/>
  <c r="Q1295" i="2"/>
  <c r="Q1279" i="2"/>
  <c r="Q1263" i="2"/>
  <c r="Q1247" i="2"/>
  <c r="Q1231" i="2"/>
  <c r="Q1215" i="2"/>
  <c r="Q1199" i="2"/>
  <c r="Q1183" i="2"/>
  <c r="Q1167" i="2"/>
  <c r="Q1151" i="2"/>
  <c r="Q1135" i="2"/>
  <c r="Q1119" i="2"/>
  <c r="Q1103" i="2"/>
  <c r="Q1087" i="2"/>
  <c r="Q1071" i="2"/>
  <c r="Q1055" i="2"/>
  <c r="Q1039" i="2"/>
  <c r="Q1023" i="2"/>
  <c r="Q1007" i="2"/>
  <c r="Q991" i="2"/>
  <c r="Q975" i="2"/>
  <c r="Q959" i="2"/>
  <c r="Q943" i="2"/>
  <c r="Q927" i="2"/>
  <c r="Q911" i="2"/>
  <c r="Q895" i="2"/>
  <c r="Q879" i="2"/>
  <c r="Q863" i="2"/>
  <c r="Q847" i="2"/>
  <c r="Q831" i="2"/>
  <c r="Q815" i="2"/>
  <c r="Q799" i="2"/>
  <c r="Q783" i="2"/>
  <c r="Q767" i="2"/>
  <c r="Q751" i="2"/>
  <c r="Q735" i="2"/>
  <c r="Q719" i="2"/>
  <c r="Q703" i="2"/>
  <c r="Q687" i="2"/>
  <c r="Q671" i="2"/>
  <c r="Q655" i="2"/>
  <c r="Q639" i="2"/>
  <c r="Q623" i="2"/>
  <c r="Q607" i="2"/>
  <c r="Q591" i="2"/>
  <c r="Q575" i="2"/>
  <c r="Q559" i="2"/>
  <c r="Q543" i="2"/>
  <c r="Q527" i="2"/>
  <c r="Q511" i="2"/>
  <c r="Q2926" i="2"/>
  <c r="Q2910" i="2"/>
  <c r="Q2894" i="2"/>
  <c r="Q2878" i="2"/>
  <c r="Q2862" i="2"/>
  <c r="Q2846" i="2"/>
  <c r="Q2830" i="2"/>
  <c r="Q2814" i="2"/>
  <c r="Q2798" i="2"/>
  <c r="Q2782" i="2"/>
  <c r="Q2766" i="2"/>
  <c r="Q2750" i="2"/>
  <c r="Q2734" i="2"/>
  <c r="Q2718" i="2"/>
  <c r="Q2702" i="2"/>
  <c r="Q2686" i="2"/>
  <c r="Q2670" i="2"/>
  <c r="Q2654" i="2"/>
  <c r="Q2638" i="2"/>
  <c r="Q2622" i="2"/>
  <c r="Q2606" i="2"/>
  <c r="Q2590" i="2"/>
  <c r="Q2574" i="2"/>
  <c r="Q2558" i="2"/>
  <c r="Q2542" i="2"/>
  <c r="Q2526" i="2"/>
  <c r="Q2510" i="2"/>
  <c r="Q2494" i="2"/>
  <c r="Q2478" i="2"/>
  <c r="Q2462" i="2"/>
  <c r="Q2446" i="2"/>
  <c r="Q2430" i="2"/>
  <c r="Q2414" i="2"/>
  <c r="Q2398" i="2"/>
  <c r="Q2382" i="2"/>
  <c r="Q2366" i="2"/>
  <c r="Q2350" i="2"/>
  <c r="Q2334" i="2"/>
  <c r="Q2318" i="2"/>
  <c r="Q2302" i="2"/>
  <c r="Q2286" i="2"/>
  <c r="Q2270" i="2"/>
  <c r="Q2254" i="2"/>
  <c r="Q2238" i="2"/>
  <c r="Q2222" i="2"/>
  <c r="Q2206" i="2"/>
  <c r="Q2190" i="2"/>
  <c r="Q2174" i="2"/>
  <c r="Q2158" i="2"/>
  <c r="Q2142" i="2"/>
  <c r="Q2126" i="2"/>
  <c r="Q2110" i="2"/>
  <c r="Q2094" i="2"/>
  <c r="Q2078" i="2"/>
  <c r="Q2062" i="2"/>
  <c r="Q2046" i="2"/>
  <c r="Q2030" i="2"/>
  <c r="Q2014" i="2"/>
  <c r="Q1998" i="2"/>
  <c r="Q1982" i="2"/>
  <c r="Q1966" i="2"/>
  <c r="Q1950" i="2"/>
  <c r="Q1934" i="2"/>
  <c r="Q1918" i="2"/>
  <c r="Q1902" i="2"/>
  <c r="Q1886" i="2"/>
  <c r="Q1870" i="2"/>
  <c r="Q1854" i="2"/>
  <c r="Q1838" i="2"/>
  <c r="Q1822" i="2"/>
  <c r="Q1806" i="2"/>
  <c r="Q1790" i="2"/>
  <c r="Q1774" i="2"/>
  <c r="Q1758" i="2"/>
  <c r="Q1742" i="2"/>
  <c r="Q1726" i="2"/>
  <c r="Q1710" i="2"/>
  <c r="Q1694" i="2"/>
  <c r="Q1678" i="2"/>
  <c r="Q1662" i="2"/>
  <c r="Q1646" i="2"/>
  <c r="Q1630" i="2"/>
  <c r="Q1614" i="2"/>
  <c r="Q1598" i="2"/>
  <c r="Q1582" i="2"/>
  <c r="Q1566" i="2"/>
  <c r="Q1550" i="2"/>
  <c r="Q1534" i="2"/>
  <c r="Q1518" i="2"/>
  <c r="Q1502" i="2"/>
  <c r="Q1486" i="2"/>
  <c r="Q1470" i="2"/>
  <c r="Q1454" i="2"/>
  <c r="Q1438" i="2"/>
  <c r="Q1422" i="2"/>
  <c r="Q1406" i="2"/>
  <c r="Q1390" i="2"/>
  <c r="Q1374" i="2"/>
  <c r="Q1358" i="2"/>
  <c r="Q1342" i="2"/>
  <c r="Q1326" i="2"/>
  <c r="Q1310" i="2"/>
  <c r="Q1294" i="2"/>
  <c r="Q1278" i="2"/>
  <c r="Q1262" i="2"/>
  <c r="Q1246" i="2"/>
  <c r="Q1230" i="2"/>
  <c r="Q1214" i="2"/>
  <c r="Q1198" i="2"/>
  <c r="Q1182" i="2"/>
  <c r="Q1166" i="2"/>
  <c r="Q1150" i="2"/>
  <c r="Q1134" i="2"/>
  <c r="Q3469" i="2"/>
  <c r="Q3453" i="2"/>
  <c r="Q3437" i="2"/>
  <c r="Q3421" i="2"/>
  <c r="Q3405" i="2"/>
  <c r="Q3389" i="2"/>
  <c r="Q3373" i="2"/>
  <c r="Q3357" i="2"/>
  <c r="Q3341" i="2"/>
  <c r="Q3325" i="2"/>
  <c r="Q3309" i="2"/>
  <c r="Q3293" i="2"/>
  <c r="Q3277" i="2"/>
  <c r="Q3261" i="2"/>
  <c r="Q3245" i="2"/>
  <c r="Q3229" i="2"/>
  <c r="Q3213" i="2"/>
  <c r="Q3197" i="2"/>
  <c r="Q3181" i="2"/>
  <c r="Q3165" i="2"/>
  <c r="Q3149" i="2"/>
  <c r="Q3133" i="2"/>
  <c r="Q3117" i="2"/>
  <c r="Q3101" i="2"/>
  <c r="Q3085" i="2"/>
  <c r="Q3069" i="2"/>
  <c r="Q3053" i="2"/>
  <c r="Q3037" i="2"/>
  <c r="Q3021" i="2"/>
  <c r="Q3005" i="2"/>
  <c r="Q2989" i="2"/>
  <c r="Q2973" i="2"/>
  <c r="Q2957" i="2"/>
  <c r="Q2941" i="2"/>
  <c r="Q2925" i="2"/>
  <c r="Q2909" i="2"/>
  <c r="Q2893" i="2"/>
  <c r="Q2877" i="2"/>
  <c r="Q2861" i="2"/>
  <c r="Q2845" i="2"/>
  <c r="Q2829" i="2"/>
  <c r="Q2813" i="2"/>
  <c r="Q2797" i="2"/>
  <c r="Q2781" i="2"/>
  <c r="Q2765" i="2"/>
  <c r="Q2749" i="2"/>
  <c r="Q2733" i="2"/>
  <c r="Q2717" i="2"/>
  <c r="Q2701" i="2"/>
  <c r="Q2685" i="2"/>
  <c r="Q2669" i="2"/>
  <c r="Q2653" i="2"/>
  <c r="Q2637" i="2"/>
  <c r="Q2621" i="2"/>
  <c r="Q2605" i="2"/>
  <c r="Q2589" i="2"/>
  <c r="Q2573" i="2"/>
  <c r="Q2557" i="2"/>
  <c r="Q2541" i="2"/>
  <c r="Q2525" i="2"/>
  <c r="Q2509" i="2"/>
  <c r="Q2493" i="2"/>
  <c r="Q2477" i="2"/>
  <c r="Q2461" i="2"/>
  <c r="Q2445" i="2"/>
  <c r="Q2429" i="2"/>
  <c r="Q2413" i="2"/>
  <c r="Q2397" i="2"/>
  <c r="Q2381" i="2"/>
  <c r="Q2365" i="2"/>
  <c r="Q2349" i="2"/>
  <c r="Q2333" i="2"/>
  <c r="Q2317" i="2"/>
  <c r="Q2301" i="2"/>
  <c r="Q2285" i="2"/>
  <c r="Q2269" i="2"/>
  <c r="Q2253" i="2"/>
  <c r="Q2237" i="2"/>
  <c r="Q2221" i="2"/>
  <c r="Q2205" i="2"/>
  <c r="Q2189" i="2"/>
  <c r="Q2173" i="2"/>
  <c r="Q2157" i="2"/>
  <c r="Q2141" i="2"/>
  <c r="Q2125" i="2"/>
  <c r="Q2109" i="2"/>
  <c r="Q2093" i="2"/>
  <c r="Q2077" i="2"/>
  <c r="Q2061" i="2"/>
  <c r="Q2045" i="2"/>
  <c r="Q2029" i="2"/>
  <c r="Q2013" i="2"/>
  <c r="Q1997" i="2"/>
  <c r="Q1981" i="2"/>
  <c r="Q1965" i="2"/>
  <c r="Q1949" i="2"/>
  <c r="Q1933" i="2"/>
  <c r="Q1917" i="2"/>
  <c r="Q1901" i="2"/>
  <c r="Q1885" i="2"/>
  <c r="Q1869" i="2"/>
  <c r="Q1853" i="2"/>
  <c r="Q1837" i="2"/>
  <c r="Q1821" i="2"/>
  <c r="Q1805" i="2"/>
  <c r="Q1789" i="2"/>
  <c r="Q1773" i="2"/>
  <c r="Q1757" i="2"/>
  <c r="Q1741" i="2"/>
  <c r="Q1725" i="2"/>
  <c r="Q1709" i="2"/>
  <c r="Q1693" i="2"/>
  <c r="Q1677" i="2"/>
  <c r="Q1661" i="2"/>
  <c r="Q1645" i="2"/>
  <c r="Q1629" i="2"/>
  <c r="Q1613" i="2"/>
  <c r="Q1597" i="2"/>
  <c r="Q1581" i="2"/>
  <c r="Q1565" i="2"/>
  <c r="Q1549" i="2"/>
  <c r="Q1533" i="2"/>
  <c r="Q1517" i="2"/>
  <c r="Q1501" i="2"/>
  <c r="Q1485" i="2"/>
  <c r="Q1469" i="2"/>
  <c r="Q1453" i="2"/>
  <c r="Q1437" i="2"/>
  <c r="Q1421" i="2"/>
  <c r="Q1405" i="2"/>
  <c r="Q1389" i="2"/>
  <c r="Q1373" i="2"/>
  <c r="Q1357" i="2"/>
  <c r="Q1341" i="2"/>
  <c r="Q1325" i="2"/>
  <c r="Q1309" i="2"/>
  <c r="Q1293" i="2"/>
  <c r="Q1277" i="2"/>
  <c r="Q1261" i="2"/>
  <c r="Q1245" i="2"/>
  <c r="Q1229" i="2"/>
  <c r="Q1213" i="2"/>
  <c r="Q1197" i="2"/>
  <c r="Q1181" i="2"/>
  <c r="Q1165" i="2"/>
  <c r="Q1149" i="2"/>
  <c r="Q1338" i="2"/>
  <c r="Q1322" i="2"/>
  <c r="Q1306" i="2"/>
  <c r="Q1290" i="2"/>
  <c r="Q1274" i="2"/>
  <c r="Q1258" i="2"/>
  <c r="Q1242" i="2"/>
  <c r="Q1226" i="2"/>
  <c r="Q1210" i="2"/>
  <c r="Q1194" i="2"/>
  <c r="Q1178" i="2"/>
  <c r="Q1162" i="2"/>
  <c r="Q1146" i="2"/>
  <c r="Q1130" i="2"/>
  <c r="Q1114" i="2"/>
  <c r="Q1098" i="2"/>
  <c r="Q1082" i="2"/>
  <c r="Q1066" i="2"/>
  <c r="Q1050" i="2"/>
  <c r="Q1034" i="2"/>
  <c r="Q1018" i="2"/>
  <c r="Q1002" i="2"/>
  <c r="Q986" i="2"/>
  <c r="Q970" i="2"/>
  <c r="Q954" i="2"/>
  <c r="Q938" i="2"/>
  <c r="Q922" i="2"/>
  <c r="Q906" i="2"/>
  <c r="Q890" i="2"/>
  <c r="Q874" i="2"/>
  <c r="Q858" i="2"/>
  <c r="Q842" i="2"/>
  <c r="Q826" i="2"/>
  <c r="Q810" i="2"/>
  <c r="Q794" i="2"/>
  <c r="Q778" i="2"/>
  <c r="Q762" i="2"/>
  <c r="Q746" i="2"/>
  <c r="Q730" i="2"/>
  <c r="Q714" i="2"/>
  <c r="Q698" i="2"/>
  <c r="Q682" i="2"/>
  <c r="Q666" i="2"/>
  <c r="Q650" i="2"/>
  <c r="Q634" i="2"/>
  <c r="Q618" i="2"/>
  <c r="Q602" i="2"/>
  <c r="Q586" i="2"/>
  <c r="Q570" i="2"/>
  <c r="Q554" i="2"/>
  <c r="Q538" i="2"/>
  <c r="Q522" i="2"/>
  <c r="Q506" i="2"/>
  <c r="Q490" i="2"/>
  <c r="Q474" i="2"/>
  <c r="Q458" i="2"/>
  <c r="Q442" i="2"/>
  <c r="Q426" i="2"/>
  <c r="Q410" i="2"/>
  <c r="Q394" i="2"/>
  <c r="Q378" i="2"/>
  <c r="Q362" i="2"/>
  <c r="Q346" i="2"/>
  <c r="Q330" i="2"/>
  <c r="Q314" i="2"/>
  <c r="Q298" i="2"/>
  <c r="Q282" i="2"/>
  <c r="Q266" i="2"/>
  <c r="Q250" i="2"/>
  <c r="Q234" i="2"/>
  <c r="Q218" i="2"/>
  <c r="Q202" i="2"/>
  <c r="Q186" i="2"/>
  <c r="Q170" i="2"/>
  <c r="Q154" i="2"/>
  <c r="Q138" i="2"/>
  <c r="Q122" i="2"/>
  <c r="Q106" i="2"/>
  <c r="Q90" i="2"/>
  <c r="Q74" i="2"/>
  <c r="Q58" i="2"/>
  <c r="Q42" i="2"/>
  <c r="Q26" i="2"/>
  <c r="Q10" i="2"/>
  <c r="Q1097" i="2"/>
  <c r="Q1081" i="2"/>
  <c r="Q1065" i="2"/>
  <c r="Q1049" i="2"/>
  <c r="Q1033" i="2"/>
  <c r="Q1017" i="2"/>
  <c r="Q1001" i="2"/>
  <c r="Q985" i="2"/>
  <c r="Q969" i="2"/>
  <c r="Q953" i="2"/>
  <c r="Q937" i="2"/>
  <c r="Q921" i="2"/>
  <c r="Q905" i="2"/>
  <c r="Q889" i="2"/>
  <c r="Q873" i="2"/>
  <c r="Q857" i="2"/>
  <c r="Q841" i="2"/>
  <c r="Q825" i="2"/>
  <c r="Q809" i="2"/>
  <c r="Q793" i="2"/>
  <c r="Q777" i="2"/>
  <c r="Q761" i="2"/>
  <c r="Q745" i="2"/>
  <c r="Q729" i="2"/>
  <c r="Q713" i="2"/>
  <c r="Q697" i="2"/>
  <c r="Q681" i="2"/>
  <c r="Q665" i="2"/>
  <c r="Q649" i="2"/>
  <c r="Q633" i="2"/>
  <c r="Q617" i="2"/>
  <c r="Q601" i="2"/>
  <c r="Q585" i="2"/>
  <c r="Q569" i="2"/>
  <c r="Q553" i="2"/>
  <c r="Q537" i="2"/>
  <c r="Q521" i="2"/>
  <c r="Q505" i="2"/>
  <c r="Q489" i="2"/>
  <c r="Q473" i="2"/>
  <c r="Q457" i="2"/>
  <c r="Q441" i="2"/>
  <c r="Q425" i="2"/>
  <c r="Q409" i="2"/>
  <c r="Q393" i="2"/>
  <c r="Q377" i="2"/>
  <c r="Q361" i="2"/>
  <c r="Q345" i="2"/>
  <c r="Q329" i="2"/>
  <c r="Q313" i="2"/>
  <c r="Q297" i="2"/>
  <c r="Q281" i="2"/>
  <c r="Q265" i="2"/>
  <c r="Q249" i="2"/>
  <c r="Q233" i="2"/>
  <c r="Q217" i="2"/>
  <c r="Q201" i="2"/>
  <c r="Q185" i="2"/>
  <c r="Q169" i="2"/>
  <c r="Q153" i="2"/>
  <c r="Q137" i="2"/>
  <c r="Q121" i="2"/>
  <c r="Q105" i="2"/>
  <c r="Q89" i="2"/>
  <c r="Q73" i="2"/>
  <c r="Q57" i="2"/>
  <c r="Q41" i="2"/>
  <c r="Q25" i="2"/>
  <c r="Q9" i="2"/>
  <c r="Q1160" i="2"/>
  <c r="Q1144" i="2"/>
  <c r="Q1128" i="2"/>
  <c r="Q1112" i="2"/>
  <c r="Q1096" i="2"/>
  <c r="Q1080" i="2"/>
  <c r="Q1064" i="2"/>
  <c r="Q1048" i="2"/>
  <c r="Q1032" i="2"/>
  <c r="Q1016" i="2"/>
  <c r="Q1000" i="2"/>
  <c r="Q984" i="2"/>
  <c r="Q968" i="2"/>
  <c r="Q952" i="2"/>
  <c r="Q936" i="2"/>
  <c r="Q920" i="2"/>
  <c r="Q904" i="2"/>
  <c r="Q888" i="2"/>
  <c r="Q872" i="2"/>
  <c r="Q856" i="2"/>
  <c r="Q840" i="2"/>
  <c r="Q824" i="2"/>
  <c r="Q808" i="2"/>
  <c r="Q792" i="2"/>
  <c r="Q776" i="2"/>
  <c r="Q760" i="2"/>
  <c r="Q744" i="2"/>
  <c r="Q728" i="2"/>
  <c r="Q712" i="2"/>
  <c r="Q696" i="2"/>
  <c r="Q680" i="2"/>
  <c r="Q664" i="2"/>
  <c r="Q648" i="2"/>
  <c r="Q632" i="2"/>
  <c r="Q616" i="2"/>
  <c r="Q600" i="2"/>
  <c r="Q584" i="2"/>
  <c r="Q568" i="2"/>
  <c r="Q552" i="2"/>
  <c r="Q536" i="2"/>
  <c r="Q520" i="2"/>
  <c r="Q504" i="2"/>
  <c r="Q488" i="2"/>
  <c r="Q472" i="2"/>
  <c r="Q456" i="2"/>
  <c r="Q440" i="2"/>
  <c r="Q424" i="2"/>
  <c r="Q408" i="2"/>
  <c r="Q392" i="2"/>
  <c r="Q376" i="2"/>
  <c r="Q360" i="2"/>
  <c r="Q344" i="2"/>
  <c r="Q328" i="2"/>
  <c r="Q312" i="2"/>
  <c r="Q296" i="2"/>
  <c r="Q280" i="2"/>
  <c r="Q264" i="2"/>
  <c r="Q248" i="2"/>
  <c r="Q232" i="2"/>
  <c r="Q216" i="2"/>
  <c r="Q200" i="2"/>
  <c r="Q184" i="2"/>
  <c r="Q168" i="2"/>
  <c r="Q152" i="2"/>
  <c r="Q136" i="2"/>
  <c r="Q120" i="2"/>
  <c r="Q104" i="2"/>
  <c r="Q88" i="2"/>
  <c r="Q72" i="2"/>
  <c r="Q56" i="2"/>
  <c r="Q40" i="2"/>
  <c r="Q24" i="2"/>
  <c r="Q8" i="2"/>
  <c r="Q583" i="2"/>
  <c r="Q567" i="2"/>
  <c r="Q551" i="2"/>
  <c r="Q535" i="2"/>
  <c r="Q519" i="2"/>
  <c r="Q503" i="2"/>
  <c r="Q487" i="2"/>
  <c r="Q471" i="2"/>
  <c r="Q455" i="2"/>
  <c r="Q439" i="2"/>
  <c r="Q423" i="2"/>
  <c r="Q407" i="2"/>
  <c r="Q391" i="2"/>
  <c r="Q375" i="2"/>
  <c r="Q359" i="2"/>
  <c r="Q343" i="2"/>
  <c r="Q327" i="2"/>
  <c r="Q311" i="2"/>
  <c r="Q295" i="2"/>
  <c r="Q279" i="2"/>
  <c r="Q263" i="2"/>
  <c r="Q247" i="2"/>
  <c r="Q231" i="2"/>
  <c r="Q215" i="2"/>
  <c r="Q199" i="2"/>
  <c r="Q183" i="2"/>
  <c r="Q167" i="2"/>
  <c r="Q151" i="2"/>
  <c r="Q135" i="2"/>
  <c r="Q119" i="2"/>
  <c r="Q103" i="2"/>
  <c r="Q87" i="2"/>
  <c r="Q71" i="2"/>
  <c r="Q55" i="2"/>
  <c r="Q39" i="2"/>
  <c r="Q23" i="2"/>
  <c r="Q7" i="2"/>
  <c r="Q1286" i="2"/>
  <c r="Q1270" i="2"/>
  <c r="Q1254" i="2"/>
  <c r="Q1238" i="2"/>
  <c r="Q1222" i="2"/>
  <c r="Q1206" i="2"/>
  <c r="Q1190" i="2"/>
  <c r="Q1174" i="2"/>
  <c r="Q1158" i="2"/>
  <c r="Q1142" i="2"/>
  <c r="Q1126" i="2"/>
  <c r="Q1110" i="2"/>
  <c r="Q1094" i="2"/>
  <c r="Q1078" i="2"/>
  <c r="Q1062" i="2"/>
  <c r="Q1046" i="2"/>
  <c r="Q1030" i="2"/>
  <c r="Q1014" i="2"/>
  <c r="Q998" i="2"/>
  <c r="Q982" i="2"/>
  <c r="Q966" i="2"/>
  <c r="Q950" i="2"/>
  <c r="Q934" i="2"/>
  <c r="Q918" i="2"/>
  <c r="Q902" i="2"/>
  <c r="Q886" i="2"/>
  <c r="Q870" i="2"/>
  <c r="Q854" i="2"/>
  <c r="Q838" i="2"/>
  <c r="Q822" i="2"/>
  <c r="Q806" i="2"/>
  <c r="Q790" i="2"/>
  <c r="Q774" i="2"/>
  <c r="Q758" i="2"/>
  <c r="Q742" i="2"/>
  <c r="Q726" i="2"/>
  <c r="Q710" i="2"/>
  <c r="Q694" i="2"/>
  <c r="Q678" i="2"/>
  <c r="Q662" i="2"/>
  <c r="Q646" i="2"/>
  <c r="Q630" i="2"/>
  <c r="Q614" i="2"/>
  <c r="Q598" i="2"/>
  <c r="Q582" i="2"/>
  <c r="Q566" i="2"/>
  <c r="Q550" i="2"/>
  <c r="Q534" i="2"/>
  <c r="Q518" i="2"/>
  <c r="Q502" i="2"/>
  <c r="Q486" i="2"/>
  <c r="Q470" i="2"/>
  <c r="Q454" i="2"/>
  <c r="Q438" i="2"/>
  <c r="Q422" i="2"/>
  <c r="Q406" i="2"/>
  <c r="Q390" i="2"/>
  <c r="Q374" i="2"/>
  <c r="Q358" i="2"/>
  <c r="Q342" i="2"/>
  <c r="Q326" i="2"/>
  <c r="Q310" i="2"/>
  <c r="Q294" i="2"/>
  <c r="Q278" i="2"/>
  <c r="Q262" i="2"/>
  <c r="Q246" i="2"/>
  <c r="Q230" i="2"/>
  <c r="Q214" i="2"/>
  <c r="Q198" i="2"/>
  <c r="Q182" i="2"/>
  <c r="Q166" i="2"/>
  <c r="Q150" i="2"/>
  <c r="Q134" i="2"/>
  <c r="Q118" i="2"/>
  <c r="Q102" i="2"/>
  <c r="Q86" i="2"/>
  <c r="Q70" i="2"/>
  <c r="Q54" i="2"/>
  <c r="Q38" i="2"/>
  <c r="Q22" i="2"/>
  <c r="Q6" i="2"/>
  <c r="Q1125" i="2"/>
  <c r="Q1109" i="2"/>
  <c r="Q1093" i="2"/>
  <c r="Q1077" i="2"/>
  <c r="Q1061" i="2"/>
  <c r="Q1045" i="2"/>
  <c r="Q1029" i="2"/>
  <c r="Q1013" i="2"/>
  <c r="Q997" i="2"/>
  <c r="Q981" i="2"/>
  <c r="Q965" i="2"/>
  <c r="Q949" i="2"/>
  <c r="Q933" i="2"/>
  <c r="Q917" i="2"/>
  <c r="Q901" i="2"/>
  <c r="Q885" i="2"/>
  <c r="Q869" i="2"/>
  <c r="Q853" i="2"/>
  <c r="Q837" i="2"/>
  <c r="Q821" i="2"/>
  <c r="Q805" i="2"/>
  <c r="Q789" i="2"/>
  <c r="Q773" i="2"/>
  <c r="Q757" i="2"/>
  <c r="Q741" i="2"/>
  <c r="Q725" i="2"/>
  <c r="Q709" i="2"/>
  <c r="Q693" i="2"/>
  <c r="Q677" i="2"/>
  <c r="Q661" i="2"/>
  <c r="Q645" i="2"/>
  <c r="Q629" i="2"/>
  <c r="Q613" i="2"/>
  <c r="Q597" i="2"/>
  <c r="Q581" i="2"/>
  <c r="Q565" i="2"/>
  <c r="Q549" i="2"/>
  <c r="Q533" i="2"/>
  <c r="Q517" i="2"/>
  <c r="Q501" i="2"/>
  <c r="Q485" i="2"/>
  <c r="Q469" i="2"/>
  <c r="Q453" i="2"/>
  <c r="Q437" i="2"/>
  <c r="Q421" i="2"/>
  <c r="Q405" i="2"/>
  <c r="Q389" i="2"/>
  <c r="Q373" i="2"/>
  <c r="Q357" i="2"/>
  <c r="Q341" i="2"/>
  <c r="Q325" i="2"/>
  <c r="Q309" i="2"/>
  <c r="Q293" i="2"/>
  <c r="Q277" i="2"/>
  <c r="Q261" i="2"/>
  <c r="Q245" i="2"/>
  <c r="Q229" i="2"/>
  <c r="Q213" i="2"/>
  <c r="Q197" i="2"/>
  <c r="Q181" i="2"/>
  <c r="Q165" i="2"/>
  <c r="Q149" i="2"/>
  <c r="Q133" i="2"/>
  <c r="Q117" i="2"/>
  <c r="Q101" i="2"/>
  <c r="Q85" i="2"/>
  <c r="Q69" i="2"/>
  <c r="Q53" i="2"/>
  <c r="Q37" i="2"/>
  <c r="Q21" i="2"/>
  <c r="Q5" i="2"/>
  <c r="Q1396" i="2"/>
  <c r="Q1380" i="2"/>
  <c r="Q1364" i="2"/>
  <c r="Q1348" i="2"/>
  <c r="Q1332" i="2"/>
  <c r="Q1316" i="2"/>
  <c r="Q1300" i="2"/>
  <c r="Q1284" i="2"/>
  <c r="Q1268" i="2"/>
  <c r="Q1252" i="2"/>
  <c r="Q1236" i="2"/>
  <c r="Q1220" i="2"/>
  <c r="Q1204" i="2"/>
  <c r="Q1188" i="2"/>
  <c r="Q1172" i="2"/>
  <c r="Q1156" i="2"/>
  <c r="Q1140" i="2"/>
  <c r="Q1124" i="2"/>
  <c r="Q1108" i="2"/>
  <c r="Q1092" i="2"/>
  <c r="Q1076" i="2"/>
  <c r="Q1060" i="2"/>
  <c r="Q1044" i="2"/>
  <c r="Q1028" i="2"/>
  <c r="Q1012" i="2"/>
  <c r="Q996" i="2"/>
  <c r="Q980" i="2"/>
  <c r="Q964" i="2"/>
  <c r="Q948" i="2"/>
  <c r="Q932" i="2"/>
  <c r="Q916" i="2"/>
  <c r="Q900" i="2"/>
  <c r="Q884" i="2"/>
  <c r="Q868" i="2"/>
  <c r="Q852" i="2"/>
  <c r="Q836" i="2"/>
  <c r="Q820" i="2"/>
  <c r="Q804" i="2"/>
  <c r="Q788" i="2"/>
  <c r="Q772" i="2"/>
  <c r="Q756" i="2"/>
  <c r="Q740" i="2"/>
  <c r="Q724" i="2"/>
  <c r="Q708" i="2"/>
  <c r="Q692" i="2"/>
  <c r="Q676" i="2"/>
  <c r="Q660" i="2"/>
  <c r="Q644" i="2"/>
  <c r="Q628" i="2"/>
  <c r="Q612" i="2"/>
  <c r="Q596" i="2"/>
  <c r="Q580" i="2"/>
  <c r="Q564" i="2"/>
  <c r="Q548" i="2"/>
  <c r="Q532" i="2"/>
  <c r="Q516" i="2"/>
  <c r="Q500" i="2"/>
  <c r="Q484" i="2"/>
  <c r="Q468" i="2"/>
  <c r="Q452" i="2"/>
  <c r="Q436" i="2"/>
  <c r="Q420" i="2"/>
  <c r="Q404" i="2"/>
  <c r="Q388" i="2"/>
  <c r="Q372" i="2"/>
  <c r="Q356" i="2"/>
  <c r="Q340" i="2"/>
  <c r="Q324" i="2"/>
  <c r="Q308" i="2"/>
  <c r="Q292" i="2"/>
  <c r="Q276" i="2"/>
  <c r="Q260" i="2"/>
  <c r="Q244" i="2"/>
  <c r="Q228" i="2"/>
  <c r="Q212" i="2"/>
  <c r="Q196" i="2"/>
  <c r="Q180" i="2"/>
  <c r="Q164" i="2"/>
  <c r="Q148" i="2"/>
  <c r="Q132" i="2"/>
  <c r="Q116" i="2"/>
  <c r="Q100" i="2"/>
  <c r="Q84" i="2"/>
  <c r="Q68" i="2"/>
  <c r="Q52" i="2"/>
  <c r="Q36" i="2"/>
  <c r="Q20" i="2"/>
  <c r="Q4" i="2"/>
  <c r="Q1155" i="2"/>
  <c r="Q1139" i="2"/>
  <c r="Q1123" i="2"/>
  <c r="Q1107" i="2"/>
  <c r="Q1091" i="2"/>
  <c r="Q1075" i="2"/>
  <c r="Q1059" i="2"/>
  <c r="Q1043" i="2"/>
  <c r="Q1027" i="2"/>
  <c r="Q1011" i="2"/>
  <c r="Q995" i="2"/>
  <c r="Q979" i="2"/>
  <c r="Q963" i="2"/>
  <c r="Q947" i="2"/>
  <c r="Q931" i="2"/>
  <c r="Q915" i="2"/>
  <c r="Q899" i="2"/>
  <c r="Q883" i="2"/>
  <c r="Q867" i="2"/>
  <c r="Q851" i="2"/>
  <c r="Q835" i="2"/>
  <c r="Q819" i="2"/>
  <c r="Q803" i="2"/>
  <c r="Q787" i="2"/>
  <c r="Q771" i="2"/>
  <c r="Q755" i="2"/>
  <c r="Q739" i="2"/>
  <c r="Q723" i="2"/>
  <c r="Q707" i="2"/>
  <c r="Q691" i="2"/>
  <c r="Q675" i="2"/>
  <c r="Q659" i="2"/>
  <c r="Q643" i="2"/>
  <c r="Q627" i="2"/>
  <c r="Q611" i="2"/>
  <c r="Q595" i="2"/>
  <c r="Q579" i="2"/>
  <c r="Q563" i="2"/>
  <c r="Q547" i="2"/>
  <c r="Q531" i="2"/>
  <c r="Q515" i="2"/>
  <c r="Q499" i="2"/>
  <c r="Q483" i="2"/>
  <c r="Q467" i="2"/>
  <c r="Q451" i="2"/>
  <c r="Q435" i="2"/>
  <c r="Q419" i="2"/>
  <c r="Q403" i="2"/>
  <c r="Q387" i="2"/>
  <c r="Q371" i="2"/>
  <c r="Q355" i="2"/>
  <c r="Q339" i="2"/>
  <c r="Q323" i="2"/>
  <c r="Q307" i="2"/>
  <c r="Q291" i="2"/>
  <c r="Q275" i="2"/>
  <c r="Q259" i="2"/>
  <c r="Q243" i="2"/>
  <c r="Q227" i="2"/>
  <c r="Q211" i="2"/>
  <c r="Q195" i="2"/>
  <c r="Q179" i="2"/>
  <c r="Q163" i="2"/>
  <c r="Q147" i="2"/>
  <c r="Q131" i="2"/>
  <c r="Q115" i="2"/>
  <c r="Q99" i="2"/>
  <c r="Q83" i="2"/>
  <c r="Q67" i="2"/>
  <c r="Q51" i="2"/>
  <c r="Q35" i="2"/>
  <c r="Q19" i="2"/>
  <c r="Q3" i="2"/>
  <c r="Q898" i="2"/>
  <c r="Q882" i="2"/>
  <c r="Q866" i="2"/>
  <c r="Q850" i="2"/>
  <c r="Q834" i="2"/>
  <c r="Q818" i="2"/>
  <c r="Q802" i="2"/>
  <c r="Q786" i="2"/>
  <c r="Q770" i="2"/>
  <c r="Q754" i="2"/>
  <c r="Q738" i="2"/>
  <c r="Q722" i="2"/>
  <c r="Q706" i="2"/>
  <c r="Q690" i="2"/>
  <c r="Q674" i="2"/>
  <c r="Q658" i="2"/>
  <c r="Q642" i="2"/>
  <c r="Q626" i="2"/>
  <c r="Q610" i="2"/>
  <c r="Q594" i="2"/>
  <c r="Q578" i="2"/>
  <c r="Q562" i="2"/>
  <c r="Q546" i="2"/>
  <c r="Q530" i="2"/>
  <c r="Q514" i="2"/>
  <c r="Q498" i="2"/>
  <c r="Q482" i="2"/>
  <c r="Q466" i="2"/>
  <c r="Q450" i="2"/>
  <c r="Q434" i="2"/>
  <c r="Q418" i="2"/>
  <c r="Q402" i="2"/>
  <c r="Q386" i="2"/>
  <c r="Q370" i="2"/>
  <c r="Q354" i="2"/>
  <c r="Q338" i="2"/>
  <c r="Q322" i="2"/>
  <c r="Q306" i="2"/>
  <c r="Q290" i="2"/>
  <c r="Q274" i="2"/>
  <c r="Q258" i="2"/>
  <c r="Q242" i="2"/>
  <c r="Q226" i="2"/>
  <c r="Q210" i="2"/>
  <c r="Q194" i="2"/>
  <c r="Q178" i="2"/>
  <c r="Q162" i="2"/>
  <c r="Q146" i="2"/>
  <c r="Q130" i="2"/>
  <c r="Q114" i="2"/>
  <c r="Q98" i="2"/>
  <c r="Q82" i="2"/>
  <c r="Q66" i="2"/>
  <c r="Q50" i="2"/>
  <c r="Q34" i="2"/>
  <c r="Q18" i="2"/>
  <c r="Q2" i="2"/>
  <c r="Q1217" i="2"/>
  <c r="Q1201" i="2"/>
  <c r="Q1185" i="2"/>
  <c r="Q1169" i="2"/>
  <c r="Q1153" i="2"/>
  <c r="Q1137" i="2"/>
  <c r="Q1121" i="2"/>
  <c r="Q1105" i="2"/>
  <c r="Q1089" i="2"/>
  <c r="Q1073" i="2"/>
  <c r="Q1057" i="2"/>
  <c r="Q1041" i="2"/>
  <c r="Q1025" i="2"/>
  <c r="Q1009" i="2"/>
  <c r="Q993" i="2"/>
  <c r="Q977" i="2"/>
  <c r="Q961" i="2"/>
  <c r="Q945" i="2"/>
  <c r="Q929" i="2"/>
  <c r="Q913" i="2"/>
  <c r="Q897" i="2"/>
  <c r="Q881" i="2"/>
  <c r="Q865" i="2"/>
  <c r="Q849" i="2"/>
  <c r="Q833" i="2"/>
  <c r="Q817" i="2"/>
  <c r="Q801" i="2"/>
  <c r="Q785" i="2"/>
  <c r="Q769" i="2"/>
  <c r="Q753" i="2"/>
  <c r="Q737" i="2"/>
  <c r="Q721" i="2"/>
  <c r="Q705" i="2"/>
  <c r="Q689" i="2"/>
  <c r="Q673" i="2"/>
  <c r="Q657" i="2"/>
  <c r="Q641" i="2"/>
  <c r="Q625" i="2"/>
  <c r="Q609" i="2"/>
  <c r="Q593" i="2"/>
  <c r="Q577" i="2"/>
  <c r="Q561" i="2"/>
  <c r="Q545" i="2"/>
  <c r="Q529" i="2"/>
  <c r="Q513" i="2"/>
  <c r="Q497" i="2"/>
  <c r="Q481" i="2"/>
  <c r="Q465" i="2"/>
  <c r="Q449" i="2"/>
  <c r="Q433" i="2"/>
  <c r="Q417" i="2"/>
  <c r="Q401" i="2"/>
  <c r="Q385" i="2"/>
  <c r="Q369" i="2"/>
  <c r="Q353" i="2"/>
  <c r="Q337" i="2"/>
  <c r="Q321" i="2"/>
  <c r="Q305" i="2"/>
  <c r="Q289" i="2"/>
  <c r="Q273" i="2"/>
  <c r="Q257" i="2"/>
  <c r="Q241" i="2"/>
  <c r="Q225" i="2"/>
  <c r="Q209" i="2"/>
  <c r="Q193" i="2"/>
  <c r="Q177" i="2"/>
  <c r="Q161" i="2"/>
  <c r="Q145" i="2"/>
  <c r="Q129" i="2"/>
  <c r="Q113" i="2"/>
  <c r="Q97" i="2"/>
  <c r="Q81" i="2"/>
  <c r="Q65" i="2"/>
  <c r="Q49" i="2"/>
  <c r="Q33" i="2"/>
  <c r="Q17" i="2"/>
  <c r="Q1840" i="2"/>
  <c r="Q1808" i="2"/>
  <c r="Q1776" i="2"/>
  <c r="Q1744" i="2"/>
  <c r="Q1712" i="2"/>
  <c r="Q1680" i="2"/>
  <c r="Q1648" i="2"/>
  <c r="Q1616" i="2"/>
  <c r="Q1584" i="2"/>
  <c r="Q1552" i="2"/>
  <c r="Q1520" i="2"/>
  <c r="Q1488" i="2"/>
  <c r="Q1456" i="2"/>
  <c r="Q1440" i="2"/>
  <c r="Q1392" i="2"/>
  <c r="Q1360" i="2"/>
  <c r="Q1344" i="2"/>
  <c r="Q1296" i="2"/>
  <c r="Q1264" i="2"/>
  <c r="Q1232" i="2"/>
  <c r="Q1216" i="2"/>
  <c r="Q1184" i="2"/>
  <c r="Q1152" i="2"/>
  <c r="Q1120" i="2"/>
  <c r="Q1104" i="2"/>
  <c r="Q1072" i="2"/>
  <c r="Q1040" i="2"/>
  <c r="Q1008" i="2"/>
  <c r="Q992" i="2"/>
  <c r="Q960" i="2"/>
  <c r="Q928" i="2"/>
  <c r="Q896" i="2"/>
  <c r="Q864" i="2"/>
  <c r="Q832" i="2"/>
  <c r="Q816" i="2"/>
  <c r="Q784" i="2"/>
  <c r="Q752" i="2"/>
  <c r="Q736" i="2"/>
  <c r="Q704" i="2"/>
  <c r="Q688" i="2"/>
  <c r="Q672" i="2"/>
  <c r="Q656" i="2"/>
  <c r="Q640" i="2"/>
  <c r="Q624" i="2"/>
  <c r="Q608" i="2"/>
  <c r="Q592" i="2"/>
  <c r="Q576" i="2"/>
  <c r="Q560" i="2"/>
  <c r="Q544" i="2"/>
  <c r="Q528" i="2"/>
  <c r="Q512" i="2"/>
  <c r="Q496" i="2"/>
  <c r="Q480" i="2"/>
  <c r="Q464" i="2"/>
  <c r="Q448" i="2"/>
  <c r="Q432" i="2"/>
  <c r="Q416" i="2"/>
  <c r="Q400" i="2"/>
  <c r="Q384" i="2"/>
  <c r="Q368" i="2"/>
  <c r="Q352" i="2"/>
  <c r="Q336" i="2"/>
  <c r="Q320" i="2"/>
  <c r="Q304" i="2"/>
  <c r="Q288" i="2"/>
  <c r="Q272" i="2"/>
  <c r="Q256" i="2"/>
  <c r="Q240" i="2"/>
  <c r="Q224" i="2"/>
  <c r="Q208" i="2"/>
  <c r="Q192" i="2"/>
  <c r="Q176" i="2"/>
  <c r="Q160" i="2"/>
  <c r="Q144" i="2"/>
  <c r="Q128" i="2"/>
  <c r="Q112" i="2"/>
  <c r="Q96" i="2"/>
  <c r="Q80" i="2"/>
  <c r="Q64" i="2"/>
  <c r="Q48" i="2"/>
  <c r="Q32" i="2"/>
  <c r="Q16" i="2"/>
  <c r="Q1856" i="2"/>
  <c r="Q1824" i="2"/>
  <c r="Q1792" i="2"/>
  <c r="Q1760" i="2"/>
  <c r="Q1728" i="2"/>
  <c r="Q1696" i="2"/>
  <c r="Q1664" i="2"/>
  <c r="Q1632" i="2"/>
  <c r="Q1600" i="2"/>
  <c r="Q1568" i="2"/>
  <c r="Q1536" i="2"/>
  <c r="Q1504" i="2"/>
  <c r="Q1472" i="2"/>
  <c r="Q1424" i="2"/>
  <c r="Q1408" i="2"/>
  <c r="Q1376" i="2"/>
  <c r="Q1328" i="2"/>
  <c r="Q1312" i="2"/>
  <c r="Q1280" i="2"/>
  <c r="Q1248" i="2"/>
  <c r="Q1200" i="2"/>
  <c r="Q1168" i="2"/>
  <c r="Q1136" i="2"/>
  <c r="Q1088" i="2"/>
  <c r="Q1056" i="2"/>
  <c r="Q1024" i="2"/>
  <c r="Q976" i="2"/>
  <c r="Q944" i="2"/>
  <c r="Q912" i="2"/>
  <c r="Q880" i="2"/>
  <c r="Q848" i="2"/>
  <c r="Q800" i="2"/>
  <c r="Q768" i="2"/>
  <c r="Q720" i="2"/>
  <c r="Q495" i="2"/>
  <c r="Q479" i="2"/>
  <c r="Q463" i="2"/>
  <c r="Q447" i="2"/>
  <c r="Q431" i="2"/>
  <c r="Q415" i="2"/>
  <c r="Q399" i="2"/>
  <c r="Q383" i="2"/>
  <c r="Q367" i="2"/>
  <c r="Q351" i="2"/>
  <c r="Q335" i="2"/>
  <c r="Q319" i="2"/>
  <c r="Q303" i="2"/>
  <c r="Q287" i="2"/>
  <c r="Q271" i="2"/>
  <c r="Q255" i="2"/>
  <c r="Q239" i="2"/>
  <c r="Q223" i="2"/>
  <c r="Q207" i="2"/>
  <c r="Q191" i="2"/>
  <c r="Q175" i="2"/>
  <c r="Q159" i="2"/>
  <c r="Q143" i="2"/>
  <c r="Q127" i="2"/>
  <c r="Q111" i="2"/>
  <c r="Q95" i="2"/>
  <c r="Q79" i="2"/>
  <c r="Q63" i="2"/>
  <c r="Q47" i="2"/>
  <c r="Q31" i="2"/>
  <c r="Q15" i="2"/>
  <c r="Q1118" i="2"/>
  <c r="Q1102" i="2"/>
  <c r="Q1086" i="2"/>
  <c r="Q1070" i="2"/>
  <c r="Q1054" i="2"/>
  <c r="Q1038" i="2"/>
  <c r="Q1022" i="2"/>
  <c r="Q1006" i="2"/>
  <c r="Q990" i="2"/>
  <c r="Q974" i="2"/>
  <c r="Q958" i="2"/>
  <c r="Q942" i="2"/>
  <c r="Q926" i="2"/>
  <c r="Q910" i="2"/>
  <c r="Q894" i="2"/>
  <c r="Q878" i="2"/>
  <c r="Q862" i="2"/>
  <c r="Q846" i="2"/>
  <c r="Q830" i="2"/>
  <c r="Q814" i="2"/>
  <c r="Q798" i="2"/>
  <c r="Q782" i="2"/>
  <c r="Q766" i="2"/>
  <c r="Q750" i="2"/>
  <c r="Q734" i="2"/>
  <c r="Q718" i="2"/>
  <c r="Q702" i="2"/>
  <c r="Q686" i="2"/>
  <c r="Q670" i="2"/>
  <c r="Q654" i="2"/>
  <c r="Q638" i="2"/>
  <c r="Q622" i="2"/>
  <c r="Q606" i="2"/>
  <c r="Q590" i="2"/>
  <c r="Q574" i="2"/>
  <c r="Q558" i="2"/>
  <c r="Q542" i="2"/>
  <c r="Q526" i="2"/>
  <c r="Q510" i="2"/>
  <c r="Q494" i="2"/>
  <c r="Q478" i="2"/>
  <c r="Q462" i="2"/>
  <c r="Q446" i="2"/>
  <c r="Q430" i="2"/>
  <c r="Q414" i="2"/>
  <c r="Q398" i="2"/>
  <c r="Q382" i="2"/>
  <c r="Q366" i="2"/>
  <c r="Q350" i="2"/>
  <c r="Q334" i="2"/>
  <c r="Q318" i="2"/>
  <c r="Q302" i="2"/>
  <c r="Q286" i="2"/>
  <c r="Q270" i="2"/>
  <c r="Q254" i="2"/>
  <c r="Q238" i="2"/>
  <c r="Q222" i="2"/>
  <c r="Q206" i="2"/>
  <c r="Q190" i="2"/>
  <c r="Q174" i="2"/>
  <c r="Q158" i="2"/>
  <c r="Q142" i="2"/>
  <c r="Q126" i="2"/>
  <c r="Q110" i="2"/>
  <c r="Q94" i="2"/>
  <c r="Q78" i="2"/>
  <c r="Q62" i="2"/>
  <c r="Q46" i="2"/>
  <c r="Q30" i="2"/>
  <c r="Q14" i="2"/>
  <c r="Q1133" i="2"/>
  <c r="Q1117" i="2"/>
  <c r="Q1101" i="2"/>
  <c r="Q1085" i="2"/>
  <c r="Q1069" i="2"/>
  <c r="Q1053" i="2"/>
  <c r="Q1037" i="2"/>
  <c r="Q1021" i="2"/>
  <c r="Q1005" i="2"/>
  <c r="Q989" i="2"/>
  <c r="Q973" i="2"/>
  <c r="Q957" i="2"/>
  <c r="Q941" i="2"/>
  <c r="Q925" i="2"/>
  <c r="Q909" i="2"/>
  <c r="Q893" i="2"/>
  <c r="Q877" i="2"/>
  <c r="Q861" i="2"/>
  <c r="Q845" i="2"/>
  <c r="Q829" i="2"/>
  <c r="Q813" i="2"/>
  <c r="Q797" i="2"/>
  <c r="Q781" i="2"/>
  <c r="Q765" i="2"/>
  <c r="Q749" i="2"/>
  <c r="Q733" i="2"/>
  <c r="Q717" i="2"/>
  <c r="Q701" i="2"/>
  <c r="Q685" i="2"/>
  <c r="Q669" i="2"/>
  <c r="Q653" i="2"/>
  <c r="Q637" i="2"/>
  <c r="Q621" i="2"/>
  <c r="Q605" i="2"/>
  <c r="Q589" i="2"/>
  <c r="Q573" i="2"/>
  <c r="Q557" i="2"/>
  <c r="Q541" i="2"/>
  <c r="Q525" i="2"/>
  <c r="Q509" i="2"/>
  <c r="Q493" i="2"/>
  <c r="Q477" i="2"/>
  <c r="Q461" i="2"/>
  <c r="Q445" i="2"/>
  <c r="Q429" i="2"/>
  <c r="Q413" i="2"/>
  <c r="Q397" i="2"/>
  <c r="Q381" i="2"/>
  <c r="Q365" i="2"/>
  <c r="Q349" i="2"/>
  <c r="Q333" i="2"/>
  <c r="Q317" i="2"/>
  <c r="Q301" i="2"/>
  <c r="Q285" i="2"/>
  <c r="Q269" i="2"/>
  <c r="Q253" i="2"/>
  <c r="Q237" i="2"/>
  <c r="Q221" i="2"/>
  <c r="Q205" i="2"/>
  <c r="Q189" i="2"/>
  <c r="Q173" i="2"/>
  <c r="Q157" i="2"/>
  <c r="Q141" i="2"/>
  <c r="Q125" i="2"/>
  <c r="Q109" i="2"/>
  <c r="Q93" i="2"/>
  <c r="Q77" i="2"/>
  <c r="Q61" i="2"/>
  <c r="Q45" i="2"/>
  <c r="Q29" i="2"/>
  <c r="Q13" i="2"/>
  <c r="Q908" i="2"/>
  <c r="Q892" i="2"/>
  <c r="Q876" i="2"/>
  <c r="Q860" i="2"/>
  <c r="Q844" i="2"/>
  <c r="Q828" i="2"/>
  <c r="Q812" i="2"/>
  <c r="Q796" i="2"/>
  <c r="Q780" i="2"/>
  <c r="Q764" i="2"/>
  <c r="Q748" i="2"/>
  <c r="Q732" i="2"/>
  <c r="Q716" i="2"/>
  <c r="Q700" i="2"/>
  <c r="Q684" i="2"/>
  <c r="Q668" i="2"/>
  <c r="Q652" i="2"/>
  <c r="Q636" i="2"/>
  <c r="Q620" i="2"/>
  <c r="Q604" i="2"/>
  <c r="Q588" i="2"/>
  <c r="Q572" i="2"/>
  <c r="Q556" i="2"/>
  <c r="Q540" i="2"/>
  <c r="Q524" i="2"/>
  <c r="Q508" i="2"/>
  <c r="Q492" i="2"/>
  <c r="Q476" i="2"/>
  <c r="Q460" i="2"/>
  <c r="Q444" i="2"/>
  <c r="Q428" i="2"/>
  <c r="Q412" i="2"/>
  <c r="Q396" i="2"/>
  <c r="Q380" i="2"/>
  <c r="Q364" i="2"/>
  <c r="Q348" i="2"/>
  <c r="Q332" i="2"/>
  <c r="Q316" i="2"/>
  <c r="Q300" i="2"/>
  <c r="Q284" i="2"/>
  <c r="Q268" i="2"/>
  <c r="Q252" i="2"/>
  <c r="Q236" i="2"/>
  <c r="Q220" i="2"/>
  <c r="Q204" i="2"/>
  <c r="Q188" i="2"/>
  <c r="Q172" i="2"/>
  <c r="Q156" i="2"/>
  <c r="Q140" i="2"/>
  <c r="Q124" i="2"/>
  <c r="Q108" i="2"/>
  <c r="Q92" i="2"/>
  <c r="Q76" i="2"/>
  <c r="Q60" i="2"/>
  <c r="Q44" i="2"/>
  <c r="Q28" i="2"/>
  <c r="Q12" i="2"/>
  <c r="Q1259" i="2"/>
  <c r="Q1243" i="2"/>
  <c r="Q1227" i="2"/>
  <c r="Q1211" i="2"/>
  <c r="Q1195" i="2"/>
  <c r="Q1179" i="2"/>
  <c r="Q1163" i="2"/>
  <c r="Q1147" i="2"/>
  <c r="Q1131" i="2"/>
  <c r="Q1115" i="2"/>
  <c r="Q1099" i="2"/>
  <c r="Q1083" i="2"/>
  <c r="Q1067" i="2"/>
  <c r="Q1051" i="2"/>
  <c r="Q1035" i="2"/>
  <c r="Q1019" i="2"/>
  <c r="Q1003" i="2"/>
  <c r="Q987" i="2"/>
  <c r="Q971" i="2"/>
  <c r="Q955" i="2"/>
  <c r="Q939" i="2"/>
  <c r="Q923" i="2"/>
  <c r="Q907" i="2"/>
  <c r="Q891" i="2"/>
  <c r="Q875" i="2"/>
  <c r="Q859" i="2"/>
  <c r="Q843" i="2"/>
  <c r="Q827" i="2"/>
  <c r="Q811" i="2"/>
  <c r="Q795" i="2"/>
  <c r="Q779" i="2"/>
  <c r="Q763" i="2"/>
  <c r="Q747" i="2"/>
  <c r="Q731" i="2"/>
  <c r="Q715" i="2"/>
  <c r="Q699" i="2"/>
  <c r="Q683" i="2"/>
  <c r="Q667" i="2"/>
  <c r="Q651" i="2"/>
  <c r="Q635" i="2"/>
  <c r="Q619" i="2"/>
  <c r="Q603" i="2"/>
  <c r="Q587" i="2"/>
  <c r="Q571" i="2"/>
  <c r="Q555" i="2"/>
  <c r="Q539" i="2"/>
  <c r="Q523" i="2"/>
  <c r="Q507" i="2"/>
  <c r="Q491" i="2"/>
  <c r="Q475" i="2"/>
  <c r="Q459" i="2"/>
  <c r="Q443" i="2"/>
  <c r="Q427" i="2"/>
  <c r="Q411" i="2"/>
  <c r="Q395" i="2"/>
  <c r="Q379" i="2"/>
  <c r="Q363" i="2"/>
  <c r="Q347" i="2"/>
  <c r="Q331" i="2"/>
  <c r="Q315" i="2"/>
  <c r="Q299" i="2"/>
  <c r="Q283" i="2"/>
  <c r="Q267" i="2"/>
  <c r="Q251" i="2"/>
  <c r="Q235" i="2"/>
  <c r="Q219" i="2"/>
  <c r="Q203" i="2"/>
  <c r="Q187" i="2"/>
  <c r="Q171" i="2"/>
  <c r="Q155" i="2"/>
  <c r="Q139" i="2"/>
  <c r="Q123" i="2"/>
  <c r="Q107" i="2"/>
  <c r="Q91" i="2"/>
  <c r="Q75" i="2"/>
  <c r="Q59" i="2"/>
  <c r="Q43" i="2"/>
  <c r="Q27" i="2"/>
  <c r="Q11" i="2"/>
  <c r="S33" i="3" a="1"/>
  <c r="S33" i="3" s="1"/>
  <c r="S32" i="3" a="1"/>
  <c r="S32" i="3" s="1"/>
  <c r="R13" i="3"/>
  <c r="E3" i="3"/>
  <c r="E4" i="3"/>
  <c r="E5" i="3"/>
  <c r="E6" i="3"/>
  <c r="E7" i="3"/>
  <c r="E10" i="3"/>
  <c r="E2" i="3"/>
  <c r="H10" i="1"/>
  <c r="I10" i="1"/>
  <c r="J10" i="1"/>
  <c r="K10" i="1"/>
  <c r="L10" i="1"/>
  <c r="H9" i="1"/>
  <c r="I9" i="1"/>
  <c r="J9" i="1"/>
  <c r="K9" i="1"/>
  <c r="L9" i="1"/>
  <c r="H8" i="1"/>
  <c r="I8" i="1"/>
  <c r="J8" i="1"/>
  <c r="K8" i="1"/>
  <c r="L8" i="1"/>
  <c r="H7" i="1"/>
  <c r="I7" i="1"/>
  <c r="J7" i="1"/>
  <c r="K7" i="1"/>
  <c r="L7" i="1"/>
  <c r="H6" i="1"/>
  <c r="I6" i="1"/>
  <c r="J6" i="1"/>
  <c r="K6" i="1"/>
  <c r="L6" i="1"/>
  <c r="H5" i="1"/>
  <c r="I5" i="1"/>
  <c r="J5" i="1"/>
  <c r="K5" i="1"/>
  <c r="L5" i="1"/>
  <c r="H4" i="1"/>
  <c r="I4" i="1"/>
  <c r="J4" i="1"/>
  <c r="K4" i="1"/>
  <c r="L4" i="1"/>
  <c r="H3" i="1"/>
  <c r="I3" i="1"/>
  <c r="J3" i="1"/>
  <c r="K3" i="1"/>
  <c r="L3" i="1"/>
  <c r="J2" i="1"/>
  <c r="M2" i="1" s="1"/>
  <c r="L2" i="1"/>
  <c r="K2" i="1"/>
  <c r="I2" i="1"/>
  <c r="H2" i="1"/>
  <c r="P3647" i="2"/>
  <c r="R3647" i="2" s="1"/>
  <c r="P3646" i="2"/>
  <c r="R3646" i="2" s="1"/>
  <c r="P3645" i="2"/>
  <c r="R3645" i="2" s="1"/>
  <c r="P3644" i="2"/>
  <c r="R3644" i="2" s="1"/>
  <c r="P3643" i="2"/>
  <c r="R3643" i="2" s="1"/>
  <c r="P3642" i="2"/>
  <c r="R3642" i="2" s="1"/>
  <c r="P3641" i="2"/>
  <c r="R3641" i="2" s="1"/>
  <c r="P3640" i="2"/>
  <c r="R3640" i="2" s="1"/>
  <c r="P3639" i="2"/>
  <c r="R3639" i="2" s="1"/>
  <c r="P3638" i="2"/>
  <c r="R3638" i="2" s="1"/>
  <c r="P3637" i="2"/>
  <c r="R3637" i="2" s="1"/>
  <c r="P3636" i="2"/>
  <c r="P3635" i="2"/>
  <c r="R3635" i="2" s="1"/>
  <c r="P3634" i="2"/>
  <c r="R3634" i="2" s="1"/>
  <c r="P3633" i="2"/>
  <c r="R3633" i="2" s="1"/>
  <c r="P3632" i="2"/>
  <c r="R3632" i="2" s="1"/>
  <c r="P3631" i="2"/>
  <c r="R3631" i="2" s="1"/>
  <c r="P3630" i="2"/>
  <c r="R3630" i="2" s="1"/>
  <c r="P3629" i="2"/>
  <c r="R3629" i="2" s="1"/>
  <c r="P3628" i="2"/>
  <c r="R3628" i="2" s="1"/>
  <c r="P3627" i="2"/>
  <c r="R3627" i="2" s="1"/>
  <c r="P3626" i="2"/>
  <c r="R3626" i="2" s="1"/>
  <c r="P3625" i="2"/>
  <c r="R3625" i="2" s="1"/>
  <c r="P3624" i="2"/>
  <c r="R3624" i="2" s="1"/>
  <c r="P3623" i="2"/>
  <c r="R3623" i="2" s="1"/>
  <c r="P3622" i="2"/>
  <c r="R3622" i="2" s="1"/>
  <c r="P3621" i="2"/>
  <c r="R3621" i="2" s="1"/>
  <c r="P3620" i="2"/>
  <c r="R3620" i="2" s="1"/>
  <c r="P3619" i="2"/>
  <c r="R3619" i="2" s="1"/>
  <c r="P3618" i="2"/>
  <c r="R3618" i="2" s="1"/>
  <c r="P3617" i="2"/>
  <c r="R3617" i="2" s="1"/>
  <c r="P3616" i="2"/>
  <c r="P3615" i="2"/>
  <c r="R3615" i="2" s="1"/>
  <c r="P3614" i="2"/>
  <c r="R3614" i="2" s="1"/>
  <c r="P3613" i="2"/>
  <c r="R3613" i="2" s="1"/>
  <c r="P3612" i="2"/>
  <c r="R3612" i="2" s="1"/>
  <c r="P3611" i="2"/>
  <c r="R3611" i="2" s="1"/>
  <c r="P3610" i="2"/>
  <c r="R3610" i="2" s="1"/>
  <c r="P3609" i="2"/>
  <c r="R3609" i="2" s="1"/>
  <c r="P3608" i="2"/>
  <c r="R3608" i="2" s="1"/>
  <c r="P3607" i="2"/>
  <c r="R3607" i="2" s="1"/>
  <c r="P3606" i="2"/>
  <c r="R3606" i="2" s="1"/>
  <c r="P3605" i="2"/>
  <c r="R3605" i="2" s="1"/>
  <c r="P3604" i="2"/>
  <c r="R3604" i="2" s="1"/>
  <c r="P3603" i="2"/>
  <c r="R3603" i="2" s="1"/>
  <c r="P3602" i="2"/>
  <c r="R3602" i="2" s="1"/>
  <c r="P3601" i="2"/>
  <c r="P3600" i="2"/>
  <c r="R3600" i="2" s="1"/>
  <c r="P3599" i="2"/>
  <c r="R3599" i="2" s="1"/>
  <c r="P3598" i="2"/>
  <c r="R3598" i="2" s="1"/>
  <c r="P3597" i="2"/>
  <c r="R3597" i="2" s="1"/>
  <c r="P3596" i="2"/>
  <c r="R3596" i="2" s="1"/>
  <c r="P3595" i="2"/>
  <c r="R3595" i="2" s="1"/>
  <c r="P3594" i="2"/>
  <c r="R3594" i="2" s="1"/>
  <c r="P3593" i="2"/>
  <c r="R3593" i="2" s="1"/>
  <c r="P3592" i="2"/>
  <c r="R3592" i="2" s="1"/>
  <c r="P3591" i="2"/>
  <c r="R3591" i="2" s="1"/>
  <c r="P3590" i="2"/>
  <c r="R3590" i="2" s="1"/>
  <c r="P3589" i="2"/>
  <c r="R3589" i="2" s="1"/>
  <c r="P3588" i="2"/>
  <c r="R3588" i="2" s="1"/>
  <c r="P3587" i="2"/>
  <c r="R3587" i="2" s="1"/>
  <c r="P3586" i="2"/>
  <c r="R3586" i="2" s="1"/>
  <c r="P3585" i="2"/>
  <c r="R3585" i="2" s="1"/>
  <c r="P3584" i="2"/>
  <c r="R3584" i="2" s="1"/>
  <c r="P3583" i="2"/>
  <c r="R3583" i="2" s="1"/>
  <c r="P3582" i="2"/>
  <c r="R3582" i="2" s="1"/>
  <c r="P3581" i="2"/>
  <c r="R3581" i="2" s="1"/>
  <c r="P3580" i="2"/>
  <c r="R3580" i="2" s="1"/>
  <c r="P3579" i="2"/>
  <c r="R3579" i="2" s="1"/>
  <c r="P3578" i="2"/>
  <c r="R3578" i="2" s="1"/>
  <c r="P3577" i="2"/>
  <c r="R3577" i="2" s="1"/>
  <c r="P3576" i="2"/>
  <c r="R3576" i="2" s="1"/>
  <c r="P3575" i="2"/>
  <c r="R3575" i="2" s="1"/>
  <c r="P3574" i="2"/>
  <c r="R3574" i="2" s="1"/>
  <c r="P3573" i="2"/>
  <c r="R3573" i="2" s="1"/>
  <c r="P3572" i="2"/>
  <c r="R3572" i="2" s="1"/>
  <c r="P3571" i="2"/>
  <c r="R3571" i="2" s="1"/>
  <c r="P3570" i="2"/>
  <c r="R3570" i="2" s="1"/>
  <c r="P3569" i="2"/>
  <c r="R3569" i="2" s="1"/>
  <c r="P3568" i="2"/>
  <c r="R3568" i="2" s="1"/>
  <c r="P3567" i="2"/>
  <c r="R3567" i="2" s="1"/>
  <c r="P3566" i="2"/>
  <c r="R3566" i="2" s="1"/>
  <c r="P3565" i="2"/>
  <c r="R3565" i="2" s="1"/>
  <c r="P3564" i="2"/>
  <c r="R3564" i="2" s="1"/>
  <c r="P3563" i="2"/>
  <c r="R3563" i="2" s="1"/>
  <c r="P3562" i="2"/>
  <c r="R3562" i="2" s="1"/>
  <c r="P3561" i="2"/>
  <c r="R3561" i="2" s="1"/>
  <c r="P3560" i="2"/>
  <c r="R3560" i="2" s="1"/>
  <c r="P3559" i="2"/>
  <c r="R3559" i="2" s="1"/>
  <c r="P3558" i="2"/>
  <c r="R3558" i="2" s="1"/>
  <c r="P3557" i="2"/>
  <c r="R3557" i="2" s="1"/>
  <c r="P3556" i="2"/>
  <c r="R3556" i="2" s="1"/>
  <c r="P3555" i="2"/>
  <c r="R3555" i="2" s="1"/>
  <c r="P3554" i="2"/>
  <c r="R3554" i="2" s="1"/>
  <c r="P3553" i="2"/>
  <c r="R3553" i="2" s="1"/>
  <c r="P3552" i="2"/>
  <c r="R3552" i="2" s="1"/>
  <c r="P3551" i="2"/>
  <c r="R3551" i="2" s="1"/>
  <c r="P3550" i="2"/>
  <c r="R3550" i="2" s="1"/>
  <c r="P3549" i="2"/>
  <c r="R3549" i="2" s="1"/>
  <c r="P3548" i="2"/>
  <c r="R3548" i="2" s="1"/>
  <c r="P3547" i="2"/>
  <c r="R3547" i="2" s="1"/>
  <c r="P3546" i="2"/>
  <c r="R3546" i="2" s="1"/>
  <c r="P3545" i="2"/>
  <c r="R3545" i="2" s="1"/>
  <c r="P3544" i="2"/>
  <c r="R3544" i="2" s="1"/>
  <c r="P3543" i="2"/>
  <c r="R3543" i="2" s="1"/>
  <c r="P3542" i="2"/>
  <c r="R3542" i="2" s="1"/>
  <c r="P3541" i="2"/>
  <c r="R3541" i="2" s="1"/>
  <c r="P3540" i="2"/>
  <c r="R3540" i="2" s="1"/>
  <c r="P3539" i="2"/>
  <c r="R3539" i="2" s="1"/>
  <c r="P3538" i="2"/>
  <c r="R3538" i="2" s="1"/>
  <c r="P3537" i="2"/>
  <c r="R3537" i="2" s="1"/>
  <c r="P3536" i="2"/>
  <c r="R3536" i="2" s="1"/>
  <c r="P3535" i="2"/>
  <c r="R3535" i="2" s="1"/>
  <c r="P3534" i="2"/>
  <c r="R3534" i="2" s="1"/>
  <c r="P3533" i="2"/>
  <c r="R3533" i="2" s="1"/>
  <c r="P3532" i="2"/>
  <c r="R3532" i="2" s="1"/>
  <c r="P3531" i="2"/>
  <c r="R3531" i="2" s="1"/>
  <c r="P3530" i="2"/>
  <c r="R3530" i="2" s="1"/>
  <c r="P3529" i="2"/>
  <c r="R3529" i="2" s="1"/>
  <c r="P3528" i="2"/>
  <c r="R3528" i="2" s="1"/>
  <c r="P3527" i="2"/>
  <c r="R3527" i="2" s="1"/>
  <c r="P3526" i="2"/>
  <c r="R3526" i="2" s="1"/>
  <c r="P3525" i="2"/>
  <c r="R3525" i="2" s="1"/>
  <c r="P3524" i="2"/>
  <c r="R3524" i="2" s="1"/>
  <c r="P3523" i="2"/>
  <c r="R3523" i="2" s="1"/>
  <c r="P3522" i="2"/>
  <c r="R3522" i="2" s="1"/>
  <c r="P3521" i="2"/>
  <c r="P3520" i="2"/>
  <c r="R3520" i="2" s="1"/>
  <c r="P3519" i="2"/>
  <c r="R3519" i="2" s="1"/>
  <c r="P3518" i="2"/>
  <c r="R3518" i="2" s="1"/>
  <c r="P3517" i="2"/>
  <c r="R3517" i="2" s="1"/>
  <c r="P3516" i="2"/>
  <c r="R3516" i="2" s="1"/>
  <c r="P3515" i="2"/>
  <c r="R3515" i="2" s="1"/>
  <c r="P3514" i="2"/>
  <c r="R3514" i="2" s="1"/>
  <c r="P3513" i="2"/>
  <c r="R3513" i="2" s="1"/>
  <c r="P3512" i="2"/>
  <c r="R3512" i="2" s="1"/>
  <c r="P3511" i="2"/>
  <c r="R3511" i="2" s="1"/>
  <c r="P3510" i="2"/>
  <c r="R3510" i="2" s="1"/>
  <c r="P3509" i="2"/>
  <c r="R3509" i="2" s="1"/>
  <c r="P3508" i="2"/>
  <c r="R3508" i="2" s="1"/>
  <c r="P3507" i="2"/>
  <c r="P3506" i="2"/>
  <c r="R3506" i="2" s="1"/>
  <c r="P3505" i="2"/>
  <c r="R3505" i="2" s="1"/>
  <c r="P3504" i="2"/>
  <c r="R3504" i="2" s="1"/>
  <c r="P3503" i="2"/>
  <c r="R3503" i="2" s="1"/>
  <c r="P3502" i="2"/>
  <c r="R3502" i="2" s="1"/>
  <c r="P3501" i="2"/>
  <c r="R3501" i="2" s="1"/>
  <c r="P3500" i="2"/>
  <c r="R3500" i="2" s="1"/>
  <c r="P3499" i="2"/>
  <c r="R3499" i="2" s="1"/>
  <c r="P3498" i="2"/>
  <c r="R3498" i="2" s="1"/>
  <c r="P3497" i="2"/>
  <c r="R3497" i="2" s="1"/>
  <c r="P3496" i="2"/>
  <c r="R3496" i="2" s="1"/>
  <c r="P3495" i="2"/>
  <c r="R3495" i="2" s="1"/>
  <c r="P3494" i="2"/>
  <c r="R3494" i="2" s="1"/>
  <c r="P3493" i="2"/>
  <c r="R3493" i="2" s="1"/>
  <c r="P3492" i="2"/>
  <c r="R3492" i="2" s="1"/>
  <c r="P3491" i="2"/>
  <c r="R3491" i="2" s="1"/>
  <c r="P3490" i="2"/>
  <c r="R3490" i="2" s="1"/>
  <c r="P3489" i="2"/>
  <c r="R3489" i="2" s="1"/>
  <c r="P3488" i="2"/>
  <c r="R3488" i="2" s="1"/>
  <c r="P3487" i="2"/>
  <c r="R3487" i="2" s="1"/>
  <c r="P3486" i="2"/>
  <c r="R3486" i="2" s="1"/>
  <c r="P3485" i="2"/>
  <c r="R3485" i="2" s="1"/>
  <c r="P3484" i="2"/>
  <c r="R3484" i="2" s="1"/>
  <c r="P3483" i="2"/>
  <c r="R3483" i="2" s="1"/>
  <c r="P3482" i="2"/>
  <c r="R3482" i="2" s="1"/>
  <c r="P3481" i="2"/>
  <c r="R3481" i="2" s="1"/>
  <c r="P3480" i="2"/>
  <c r="R3480" i="2" s="1"/>
  <c r="P3479" i="2"/>
  <c r="R3479" i="2" s="1"/>
  <c r="P3478" i="2"/>
  <c r="R3478" i="2" s="1"/>
  <c r="P3477" i="2"/>
  <c r="R3477" i="2" s="1"/>
  <c r="P3476" i="2"/>
  <c r="R3476" i="2" s="1"/>
  <c r="P3475" i="2"/>
  <c r="R3475" i="2" s="1"/>
  <c r="P3474" i="2"/>
  <c r="R3474" i="2" s="1"/>
  <c r="P3473" i="2"/>
  <c r="R3473" i="2" s="1"/>
  <c r="P3472" i="2"/>
  <c r="R3472" i="2" s="1"/>
  <c r="P3471" i="2"/>
  <c r="R3471" i="2" s="1"/>
  <c r="P3470" i="2"/>
  <c r="R3470" i="2" s="1"/>
  <c r="P3469" i="2"/>
  <c r="R3469" i="2" s="1"/>
  <c r="P3468" i="2"/>
  <c r="R3468" i="2" s="1"/>
  <c r="P3467" i="2"/>
  <c r="R3467" i="2" s="1"/>
  <c r="P3466" i="2"/>
  <c r="R3466" i="2" s="1"/>
  <c r="P3465" i="2"/>
  <c r="R3465" i="2" s="1"/>
  <c r="P3464" i="2"/>
  <c r="R3464" i="2" s="1"/>
  <c r="P3463" i="2"/>
  <c r="R3463" i="2" s="1"/>
  <c r="P3462" i="2"/>
  <c r="R3462" i="2" s="1"/>
  <c r="P3461" i="2"/>
  <c r="R3461" i="2" s="1"/>
  <c r="P3460" i="2"/>
  <c r="R3460" i="2" s="1"/>
  <c r="P3459" i="2"/>
  <c r="P3458" i="2"/>
  <c r="R3458" i="2" s="1"/>
  <c r="P3457" i="2"/>
  <c r="R3457" i="2" s="1"/>
  <c r="P3456" i="2"/>
  <c r="R3456" i="2" s="1"/>
  <c r="P3455" i="2"/>
  <c r="R3455" i="2" s="1"/>
  <c r="P3454" i="2"/>
  <c r="R3454" i="2" s="1"/>
  <c r="P3453" i="2"/>
  <c r="R3453" i="2" s="1"/>
  <c r="P3452" i="2"/>
  <c r="R3452" i="2" s="1"/>
  <c r="P3451" i="2"/>
  <c r="R3451" i="2" s="1"/>
  <c r="P3450" i="2"/>
  <c r="R3450" i="2" s="1"/>
  <c r="P3449" i="2"/>
  <c r="R3449" i="2" s="1"/>
  <c r="P3448" i="2"/>
  <c r="R3448" i="2" s="1"/>
  <c r="P3447" i="2"/>
  <c r="R3447" i="2" s="1"/>
  <c r="P3446" i="2"/>
  <c r="R3446" i="2" s="1"/>
  <c r="P3445" i="2"/>
  <c r="R3445" i="2" s="1"/>
  <c r="P3444" i="2"/>
  <c r="R3444" i="2" s="1"/>
  <c r="P3443" i="2"/>
  <c r="R3443" i="2" s="1"/>
  <c r="P3442" i="2"/>
  <c r="R3442" i="2" s="1"/>
  <c r="P3441" i="2"/>
  <c r="R3441" i="2" s="1"/>
  <c r="P3440" i="2"/>
  <c r="R3440" i="2" s="1"/>
  <c r="P3439" i="2"/>
  <c r="R3439" i="2" s="1"/>
  <c r="P3438" i="2"/>
  <c r="R3438" i="2" s="1"/>
  <c r="P3437" i="2"/>
  <c r="R3437" i="2" s="1"/>
  <c r="P3436" i="2"/>
  <c r="R3436" i="2" s="1"/>
  <c r="P3435" i="2"/>
  <c r="R3435" i="2" s="1"/>
  <c r="P3434" i="2"/>
  <c r="R3434" i="2" s="1"/>
  <c r="P3433" i="2"/>
  <c r="R3433" i="2" s="1"/>
  <c r="P3432" i="2"/>
  <c r="R3432" i="2" s="1"/>
  <c r="P3431" i="2"/>
  <c r="R3431" i="2" s="1"/>
  <c r="P3430" i="2"/>
  <c r="R3430" i="2" s="1"/>
  <c r="P3429" i="2"/>
  <c r="R3429" i="2" s="1"/>
  <c r="P3428" i="2"/>
  <c r="R3428" i="2" s="1"/>
  <c r="P3427" i="2"/>
  <c r="R3427" i="2" s="1"/>
  <c r="P3426" i="2"/>
  <c r="R3426" i="2" s="1"/>
  <c r="P3425" i="2"/>
  <c r="R3425" i="2" s="1"/>
  <c r="P3424" i="2"/>
  <c r="R3424" i="2" s="1"/>
  <c r="P3423" i="2"/>
  <c r="R3423" i="2" s="1"/>
  <c r="P3422" i="2"/>
  <c r="R3422" i="2" s="1"/>
  <c r="P3421" i="2"/>
  <c r="R3421" i="2" s="1"/>
  <c r="P3420" i="2"/>
  <c r="R3420" i="2" s="1"/>
  <c r="P3419" i="2"/>
  <c r="R3419" i="2" s="1"/>
  <c r="P3418" i="2"/>
  <c r="R3418" i="2" s="1"/>
  <c r="P3417" i="2"/>
  <c r="R3417" i="2" s="1"/>
  <c r="P3416" i="2"/>
  <c r="R3416" i="2" s="1"/>
  <c r="P3415" i="2"/>
  <c r="R3415" i="2" s="1"/>
  <c r="P3414" i="2"/>
  <c r="R3414" i="2" s="1"/>
  <c r="P3413" i="2"/>
  <c r="R3413" i="2" s="1"/>
  <c r="P3412" i="2"/>
  <c r="R3412" i="2" s="1"/>
  <c r="P3411" i="2"/>
  <c r="R3411" i="2" s="1"/>
  <c r="P3410" i="2"/>
  <c r="R3410" i="2" s="1"/>
  <c r="P3409" i="2"/>
  <c r="R3409" i="2" s="1"/>
  <c r="P3408" i="2"/>
  <c r="R3408" i="2" s="1"/>
  <c r="P3407" i="2"/>
  <c r="R3407" i="2" s="1"/>
  <c r="P3406" i="2"/>
  <c r="R3406" i="2" s="1"/>
  <c r="P3405" i="2"/>
  <c r="R3405" i="2" s="1"/>
  <c r="P3404" i="2"/>
  <c r="R3404" i="2" s="1"/>
  <c r="P3403" i="2"/>
  <c r="R3403" i="2" s="1"/>
  <c r="P3402" i="2"/>
  <c r="R3402" i="2" s="1"/>
  <c r="P3401" i="2"/>
  <c r="R3401" i="2" s="1"/>
  <c r="P3400" i="2"/>
  <c r="R3400" i="2" s="1"/>
  <c r="P3399" i="2"/>
  <c r="R3399" i="2" s="1"/>
  <c r="P3398" i="2"/>
  <c r="R3398" i="2" s="1"/>
  <c r="P3397" i="2"/>
  <c r="R3397" i="2" s="1"/>
  <c r="P3396" i="2"/>
  <c r="R3396" i="2" s="1"/>
  <c r="P3395" i="2"/>
  <c r="R3395" i="2" s="1"/>
  <c r="P3394" i="2"/>
  <c r="R3394" i="2" s="1"/>
  <c r="P3393" i="2"/>
  <c r="R3393" i="2" s="1"/>
  <c r="P3392" i="2"/>
  <c r="R3392" i="2" s="1"/>
  <c r="P3391" i="2"/>
  <c r="R3391" i="2" s="1"/>
  <c r="P3390" i="2"/>
  <c r="R3390" i="2" s="1"/>
  <c r="P3389" i="2"/>
  <c r="R3389" i="2" s="1"/>
  <c r="P3388" i="2"/>
  <c r="R3388" i="2" s="1"/>
  <c r="P3387" i="2"/>
  <c r="R3387" i="2" s="1"/>
  <c r="P3386" i="2"/>
  <c r="R3386" i="2" s="1"/>
  <c r="P3385" i="2"/>
  <c r="R3385" i="2" s="1"/>
  <c r="P3384" i="2"/>
  <c r="R3384" i="2" s="1"/>
  <c r="P3383" i="2"/>
  <c r="R3383" i="2" s="1"/>
  <c r="P3382" i="2"/>
  <c r="R3382" i="2" s="1"/>
  <c r="P3381" i="2"/>
  <c r="R3381" i="2" s="1"/>
  <c r="P3380" i="2"/>
  <c r="P3379" i="2"/>
  <c r="R3379" i="2" s="1"/>
  <c r="P3378" i="2"/>
  <c r="R3378" i="2" s="1"/>
  <c r="P3377" i="2"/>
  <c r="R3377" i="2" s="1"/>
  <c r="P3376" i="2"/>
  <c r="R3376" i="2" s="1"/>
  <c r="P3375" i="2"/>
  <c r="R3375" i="2" s="1"/>
  <c r="P3374" i="2"/>
  <c r="R3374" i="2" s="1"/>
  <c r="P3373" i="2"/>
  <c r="R3373" i="2" s="1"/>
  <c r="P3372" i="2"/>
  <c r="R3372" i="2" s="1"/>
  <c r="P3371" i="2"/>
  <c r="R3371" i="2" s="1"/>
  <c r="P3370" i="2"/>
  <c r="R3370" i="2" s="1"/>
  <c r="P3369" i="2"/>
  <c r="R3369" i="2" s="1"/>
  <c r="P3368" i="2"/>
  <c r="R3368" i="2" s="1"/>
  <c r="P3367" i="2"/>
  <c r="R3367" i="2" s="1"/>
  <c r="P3366" i="2"/>
  <c r="R3366" i="2" s="1"/>
  <c r="P3365" i="2"/>
  <c r="R3365" i="2" s="1"/>
  <c r="P3364" i="2"/>
  <c r="R3364" i="2" s="1"/>
  <c r="P3363" i="2"/>
  <c r="R3363" i="2" s="1"/>
  <c r="P3362" i="2"/>
  <c r="R3362" i="2" s="1"/>
  <c r="P3361" i="2"/>
  <c r="R3361" i="2" s="1"/>
  <c r="P3360" i="2"/>
  <c r="P3359" i="2"/>
  <c r="R3359" i="2" s="1"/>
  <c r="P3358" i="2"/>
  <c r="R3358" i="2" s="1"/>
  <c r="P3357" i="2"/>
  <c r="R3357" i="2" s="1"/>
  <c r="P3356" i="2"/>
  <c r="R3356" i="2" s="1"/>
  <c r="P3355" i="2"/>
  <c r="R3355" i="2" s="1"/>
  <c r="P3354" i="2"/>
  <c r="R3354" i="2" s="1"/>
  <c r="P3353" i="2"/>
  <c r="R3353" i="2" s="1"/>
  <c r="P3352" i="2"/>
  <c r="R3352" i="2" s="1"/>
  <c r="P3351" i="2"/>
  <c r="R3351" i="2" s="1"/>
  <c r="P3350" i="2"/>
  <c r="R3350" i="2" s="1"/>
  <c r="P3349" i="2"/>
  <c r="R3349" i="2" s="1"/>
  <c r="P3348" i="2"/>
  <c r="R3348" i="2" s="1"/>
  <c r="P3347" i="2"/>
  <c r="R3347" i="2" s="1"/>
  <c r="P3346" i="2"/>
  <c r="R3346" i="2" s="1"/>
  <c r="P3345" i="2"/>
  <c r="R3345" i="2" s="1"/>
  <c r="P3344" i="2"/>
  <c r="R3344" i="2" s="1"/>
  <c r="P3343" i="2"/>
  <c r="R3343" i="2" s="1"/>
  <c r="P3342" i="2"/>
  <c r="R3342" i="2" s="1"/>
  <c r="P3341" i="2"/>
  <c r="R3341" i="2" s="1"/>
  <c r="P3340" i="2"/>
  <c r="R3340" i="2" s="1"/>
  <c r="P3339" i="2"/>
  <c r="R3339" i="2" s="1"/>
  <c r="P3338" i="2"/>
  <c r="R3338" i="2" s="1"/>
  <c r="P3337" i="2"/>
  <c r="R3337" i="2" s="1"/>
  <c r="P3336" i="2"/>
  <c r="R3336" i="2" s="1"/>
  <c r="P3335" i="2"/>
  <c r="R3335" i="2" s="1"/>
  <c r="P3334" i="2"/>
  <c r="R3334" i="2" s="1"/>
  <c r="P3333" i="2"/>
  <c r="R3333" i="2" s="1"/>
  <c r="P3332" i="2"/>
  <c r="R3332" i="2" s="1"/>
  <c r="P3331" i="2"/>
  <c r="R3331" i="2" s="1"/>
  <c r="P3330" i="2"/>
  <c r="R3330" i="2" s="1"/>
  <c r="P3329" i="2"/>
  <c r="R3329" i="2" s="1"/>
  <c r="P3328" i="2"/>
  <c r="R3328" i="2" s="1"/>
  <c r="P3327" i="2"/>
  <c r="R3327" i="2" s="1"/>
  <c r="P3326" i="2"/>
  <c r="R3326" i="2" s="1"/>
  <c r="P3325" i="2"/>
  <c r="R3325" i="2" s="1"/>
  <c r="P3324" i="2"/>
  <c r="R3324" i="2" s="1"/>
  <c r="P3323" i="2"/>
  <c r="R3323" i="2" s="1"/>
  <c r="P3322" i="2"/>
  <c r="R3322" i="2" s="1"/>
  <c r="P3321" i="2"/>
  <c r="R3321" i="2" s="1"/>
  <c r="P3320" i="2"/>
  <c r="R3320" i="2" s="1"/>
  <c r="P3319" i="2"/>
  <c r="R3319" i="2" s="1"/>
  <c r="P3318" i="2"/>
  <c r="R3318" i="2" s="1"/>
  <c r="P3317" i="2"/>
  <c r="R3317" i="2" s="1"/>
  <c r="P3316" i="2"/>
  <c r="R3316" i="2" s="1"/>
  <c r="P3315" i="2"/>
  <c r="R3315" i="2" s="1"/>
  <c r="P3314" i="2"/>
  <c r="R3314" i="2" s="1"/>
  <c r="P3313" i="2"/>
  <c r="R3313" i="2" s="1"/>
  <c r="P3312" i="2"/>
  <c r="R3312" i="2" s="1"/>
  <c r="P3311" i="2"/>
  <c r="R3311" i="2" s="1"/>
  <c r="P3310" i="2"/>
  <c r="R3310" i="2" s="1"/>
  <c r="P3309" i="2"/>
  <c r="R3309" i="2" s="1"/>
  <c r="P3308" i="2"/>
  <c r="R3308" i="2" s="1"/>
  <c r="P3307" i="2"/>
  <c r="R3307" i="2" s="1"/>
  <c r="P3306" i="2"/>
  <c r="R3306" i="2" s="1"/>
  <c r="P3305" i="2"/>
  <c r="R3305" i="2" s="1"/>
  <c r="P3304" i="2"/>
  <c r="R3304" i="2" s="1"/>
  <c r="P3303" i="2"/>
  <c r="R3303" i="2" s="1"/>
  <c r="P3302" i="2"/>
  <c r="R3302" i="2" s="1"/>
  <c r="P3301" i="2"/>
  <c r="R3301" i="2" s="1"/>
  <c r="P3300" i="2"/>
  <c r="R3300" i="2" s="1"/>
  <c r="P3299" i="2"/>
  <c r="R3299" i="2" s="1"/>
  <c r="P3298" i="2"/>
  <c r="P3297" i="2"/>
  <c r="R3297" i="2" s="1"/>
  <c r="P3296" i="2"/>
  <c r="R3296" i="2" s="1"/>
  <c r="P3295" i="2"/>
  <c r="R3295" i="2" s="1"/>
  <c r="P3294" i="2"/>
  <c r="R3294" i="2" s="1"/>
  <c r="P3293" i="2"/>
  <c r="R3293" i="2" s="1"/>
  <c r="P3292" i="2"/>
  <c r="R3292" i="2" s="1"/>
  <c r="P3291" i="2"/>
  <c r="R3291" i="2" s="1"/>
  <c r="P3290" i="2"/>
  <c r="R3290" i="2" s="1"/>
  <c r="P3289" i="2"/>
  <c r="R3289" i="2" s="1"/>
  <c r="P3288" i="2"/>
  <c r="R3288" i="2" s="1"/>
  <c r="P3287" i="2"/>
  <c r="R3287" i="2" s="1"/>
  <c r="P3286" i="2"/>
  <c r="R3286" i="2" s="1"/>
  <c r="P3285" i="2"/>
  <c r="R3285" i="2" s="1"/>
  <c r="P3284" i="2"/>
  <c r="R3284" i="2" s="1"/>
  <c r="P3283" i="2"/>
  <c r="R3283" i="2" s="1"/>
  <c r="P3282" i="2"/>
  <c r="R3282" i="2" s="1"/>
  <c r="P3281" i="2"/>
  <c r="R3281" i="2" s="1"/>
  <c r="P3280" i="2"/>
  <c r="R3280" i="2" s="1"/>
  <c r="P3279" i="2"/>
  <c r="R3279" i="2" s="1"/>
  <c r="P3278" i="2"/>
  <c r="R3278" i="2" s="1"/>
  <c r="P3277" i="2"/>
  <c r="R3277" i="2" s="1"/>
  <c r="P3276" i="2"/>
  <c r="R3276" i="2" s="1"/>
  <c r="P3275" i="2"/>
  <c r="R3275" i="2" s="1"/>
  <c r="P3274" i="2"/>
  <c r="R3274" i="2" s="1"/>
  <c r="P3273" i="2"/>
  <c r="R3273" i="2" s="1"/>
  <c r="P3272" i="2"/>
  <c r="R3272" i="2" s="1"/>
  <c r="P3271" i="2"/>
  <c r="R3271" i="2" s="1"/>
  <c r="P3270" i="2"/>
  <c r="R3270" i="2" s="1"/>
  <c r="P3269" i="2"/>
  <c r="R3269" i="2" s="1"/>
  <c r="P3268" i="2"/>
  <c r="R3268" i="2" s="1"/>
  <c r="P3267" i="2"/>
  <c r="R3267" i="2" s="1"/>
  <c r="P3266" i="2"/>
  <c r="R3266" i="2" s="1"/>
  <c r="P3265" i="2"/>
  <c r="R3265" i="2" s="1"/>
  <c r="P3264" i="2"/>
  <c r="R3264" i="2" s="1"/>
  <c r="P3263" i="2"/>
  <c r="R3263" i="2" s="1"/>
  <c r="P3262" i="2"/>
  <c r="R3262" i="2" s="1"/>
  <c r="P3261" i="2"/>
  <c r="P3260" i="2"/>
  <c r="R3260" i="2" s="1"/>
  <c r="P3259" i="2"/>
  <c r="R3259" i="2" s="1"/>
  <c r="P3258" i="2"/>
  <c r="R3258" i="2" s="1"/>
  <c r="P3257" i="2"/>
  <c r="R3257" i="2" s="1"/>
  <c r="P3256" i="2"/>
  <c r="R3256" i="2" s="1"/>
  <c r="P3255" i="2"/>
  <c r="R3255" i="2" s="1"/>
  <c r="P3254" i="2"/>
  <c r="R3254" i="2" s="1"/>
  <c r="P3253" i="2"/>
  <c r="R3253" i="2" s="1"/>
  <c r="P3252" i="2"/>
  <c r="R3252" i="2" s="1"/>
  <c r="P3251" i="2"/>
  <c r="R3251" i="2" s="1"/>
  <c r="P3250" i="2"/>
  <c r="R3250" i="2" s="1"/>
  <c r="P3249" i="2"/>
  <c r="R3249" i="2" s="1"/>
  <c r="P3248" i="2"/>
  <c r="R3248" i="2" s="1"/>
  <c r="P3247" i="2"/>
  <c r="R3247" i="2" s="1"/>
  <c r="P3246" i="2"/>
  <c r="R3246" i="2" s="1"/>
  <c r="P3245" i="2"/>
  <c r="R3245" i="2" s="1"/>
  <c r="P3244" i="2"/>
  <c r="R3244" i="2" s="1"/>
  <c r="P3243" i="2"/>
  <c r="R3243" i="2" s="1"/>
  <c r="P3242" i="2"/>
  <c r="R3242" i="2" s="1"/>
  <c r="P3241" i="2"/>
  <c r="R3241" i="2" s="1"/>
  <c r="P3240" i="2"/>
  <c r="R3240" i="2" s="1"/>
  <c r="P3239" i="2"/>
  <c r="R3239" i="2" s="1"/>
  <c r="P3238" i="2"/>
  <c r="R3238" i="2" s="1"/>
  <c r="P3237" i="2"/>
  <c r="R3237" i="2" s="1"/>
  <c r="P3236" i="2"/>
  <c r="R3236" i="2" s="1"/>
  <c r="P3235" i="2"/>
  <c r="R3235" i="2" s="1"/>
  <c r="P3234" i="2"/>
  <c r="R3234" i="2" s="1"/>
  <c r="P3233" i="2"/>
  <c r="R3233" i="2" s="1"/>
  <c r="P3232" i="2"/>
  <c r="R3232" i="2" s="1"/>
  <c r="P3231" i="2"/>
  <c r="R3231" i="2" s="1"/>
  <c r="P3230" i="2"/>
  <c r="R3230" i="2" s="1"/>
  <c r="P3229" i="2"/>
  <c r="R3229" i="2" s="1"/>
  <c r="P3228" i="2"/>
  <c r="R3228" i="2" s="1"/>
  <c r="P3227" i="2"/>
  <c r="R3227" i="2" s="1"/>
  <c r="P3226" i="2"/>
  <c r="R3226" i="2" s="1"/>
  <c r="P3225" i="2"/>
  <c r="R3225" i="2" s="1"/>
  <c r="P3224" i="2"/>
  <c r="R3224" i="2" s="1"/>
  <c r="P3223" i="2"/>
  <c r="R3223" i="2" s="1"/>
  <c r="P3222" i="2"/>
  <c r="R3222" i="2" s="1"/>
  <c r="P3221" i="2"/>
  <c r="R3221" i="2" s="1"/>
  <c r="P3220" i="2"/>
  <c r="R3220" i="2" s="1"/>
  <c r="P3219" i="2"/>
  <c r="R3219" i="2" s="1"/>
  <c r="P3218" i="2"/>
  <c r="P3217" i="2"/>
  <c r="R3217" i="2" s="1"/>
  <c r="P3216" i="2"/>
  <c r="R3216" i="2" s="1"/>
  <c r="P3215" i="2"/>
  <c r="R3215" i="2" s="1"/>
  <c r="P3214" i="2"/>
  <c r="R3214" i="2" s="1"/>
  <c r="P3213" i="2"/>
  <c r="R3213" i="2" s="1"/>
  <c r="P3212" i="2"/>
  <c r="R3212" i="2" s="1"/>
  <c r="P3211" i="2"/>
  <c r="R3211" i="2" s="1"/>
  <c r="P3210" i="2"/>
  <c r="R3210" i="2" s="1"/>
  <c r="P3209" i="2"/>
  <c r="R3209" i="2" s="1"/>
  <c r="P3208" i="2"/>
  <c r="R3208" i="2" s="1"/>
  <c r="P3207" i="2"/>
  <c r="R3207" i="2" s="1"/>
  <c r="P3206" i="2"/>
  <c r="R3206" i="2" s="1"/>
  <c r="P3205" i="2"/>
  <c r="R3205" i="2" s="1"/>
  <c r="P3204" i="2"/>
  <c r="R3204" i="2" s="1"/>
  <c r="P3203" i="2"/>
  <c r="R3203" i="2" s="1"/>
  <c r="P3202" i="2"/>
  <c r="R3202" i="2" s="1"/>
  <c r="P3201" i="2"/>
  <c r="R3201" i="2" s="1"/>
  <c r="P3200" i="2"/>
  <c r="R3200" i="2" s="1"/>
  <c r="P3199" i="2"/>
  <c r="R3199" i="2" s="1"/>
  <c r="P3198" i="2"/>
  <c r="R3198" i="2" s="1"/>
  <c r="P3197" i="2"/>
  <c r="R3197" i="2" s="1"/>
  <c r="P3196" i="2"/>
  <c r="R3196" i="2" s="1"/>
  <c r="P3195" i="2"/>
  <c r="R3195" i="2" s="1"/>
  <c r="P3194" i="2"/>
  <c r="R3194" i="2" s="1"/>
  <c r="P3193" i="2"/>
  <c r="R3193" i="2" s="1"/>
  <c r="P3192" i="2"/>
  <c r="R3192" i="2" s="1"/>
  <c r="P3191" i="2"/>
  <c r="R3191" i="2" s="1"/>
  <c r="P3190" i="2"/>
  <c r="R3190" i="2" s="1"/>
  <c r="P3189" i="2"/>
  <c r="R3189" i="2" s="1"/>
  <c r="P3188" i="2"/>
  <c r="R3188" i="2" s="1"/>
  <c r="P3187" i="2"/>
  <c r="R3187" i="2" s="1"/>
  <c r="P3186" i="2"/>
  <c r="R3186" i="2" s="1"/>
  <c r="P3185" i="2"/>
  <c r="R3185" i="2" s="1"/>
  <c r="P3184" i="2"/>
  <c r="R3184" i="2" s="1"/>
  <c r="P3183" i="2"/>
  <c r="R3183" i="2" s="1"/>
  <c r="P3182" i="2"/>
  <c r="R3182" i="2" s="1"/>
  <c r="P3181" i="2"/>
  <c r="R3181" i="2" s="1"/>
  <c r="P3180" i="2"/>
  <c r="R3180" i="2" s="1"/>
  <c r="P3179" i="2"/>
  <c r="R3179" i="2" s="1"/>
  <c r="P3178" i="2"/>
  <c r="R3178" i="2" s="1"/>
  <c r="P3177" i="2"/>
  <c r="R3177" i="2" s="1"/>
  <c r="P3176" i="2"/>
  <c r="R3176" i="2" s="1"/>
  <c r="P3175" i="2"/>
  <c r="R3175" i="2" s="1"/>
  <c r="P3174" i="2"/>
  <c r="R3174" i="2" s="1"/>
  <c r="P3173" i="2"/>
  <c r="R3173" i="2" s="1"/>
  <c r="P3172" i="2"/>
  <c r="R3172" i="2" s="1"/>
  <c r="P3171" i="2"/>
  <c r="P3170" i="2"/>
  <c r="R3170" i="2" s="1"/>
  <c r="P3169" i="2"/>
  <c r="R3169" i="2" s="1"/>
  <c r="P3168" i="2"/>
  <c r="R3168" i="2" s="1"/>
  <c r="P3167" i="2"/>
  <c r="R3167" i="2" s="1"/>
  <c r="P3166" i="2"/>
  <c r="R3166" i="2" s="1"/>
  <c r="P3165" i="2"/>
  <c r="R3165" i="2" s="1"/>
  <c r="P3164" i="2"/>
  <c r="R3164" i="2" s="1"/>
  <c r="P3163" i="2"/>
  <c r="R3163" i="2" s="1"/>
  <c r="P3162" i="2"/>
  <c r="R3162" i="2" s="1"/>
  <c r="P3161" i="2"/>
  <c r="R3161" i="2" s="1"/>
  <c r="P3160" i="2"/>
  <c r="R3160" i="2" s="1"/>
  <c r="P3159" i="2"/>
  <c r="R3159" i="2" s="1"/>
  <c r="P3158" i="2"/>
  <c r="R3158" i="2" s="1"/>
  <c r="P3157" i="2"/>
  <c r="R3157" i="2" s="1"/>
  <c r="P3156" i="2"/>
  <c r="R3156" i="2" s="1"/>
  <c r="P3155" i="2"/>
  <c r="R3155" i="2" s="1"/>
  <c r="P3154" i="2"/>
  <c r="R3154" i="2" s="1"/>
  <c r="P3153" i="2"/>
  <c r="R3153" i="2" s="1"/>
  <c r="P3152" i="2"/>
  <c r="R3152" i="2" s="1"/>
  <c r="P3151" i="2"/>
  <c r="R3151" i="2" s="1"/>
  <c r="P3150" i="2"/>
  <c r="R3150" i="2" s="1"/>
  <c r="P3149" i="2"/>
  <c r="R3149" i="2" s="1"/>
  <c r="P3148" i="2"/>
  <c r="R3148" i="2" s="1"/>
  <c r="P3147" i="2"/>
  <c r="R3147" i="2" s="1"/>
  <c r="P3146" i="2"/>
  <c r="R3146" i="2" s="1"/>
  <c r="P3145" i="2"/>
  <c r="R3145" i="2" s="1"/>
  <c r="P3144" i="2"/>
  <c r="R3144" i="2" s="1"/>
  <c r="P3143" i="2"/>
  <c r="R3143" i="2" s="1"/>
  <c r="P3142" i="2"/>
  <c r="R3142" i="2" s="1"/>
  <c r="P3141" i="2"/>
  <c r="R3141" i="2" s="1"/>
  <c r="P3140" i="2"/>
  <c r="R3140" i="2" s="1"/>
  <c r="P3139" i="2"/>
  <c r="R3139" i="2" s="1"/>
  <c r="P3138" i="2"/>
  <c r="R3138" i="2" s="1"/>
  <c r="P3137" i="2"/>
  <c r="R3137" i="2" s="1"/>
  <c r="P3136" i="2"/>
  <c r="R3136" i="2" s="1"/>
  <c r="P3135" i="2"/>
  <c r="R3135" i="2" s="1"/>
  <c r="P3134" i="2"/>
  <c r="R3134" i="2" s="1"/>
  <c r="P3133" i="2"/>
  <c r="R3133" i="2" s="1"/>
  <c r="P3132" i="2"/>
  <c r="R3132" i="2" s="1"/>
  <c r="P3131" i="2"/>
  <c r="R3131" i="2" s="1"/>
  <c r="P3130" i="2"/>
  <c r="R3130" i="2" s="1"/>
  <c r="P3129" i="2"/>
  <c r="R3129" i="2" s="1"/>
  <c r="P3128" i="2"/>
  <c r="R3128" i="2" s="1"/>
  <c r="P3127" i="2"/>
  <c r="R3127" i="2" s="1"/>
  <c r="P3126" i="2"/>
  <c r="R3126" i="2" s="1"/>
  <c r="P3125" i="2"/>
  <c r="R3125" i="2" s="1"/>
  <c r="P3124" i="2"/>
  <c r="P3123" i="2"/>
  <c r="R3123" i="2" s="1"/>
  <c r="P3122" i="2"/>
  <c r="R3122" i="2" s="1"/>
  <c r="P3121" i="2"/>
  <c r="R3121" i="2" s="1"/>
  <c r="P3120" i="2"/>
  <c r="R3120" i="2" s="1"/>
  <c r="P3119" i="2"/>
  <c r="R3119" i="2" s="1"/>
  <c r="P3118" i="2"/>
  <c r="R3118" i="2" s="1"/>
  <c r="P3117" i="2"/>
  <c r="R3117" i="2" s="1"/>
  <c r="P3116" i="2"/>
  <c r="R3116" i="2" s="1"/>
  <c r="P3115" i="2"/>
  <c r="R3115" i="2" s="1"/>
  <c r="P3114" i="2"/>
  <c r="R3114" i="2" s="1"/>
  <c r="P3113" i="2"/>
  <c r="R3113" i="2" s="1"/>
  <c r="P3112" i="2"/>
  <c r="R3112" i="2" s="1"/>
  <c r="P3111" i="2"/>
  <c r="R3111" i="2" s="1"/>
  <c r="P3110" i="2"/>
  <c r="R3110" i="2" s="1"/>
  <c r="P3109" i="2"/>
  <c r="R3109" i="2" s="1"/>
  <c r="P3108" i="2"/>
  <c r="R3108" i="2" s="1"/>
  <c r="P3107" i="2"/>
  <c r="R3107" i="2" s="1"/>
  <c r="P3106" i="2"/>
  <c r="R3106" i="2" s="1"/>
  <c r="P3105" i="2"/>
  <c r="R3105" i="2" s="1"/>
  <c r="P3104" i="2"/>
  <c r="P3103" i="2"/>
  <c r="R3103" i="2" s="1"/>
  <c r="P3102" i="2"/>
  <c r="R3102" i="2" s="1"/>
  <c r="P3101" i="2"/>
  <c r="R3101" i="2" s="1"/>
  <c r="P3100" i="2"/>
  <c r="R3100" i="2" s="1"/>
  <c r="P3099" i="2"/>
  <c r="R3099" i="2" s="1"/>
  <c r="P3098" i="2"/>
  <c r="R3098" i="2" s="1"/>
  <c r="P3097" i="2"/>
  <c r="R3097" i="2" s="1"/>
  <c r="P3096" i="2"/>
  <c r="R3096" i="2" s="1"/>
  <c r="P3095" i="2"/>
  <c r="R3095" i="2" s="1"/>
  <c r="P3094" i="2"/>
  <c r="R3094" i="2" s="1"/>
  <c r="P3093" i="2"/>
  <c r="R3093" i="2" s="1"/>
  <c r="P3092" i="2"/>
  <c r="R3092" i="2" s="1"/>
  <c r="P3091" i="2"/>
  <c r="R3091" i="2" s="1"/>
  <c r="P3090" i="2"/>
  <c r="R3090" i="2" s="1"/>
  <c r="P3089" i="2"/>
  <c r="R3089" i="2" s="1"/>
  <c r="P3088" i="2"/>
  <c r="R3088" i="2" s="1"/>
  <c r="P3087" i="2"/>
  <c r="R3087" i="2" s="1"/>
  <c r="P3086" i="2"/>
  <c r="R3086" i="2" s="1"/>
  <c r="P3085" i="2"/>
  <c r="R3085" i="2" s="1"/>
  <c r="P3084" i="2"/>
  <c r="R3084" i="2" s="1"/>
  <c r="P3083" i="2"/>
  <c r="R3083" i="2" s="1"/>
  <c r="P3082" i="2"/>
  <c r="R3082" i="2" s="1"/>
  <c r="P3081" i="2"/>
  <c r="R3081" i="2" s="1"/>
  <c r="P3080" i="2"/>
  <c r="R3080" i="2" s="1"/>
  <c r="P3079" i="2"/>
  <c r="R3079" i="2" s="1"/>
  <c r="P3078" i="2"/>
  <c r="R3078" i="2" s="1"/>
  <c r="P3077" i="2"/>
  <c r="R3077" i="2" s="1"/>
  <c r="P3076" i="2"/>
  <c r="R3076" i="2" s="1"/>
  <c r="P3075" i="2"/>
  <c r="R3075" i="2" s="1"/>
  <c r="P3074" i="2"/>
  <c r="R3074" i="2" s="1"/>
  <c r="P3073" i="2"/>
  <c r="P3072" i="2"/>
  <c r="R3072" i="2" s="1"/>
  <c r="P3071" i="2"/>
  <c r="R3071" i="2" s="1"/>
  <c r="P3070" i="2"/>
  <c r="R3070" i="2" s="1"/>
  <c r="P3069" i="2"/>
  <c r="R3069" i="2" s="1"/>
  <c r="P3068" i="2"/>
  <c r="R3068" i="2" s="1"/>
  <c r="P3067" i="2"/>
  <c r="R3067" i="2" s="1"/>
  <c r="P3066" i="2"/>
  <c r="R3066" i="2" s="1"/>
  <c r="P3065" i="2"/>
  <c r="R3065" i="2" s="1"/>
  <c r="P3064" i="2"/>
  <c r="R3064" i="2" s="1"/>
  <c r="P3063" i="2"/>
  <c r="R3063" i="2" s="1"/>
  <c r="P3062" i="2"/>
  <c r="R3062" i="2" s="1"/>
  <c r="P3061" i="2"/>
  <c r="R3061" i="2" s="1"/>
  <c r="P3060" i="2"/>
  <c r="R3060" i="2" s="1"/>
  <c r="P3059" i="2"/>
  <c r="R3059" i="2" s="1"/>
  <c r="P3058" i="2"/>
  <c r="R3058" i="2" s="1"/>
  <c r="P3057" i="2"/>
  <c r="R3057" i="2" s="1"/>
  <c r="P3056" i="2"/>
  <c r="R3056" i="2" s="1"/>
  <c r="P3055" i="2"/>
  <c r="R3055" i="2" s="1"/>
  <c r="P3054" i="2"/>
  <c r="R3054" i="2" s="1"/>
  <c r="P3053" i="2"/>
  <c r="R3053" i="2" s="1"/>
  <c r="P3052" i="2"/>
  <c r="R3052" i="2" s="1"/>
  <c r="P3051" i="2"/>
  <c r="R3051" i="2" s="1"/>
  <c r="P3050" i="2"/>
  <c r="R3050" i="2" s="1"/>
  <c r="P3049" i="2"/>
  <c r="R3049" i="2" s="1"/>
  <c r="P3048" i="2"/>
  <c r="R3048" i="2" s="1"/>
  <c r="P3047" i="2"/>
  <c r="R3047" i="2" s="1"/>
  <c r="P3046" i="2"/>
  <c r="R3046" i="2" s="1"/>
  <c r="P3045" i="2"/>
  <c r="R3045" i="2" s="1"/>
  <c r="P3044" i="2"/>
  <c r="R3044" i="2" s="1"/>
  <c r="P3043" i="2"/>
  <c r="R3043" i="2" s="1"/>
  <c r="P3042" i="2"/>
  <c r="R3042" i="2" s="1"/>
  <c r="P3041" i="2"/>
  <c r="R3041" i="2" s="1"/>
  <c r="P3040" i="2"/>
  <c r="R3040" i="2" s="1"/>
  <c r="P3039" i="2"/>
  <c r="R3039" i="2" s="1"/>
  <c r="P3038" i="2"/>
  <c r="R3038" i="2" s="1"/>
  <c r="P3037" i="2"/>
  <c r="R3037" i="2" s="1"/>
  <c r="P3036" i="2"/>
  <c r="R3036" i="2" s="1"/>
  <c r="P3035" i="2"/>
  <c r="R3035" i="2" s="1"/>
  <c r="P3034" i="2"/>
  <c r="R3034" i="2" s="1"/>
  <c r="P3033" i="2"/>
  <c r="R3033" i="2" s="1"/>
  <c r="P3032" i="2"/>
  <c r="R3032" i="2" s="1"/>
  <c r="P3031" i="2"/>
  <c r="R3031" i="2" s="1"/>
  <c r="P3030" i="2"/>
  <c r="R3030" i="2" s="1"/>
  <c r="P3029" i="2"/>
  <c r="R3029" i="2" s="1"/>
  <c r="P3028" i="2"/>
  <c r="R3028" i="2" s="1"/>
  <c r="P3027" i="2"/>
  <c r="R3027" i="2" s="1"/>
  <c r="P3026" i="2"/>
  <c r="R3026" i="2" s="1"/>
  <c r="P3025" i="2"/>
  <c r="P3024" i="2"/>
  <c r="R3024" i="2" s="1"/>
  <c r="P3023" i="2"/>
  <c r="R3023" i="2" s="1"/>
  <c r="P3022" i="2"/>
  <c r="R3022" i="2" s="1"/>
  <c r="P3021" i="2"/>
  <c r="R3021" i="2" s="1"/>
  <c r="P3020" i="2"/>
  <c r="R3020" i="2" s="1"/>
  <c r="P3019" i="2"/>
  <c r="R3019" i="2" s="1"/>
  <c r="P3018" i="2"/>
  <c r="R3018" i="2" s="1"/>
  <c r="P3017" i="2"/>
  <c r="R3017" i="2" s="1"/>
  <c r="P3016" i="2"/>
  <c r="R3016" i="2" s="1"/>
  <c r="P3015" i="2"/>
  <c r="R3015" i="2" s="1"/>
  <c r="P3014" i="2"/>
  <c r="R3014" i="2" s="1"/>
  <c r="P3013" i="2"/>
  <c r="R3013" i="2" s="1"/>
  <c r="P3012" i="2"/>
  <c r="R3012" i="2" s="1"/>
  <c r="P3011" i="2"/>
  <c r="R3011" i="2" s="1"/>
  <c r="P3010" i="2"/>
  <c r="R3010" i="2" s="1"/>
  <c r="P3009" i="2"/>
  <c r="R3009" i="2" s="1"/>
  <c r="P3008" i="2"/>
  <c r="R3008" i="2" s="1"/>
  <c r="P3007" i="2"/>
  <c r="R3007" i="2" s="1"/>
  <c r="P3006" i="2"/>
  <c r="R3006" i="2" s="1"/>
  <c r="P3005" i="2"/>
  <c r="P3004" i="2"/>
  <c r="R3004" i="2" s="1"/>
  <c r="P3003" i="2"/>
  <c r="R3003" i="2" s="1"/>
  <c r="P3002" i="2"/>
  <c r="R3002" i="2" s="1"/>
  <c r="P3001" i="2"/>
  <c r="R3001" i="2" s="1"/>
  <c r="P3000" i="2"/>
  <c r="R3000" i="2" s="1"/>
  <c r="P2999" i="2"/>
  <c r="R2999" i="2" s="1"/>
  <c r="P2998" i="2"/>
  <c r="R2998" i="2" s="1"/>
  <c r="P2997" i="2"/>
  <c r="R2997" i="2" s="1"/>
  <c r="P2996" i="2"/>
  <c r="R2996" i="2" s="1"/>
  <c r="P2995" i="2"/>
  <c r="R2995" i="2" s="1"/>
  <c r="P2994" i="2"/>
  <c r="R2994" i="2" s="1"/>
  <c r="P2993" i="2"/>
  <c r="R2993" i="2" s="1"/>
  <c r="P2992" i="2"/>
  <c r="R2992" i="2" s="1"/>
  <c r="P2991" i="2"/>
  <c r="R2991" i="2" s="1"/>
  <c r="P2990" i="2"/>
  <c r="R2990" i="2" s="1"/>
  <c r="P2989" i="2"/>
  <c r="R2989" i="2" s="1"/>
  <c r="P2988" i="2"/>
  <c r="R2988" i="2" s="1"/>
  <c r="P2987" i="2"/>
  <c r="R2987" i="2" s="1"/>
  <c r="P2986" i="2"/>
  <c r="R2986" i="2" s="1"/>
  <c r="P2985" i="2"/>
  <c r="R2985" i="2" s="1"/>
  <c r="P2984" i="2"/>
  <c r="R2984" i="2" s="1"/>
  <c r="P2983" i="2"/>
  <c r="R2983" i="2" s="1"/>
  <c r="P2982" i="2"/>
  <c r="R2982" i="2" s="1"/>
  <c r="P2981" i="2"/>
  <c r="R2981" i="2" s="1"/>
  <c r="P2980" i="2"/>
  <c r="R2980" i="2" s="1"/>
  <c r="P2979" i="2"/>
  <c r="R2979" i="2" s="1"/>
  <c r="P2978" i="2"/>
  <c r="R2978" i="2" s="1"/>
  <c r="P2977" i="2"/>
  <c r="R2977" i="2" s="1"/>
  <c r="P2976" i="2"/>
  <c r="R2976" i="2" s="1"/>
  <c r="P2975" i="2"/>
  <c r="R2975" i="2" s="1"/>
  <c r="P2974" i="2"/>
  <c r="R2974" i="2" s="1"/>
  <c r="P2973" i="2"/>
  <c r="R2973" i="2" s="1"/>
  <c r="P2972" i="2"/>
  <c r="R2972" i="2" s="1"/>
  <c r="P2971" i="2"/>
  <c r="R2971" i="2" s="1"/>
  <c r="P2970" i="2"/>
  <c r="R2970" i="2" s="1"/>
  <c r="P2969" i="2"/>
  <c r="R2969" i="2" s="1"/>
  <c r="P2968" i="2"/>
  <c r="R2968" i="2" s="1"/>
  <c r="P2967" i="2"/>
  <c r="R2967" i="2" s="1"/>
  <c r="P2966" i="2"/>
  <c r="R2966" i="2" s="1"/>
  <c r="P2965" i="2"/>
  <c r="R2965" i="2" s="1"/>
  <c r="P2964" i="2"/>
  <c r="R2964" i="2" s="1"/>
  <c r="P2963" i="2"/>
  <c r="R2963" i="2" s="1"/>
  <c r="P2962" i="2"/>
  <c r="R2962" i="2" s="1"/>
  <c r="P2961" i="2"/>
  <c r="R2961" i="2" s="1"/>
  <c r="P2960" i="2"/>
  <c r="R2960" i="2" s="1"/>
  <c r="P2959" i="2"/>
  <c r="R2959" i="2" s="1"/>
  <c r="P2958" i="2"/>
  <c r="R2958" i="2" s="1"/>
  <c r="P2957" i="2"/>
  <c r="R2957" i="2" s="1"/>
  <c r="P2956" i="2"/>
  <c r="R2956" i="2" s="1"/>
  <c r="P2955" i="2"/>
  <c r="R2955" i="2" s="1"/>
  <c r="P2954" i="2"/>
  <c r="R2954" i="2" s="1"/>
  <c r="P2953" i="2"/>
  <c r="R2953" i="2" s="1"/>
  <c r="P2952" i="2"/>
  <c r="R2952" i="2" s="1"/>
  <c r="P2951" i="2"/>
  <c r="R2951" i="2" s="1"/>
  <c r="P2950" i="2"/>
  <c r="R2950" i="2" s="1"/>
  <c r="P2949" i="2"/>
  <c r="R2949" i="2" s="1"/>
  <c r="P2948" i="2"/>
  <c r="R2948" i="2" s="1"/>
  <c r="P2947" i="2"/>
  <c r="R2947" i="2" s="1"/>
  <c r="P2946" i="2"/>
  <c r="R2946" i="2" s="1"/>
  <c r="P2945" i="2"/>
  <c r="R2945" i="2" s="1"/>
  <c r="P2944" i="2"/>
  <c r="R2944" i="2" s="1"/>
  <c r="P2943" i="2"/>
  <c r="R2943" i="2" s="1"/>
  <c r="P2942" i="2"/>
  <c r="R2942" i="2" s="1"/>
  <c r="P2941" i="2"/>
  <c r="R2941" i="2" s="1"/>
  <c r="P2940" i="2"/>
  <c r="R2940" i="2" s="1"/>
  <c r="P2939" i="2"/>
  <c r="R2939" i="2" s="1"/>
  <c r="P2938" i="2"/>
  <c r="R2938" i="2" s="1"/>
  <c r="P2937" i="2"/>
  <c r="R2937" i="2" s="1"/>
  <c r="P2936" i="2"/>
  <c r="R2936" i="2" s="1"/>
  <c r="P2935" i="2"/>
  <c r="R2935" i="2" s="1"/>
  <c r="P2934" i="2"/>
  <c r="R2934" i="2" s="1"/>
  <c r="P2933" i="2"/>
  <c r="R2933" i="2" s="1"/>
  <c r="P2932" i="2"/>
  <c r="R2932" i="2" s="1"/>
  <c r="P2931" i="2"/>
  <c r="R2931" i="2" s="1"/>
  <c r="P2930" i="2"/>
  <c r="R2930" i="2" s="1"/>
  <c r="P2929" i="2"/>
  <c r="R2929" i="2" s="1"/>
  <c r="P2928" i="2"/>
  <c r="R2928" i="2" s="1"/>
  <c r="P2927" i="2"/>
  <c r="R2927" i="2" s="1"/>
  <c r="P2926" i="2"/>
  <c r="R2926" i="2" s="1"/>
  <c r="P2925" i="2"/>
  <c r="R2925" i="2" s="1"/>
  <c r="P2924" i="2"/>
  <c r="R2924" i="2" s="1"/>
  <c r="P2923" i="2"/>
  <c r="R2923" i="2" s="1"/>
  <c r="P2922" i="2"/>
  <c r="R2922" i="2" s="1"/>
  <c r="P2921" i="2"/>
  <c r="R2921" i="2" s="1"/>
  <c r="P2920" i="2"/>
  <c r="R2920" i="2" s="1"/>
  <c r="P2919" i="2"/>
  <c r="R2919" i="2" s="1"/>
  <c r="P2918" i="2"/>
  <c r="R2918" i="2" s="1"/>
  <c r="P2917" i="2"/>
  <c r="R2917" i="2" s="1"/>
  <c r="P2916" i="2"/>
  <c r="R2916" i="2" s="1"/>
  <c r="P2915" i="2"/>
  <c r="P2914" i="2"/>
  <c r="R2914" i="2" s="1"/>
  <c r="P2913" i="2"/>
  <c r="R2913" i="2" s="1"/>
  <c r="P2912" i="2"/>
  <c r="R2912" i="2" s="1"/>
  <c r="P2911" i="2"/>
  <c r="R2911" i="2" s="1"/>
  <c r="P2910" i="2"/>
  <c r="R2910" i="2" s="1"/>
  <c r="P2909" i="2"/>
  <c r="R2909" i="2" s="1"/>
  <c r="P2908" i="2"/>
  <c r="R2908" i="2" s="1"/>
  <c r="P2907" i="2"/>
  <c r="R2907" i="2" s="1"/>
  <c r="P2906" i="2"/>
  <c r="R2906" i="2" s="1"/>
  <c r="P2905" i="2"/>
  <c r="R2905" i="2" s="1"/>
  <c r="P2904" i="2"/>
  <c r="R2904" i="2" s="1"/>
  <c r="P2903" i="2"/>
  <c r="R2903" i="2" s="1"/>
  <c r="P2902" i="2"/>
  <c r="R2902" i="2" s="1"/>
  <c r="P2901" i="2"/>
  <c r="R2901" i="2" s="1"/>
  <c r="P2900" i="2"/>
  <c r="R2900" i="2" s="1"/>
  <c r="P2899" i="2"/>
  <c r="R2899" i="2" s="1"/>
  <c r="P2898" i="2"/>
  <c r="R2898" i="2" s="1"/>
  <c r="P2897" i="2"/>
  <c r="R2897" i="2" s="1"/>
  <c r="P2896" i="2"/>
  <c r="R2896" i="2" s="1"/>
  <c r="P2895" i="2"/>
  <c r="R2895" i="2" s="1"/>
  <c r="P2894" i="2"/>
  <c r="R2894" i="2" s="1"/>
  <c r="P2893" i="2"/>
  <c r="R2893" i="2" s="1"/>
  <c r="P2892" i="2"/>
  <c r="R2892" i="2" s="1"/>
  <c r="P2891" i="2"/>
  <c r="R2891" i="2" s="1"/>
  <c r="P2890" i="2"/>
  <c r="R2890" i="2" s="1"/>
  <c r="P2889" i="2"/>
  <c r="R2889" i="2" s="1"/>
  <c r="P2888" i="2"/>
  <c r="R2888" i="2" s="1"/>
  <c r="P2887" i="2"/>
  <c r="R2887" i="2" s="1"/>
  <c r="P2886" i="2"/>
  <c r="R2886" i="2" s="1"/>
  <c r="P2885" i="2"/>
  <c r="R2885" i="2" s="1"/>
  <c r="P2884" i="2"/>
  <c r="R2884" i="2" s="1"/>
  <c r="P2883" i="2"/>
  <c r="R2883" i="2" s="1"/>
  <c r="P2882" i="2"/>
  <c r="R2882" i="2" s="1"/>
  <c r="P2881" i="2"/>
  <c r="R2881" i="2" s="1"/>
  <c r="P2880" i="2"/>
  <c r="R2880" i="2" s="1"/>
  <c r="P2879" i="2"/>
  <c r="R2879" i="2" s="1"/>
  <c r="P2878" i="2"/>
  <c r="R2878" i="2" s="1"/>
  <c r="P2877" i="2"/>
  <c r="R2877" i="2" s="1"/>
  <c r="P2876" i="2"/>
  <c r="R2876" i="2" s="1"/>
  <c r="P2875" i="2"/>
  <c r="R2875" i="2" s="1"/>
  <c r="P2874" i="2"/>
  <c r="R2874" i="2" s="1"/>
  <c r="P2873" i="2"/>
  <c r="R2873" i="2" s="1"/>
  <c r="P2872" i="2"/>
  <c r="R2872" i="2" s="1"/>
  <c r="P2871" i="2"/>
  <c r="R2871" i="2" s="1"/>
  <c r="P2870" i="2"/>
  <c r="R2870" i="2" s="1"/>
  <c r="P2869" i="2"/>
  <c r="R2869" i="2" s="1"/>
  <c r="P2868" i="2"/>
  <c r="P2867" i="2"/>
  <c r="R2867" i="2" s="1"/>
  <c r="P2866" i="2"/>
  <c r="P2865" i="2"/>
  <c r="R2865" i="2" s="1"/>
  <c r="P2864" i="2"/>
  <c r="R2864" i="2" s="1"/>
  <c r="P2863" i="2"/>
  <c r="R2863" i="2" s="1"/>
  <c r="P2862" i="2"/>
  <c r="R2862" i="2" s="1"/>
  <c r="P2861" i="2"/>
  <c r="R2861" i="2" s="1"/>
  <c r="P2860" i="2"/>
  <c r="R2860" i="2" s="1"/>
  <c r="P2859" i="2"/>
  <c r="R2859" i="2" s="1"/>
  <c r="P2858" i="2"/>
  <c r="R2858" i="2" s="1"/>
  <c r="P2857" i="2"/>
  <c r="R2857" i="2" s="1"/>
  <c r="P2856" i="2"/>
  <c r="R2856" i="2" s="1"/>
  <c r="P2855" i="2"/>
  <c r="R2855" i="2" s="1"/>
  <c r="P2854" i="2"/>
  <c r="R2854" i="2" s="1"/>
  <c r="P2853" i="2"/>
  <c r="R2853" i="2" s="1"/>
  <c r="P2852" i="2"/>
  <c r="R2852" i="2" s="1"/>
  <c r="P2851" i="2"/>
  <c r="R2851" i="2" s="1"/>
  <c r="P2850" i="2"/>
  <c r="R2850" i="2" s="1"/>
  <c r="P2849" i="2"/>
  <c r="R2849" i="2" s="1"/>
  <c r="P2848" i="2"/>
  <c r="P2847" i="2"/>
  <c r="R2847" i="2" s="1"/>
  <c r="P2846" i="2"/>
  <c r="R2846" i="2" s="1"/>
  <c r="P2845" i="2"/>
  <c r="R2845" i="2" s="1"/>
  <c r="P2844" i="2"/>
  <c r="R2844" i="2" s="1"/>
  <c r="P2843" i="2"/>
  <c r="R2843" i="2" s="1"/>
  <c r="P2842" i="2"/>
  <c r="R2842" i="2" s="1"/>
  <c r="P2841" i="2"/>
  <c r="R2841" i="2" s="1"/>
  <c r="P2840" i="2"/>
  <c r="R2840" i="2" s="1"/>
  <c r="P2839" i="2"/>
  <c r="R2839" i="2" s="1"/>
  <c r="P2838" i="2"/>
  <c r="R2838" i="2" s="1"/>
  <c r="P2837" i="2"/>
  <c r="R2837" i="2" s="1"/>
  <c r="P2836" i="2"/>
  <c r="R2836" i="2" s="1"/>
  <c r="P2835" i="2"/>
  <c r="R2835" i="2" s="1"/>
  <c r="P2834" i="2"/>
  <c r="R2834" i="2" s="1"/>
  <c r="P2833" i="2"/>
  <c r="R2833" i="2" s="1"/>
  <c r="P2832" i="2"/>
  <c r="R2832" i="2" s="1"/>
  <c r="P2831" i="2"/>
  <c r="R2831" i="2" s="1"/>
  <c r="P2830" i="2"/>
  <c r="R2830" i="2" s="1"/>
  <c r="P2829" i="2"/>
  <c r="R2829" i="2" s="1"/>
  <c r="P2828" i="2"/>
  <c r="R2828" i="2" s="1"/>
  <c r="P2827" i="2"/>
  <c r="R2827" i="2" s="1"/>
  <c r="P2826" i="2"/>
  <c r="R2826" i="2" s="1"/>
  <c r="P2825" i="2"/>
  <c r="R2825" i="2" s="1"/>
  <c r="P2824" i="2"/>
  <c r="R2824" i="2" s="1"/>
  <c r="P2823" i="2"/>
  <c r="R2823" i="2" s="1"/>
  <c r="P2822" i="2"/>
  <c r="R2822" i="2" s="1"/>
  <c r="P2821" i="2"/>
  <c r="R2821" i="2" s="1"/>
  <c r="P2820" i="2"/>
  <c r="R2820" i="2" s="1"/>
  <c r="P2819" i="2"/>
  <c r="R2819" i="2" s="1"/>
  <c r="P2818" i="2"/>
  <c r="R2818" i="2" s="1"/>
  <c r="P2817" i="2"/>
  <c r="R2817" i="2" s="1"/>
  <c r="P2816" i="2"/>
  <c r="R2816" i="2" s="1"/>
  <c r="P2815" i="2"/>
  <c r="R2815" i="2" s="1"/>
  <c r="P2814" i="2"/>
  <c r="R2814" i="2" s="1"/>
  <c r="P2813" i="2"/>
  <c r="R2813" i="2" s="1"/>
  <c r="P2812" i="2"/>
  <c r="R2812" i="2" s="1"/>
  <c r="P2811" i="2"/>
  <c r="R2811" i="2" s="1"/>
  <c r="P2810" i="2"/>
  <c r="R2810" i="2" s="1"/>
  <c r="P2809" i="2"/>
  <c r="R2809" i="2" s="1"/>
  <c r="P2808" i="2"/>
  <c r="R2808" i="2" s="1"/>
  <c r="P2807" i="2"/>
  <c r="R2807" i="2" s="1"/>
  <c r="P2806" i="2"/>
  <c r="R2806" i="2" s="1"/>
  <c r="P2805" i="2"/>
  <c r="R2805" i="2" s="1"/>
  <c r="P2804" i="2"/>
  <c r="R2804" i="2" s="1"/>
  <c r="P2803" i="2"/>
  <c r="R2803" i="2" s="1"/>
  <c r="P2802" i="2"/>
  <c r="R2802" i="2" s="1"/>
  <c r="P2801" i="2"/>
  <c r="R2801" i="2" s="1"/>
  <c r="P2800" i="2"/>
  <c r="R2800" i="2" s="1"/>
  <c r="P2799" i="2"/>
  <c r="R2799" i="2" s="1"/>
  <c r="P2798" i="2"/>
  <c r="R2798" i="2" s="1"/>
  <c r="P2797" i="2"/>
  <c r="R2797" i="2" s="1"/>
  <c r="P2796" i="2"/>
  <c r="R2796" i="2" s="1"/>
  <c r="P2795" i="2"/>
  <c r="R2795" i="2" s="1"/>
  <c r="P2794" i="2"/>
  <c r="R2794" i="2" s="1"/>
  <c r="P2793" i="2"/>
  <c r="R2793" i="2" s="1"/>
  <c r="P2792" i="2"/>
  <c r="R2792" i="2" s="1"/>
  <c r="P2791" i="2"/>
  <c r="R2791" i="2" s="1"/>
  <c r="P2790" i="2"/>
  <c r="R2790" i="2" s="1"/>
  <c r="P2789" i="2"/>
  <c r="R2789" i="2" s="1"/>
  <c r="P2788" i="2"/>
  <c r="R2788" i="2" s="1"/>
  <c r="P2787" i="2"/>
  <c r="R2787" i="2" s="1"/>
  <c r="P2786" i="2"/>
  <c r="R2786" i="2" s="1"/>
  <c r="P2785" i="2"/>
  <c r="R2785" i="2" s="1"/>
  <c r="P2784" i="2"/>
  <c r="R2784" i="2" s="1"/>
  <c r="P2783" i="2"/>
  <c r="R2783" i="2" s="1"/>
  <c r="P2782" i="2"/>
  <c r="R2782" i="2" s="1"/>
  <c r="P2781" i="2"/>
  <c r="R2781" i="2" s="1"/>
  <c r="P2780" i="2"/>
  <c r="R2780" i="2" s="1"/>
  <c r="P2779" i="2"/>
  <c r="R2779" i="2" s="1"/>
  <c r="P2778" i="2"/>
  <c r="R2778" i="2" s="1"/>
  <c r="P2777" i="2"/>
  <c r="R2777" i="2" s="1"/>
  <c r="P2776" i="2"/>
  <c r="R2776" i="2" s="1"/>
  <c r="P2775" i="2"/>
  <c r="R2775" i="2" s="1"/>
  <c r="P2774" i="2"/>
  <c r="R2774" i="2" s="1"/>
  <c r="P2773" i="2"/>
  <c r="R2773" i="2" s="1"/>
  <c r="P2772" i="2"/>
  <c r="R2772" i="2" s="1"/>
  <c r="P2771" i="2"/>
  <c r="R2771" i="2" s="1"/>
  <c r="P2770" i="2"/>
  <c r="R2770" i="2" s="1"/>
  <c r="P2769" i="2"/>
  <c r="R2769" i="2" s="1"/>
  <c r="P2768" i="2"/>
  <c r="R2768" i="2" s="1"/>
  <c r="P2767" i="2"/>
  <c r="R2767" i="2" s="1"/>
  <c r="P2766" i="2"/>
  <c r="R2766" i="2" s="1"/>
  <c r="P2765" i="2"/>
  <c r="R2765" i="2" s="1"/>
  <c r="P2764" i="2"/>
  <c r="R2764" i="2" s="1"/>
  <c r="P2763" i="2"/>
  <c r="R2763" i="2" s="1"/>
  <c r="P2762" i="2"/>
  <c r="R2762" i="2" s="1"/>
  <c r="P2761" i="2"/>
  <c r="R2761" i="2" s="1"/>
  <c r="P2760" i="2"/>
  <c r="R2760" i="2" s="1"/>
  <c r="P2759" i="2"/>
  <c r="R2759" i="2" s="1"/>
  <c r="P2758" i="2"/>
  <c r="R2758" i="2" s="1"/>
  <c r="P2757" i="2"/>
  <c r="R2757" i="2" s="1"/>
  <c r="P2756" i="2"/>
  <c r="R2756" i="2" s="1"/>
  <c r="P2755" i="2"/>
  <c r="R2755" i="2" s="1"/>
  <c r="P2754" i="2"/>
  <c r="R2754" i="2" s="1"/>
  <c r="P2753" i="2"/>
  <c r="R2753" i="2" s="1"/>
  <c r="P2752" i="2"/>
  <c r="R2752" i="2" s="1"/>
  <c r="P2751" i="2"/>
  <c r="R2751" i="2" s="1"/>
  <c r="P2750" i="2"/>
  <c r="R2750" i="2" s="1"/>
  <c r="P2749" i="2"/>
  <c r="P2748" i="2"/>
  <c r="R2748" i="2" s="1"/>
  <c r="P2747" i="2"/>
  <c r="R2747" i="2" s="1"/>
  <c r="P2746" i="2"/>
  <c r="R2746" i="2" s="1"/>
  <c r="P2745" i="2"/>
  <c r="R2745" i="2" s="1"/>
  <c r="P2744" i="2"/>
  <c r="R2744" i="2" s="1"/>
  <c r="P2743" i="2"/>
  <c r="R2743" i="2" s="1"/>
  <c r="P2742" i="2"/>
  <c r="R2742" i="2" s="1"/>
  <c r="P2741" i="2"/>
  <c r="R2741" i="2" s="1"/>
  <c r="P2740" i="2"/>
  <c r="R2740" i="2" s="1"/>
  <c r="P2739" i="2"/>
  <c r="R2739" i="2" s="1"/>
  <c r="P2738" i="2"/>
  <c r="R2738" i="2" s="1"/>
  <c r="P2737" i="2"/>
  <c r="R2737" i="2" s="1"/>
  <c r="P2736" i="2"/>
  <c r="R2736" i="2" s="1"/>
  <c r="P2735" i="2"/>
  <c r="R2735" i="2" s="1"/>
  <c r="P2734" i="2"/>
  <c r="R2734" i="2" s="1"/>
  <c r="P2733" i="2"/>
  <c r="R2733" i="2" s="1"/>
  <c r="P2732" i="2"/>
  <c r="R2732" i="2" s="1"/>
  <c r="P2731" i="2"/>
  <c r="R2731" i="2" s="1"/>
  <c r="P2730" i="2"/>
  <c r="R2730" i="2" s="1"/>
  <c r="P2729" i="2"/>
  <c r="R2729" i="2" s="1"/>
  <c r="P2728" i="2"/>
  <c r="R2728" i="2" s="1"/>
  <c r="P2727" i="2"/>
  <c r="R2727" i="2" s="1"/>
  <c r="P2726" i="2"/>
  <c r="R2726" i="2" s="1"/>
  <c r="P2725" i="2"/>
  <c r="R2725" i="2" s="1"/>
  <c r="P2724" i="2"/>
  <c r="R2724" i="2" s="1"/>
  <c r="P2723" i="2"/>
  <c r="R2723" i="2" s="1"/>
  <c r="P2722" i="2"/>
  <c r="R2722" i="2" s="1"/>
  <c r="P2721" i="2"/>
  <c r="R2721" i="2" s="1"/>
  <c r="P2720" i="2"/>
  <c r="R2720" i="2" s="1"/>
  <c r="P2719" i="2"/>
  <c r="R2719" i="2" s="1"/>
  <c r="P2718" i="2"/>
  <c r="R2718" i="2" s="1"/>
  <c r="P2717" i="2"/>
  <c r="R2717" i="2" s="1"/>
  <c r="P2716" i="2"/>
  <c r="R2716" i="2" s="1"/>
  <c r="P2715" i="2"/>
  <c r="R2715" i="2" s="1"/>
  <c r="P2714" i="2"/>
  <c r="R2714" i="2" s="1"/>
  <c r="P2713" i="2"/>
  <c r="R2713" i="2" s="1"/>
  <c r="P2712" i="2"/>
  <c r="R2712" i="2" s="1"/>
  <c r="P2711" i="2"/>
  <c r="R2711" i="2" s="1"/>
  <c r="P2710" i="2"/>
  <c r="R2710" i="2" s="1"/>
  <c r="P2709" i="2"/>
  <c r="R2709" i="2" s="1"/>
  <c r="P2708" i="2"/>
  <c r="R2708" i="2" s="1"/>
  <c r="P2707" i="2"/>
  <c r="R2707" i="2" s="1"/>
  <c r="P2706" i="2"/>
  <c r="R2706" i="2" s="1"/>
  <c r="P2705" i="2"/>
  <c r="R2705" i="2" s="1"/>
  <c r="P2704" i="2"/>
  <c r="R2704" i="2" s="1"/>
  <c r="P2703" i="2"/>
  <c r="R2703" i="2" s="1"/>
  <c r="P2702" i="2"/>
  <c r="P2701" i="2"/>
  <c r="R2701" i="2" s="1"/>
  <c r="P2700" i="2"/>
  <c r="R2700" i="2" s="1"/>
  <c r="P2699" i="2"/>
  <c r="R2699" i="2" s="1"/>
  <c r="P2698" i="2"/>
  <c r="R2698" i="2" s="1"/>
  <c r="P2697" i="2"/>
  <c r="R2697" i="2" s="1"/>
  <c r="P2696" i="2"/>
  <c r="R2696" i="2" s="1"/>
  <c r="P2695" i="2"/>
  <c r="R2695" i="2" s="1"/>
  <c r="P2694" i="2"/>
  <c r="R2694" i="2" s="1"/>
  <c r="P2693" i="2"/>
  <c r="R2693" i="2" s="1"/>
  <c r="P2692" i="2"/>
  <c r="R2692" i="2" s="1"/>
  <c r="P2691" i="2"/>
  <c r="R2691" i="2" s="1"/>
  <c r="P2690" i="2"/>
  <c r="R2690" i="2" s="1"/>
  <c r="P2689" i="2"/>
  <c r="R2689" i="2" s="1"/>
  <c r="P2688" i="2"/>
  <c r="R2688" i="2" s="1"/>
  <c r="P2687" i="2"/>
  <c r="R2687" i="2" s="1"/>
  <c r="P2686" i="2"/>
  <c r="R2686" i="2" s="1"/>
  <c r="P2685" i="2"/>
  <c r="R2685" i="2" s="1"/>
  <c r="P2684" i="2"/>
  <c r="R2684" i="2" s="1"/>
  <c r="P2683" i="2"/>
  <c r="R2683" i="2" s="1"/>
  <c r="P2682" i="2"/>
  <c r="R2682" i="2" s="1"/>
  <c r="P2681" i="2"/>
  <c r="R2681" i="2" s="1"/>
  <c r="P2680" i="2"/>
  <c r="R2680" i="2" s="1"/>
  <c r="P2679" i="2"/>
  <c r="R2679" i="2" s="1"/>
  <c r="P2678" i="2"/>
  <c r="R2678" i="2" s="1"/>
  <c r="P2677" i="2"/>
  <c r="R2677" i="2" s="1"/>
  <c r="P2676" i="2"/>
  <c r="R2676" i="2" s="1"/>
  <c r="P2675" i="2"/>
  <c r="R2675" i="2" s="1"/>
  <c r="P2674" i="2"/>
  <c r="R2674" i="2" s="1"/>
  <c r="P2673" i="2"/>
  <c r="R2673" i="2" s="1"/>
  <c r="P2672" i="2"/>
  <c r="R2672" i="2" s="1"/>
  <c r="P2671" i="2"/>
  <c r="R2671" i="2" s="1"/>
  <c r="P2670" i="2"/>
  <c r="R2670" i="2" s="1"/>
  <c r="P2669" i="2"/>
  <c r="R2669" i="2" s="1"/>
  <c r="P2668" i="2"/>
  <c r="R2668" i="2" s="1"/>
  <c r="P2667" i="2"/>
  <c r="R2667" i="2" s="1"/>
  <c r="P2666" i="2"/>
  <c r="R2666" i="2" s="1"/>
  <c r="P2665" i="2"/>
  <c r="R2665" i="2" s="1"/>
  <c r="P2664" i="2"/>
  <c r="R2664" i="2" s="1"/>
  <c r="P2663" i="2"/>
  <c r="R2663" i="2" s="1"/>
  <c r="P2662" i="2"/>
  <c r="R2662" i="2" s="1"/>
  <c r="P2661" i="2"/>
  <c r="R2661" i="2" s="1"/>
  <c r="P2660" i="2"/>
  <c r="R2660" i="2" s="1"/>
  <c r="P2659" i="2"/>
  <c r="P2658" i="2"/>
  <c r="R2658" i="2" s="1"/>
  <c r="P2657" i="2"/>
  <c r="R2657" i="2" s="1"/>
  <c r="P2656" i="2"/>
  <c r="R2656" i="2" s="1"/>
  <c r="P2655" i="2"/>
  <c r="R2655" i="2" s="1"/>
  <c r="P2654" i="2"/>
  <c r="R2654" i="2" s="1"/>
  <c r="P2653" i="2"/>
  <c r="R2653" i="2" s="1"/>
  <c r="P2652" i="2"/>
  <c r="R2652" i="2" s="1"/>
  <c r="P2651" i="2"/>
  <c r="R2651" i="2" s="1"/>
  <c r="P2650" i="2"/>
  <c r="R2650" i="2" s="1"/>
  <c r="P2649" i="2"/>
  <c r="R2649" i="2" s="1"/>
  <c r="P2648" i="2"/>
  <c r="R2648" i="2" s="1"/>
  <c r="P2647" i="2"/>
  <c r="R2647" i="2" s="1"/>
  <c r="P2646" i="2"/>
  <c r="R2646" i="2" s="1"/>
  <c r="P2645" i="2"/>
  <c r="R2645" i="2" s="1"/>
  <c r="P2644" i="2"/>
  <c r="R2644" i="2" s="1"/>
  <c r="P2643" i="2"/>
  <c r="R2643" i="2" s="1"/>
  <c r="P2642" i="2"/>
  <c r="R2642" i="2" s="1"/>
  <c r="P2641" i="2"/>
  <c r="R2641" i="2" s="1"/>
  <c r="P2640" i="2"/>
  <c r="R2640" i="2" s="1"/>
  <c r="P2639" i="2"/>
  <c r="R2639" i="2" s="1"/>
  <c r="P2638" i="2"/>
  <c r="R2638" i="2" s="1"/>
  <c r="P2637" i="2"/>
  <c r="R2637" i="2" s="1"/>
  <c r="P2636" i="2"/>
  <c r="R2636" i="2" s="1"/>
  <c r="P2635" i="2"/>
  <c r="R2635" i="2" s="1"/>
  <c r="P2634" i="2"/>
  <c r="R2634" i="2" s="1"/>
  <c r="P2633" i="2"/>
  <c r="R2633" i="2" s="1"/>
  <c r="P2632" i="2"/>
  <c r="R2632" i="2" s="1"/>
  <c r="P2631" i="2"/>
  <c r="R2631" i="2" s="1"/>
  <c r="P2630" i="2"/>
  <c r="R2630" i="2" s="1"/>
  <c r="P2629" i="2"/>
  <c r="R2629" i="2" s="1"/>
  <c r="P2628" i="2"/>
  <c r="R2628" i="2" s="1"/>
  <c r="P2627" i="2"/>
  <c r="R2627" i="2" s="1"/>
  <c r="P2626" i="2"/>
  <c r="R2626" i="2" s="1"/>
  <c r="P2625" i="2"/>
  <c r="R2625" i="2" s="1"/>
  <c r="P2624" i="2"/>
  <c r="R2624" i="2" s="1"/>
  <c r="P2623" i="2"/>
  <c r="R2623" i="2" s="1"/>
  <c r="P2622" i="2"/>
  <c r="R2622" i="2" s="1"/>
  <c r="P2621" i="2"/>
  <c r="R2621" i="2" s="1"/>
  <c r="P2620" i="2"/>
  <c r="R2620" i="2" s="1"/>
  <c r="P2619" i="2"/>
  <c r="R2619" i="2" s="1"/>
  <c r="P2618" i="2"/>
  <c r="R2618" i="2" s="1"/>
  <c r="P2617" i="2"/>
  <c r="R2617" i="2" s="1"/>
  <c r="P2616" i="2"/>
  <c r="R2616" i="2" s="1"/>
  <c r="P2615" i="2"/>
  <c r="R2615" i="2" s="1"/>
  <c r="P2614" i="2"/>
  <c r="R2614" i="2" s="1"/>
  <c r="P2613" i="2"/>
  <c r="R2613" i="2" s="1"/>
  <c r="P2612" i="2"/>
  <c r="P2611" i="2"/>
  <c r="R2611" i="2" s="1"/>
  <c r="P2610" i="2"/>
  <c r="R2610" i="2" s="1"/>
  <c r="P2609" i="2"/>
  <c r="R2609" i="2" s="1"/>
  <c r="P2608" i="2"/>
  <c r="R2608" i="2" s="1"/>
  <c r="P2607" i="2"/>
  <c r="R2607" i="2" s="1"/>
  <c r="P2606" i="2"/>
  <c r="R2606" i="2" s="1"/>
  <c r="P2605" i="2"/>
  <c r="R2605" i="2" s="1"/>
  <c r="P2604" i="2"/>
  <c r="R2604" i="2" s="1"/>
  <c r="P2603" i="2"/>
  <c r="R2603" i="2" s="1"/>
  <c r="P2602" i="2"/>
  <c r="R2602" i="2" s="1"/>
  <c r="P2601" i="2"/>
  <c r="R2601" i="2" s="1"/>
  <c r="P2600" i="2"/>
  <c r="R2600" i="2" s="1"/>
  <c r="P2599" i="2"/>
  <c r="R2599" i="2" s="1"/>
  <c r="P2598" i="2"/>
  <c r="R2598" i="2" s="1"/>
  <c r="P2597" i="2"/>
  <c r="R2597" i="2" s="1"/>
  <c r="P2596" i="2"/>
  <c r="R2596" i="2" s="1"/>
  <c r="P2595" i="2"/>
  <c r="R2595" i="2" s="1"/>
  <c r="P2594" i="2"/>
  <c r="R2594" i="2" s="1"/>
  <c r="P2593" i="2"/>
  <c r="R2593" i="2" s="1"/>
  <c r="P2592" i="2"/>
  <c r="P2591" i="2"/>
  <c r="R2591" i="2" s="1"/>
  <c r="P2590" i="2"/>
  <c r="R2590" i="2" s="1"/>
  <c r="P2589" i="2"/>
  <c r="R2589" i="2" s="1"/>
  <c r="P2588" i="2"/>
  <c r="R2588" i="2" s="1"/>
  <c r="P2587" i="2"/>
  <c r="R2587" i="2" s="1"/>
  <c r="P2586" i="2"/>
  <c r="R2586" i="2" s="1"/>
  <c r="P2585" i="2"/>
  <c r="R2585" i="2" s="1"/>
  <c r="P2584" i="2"/>
  <c r="R2584" i="2" s="1"/>
  <c r="P2583" i="2"/>
  <c r="R2583" i="2" s="1"/>
  <c r="P2582" i="2"/>
  <c r="R2582" i="2" s="1"/>
  <c r="P2581" i="2"/>
  <c r="R2581" i="2" s="1"/>
  <c r="P2580" i="2"/>
  <c r="R2580" i="2" s="1"/>
  <c r="P2579" i="2"/>
  <c r="R2579" i="2" s="1"/>
  <c r="P2578" i="2"/>
  <c r="R2578" i="2" s="1"/>
  <c r="P2577" i="2"/>
  <c r="R2577" i="2" s="1"/>
  <c r="P2576" i="2"/>
  <c r="R2576" i="2" s="1"/>
  <c r="P2575" i="2"/>
  <c r="P2574" i="2"/>
  <c r="R2574" i="2" s="1"/>
  <c r="P2573" i="2"/>
  <c r="R2573" i="2" s="1"/>
  <c r="P2572" i="2"/>
  <c r="R2572" i="2" s="1"/>
  <c r="P2571" i="2"/>
  <c r="R2571" i="2" s="1"/>
  <c r="P2570" i="2"/>
  <c r="R2570" i="2" s="1"/>
  <c r="P2569" i="2"/>
  <c r="R2569" i="2" s="1"/>
  <c r="P2568" i="2"/>
  <c r="R2568" i="2" s="1"/>
  <c r="P2567" i="2"/>
  <c r="R2567" i="2" s="1"/>
  <c r="P2566" i="2"/>
  <c r="R2566" i="2" s="1"/>
  <c r="P2565" i="2"/>
  <c r="R2565" i="2" s="1"/>
  <c r="P2564" i="2"/>
  <c r="R2564" i="2" s="1"/>
  <c r="P2563" i="2"/>
  <c r="R2563" i="2" s="1"/>
  <c r="P2562" i="2"/>
  <c r="R2562" i="2" s="1"/>
  <c r="P2561" i="2"/>
  <c r="P2560" i="2"/>
  <c r="R2560" i="2" s="1"/>
  <c r="P2559" i="2"/>
  <c r="R2559" i="2" s="1"/>
  <c r="P2558" i="2"/>
  <c r="R2558" i="2" s="1"/>
  <c r="P2557" i="2"/>
  <c r="R2557" i="2" s="1"/>
  <c r="P2556" i="2"/>
  <c r="R2556" i="2" s="1"/>
  <c r="P2555" i="2"/>
  <c r="R2555" i="2" s="1"/>
  <c r="P2554" i="2"/>
  <c r="R2554" i="2" s="1"/>
  <c r="P2553" i="2"/>
  <c r="R2553" i="2" s="1"/>
  <c r="P2552" i="2"/>
  <c r="R2552" i="2" s="1"/>
  <c r="P2551" i="2"/>
  <c r="R2551" i="2" s="1"/>
  <c r="P2550" i="2"/>
  <c r="R2550" i="2" s="1"/>
  <c r="P2549" i="2"/>
  <c r="R2549" i="2" s="1"/>
  <c r="P2548" i="2"/>
  <c r="R2548" i="2" s="1"/>
  <c r="P2547" i="2"/>
  <c r="R2547" i="2" s="1"/>
  <c r="P2546" i="2"/>
  <c r="R2546" i="2" s="1"/>
  <c r="P2545" i="2"/>
  <c r="R2545" i="2" s="1"/>
  <c r="P2544" i="2"/>
  <c r="R2544" i="2" s="1"/>
  <c r="P2543" i="2"/>
  <c r="R2543" i="2" s="1"/>
  <c r="P2542" i="2"/>
  <c r="R2542" i="2" s="1"/>
  <c r="P2541" i="2"/>
  <c r="R2541" i="2" s="1"/>
  <c r="P2540" i="2"/>
  <c r="R2540" i="2" s="1"/>
  <c r="P2539" i="2"/>
  <c r="R2539" i="2" s="1"/>
  <c r="P2538" i="2"/>
  <c r="R2538" i="2" s="1"/>
  <c r="P2537" i="2"/>
  <c r="R2537" i="2" s="1"/>
  <c r="P2536" i="2"/>
  <c r="R2536" i="2" s="1"/>
  <c r="P2535" i="2"/>
  <c r="R2535" i="2" s="1"/>
  <c r="P2534" i="2"/>
  <c r="R2534" i="2" s="1"/>
  <c r="P2533" i="2"/>
  <c r="R2533" i="2" s="1"/>
  <c r="P2532" i="2"/>
  <c r="R2532" i="2" s="1"/>
  <c r="P2531" i="2"/>
  <c r="R2531" i="2" s="1"/>
  <c r="P2530" i="2"/>
  <c r="R2530" i="2" s="1"/>
  <c r="P2529" i="2"/>
  <c r="R2529" i="2" s="1"/>
  <c r="P2528" i="2"/>
  <c r="R2528" i="2" s="1"/>
  <c r="P2527" i="2"/>
  <c r="R2527" i="2" s="1"/>
  <c r="P2526" i="2"/>
  <c r="R2526" i="2" s="1"/>
  <c r="P2525" i="2"/>
  <c r="R2525" i="2" s="1"/>
  <c r="P2524" i="2"/>
  <c r="R2524" i="2" s="1"/>
  <c r="P2523" i="2"/>
  <c r="R2523" i="2" s="1"/>
  <c r="P2522" i="2"/>
  <c r="R2522" i="2" s="1"/>
  <c r="P2521" i="2"/>
  <c r="R2521" i="2" s="1"/>
  <c r="P2520" i="2"/>
  <c r="R2520" i="2" s="1"/>
  <c r="P2519" i="2"/>
  <c r="R2519" i="2" s="1"/>
  <c r="P2518" i="2"/>
  <c r="R2518" i="2" s="1"/>
  <c r="P2517" i="2"/>
  <c r="R2517" i="2" s="1"/>
  <c r="P2516" i="2"/>
  <c r="R2516" i="2" s="1"/>
  <c r="P2515" i="2"/>
  <c r="R2515" i="2" s="1"/>
  <c r="P2514" i="2"/>
  <c r="R2514" i="2" s="1"/>
  <c r="P2513" i="2"/>
  <c r="R2513" i="2" s="1"/>
  <c r="P2512" i="2"/>
  <c r="R2512" i="2" s="1"/>
  <c r="P2511" i="2"/>
  <c r="R2511" i="2" s="1"/>
  <c r="P2510" i="2"/>
  <c r="R2510" i="2" s="1"/>
  <c r="P2509" i="2"/>
  <c r="R2509" i="2" s="1"/>
  <c r="P2508" i="2"/>
  <c r="R2508" i="2" s="1"/>
  <c r="P2507" i="2"/>
  <c r="R2507" i="2" s="1"/>
  <c r="P2506" i="2"/>
  <c r="R2506" i="2" s="1"/>
  <c r="P2505" i="2"/>
  <c r="R2505" i="2" s="1"/>
  <c r="P2504" i="2"/>
  <c r="R2504" i="2" s="1"/>
  <c r="P2503" i="2"/>
  <c r="R2503" i="2" s="1"/>
  <c r="P2502" i="2"/>
  <c r="R2502" i="2" s="1"/>
  <c r="P2501" i="2"/>
  <c r="R2501" i="2" s="1"/>
  <c r="P2500" i="2"/>
  <c r="R2500" i="2" s="1"/>
  <c r="P2499" i="2"/>
  <c r="R2499" i="2" s="1"/>
  <c r="P2498" i="2"/>
  <c r="R2498" i="2" s="1"/>
  <c r="P2497" i="2"/>
  <c r="R2497" i="2" s="1"/>
  <c r="P2496" i="2"/>
  <c r="R2496" i="2" s="1"/>
  <c r="P2495" i="2"/>
  <c r="R2495" i="2" s="1"/>
  <c r="P2494" i="2"/>
  <c r="R2494" i="2" s="1"/>
  <c r="P2493" i="2"/>
  <c r="P2492" i="2"/>
  <c r="R2492" i="2" s="1"/>
  <c r="P2491" i="2"/>
  <c r="R2491" i="2" s="1"/>
  <c r="P2490" i="2"/>
  <c r="R2490" i="2" s="1"/>
  <c r="P2489" i="2"/>
  <c r="R2489" i="2" s="1"/>
  <c r="P2488" i="2"/>
  <c r="R2488" i="2" s="1"/>
  <c r="P2487" i="2"/>
  <c r="R2487" i="2" s="1"/>
  <c r="P2486" i="2"/>
  <c r="R2486" i="2" s="1"/>
  <c r="P2485" i="2"/>
  <c r="R2485" i="2" s="1"/>
  <c r="P2484" i="2"/>
  <c r="R2484" i="2" s="1"/>
  <c r="P2483" i="2"/>
  <c r="R2483" i="2" s="1"/>
  <c r="P2482" i="2"/>
  <c r="R2482" i="2" s="1"/>
  <c r="P2481" i="2"/>
  <c r="R2481" i="2" s="1"/>
  <c r="P2480" i="2"/>
  <c r="R2480" i="2" s="1"/>
  <c r="P2479" i="2"/>
  <c r="R2479" i="2" s="1"/>
  <c r="P2478" i="2"/>
  <c r="R2478" i="2" s="1"/>
  <c r="P2477" i="2"/>
  <c r="R2477" i="2" s="1"/>
  <c r="P2476" i="2"/>
  <c r="R2476" i="2" s="1"/>
  <c r="P2475" i="2"/>
  <c r="R2475" i="2" s="1"/>
  <c r="P2474" i="2"/>
  <c r="R2474" i="2" s="1"/>
  <c r="P2473" i="2"/>
  <c r="R2473" i="2" s="1"/>
  <c r="P2472" i="2"/>
  <c r="R2472" i="2" s="1"/>
  <c r="P2471" i="2"/>
  <c r="R2471" i="2" s="1"/>
  <c r="P2470" i="2"/>
  <c r="R2470" i="2" s="1"/>
  <c r="P2469" i="2"/>
  <c r="R2469" i="2" s="1"/>
  <c r="P2468" i="2"/>
  <c r="R2468" i="2" s="1"/>
  <c r="P2467" i="2"/>
  <c r="R2467" i="2" s="1"/>
  <c r="P2466" i="2"/>
  <c r="R2466" i="2" s="1"/>
  <c r="P2465" i="2"/>
  <c r="R2465" i="2" s="1"/>
  <c r="P2464" i="2"/>
  <c r="R2464" i="2" s="1"/>
  <c r="P2463" i="2"/>
  <c r="R2463" i="2" s="1"/>
  <c r="P2462" i="2"/>
  <c r="R2462" i="2" s="1"/>
  <c r="P2461" i="2"/>
  <c r="R2461" i="2" s="1"/>
  <c r="P2460" i="2"/>
  <c r="R2460" i="2" s="1"/>
  <c r="P2459" i="2"/>
  <c r="R2459" i="2" s="1"/>
  <c r="P2458" i="2"/>
  <c r="R2458" i="2" s="1"/>
  <c r="P2457" i="2"/>
  <c r="R2457" i="2" s="1"/>
  <c r="P2456" i="2"/>
  <c r="R2456" i="2" s="1"/>
  <c r="P2455" i="2"/>
  <c r="R2455" i="2" s="1"/>
  <c r="P2454" i="2"/>
  <c r="R2454" i="2" s="1"/>
  <c r="P2453" i="2"/>
  <c r="R2453" i="2" s="1"/>
  <c r="P2452" i="2"/>
  <c r="R2452" i="2" s="1"/>
  <c r="P2451" i="2"/>
  <c r="R2451" i="2" s="1"/>
  <c r="P2450" i="2"/>
  <c r="P2449" i="2"/>
  <c r="R2449" i="2" s="1"/>
  <c r="P2448" i="2"/>
  <c r="R2448" i="2" s="1"/>
  <c r="P2447" i="2"/>
  <c r="R2447" i="2" s="1"/>
  <c r="P2446" i="2"/>
  <c r="P2445" i="2"/>
  <c r="R2445" i="2" s="1"/>
  <c r="P2444" i="2"/>
  <c r="R2444" i="2" s="1"/>
  <c r="P2443" i="2"/>
  <c r="R2443" i="2" s="1"/>
  <c r="P2442" i="2"/>
  <c r="R2442" i="2" s="1"/>
  <c r="P2441" i="2"/>
  <c r="R2441" i="2" s="1"/>
  <c r="P2440" i="2"/>
  <c r="R2440" i="2" s="1"/>
  <c r="P2439" i="2"/>
  <c r="R2439" i="2" s="1"/>
  <c r="P2438" i="2"/>
  <c r="R2438" i="2" s="1"/>
  <c r="P2437" i="2"/>
  <c r="R2437" i="2" s="1"/>
  <c r="P2436" i="2"/>
  <c r="R2436" i="2" s="1"/>
  <c r="P2435" i="2"/>
  <c r="R2435" i="2" s="1"/>
  <c r="P2434" i="2"/>
  <c r="R2434" i="2" s="1"/>
  <c r="P2433" i="2"/>
  <c r="R2433" i="2" s="1"/>
  <c r="P2432" i="2"/>
  <c r="R2432" i="2" s="1"/>
  <c r="P2431" i="2"/>
  <c r="R2431" i="2" s="1"/>
  <c r="P2430" i="2"/>
  <c r="R2430" i="2" s="1"/>
  <c r="P2429" i="2"/>
  <c r="R2429" i="2" s="1"/>
  <c r="P2428" i="2"/>
  <c r="R2428" i="2" s="1"/>
  <c r="P2427" i="2"/>
  <c r="R2427" i="2" s="1"/>
  <c r="P2426" i="2"/>
  <c r="R2426" i="2" s="1"/>
  <c r="P2425" i="2"/>
  <c r="R2425" i="2" s="1"/>
  <c r="P2424" i="2"/>
  <c r="R2424" i="2" s="1"/>
  <c r="P2423" i="2"/>
  <c r="R2423" i="2" s="1"/>
  <c r="P2422" i="2"/>
  <c r="R2422" i="2" s="1"/>
  <c r="P2421" i="2"/>
  <c r="R2421" i="2" s="1"/>
  <c r="P2420" i="2"/>
  <c r="R2420" i="2" s="1"/>
  <c r="P2419" i="2"/>
  <c r="R2419" i="2" s="1"/>
  <c r="P2418" i="2"/>
  <c r="R2418" i="2" s="1"/>
  <c r="P2417" i="2"/>
  <c r="R2417" i="2" s="1"/>
  <c r="P2416" i="2"/>
  <c r="R2416" i="2" s="1"/>
  <c r="P2415" i="2"/>
  <c r="R2415" i="2" s="1"/>
  <c r="P2414" i="2"/>
  <c r="R2414" i="2" s="1"/>
  <c r="P2413" i="2"/>
  <c r="R2413" i="2" s="1"/>
  <c r="P2412" i="2"/>
  <c r="R2412" i="2" s="1"/>
  <c r="P2411" i="2"/>
  <c r="R2411" i="2" s="1"/>
  <c r="P2410" i="2"/>
  <c r="R2410" i="2" s="1"/>
  <c r="P2409" i="2"/>
  <c r="R2409" i="2" s="1"/>
  <c r="P2408" i="2"/>
  <c r="R2408" i="2" s="1"/>
  <c r="P2407" i="2"/>
  <c r="R2407" i="2" s="1"/>
  <c r="P2406" i="2"/>
  <c r="R2406" i="2" s="1"/>
  <c r="P2405" i="2"/>
  <c r="R2405" i="2" s="1"/>
  <c r="P2404" i="2"/>
  <c r="R2404" i="2" s="1"/>
  <c r="P2403" i="2"/>
  <c r="P2402" i="2"/>
  <c r="R2402" i="2" s="1"/>
  <c r="P2401" i="2"/>
  <c r="R2401" i="2" s="1"/>
  <c r="P2400" i="2"/>
  <c r="R2400" i="2" s="1"/>
  <c r="P2399" i="2"/>
  <c r="R2399" i="2" s="1"/>
  <c r="P2398" i="2"/>
  <c r="R2398" i="2" s="1"/>
  <c r="P2397" i="2"/>
  <c r="R2397" i="2" s="1"/>
  <c r="P2396" i="2"/>
  <c r="R2396" i="2" s="1"/>
  <c r="P2395" i="2"/>
  <c r="R2395" i="2" s="1"/>
  <c r="P2394" i="2"/>
  <c r="R2394" i="2" s="1"/>
  <c r="P2393" i="2"/>
  <c r="R2393" i="2" s="1"/>
  <c r="P2392" i="2"/>
  <c r="R2392" i="2" s="1"/>
  <c r="P2391" i="2"/>
  <c r="R2391" i="2" s="1"/>
  <c r="P2390" i="2"/>
  <c r="R2390" i="2" s="1"/>
  <c r="P2389" i="2"/>
  <c r="R2389" i="2" s="1"/>
  <c r="P2388" i="2"/>
  <c r="R2388" i="2" s="1"/>
  <c r="P2387" i="2"/>
  <c r="R2387" i="2" s="1"/>
  <c r="P2386" i="2"/>
  <c r="R2386" i="2" s="1"/>
  <c r="P2385" i="2"/>
  <c r="R2385" i="2" s="1"/>
  <c r="P2384" i="2"/>
  <c r="R2384" i="2" s="1"/>
  <c r="P2383" i="2"/>
  <c r="R2383" i="2" s="1"/>
  <c r="P2382" i="2"/>
  <c r="R2382" i="2" s="1"/>
  <c r="P2381" i="2"/>
  <c r="R2381" i="2" s="1"/>
  <c r="P2380" i="2"/>
  <c r="R2380" i="2" s="1"/>
  <c r="P2379" i="2"/>
  <c r="R2379" i="2" s="1"/>
  <c r="P2378" i="2"/>
  <c r="R2378" i="2" s="1"/>
  <c r="P2377" i="2"/>
  <c r="R2377" i="2" s="1"/>
  <c r="P2376" i="2"/>
  <c r="R2376" i="2" s="1"/>
  <c r="P2375" i="2"/>
  <c r="R2375" i="2" s="1"/>
  <c r="P2374" i="2"/>
  <c r="R2374" i="2" s="1"/>
  <c r="P2373" i="2"/>
  <c r="R2373" i="2" s="1"/>
  <c r="P2372" i="2"/>
  <c r="R2372" i="2" s="1"/>
  <c r="P2371" i="2"/>
  <c r="R2371" i="2" s="1"/>
  <c r="P2370" i="2"/>
  <c r="R2370" i="2" s="1"/>
  <c r="P2369" i="2"/>
  <c r="R2369" i="2" s="1"/>
  <c r="P2368" i="2"/>
  <c r="R2368" i="2" s="1"/>
  <c r="P2367" i="2"/>
  <c r="R2367" i="2" s="1"/>
  <c r="P2366" i="2"/>
  <c r="R2366" i="2" s="1"/>
  <c r="P2365" i="2"/>
  <c r="R2365" i="2" s="1"/>
  <c r="P2364" i="2"/>
  <c r="R2364" i="2" s="1"/>
  <c r="P2363" i="2"/>
  <c r="R2363" i="2" s="1"/>
  <c r="P2362" i="2"/>
  <c r="R2362" i="2" s="1"/>
  <c r="P2361" i="2"/>
  <c r="R2361" i="2" s="1"/>
  <c r="P2360" i="2"/>
  <c r="R2360" i="2" s="1"/>
  <c r="P2359" i="2"/>
  <c r="R2359" i="2" s="1"/>
  <c r="P2358" i="2"/>
  <c r="R2358" i="2" s="1"/>
  <c r="P2357" i="2"/>
  <c r="R2357" i="2" s="1"/>
  <c r="P2356" i="2"/>
  <c r="P2355" i="2"/>
  <c r="R2355" i="2" s="1"/>
  <c r="P2354" i="2"/>
  <c r="R2354" i="2" s="1"/>
  <c r="P2353" i="2"/>
  <c r="R2353" i="2" s="1"/>
  <c r="P2352" i="2"/>
  <c r="R2352" i="2" s="1"/>
  <c r="P2351" i="2"/>
  <c r="R2351" i="2" s="1"/>
  <c r="P2350" i="2"/>
  <c r="R2350" i="2" s="1"/>
  <c r="P2349" i="2"/>
  <c r="R2349" i="2" s="1"/>
  <c r="P2348" i="2"/>
  <c r="R2348" i="2" s="1"/>
  <c r="P2347" i="2"/>
  <c r="R2347" i="2" s="1"/>
  <c r="P2346" i="2"/>
  <c r="R2346" i="2" s="1"/>
  <c r="P2345" i="2"/>
  <c r="R2345" i="2" s="1"/>
  <c r="P2344" i="2"/>
  <c r="R2344" i="2" s="1"/>
  <c r="P2343" i="2"/>
  <c r="R2343" i="2" s="1"/>
  <c r="P2342" i="2"/>
  <c r="R2342" i="2" s="1"/>
  <c r="P2341" i="2"/>
  <c r="R2341" i="2" s="1"/>
  <c r="P2340" i="2"/>
  <c r="R2340" i="2" s="1"/>
  <c r="P2339" i="2"/>
  <c r="R2339" i="2" s="1"/>
  <c r="P2338" i="2"/>
  <c r="R2338" i="2" s="1"/>
  <c r="P2337" i="2"/>
  <c r="R2337" i="2" s="1"/>
  <c r="P2336" i="2"/>
  <c r="P2335" i="2"/>
  <c r="R2335" i="2" s="1"/>
  <c r="P2334" i="2"/>
  <c r="R2334" i="2" s="1"/>
  <c r="P2333" i="2"/>
  <c r="R2333" i="2" s="1"/>
  <c r="P2332" i="2"/>
  <c r="R2332" i="2" s="1"/>
  <c r="P2331" i="2"/>
  <c r="R2331" i="2" s="1"/>
  <c r="P2330" i="2"/>
  <c r="R2330" i="2" s="1"/>
  <c r="P2329" i="2"/>
  <c r="R2329" i="2" s="1"/>
  <c r="P2328" i="2"/>
  <c r="R2328" i="2" s="1"/>
  <c r="P2327" i="2"/>
  <c r="R2327" i="2" s="1"/>
  <c r="P2326" i="2"/>
  <c r="R2326" i="2" s="1"/>
  <c r="P2325" i="2"/>
  <c r="R2325" i="2" s="1"/>
  <c r="P2324" i="2"/>
  <c r="R2324" i="2" s="1"/>
  <c r="P2323" i="2"/>
  <c r="R2323" i="2" s="1"/>
  <c r="P2322" i="2"/>
  <c r="R2322" i="2" s="1"/>
  <c r="P2321" i="2"/>
  <c r="R2321" i="2" s="1"/>
  <c r="P2320" i="2"/>
  <c r="R2320" i="2" s="1"/>
  <c r="P2319" i="2"/>
  <c r="P2318" i="2"/>
  <c r="R2318" i="2" s="1"/>
  <c r="P2317" i="2"/>
  <c r="R2317" i="2" s="1"/>
  <c r="P2316" i="2"/>
  <c r="R2316" i="2" s="1"/>
  <c r="P2315" i="2"/>
  <c r="R2315" i="2" s="1"/>
  <c r="P2314" i="2"/>
  <c r="R2314" i="2" s="1"/>
  <c r="P2313" i="2"/>
  <c r="R2313" i="2" s="1"/>
  <c r="P2312" i="2"/>
  <c r="R2312" i="2" s="1"/>
  <c r="P2311" i="2"/>
  <c r="R2311" i="2" s="1"/>
  <c r="P2310" i="2"/>
  <c r="R2310" i="2" s="1"/>
  <c r="P2309" i="2"/>
  <c r="R2309" i="2" s="1"/>
  <c r="P2308" i="2"/>
  <c r="R2308" i="2" s="1"/>
  <c r="P2307" i="2"/>
  <c r="R2307" i="2" s="1"/>
  <c r="P2306" i="2"/>
  <c r="R2306" i="2" s="1"/>
  <c r="P2305" i="2"/>
  <c r="P2304" i="2"/>
  <c r="R2304" i="2" s="1"/>
  <c r="P2303" i="2"/>
  <c r="R2303" i="2" s="1"/>
  <c r="P2302" i="2"/>
  <c r="R2302" i="2" s="1"/>
  <c r="P2301" i="2"/>
  <c r="R2301" i="2" s="1"/>
  <c r="P2300" i="2"/>
  <c r="R2300" i="2" s="1"/>
  <c r="P2299" i="2"/>
  <c r="R2299" i="2" s="1"/>
  <c r="P2298" i="2"/>
  <c r="R2298" i="2" s="1"/>
  <c r="P2297" i="2"/>
  <c r="R2297" i="2" s="1"/>
  <c r="P2296" i="2"/>
  <c r="R2296" i="2" s="1"/>
  <c r="P2295" i="2"/>
  <c r="R2295" i="2" s="1"/>
  <c r="P2294" i="2"/>
  <c r="R2294" i="2" s="1"/>
  <c r="P2293" i="2"/>
  <c r="R2293" i="2" s="1"/>
  <c r="P2292" i="2"/>
  <c r="R2292" i="2" s="1"/>
  <c r="P2291" i="2"/>
  <c r="R2291" i="2" s="1"/>
  <c r="P2290" i="2"/>
  <c r="R2290" i="2" s="1"/>
  <c r="P2289" i="2"/>
  <c r="R2289" i="2" s="1"/>
  <c r="P2288" i="2"/>
  <c r="R2288" i="2" s="1"/>
  <c r="P2287" i="2"/>
  <c r="R2287" i="2" s="1"/>
  <c r="P2286" i="2"/>
  <c r="R2286" i="2" s="1"/>
  <c r="P2285" i="2"/>
  <c r="R2285" i="2" s="1"/>
  <c r="P2284" i="2"/>
  <c r="R2284" i="2" s="1"/>
  <c r="P2283" i="2"/>
  <c r="R2283" i="2" s="1"/>
  <c r="P2282" i="2"/>
  <c r="R2282" i="2" s="1"/>
  <c r="P2281" i="2"/>
  <c r="R2281" i="2" s="1"/>
  <c r="P2280" i="2"/>
  <c r="R2280" i="2" s="1"/>
  <c r="P2279" i="2"/>
  <c r="R2279" i="2" s="1"/>
  <c r="P2278" i="2"/>
  <c r="R2278" i="2" s="1"/>
  <c r="P2277" i="2"/>
  <c r="R2277" i="2" s="1"/>
  <c r="P2276" i="2"/>
  <c r="R2276" i="2" s="1"/>
  <c r="P2275" i="2"/>
  <c r="R2275" i="2" s="1"/>
  <c r="P2274" i="2"/>
  <c r="R2274" i="2" s="1"/>
  <c r="P2273" i="2"/>
  <c r="R2273" i="2" s="1"/>
  <c r="P2272" i="2"/>
  <c r="R2272" i="2" s="1"/>
  <c r="P2271" i="2"/>
  <c r="R2271" i="2" s="1"/>
  <c r="P2270" i="2"/>
  <c r="R2270" i="2" s="1"/>
  <c r="P2269" i="2"/>
  <c r="R2269" i="2" s="1"/>
  <c r="P2268" i="2"/>
  <c r="R2268" i="2" s="1"/>
  <c r="P2267" i="2"/>
  <c r="R2267" i="2" s="1"/>
  <c r="P2266" i="2"/>
  <c r="R2266" i="2" s="1"/>
  <c r="P2265" i="2"/>
  <c r="R2265" i="2" s="1"/>
  <c r="P2264" i="2"/>
  <c r="R2264" i="2" s="1"/>
  <c r="P2263" i="2"/>
  <c r="R2263" i="2" s="1"/>
  <c r="P2262" i="2"/>
  <c r="R2262" i="2" s="1"/>
  <c r="P2261" i="2"/>
  <c r="R2261" i="2" s="1"/>
  <c r="P2260" i="2"/>
  <c r="R2260" i="2" s="1"/>
  <c r="P2259" i="2"/>
  <c r="R2259" i="2" s="1"/>
  <c r="P2258" i="2"/>
  <c r="R2258" i="2" s="1"/>
  <c r="P2257" i="2"/>
  <c r="R2257" i="2" s="1"/>
  <c r="P2256" i="2"/>
  <c r="R2256" i="2" s="1"/>
  <c r="P2255" i="2"/>
  <c r="R2255" i="2" s="1"/>
  <c r="P2254" i="2"/>
  <c r="R2254" i="2" s="1"/>
  <c r="P2253" i="2"/>
  <c r="R2253" i="2" s="1"/>
  <c r="P2252" i="2"/>
  <c r="R2252" i="2" s="1"/>
  <c r="P2251" i="2"/>
  <c r="R2251" i="2" s="1"/>
  <c r="P2250" i="2"/>
  <c r="R2250" i="2" s="1"/>
  <c r="P2249" i="2"/>
  <c r="R2249" i="2" s="1"/>
  <c r="P2248" i="2"/>
  <c r="R2248" i="2" s="1"/>
  <c r="P2247" i="2"/>
  <c r="R2247" i="2" s="1"/>
  <c r="P2246" i="2"/>
  <c r="R2246" i="2" s="1"/>
  <c r="P2245" i="2"/>
  <c r="R2245" i="2" s="1"/>
  <c r="P2244" i="2"/>
  <c r="R2244" i="2" s="1"/>
  <c r="P2243" i="2"/>
  <c r="R2243" i="2" s="1"/>
  <c r="P2242" i="2"/>
  <c r="R2242" i="2" s="1"/>
  <c r="P2241" i="2"/>
  <c r="R2241" i="2" s="1"/>
  <c r="P2240" i="2"/>
  <c r="R2240" i="2" s="1"/>
  <c r="P2239" i="2"/>
  <c r="R2239" i="2" s="1"/>
  <c r="P2238" i="2"/>
  <c r="R2238" i="2" s="1"/>
  <c r="P2237" i="2"/>
  <c r="P2236" i="2"/>
  <c r="R2236" i="2" s="1"/>
  <c r="P2235" i="2"/>
  <c r="R2235" i="2" s="1"/>
  <c r="P2234" i="2"/>
  <c r="R2234" i="2" s="1"/>
  <c r="P2233" i="2"/>
  <c r="R2233" i="2" s="1"/>
  <c r="P2232" i="2"/>
  <c r="R2232" i="2" s="1"/>
  <c r="P2231" i="2"/>
  <c r="R2231" i="2" s="1"/>
  <c r="P2230" i="2"/>
  <c r="R2230" i="2" s="1"/>
  <c r="P2229" i="2"/>
  <c r="R2229" i="2" s="1"/>
  <c r="P2228" i="2"/>
  <c r="R2228" i="2" s="1"/>
  <c r="P2227" i="2"/>
  <c r="R2227" i="2" s="1"/>
  <c r="P2226" i="2"/>
  <c r="R2226" i="2" s="1"/>
  <c r="P2225" i="2"/>
  <c r="R2225" i="2" s="1"/>
  <c r="P2224" i="2"/>
  <c r="R2224" i="2" s="1"/>
  <c r="P2223" i="2"/>
  <c r="R2223" i="2" s="1"/>
  <c r="P2222" i="2"/>
  <c r="R2222" i="2" s="1"/>
  <c r="P2221" i="2"/>
  <c r="R2221" i="2" s="1"/>
  <c r="P2220" i="2"/>
  <c r="R2220" i="2" s="1"/>
  <c r="P2219" i="2"/>
  <c r="R2219" i="2" s="1"/>
  <c r="P2218" i="2"/>
  <c r="R2218" i="2" s="1"/>
  <c r="P2217" i="2"/>
  <c r="R2217" i="2" s="1"/>
  <c r="P2216" i="2"/>
  <c r="R2216" i="2" s="1"/>
  <c r="P2215" i="2"/>
  <c r="R2215" i="2" s="1"/>
  <c r="P2214" i="2"/>
  <c r="R2214" i="2" s="1"/>
  <c r="P2213" i="2"/>
  <c r="R2213" i="2" s="1"/>
  <c r="P2212" i="2"/>
  <c r="R2212" i="2" s="1"/>
  <c r="P2211" i="2"/>
  <c r="R2211" i="2" s="1"/>
  <c r="P2210" i="2"/>
  <c r="R2210" i="2" s="1"/>
  <c r="P2209" i="2"/>
  <c r="R2209" i="2" s="1"/>
  <c r="P2208" i="2"/>
  <c r="R2208" i="2" s="1"/>
  <c r="P2207" i="2"/>
  <c r="R2207" i="2" s="1"/>
  <c r="P2206" i="2"/>
  <c r="R2206" i="2" s="1"/>
  <c r="P2205" i="2"/>
  <c r="R2205" i="2" s="1"/>
  <c r="P2204" i="2"/>
  <c r="R2204" i="2" s="1"/>
  <c r="P2203" i="2"/>
  <c r="R2203" i="2" s="1"/>
  <c r="P2202" i="2"/>
  <c r="R2202" i="2" s="1"/>
  <c r="P2201" i="2"/>
  <c r="R2201" i="2" s="1"/>
  <c r="P2200" i="2"/>
  <c r="R2200" i="2" s="1"/>
  <c r="P2199" i="2"/>
  <c r="R2199" i="2" s="1"/>
  <c r="P2198" i="2"/>
  <c r="R2198" i="2" s="1"/>
  <c r="P2197" i="2"/>
  <c r="R2197" i="2" s="1"/>
  <c r="P2196" i="2"/>
  <c r="R2196" i="2" s="1"/>
  <c r="P2195" i="2"/>
  <c r="R2195" i="2" s="1"/>
  <c r="P2194" i="2"/>
  <c r="P2193" i="2"/>
  <c r="R2193" i="2" s="1"/>
  <c r="P2192" i="2"/>
  <c r="R2192" i="2" s="1"/>
  <c r="P2191" i="2"/>
  <c r="R2191" i="2" s="1"/>
  <c r="P2190" i="2"/>
  <c r="P2189" i="2"/>
  <c r="R2189" i="2" s="1"/>
  <c r="P2188" i="2"/>
  <c r="R2188" i="2" s="1"/>
  <c r="P2187" i="2"/>
  <c r="R2187" i="2" s="1"/>
  <c r="P2186" i="2"/>
  <c r="R2186" i="2" s="1"/>
  <c r="P2185" i="2"/>
  <c r="R2185" i="2" s="1"/>
  <c r="P2184" i="2"/>
  <c r="R2184" i="2" s="1"/>
  <c r="P2183" i="2"/>
  <c r="R2183" i="2" s="1"/>
  <c r="P2182" i="2"/>
  <c r="R2182" i="2" s="1"/>
  <c r="P2181" i="2"/>
  <c r="R2181" i="2" s="1"/>
  <c r="P2180" i="2"/>
  <c r="R2180" i="2" s="1"/>
  <c r="P2179" i="2"/>
  <c r="R2179" i="2" s="1"/>
  <c r="P2178" i="2"/>
  <c r="R2178" i="2" s="1"/>
  <c r="P2177" i="2"/>
  <c r="R2177" i="2" s="1"/>
  <c r="P2176" i="2"/>
  <c r="R2176" i="2" s="1"/>
  <c r="P2175" i="2"/>
  <c r="R2175" i="2" s="1"/>
  <c r="P2174" i="2"/>
  <c r="R2174" i="2" s="1"/>
  <c r="P2173" i="2"/>
  <c r="R2173" i="2" s="1"/>
  <c r="P2172" i="2"/>
  <c r="R2172" i="2" s="1"/>
  <c r="P2171" i="2"/>
  <c r="R2171" i="2" s="1"/>
  <c r="P2170" i="2"/>
  <c r="R2170" i="2" s="1"/>
  <c r="P2169" i="2"/>
  <c r="R2169" i="2" s="1"/>
  <c r="P2168" i="2"/>
  <c r="R2168" i="2" s="1"/>
  <c r="P2167" i="2"/>
  <c r="R2167" i="2" s="1"/>
  <c r="P2166" i="2"/>
  <c r="R2166" i="2" s="1"/>
  <c r="P2165" i="2"/>
  <c r="R2165" i="2" s="1"/>
  <c r="P2164" i="2"/>
  <c r="R2164" i="2" s="1"/>
  <c r="P2163" i="2"/>
  <c r="R2163" i="2" s="1"/>
  <c r="P2162" i="2"/>
  <c r="R2162" i="2" s="1"/>
  <c r="P2161" i="2"/>
  <c r="R2161" i="2" s="1"/>
  <c r="P2160" i="2"/>
  <c r="R2160" i="2" s="1"/>
  <c r="P2159" i="2"/>
  <c r="R2159" i="2" s="1"/>
  <c r="P2158" i="2"/>
  <c r="R2158" i="2" s="1"/>
  <c r="P2157" i="2"/>
  <c r="R2157" i="2" s="1"/>
  <c r="P2156" i="2"/>
  <c r="R2156" i="2" s="1"/>
  <c r="P2155" i="2"/>
  <c r="R2155" i="2" s="1"/>
  <c r="P2154" i="2"/>
  <c r="R2154" i="2" s="1"/>
  <c r="P2153" i="2"/>
  <c r="R2153" i="2" s="1"/>
  <c r="P2152" i="2"/>
  <c r="R2152" i="2" s="1"/>
  <c r="P2151" i="2"/>
  <c r="R2151" i="2" s="1"/>
  <c r="P2150" i="2"/>
  <c r="R2150" i="2" s="1"/>
  <c r="P2149" i="2"/>
  <c r="R2149" i="2" s="1"/>
  <c r="P2148" i="2"/>
  <c r="R2148" i="2" s="1"/>
  <c r="P2147" i="2"/>
  <c r="P2146" i="2"/>
  <c r="R2146" i="2" s="1"/>
  <c r="P2145" i="2"/>
  <c r="R2145" i="2" s="1"/>
  <c r="P2144" i="2"/>
  <c r="R2144" i="2" s="1"/>
  <c r="P2143" i="2"/>
  <c r="R2143" i="2" s="1"/>
  <c r="P2142" i="2"/>
  <c r="R2142" i="2" s="1"/>
  <c r="P2141" i="2"/>
  <c r="R2141" i="2" s="1"/>
  <c r="P2140" i="2"/>
  <c r="R2140" i="2" s="1"/>
  <c r="P2139" i="2"/>
  <c r="R2139" i="2" s="1"/>
  <c r="P2138" i="2"/>
  <c r="R2138" i="2" s="1"/>
  <c r="P2137" i="2"/>
  <c r="R2137" i="2" s="1"/>
  <c r="P2136" i="2"/>
  <c r="R2136" i="2" s="1"/>
  <c r="P2135" i="2"/>
  <c r="R2135" i="2" s="1"/>
  <c r="P2134" i="2"/>
  <c r="R2134" i="2" s="1"/>
  <c r="P2133" i="2"/>
  <c r="R2133" i="2" s="1"/>
  <c r="P2132" i="2"/>
  <c r="R2132" i="2" s="1"/>
  <c r="P2131" i="2"/>
  <c r="R2131" i="2" s="1"/>
  <c r="P2130" i="2"/>
  <c r="R2130" i="2" s="1"/>
  <c r="P2129" i="2"/>
  <c r="R2129" i="2" s="1"/>
  <c r="P2128" i="2"/>
  <c r="R2128" i="2" s="1"/>
  <c r="P2127" i="2"/>
  <c r="R2127" i="2" s="1"/>
  <c r="P2126" i="2"/>
  <c r="R2126" i="2" s="1"/>
  <c r="P2125" i="2"/>
  <c r="R2125" i="2" s="1"/>
  <c r="P2124" i="2"/>
  <c r="R2124" i="2" s="1"/>
  <c r="P2123" i="2"/>
  <c r="R2123" i="2" s="1"/>
  <c r="P2122" i="2"/>
  <c r="R2122" i="2" s="1"/>
  <c r="P2121" i="2"/>
  <c r="R2121" i="2" s="1"/>
  <c r="P2120" i="2"/>
  <c r="R2120" i="2" s="1"/>
  <c r="P2119" i="2"/>
  <c r="R2119" i="2" s="1"/>
  <c r="P2118" i="2"/>
  <c r="R2118" i="2" s="1"/>
  <c r="P2117" i="2"/>
  <c r="R2117" i="2" s="1"/>
  <c r="P2116" i="2"/>
  <c r="R2116" i="2" s="1"/>
  <c r="P2115" i="2"/>
  <c r="R2115" i="2" s="1"/>
  <c r="P2114" i="2"/>
  <c r="R2114" i="2" s="1"/>
  <c r="P2113" i="2"/>
  <c r="R2113" i="2" s="1"/>
  <c r="P2112" i="2"/>
  <c r="R2112" i="2" s="1"/>
  <c r="P2111" i="2"/>
  <c r="R2111" i="2" s="1"/>
  <c r="P2110" i="2"/>
  <c r="R2110" i="2" s="1"/>
  <c r="P2109" i="2"/>
  <c r="R2109" i="2" s="1"/>
  <c r="P2108" i="2"/>
  <c r="R2108" i="2" s="1"/>
  <c r="P2107" i="2"/>
  <c r="R2107" i="2" s="1"/>
  <c r="P2106" i="2"/>
  <c r="R2106" i="2" s="1"/>
  <c r="P2105" i="2"/>
  <c r="R2105" i="2" s="1"/>
  <c r="P2104" i="2"/>
  <c r="R2104" i="2" s="1"/>
  <c r="P2103" i="2"/>
  <c r="R2103" i="2" s="1"/>
  <c r="P2102" i="2"/>
  <c r="R2102" i="2" s="1"/>
  <c r="P2101" i="2"/>
  <c r="R2101" i="2" s="1"/>
  <c r="P2100" i="2"/>
  <c r="P2099" i="2"/>
  <c r="R2099" i="2" s="1"/>
  <c r="P2098" i="2"/>
  <c r="R2098" i="2" s="1"/>
  <c r="P2097" i="2"/>
  <c r="R2097" i="2" s="1"/>
  <c r="P2096" i="2"/>
  <c r="R2096" i="2" s="1"/>
  <c r="P2095" i="2"/>
  <c r="R2095" i="2" s="1"/>
  <c r="P2094" i="2"/>
  <c r="R2094" i="2" s="1"/>
  <c r="P2093" i="2"/>
  <c r="R2093" i="2" s="1"/>
  <c r="P2092" i="2"/>
  <c r="R2092" i="2" s="1"/>
  <c r="P2091" i="2"/>
  <c r="R2091" i="2" s="1"/>
  <c r="P2090" i="2"/>
  <c r="R2090" i="2" s="1"/>
  <c r="P2089" i="2"/>
  <c r="R2089" i="2" s="1"/>
  <c r="P2088" i="2"/>
  <c r="R2088" i="2" s="1"/>
  <c r="P2087" i="2"/>
  <c r="R2087" i="2" s="1"/>
  <c r="P2086" i="2"/>
  <c r="R2086" i="2" s="1"/>
  <c r="P2085" i="2"/>
  <c r="R2085" i="2" s="1"/>
  <c r="P2084" i="2"/>
  <c r="R2084" i="2" s="1"/>
  <c r="P2083" i="2"/>
  <c r="R2083" i="2" s="1"/>
  <c r="P2082" i="2"/>
  <c r="R2082" i="2" s="1"/>
  <c r="P2081" i="2"/>
  <c r="R2081" i="2" s="1"/>
  <c r="P2080" i="2"/>
  <c r="P2079" i="2"/>
  <c r="R2079" i="2" s="1"/>
  <c r="P2078" i="2"/>
  <c r="R2078" i="2" s="1"/>
  <c r="P2077" i="2"/>
  <c r="R2077" i="2" s="1"/>
  <c r="P2076" i="2"/>
  <c r="R2076" i="2" s="1"/>
  <c r="P2075" i="2"/>
  <c r="R2075" i="2" s="1"/>
  <c r="P2074" i="2"/>
  <c r="R2074" i="2" s="1"/>
  <c r="P2073" i="2"/>
  <c r="R2073" i="2" s="1"/>
  <c r="P2072" i="2"/>
  <c r="R2072" i="2" s="1"/>
  <c r="P2071" i="2"/>
  <c r="R2071" i="2" s="1"/>
  <c r="P2070" i="2"/>
  <c r="R2070" i="2" s="1"/>
  <c r="P2069" i="2"/>
  <c r="R2069" i="2" s="1"/>
  <c r="P2068" i="2"/>
  <c r="R2068" i="2" s="1"/>
  <c r="P2067" i="2"/>
  <c r="R2067" i="2" s="1"/>
  <c r="P2066" i="2"/>
  <c r="R2066" i="2" s="1"/>
  <c r="P2065" i="2"/>
  <c r="R2065" i="2" s="1"/>
  <c r="P2064" i="2"/>
  <c r="R2064" i="2" s="1"/>
  <c r="P2063" i="2"/>
  <c r="P2062" i="2"/>
  <c r="R2062" i="2" s="1"/>
  <c r="P2061" i="2"/>
  <c r="R2061" i="2" s="1"/>
  <c r="P2060" i="2"/>
  <c r="R2060" i="2" s="1"/>
  <c r="P2059" i="2"/>
  <c r="R2059" i="2" s="1"/>
  <c r="P2058" i="2"/>
  <c r="R2058" i="2" s="1"/>
  <c r="P2057" i="2"/>
  <c r="R2057" i="2" s="1"/>
  <c r="P2056" i="2"/>
  <c r="R2056" i="2" s="1"/>
  <c r="P2055" i="2"/>
  <c r="R2055" i="2" s="1"/>
  <c r="P2054" i="2"/>
  <c r="R2054" i="2" s="1"/>
  <c r="P2053" i="2"/>
  <c r="R2053" i="2" s="1"/>
  <c r="P2052" i="2"/>
  <c r="R2052" i="2" s="1"/>
  <c r="P2051" i="2"/>
  <c r="R2051" i="2" s="1"/>
  <c r="P2050" i="2"/>
  <c r="R2050" i="2" s="1"/>
  <c r="P2049" i="2"/>
  <c r="P2048" i="2"/>
  <c r="R2048" i="2" s="1"/>
  <c r="P2047" i="2"/>
  <c r="R2047" i="2" s="1"/>
  <c r="P2046" i="2"/>
  <c r="R2046" i="2" s="1"/>
  <c r="P2045" i="2"/>
  <c r="R2045" i="2" s="1"/>
  <c r="P2044" i="2"/>
  <c r="R2044" i="2" s="1"/>
  <c r="P2043" i="2"/>
  <c r="R2043" i="2" s="1"/>
  <c r="P2042" i="2"/>
  <c r="R2042" i="2" s="1"/>
  <c r="P2041" i="2"/>
  <c r="R2041" i="2" s="1"/>
  <c r="P2040" i="2"/>
  <c r="R2040" i="2" s="1"/>
  <c r="P2039" i="2"/>
  <c r="R2039" i="2" s="1"/>
  <c r="P2038" i="2"/>
  <c r="R2038" i="2" s="1"/>
  <c r="P2037" i="2"/>
  <c r="R2037" i="2" s="1"/>
  <c r="P2036" i="2"/>
  <c r="R2036" i="2" s="1"/>
  <c r="P2035" i="2"/>
  <c r="R2035" i="2" s="1"/>
  <c r="P2034" i="2"/>
  <c r="R2034" i="2" s="1"/>
  <c r="P2033" i="2"/>
  <c r="R2033" i="2" s="1"/>
  <c r="P2032" i="2"/>
  <c r="R2032" i="2" s="1"/>
  <c r="P2031" i="2"/>
  <c r="R2031" i="2" s="1"/>
  <c r="P2030" i="2"/>
  <c r="R2030" i="2" s="1"/>
  <c r="P2029" i="2"/>
  <c r="R2029" i="2" s="1"/>
  <c r="P2028" i="2"/>
  <c r="R2028" i="2" s="1"/>
  <c r="P2027" i="2"/>
  <c r="R2027" i="2" s="1"/>
  <c r="P2026" i="2"/>
  <c r="R2026" i="2" s="1"/>
  <c r="P2025" i="2"/>
  <c r="R2025" i="2" s="1"/>
  <c r="P2024" i="2"/>
  <c r="R2024" i="2" s="1"/>
  <c r="P2023" i="2"/>
  <c r="R2023" i="2" s="1"/>
  <c r="P2022" i="2"/>
  <c r="R2022" i="2" s="1"/>
  <c r="P2021" i="2"/>
  <c r="R2021" i="2" s="1"/>
  <c r="P2020" i="2"/>
  <c r="R2020" i="2" s="1"/>
  <c r="P2019" i="2"/>
  <c r="R2019" i="2" s="1"/>
  <c r="P2018" i="2"/>
  <c r="R2018" i="2" s="1"/>
  <c r="P2017" i="2"/>
  <c r="R2017" i="2" s="1"/>
  <c r="P2016" i="2"/>
  <c r="R2016" i="2" s="1"/>
  <c r="P2015" i="2"/>
  <c r="R2015" i="2" s="1"/>
  <c r="P2014" i="2"/>
  <c r="R2014" i="2" s="1"/>
  <c r="P2013" i="2"/>
  <c r="R2013" i="2" s="1"/>
  <c r="P2012" i="2"/>
  <c r="R2012" i="2" s="1"/>
  <c r="P2011" i="2"/>
  <c r="R2011" i="2" s="1"/>
  <c r="P2010" i="2"/>
  <c r="R2010" i="2" s="1"/>
  <c r="P2009" i="2"/>
  <c r="R2009" i="2" s="1"/>
  <c r="P2008" i="2"/>
  <c r="R2008" i="2" s="1"/>
  <c r="P2007" i="2"/>
  <c r="R2007" i="2" s="1"/>
  <c r="P2006" i="2"/>
  <c r="R2006" i="2" s="1"/>
  <c r="P2005" i="2"/>
  <c r="P2004" i="2"/>
  <c r="R2004" i="2" s="1"/>
  <c r="P2003" i="2"/>
  <c r="R2003" i="2" s="1"/>
  <c r="P2002" i="2"/>
  <c r="R2002" i="2" s="1"/>
  <c r="P2001" i="2"/>
  <c r="R2001" i="2" s="1"/>
  <c r="P2000" i="2"/>
  <c r="R2000" i="2" s="1"/>
  <c r="P1999" i="2"/>
  <c r="R1999" i="2" s="1"/>
  <c r="P1998" i="2"/>
  <c r="R1998" i="2" s="1"/>
  <c r="P1997" i="2"/>
  <c r="R1997" i="2" s="1"/>
  <c r="P1996" i="2"/>
  <c r="R1996" i="2" s="1"/>
  <c r="P1995" i="2"/>
  <c r="R1995" i="2" s="1"/>
  <c r="P1994" i="2"/>
  <c r="R1994" i="2" s="1"/>
  <c r="P1993" i="2"/>
  <c r="R1993" i="2" s="1"/>
  <c r="P1992" i="2"/>
  <c r="R1992" i="2" s="1"/>
  <c r="P1991" i="2"/>
  <c r="R1991" i="2" s="1"/>
  <c r="P1990" i="2"/>
  <c r="R1990" i="2" s="1"/>
  <c r="P1989" i="2"/>
  <c r="R1989" i="2" s="1"/>
  <c r="P1988" i="2"/>
  <c r="R1988" i="2" s="1"/>
  <c r="P1987" i="2"/>
  <c r="R1987" i="2" s="1"/>
  <c r="P1986" i="2"/>
  <c r="R1986" i="2" s="1"/>
  <c r="P1985" i="2"/>
  <c r="R1985" i="2" s="1"/>
  <c r="P1984" i="2"/>
  <c r="R1984" i="2" s="1"/>
  <c r="P1983" i="2"/>
  <c r="R1983" i="2" s="1"/>
  <c r="P1982" i="2"/>
  <c r="R1982" i="2" s="1"/>
  <c r="P1981" i="2"/>
  <c r="P1980" i="2"/>
  <c r="R1980" i="2" s="1"/>
  <c r="P1979" i="2"/>
  <c r="R1979" i="2" s="1"/>
  <c r="P1978" i="2"/>
  <c r="R1978" i="2" s="1"/>
  <c r="P1977" i="2"/>
  <c r="R1977" i="2" s="1"/>
  <c r="P1976" i="2"/>
  <c r="R1976" i="2" s="1"/>
  <c r="P1975" i="2"/>
  <c r="R1975" i="2" s="1"/>
  <c r="P1974" i="2"/>
  <c r="R1974" i="2" s="1"/>
  <c r="P1973" i="2"/>
  <c r="R1973" i="2" s="1"/>
  <c r="P1972" i="2"/>
  <c r="R1972" i="2" s="1"/>
  <c r="P1971" i="2"/>
  <c r="R1971" i="2" s="1"/>
  <c r="P1970" i="2"/>
  <c r="R1970" i="2" s="1"/>
  <c r="P1969" i="2"/>
  <c r="R1969" i="2" s="1"/>
  <c r="P1968" i="2"/>
  <c r="R1968" i="2" s="1"/>
  <c r="P1967" i="2"/>
  <c r="R1967" i="2" s="1"/>
  <c r="P1966" i="2"/>
  <c r="R1966" i="2" s="1"/>
  <c r="P1965" i="2"/>
  <c r="R1965" i="2" s="1"/>
  <c r="P1964" i="2"/>
  <c r="R1964" i="2" s="1"/>
  <c r="P1963" i="2"/>
  <c r="R1963" i="2" s="1"/>
  <c r="P1962" i="2"/>
  <c r="R1962" i="2" s="1"/>
  <c r="P1961" i="2"/>
  <c r="R1961" i="2" s="1"/>
  <c r="P1960" i="2"/>
  <c r="R1960" i="2" s="1"/>
  <c r="P1959" i="2"/>
  <c r="R1959" i="2" s="1"/>
  <c r="P1958" i="2"/>
  <c r="R1958" i="2" s="1"/>
  <c r="P1957" i="2"/>
  <c r="R1957" i="2" s="1"/>
  <c r="P1956" i="2"/>
  <c r="R1956" i="2" s="1"/>
  <c r="P1955" i="2"/>
  <c r="R1955" i="2" s="1"/>
  <c r="P1954" i="2"/>
  <c r="R1954" i="2" s="1"/>
  <c r="P1953" i="2"/>
  <c r="R1953" i="2" s="1"/>
  <c r="P1952" i="2"/>
  <c r="R1952" i="2" s="1"/>
  <c r="P1951" i="2"/>
  <c r="R1951" i="2" s="1"/>
  <c r="P1950" i="2"/>
  <c r="R1950" i="2" s="1"/>
  <c r="P1949" i="2"/>
  <c r="R1949" i="2" s="1"/>
  <c r="P1948" i="2"/>
  <c r="R1948" i="2" s="1"/>
  <c r="P1947" i="2"/>
  <c r="R1947" i="2" s="1"/>
  <c r="P1946" i="2"/>
  <c r="R1946" i="2" s="1"/>
  <c r="P1945" i="2"/>
  <c r="R1945" i="2" s="1"/>
  <c r="P1944" i="2"/>
  <c r="R1944" i="2" s="1"/>
  <c r="P1943" i="2"/>
  <c r="R1943" i="2" s="1"/>
  <c r="P1942" i="2"/>
  <c r="R1942" i="2" s="1"/>
  <c r="P1941" i="2"/>
  <c r="R1941" i="2" s="1"/>
  <c r="P1940" i="2"/>
  <c r="R1940" i="2" s="1"/>
  <c r="P1939" i="2"/>
  <c r="R1939" i="2" s="1"/>
  <c r="P1938" i="2"/>
  <c r="P1937" i="2"/>
  <c r="R1937" i="2" s="1"/>
  <c r="P1936" i="2"/>
  <c r="R1936" i="2" s="1"/>
  <c r="P1935" i="2"/>
  <c r="R1935" i="2" s="1"/>
  <c r="P1934" i="2"/>
  <c r="P1933" i="2"/>
  <c r="R1933" i="2" s="1"/>
  <c r="P1932" i="2"/>
  <c r="R1932" i="2" s="1"/>
  <c r="P1931" i="2"/>
  <c r="R1931" i="2" s="1"/>
  <c r="P1930" i="2"/>
  <c r="R1930" i="2" s="1"/>
  <c r="P1929" i="2"/>
  <c r="R1929" i="2" s="1"/>
  <c r="P1928" i="2"/>
  <c r="R1928" i="2" s="1"/>
  <c r="P1927" i="2"/>
  <c r="R1927" i="2" s="1"/>
  <c r="P1926" i="2"/>
  <c r="R1926" i="2" s="1"/>
  <c r="P1925" i="2"/>
  <c r="R1925" i="2" s="1"/>
  <c r="P1924" i="2"/>
  <c r="R1924" i="2" s="1"/>
  <c r="P1923" i="2"/>
  <c r="R1923" i="2" s="1"/>
  <c r="P1922" i="2"/>
  <c r="R1922" i="2" s="1"/>
  <c r="P1921" i="2"/>
  <c r="R1921" i="2" s="1"/>
  <c r="P1920" i="2"/>
  <c r="R1920" i="2" s="1"/>
  <c r="P1919" i="2"/>
  <c r="R1919" i="2" s="1"/>
  <c r="P1918" i="2"/>
  <c r="R1918" i="2" s="1"/>
  <c r="P1917" i="2"/>
  <c r="R1917" i="2" s="1"/>
  <c r="P1916" i="2"/>
  <c r="R1916" i="2" s="1"/>
  <c r="P1915" i="2"/>
  <c r="R1915" i="2" s="1"/>
  <c r="P1914" i="2"/>
  <c r="R1914" i="2" s="1"/>
  <c r="P1913" i="2"/>
  <c r="R1913" i="2" s="1"/>
  <c r="P1912" i="2"/>
  <c r="R1912" i="2" s="1"/>
  <c r="P1911" i="2"/>
  <c r="R1911" i="2" s="1"/>
  <c r="P1910" i="2"/>
  <c r="R1910" i="2" s="1"/>
  <c r="P1909" i="2"/>
  <c r="R1909" i="2" s="1"/>
  <c r="P1908" i="2"/>
  <c r="R1908" i="2" s="1"/>
  <c r="P1907" i="2"/>
  <c r="R1907" i="2" s="1"/>
  <c r="P1906" i="2"/>
  <c r="R1906" i="2" s="1"/>
  <c r="P1905" i="2"/>
  <c r="R1905" i="2" s="1"/>
  <c r="P1904" i="2"/>
  <c r="R1904" i="2" s="1"/>
  <c r="P1903" i="2"/>
  <c r="R1903" i="2" s="1"/>
  <c r="P1902" i="2"/>
  <c r="R1902" i="2" s="1"/>
  <c r="P1901" i="2"/>
  <c r="R1901" i="2" s="1"/>
  <c r="P1900" i="2"/>
  <c r="R1900" i="2" s="1"/>
  <c r="P1899" i="2"/>
  <c r="R1899" i="2" s="1"/>
  <c r="P1898" i="2"/>
  <c r="R1898" i="2" s="1"/>
  <c r="P1897" i="2"/>
  <c r="R1897" i="2" s="1"/>
  <c r="P1896" i="2"/>
  <c r="R1896" i="2" s="1"/>
  <c r="P1895" i="2"/>
  <c r="R1895" i="2" s="1"/>
  <c r="P1894" i="2"/>
  <c r="R1894" i="2" s="1"/>
  <c r="P1893" i="2"/>
  <c r="R1893" i="2" s="1"/>
  <c r="P1892" i="2"/>
  <c r="R1892" i="2" s="1"/>
  <c r="P1891" i="2"/>
  <c r="P1890" i="2"/>
  <c r="R1890" i="2" s="1"/>
  <c r="P1889" i="2"/>
  <c r="R1889" i="2" s="1"/>
  <c r="P1888" i="2"/>
  <c r="R1888" i="2" s="1"/>
  <c r="P1887" i="2"/>
  <c r="R1887" i="2" s="1"/>
  <c r="P1886" i="2"/>
  <c r="R1886" i="2" s="1"/>
  <c r="P1885" i="2"/>
  <c r="R1885" i="2" s="1"/>
  <c r="P1884" i="2"/>
  <c r="R1884" i="2" s="1"/>
  <c r="P1883" i="2"/>
  <c r="R1883" i="2" s="1"/>
  <c r="P1882" i="2"/>
  <c r="R1882" i="2" s="1"/>
  <c r="P1881" i="2"/>
  <c r="R1881" i="2" s="1"/>
  <c r="P1880" i="2"/>
  <c r="R1880" i="2" s="1"/>
  <c r="P1879" i="2"/>
  <c r="R1879" i="2" s="1"/>
  <c r="P1878" i="2"/>
  <c r="R1878" i="2" s="1"/>
  <c r="P1877" i="2"/>
  <c r="R1877" i="2" s="1"/>
  <c r="P1876" i="2"/>
  <c r="R1876" i="2" s="1"/>
  <c r="P1875" i="2"/>
  <c r="R1875" i="2" s="1"/>
  <c r="P1874" i="2"/>
  <c r="R1874" i="2" s="1"/>
  <c r="P1873" i="2"/>
  <c r="R1873" i="2" s="1"/>
  <c r="P1872" i="2"/>
  <c r="R1872" i="2" s="1"/>
  <c r="P1871" i="2"/>
  <c r="R1871" i="2" s="1"/>
  <c r="P1870" i="2"/>
  <c r="R1870" i="2" s="1"/>
  <c r="P1869" i="2"/>
  <c r="R1869" i="2" s="1"/>
  <c r="P1868" i="2"/>
  <c r="R1868" i="2" s="1"/>
  <c r="P1867" i="2"/>
  <c r="R1867" i="2" s="1"/>
  <c r="P1866" i="2"/>
  <c r="R1866" i="2" s="1"/>
  <c r="P1865" i="2"/>
  <c r="R1865" i="2" s="1"/>
  <c r="P1864" i="2"/>
  <c r="R1864" i="2" s="1"/>
  <c r="P1863" i="2"/>
  <c r="R1863" i="2" s="1"/>
  <c r="P1862" i="2"/>
  <c r="R1862" i="2" s="1"/>
  <c r="P1861" i="2"/>
  <c r="R1861" i="2" s="1"/>
  <c r="P1860" i="2"/>
  <c r="R1860" i="2" s="1"/>
  <c r="P1859" i="2"/>
  <c r="R1859" i="2" s="1"/>
  <c r="P1858" i="2"/>
  <c r="R1858" i="2" s="1"/>
  <c r="P1857" i="2"/>
  <c r="R1857" i="2" s="1"/>
  <c r="P1856" i="2"/>
  <c r="R1856" i="2" s="1"/>
  <c r="P1855" i="2"/>
  <c r="R1855" i="2" s="1"/>
  <c r="P1854" i="2"/>
  <c r="R1854" i="2" s="1"/>
  <c r="P1853" i="2"/>
  <c r="R1853" i="2" s="1"/>
  <c r="P1852" i="2"/>
  <c r="R1852" i="2" s="1"/>
  <c r="P1851" i="2"/>
  <c r="R1851" i="2" s="1"/>
  <c r="P1850" i="2"/>
  <c r="R1850" i="2" s="1"/>
  <c r="P1849" i="2"/>
  <c r="R1849" i="2" s="1"/>
  <c r="P1848" i="2"/>
  <c r="R1848" i="2" s="1"/>
  <c r="P1847" i="2"/>
  <c r="R1847" i="2" s="1"/>
  <c r="P1846" i="2"/>
  <c r="R1846" i="2" s="1"/>
  <c r="P1845" i="2"/>
  <c r="R1845" i="2" s="1"/>
  <c r="P1844" i="2"/>
  <c r="P1843" i="2"/>
  <c r="R1843" i="2" s="1"/>
  <c r="P1842" i="2"/>
  <c r="R1842" i="2" s="1"/>
  <c r="P1841" i="2"/>
  <c r="R1841" i="2" s="1"/>
  <c r="P1840" i="2"/>
  <c r="R1840" i="2" s="1"/>
  <c r="P1839" i="2"/>
  <c r="R1839" i="2" s="1"/>
  <c r="P1838" i="2"/>
  <c r="R1838" i="2" s="1"/>
  <c r="P1837" i="2"/>
  <c r="R1837" i="2" s="1"/>
  <c r="P1836" i="2"/>
  <c r="R1836" i="2" s="1"/>
  <c r="P1835" i="2"/>
  <c r="R1835" i="2" s="1"/>
  <c r="P1834" i="2"/>
  <c r="R1834" i="2" s="1"/>
  <c r="P1833" i="2"/>
  <c r="R1833" i="2" s="1"/>
  <c r="P1832" i="2"/>
  <c r="R1832" i="2" s="1"/>
  <c r="P1831" i="2"/>
  <c r="R1831" i="2" s="1"/>
  <c r="P1830" i="2"/>
  <c r="R1830" i="2" s="1"/>
  <c r="P1829" i="2"/>
  <c r="R1829" i="2" s="1"/>
  <c r="P1828" i="2"/>
  <c r="R1828" i="2" s="1"/>
  <c r="P1827" i="2"/>
  <c r="R1827" i="2" s="1"/>
  <c r="P1826" i="2"/>
  <c r="R1826" i="2" s="1"/>
  <c r="P1825" i="2"/>
  <c r="R1825" i="2" s="1"/>
  <c r="P1824" i="2"/>
  <c r="R1824" i="2" s="1"/>
  <c r="P1823" i="2"/>
  <c r="R1823" i="2" s="1"/>
  <c r="P1822" i="2"/>
  <c r="R1822" i="2" s="1"/>
  <c r="P1821" i="2"/>
  <c r="R1821" i="2" s="1"/>
  <c r="P1820" i="2"/>
  <c r="R1820" i="2" s="1"/>
  <c r="P1819" i="2"/>
  <c r="R1819" i="2" s="1"/>
  <c r="P1818" i="2"/>
  <c r="R1818" i="2" s="1"/>
  <c r="P1817" i="2"/>
  <c r="R1817" i="2" s="1"/>
  <c r="P1816" i="2"/>
  <c r="R1816" i="2" s="1"/>
  <c r="P1815" i="2"/>
  <c r="R1815" i="2" s="1"/>
  <c r="P1814" i="2"/>
  <c r="R1814" i="2" s="1"/>
  <c r="P1813" i="2"/>
  <c r="R1813" i="2" s="1"/>
  <c r="P1812" i="2"/>
  <c r="R1812" i="2" s="1"/>
  <c r="P1811" i="2"/>
  <c r="R1811" i="2" s="1"/>
  <c r="P1810" i="2"/>
  <c r="R1810" i="2" s="1"/>
  <c r="P1809" i="2"/>
  <c r="R1809" i="2" s="1"/>
  <c r="P1808" i="2"/>
  <c r="R1808" i="2" s="1"/>
  <c r="P1807" i="2"/>
  <c r="P1806" i="2"/>
  <c r="R1806" i="2" s="1"/>
  <c r="P1805" i="2"/>
  <c r="R1805" i="2" s="1"/>
  <c r="P1804" i="2"/>
  <c r="R1804" i="2" s="1"/>
  <c r="P1803" i="2"/>
  <c r="R1803" i="2" s="1"/>
  <c r="P1802" i="2"/>
  <c r="R1802" i="2" s="1"/>
  <c r="P1801" i="2"/>
  <c r="R1801" i="2" s="1"/>
  <c r="P1800" i="2"/>
  <c r="R1800" i="2" s="1"/>
  <c r="P1799" i="2"/>
  <c r="R1799" i="2" s="1"/>
  <c r="P1798" i="2"/>
  <c r="R1798" i="2" s="1"/>
  <c r="P1797" i="2"/>
  <c r="R1797" i="2" s="1"/>
  <c r="P1796" i="2"/>
  <c r="R1796" i="2" s="1"/>
  <c r="P1795" i="2"/>
  <c r="R1795" i="2" s="1"/>
  <c r="P1794" i="2"/>
  <c r="R1794" i="2" s="1"/>
  <c r="P1793" i="2"/>
  <c r="P1792" i="2"/>
  <c r="R1792" i="2" s="1"/>
  <c r="P1791" i="2"/>
  <c r="R1791" i="2" s="1"/>
  <c r="P1790" i="2"/>
  <c r="R1790" i="2" s="1"/>
  <c r="P1789" i="2"/>
  <c r="R1789" i="2" s="1"/>
  <c r="P1788" i="2"/>
  <c r="R1788" i="2" s="1"/>
  <c r="P1787" i="2"/>
  <c r="R1787" i="2" s="1"/>
  <c r="P1786" i="2"/>
  <c r="R1786" i="2" s="1"/>
  <c r="P1785" i="2"/>
  <c r="R1785" i="2" s="1"/>
  <c r="P1784" i="2"/>
  <c r="R1784" i="2" s="1"/>
  <c r="P1783" i="2"/>
  <c r="R1783" i="2" s="1"/>
  <c r="P1782" i="2"/>
  <c r="R1782" i="2" s="1"/>
  <c r="P1781" i="2"/>
  <c r="R1781" i="2" s="1"/>
  <c r="P1780" i="2"/>
  <c r="R1780" i="2" s="1"/>
  <c r="P1779" i="2"/>
  <c r="R1779" i="2" s="1"/>
  <c r="P1778" i="2"/>
  <c r="R1778" i="2" s="1"/>
  <c r="P1777" i="2"/>
  <c r="R1777" i="2" s="1"/>
  <c r="P1776" i="2"/>
  <c r="R1776" i="2" s="1"/>
  <c r="P1775" i="2"/>
  <c r="R1775" i="2" s="1"/>
  <c r="P1774" i="2"/>
  <c r="R1774" i="2" s="1"/>
  <c r="P1773" i="2"/>
  <c r="R1773" i="2" s="1"/>
  <c r="P1772" i="2"/>
  <c r="R1772" i="2" s="1"/>
  <c r="P1771" i="2"/>
  <c r="R1771" i="2" s="1"/>
  <c r="P1770" i="2"/>
  <c r="R1770" i="2" s="1"/>
  <c r="P1769" i="2"/>
  <c r="R1769" i="2" s="1"/>
  <c r="P1768" i="2"/>
  <c r="R1768" i="2" s="1"/>
  <c r="P1767" i="2"/>
  <c r="R1767" i="2" s="1"/>
  <c r="P1766" i="2"/>
  <c r="R1766" i="2" s="1"/>
  <c r="P1765" i="2"/>
  <c r="R1765" i="2" s="1"/>
  <c r="P1764" i="2"/>
  <c r="R1764" i="2" s="1"/>
  <c r="P1763" i="2"/>
  <c r="R1763" i="2" s="1"/>
  <c r="P1762" i="2"/>
  <c r="R1762" i="2" s="1"/>
  <c r="P1761" i="2"/>
  <c r="R1761" i="2" s="1"/>
  <c r="P1760" i="2"/>
  <c r="P1759" i="2"/>
  <c r="R1759" i="2" s="1"/>
  <c r="P1758" i="2"/>
  <c r="R1758" i="2" s="1"/>
  <c r="P1757" i="2"/>
  <c r="R1757" i="2" s="1"/>
  <c r="P1756" i="2"/>
  <c r="R1756" i="2" s="1"/>
  <c r="P1755" i="2"/>
  <c r="R1755" i="2" s="1"/>
  <c r="P1754" i="2"/>
  <c r="R1754" i="2" s="1"/>
  <c r="P1753" i="2"/>
  <c r="R1753" i="2" s="1"/>
  <c r="P1752" i="2"/>
  <c r="R1752" i="2" s="1"/>
  <c r="P1751" i="2"/>
  <c r="R1751" i="2" s="1"/>
  <c r="P1750" i="2"/>
  <c r="R1750" i="2" s="1"/>
  <c r="P1749" i="2"/>
  <c r="P1748" i="2"/>
  <c r="R1748" i="2" s="1"/>
  <c r="P1747" i="2"/>
  <c r="R1747" i="2" s="1"/>
  <c r="P1746" i="2"/>
  <c r="R1746" i="2" s="1"/>
  <c r="P1745" i="2"/>
  <c r="R1745" i="2" s="1"/>
  <c r="P1744" i="2"/>
  <c r="R1744" i="2" s="1"/>
  <c r="P1743" i="2"/>
  <c r="R1743" i="2" s="1"/>
  <c r="P1742" i="2"/>
  <c r="R1742" i="2" s="1"/>
  <c r="P1741" i="2"/>
  <c r="R1741" i="2" s="1"/>
  <c r="P1740" i="2"/>
  <c r="R1740" i="2" s="1"/>
  <c r="P1739" i="2"/>
  <c r="R1739" i="2" s="1"/>
  <c r="P1738" i="2"/>
  <c r="R1738" i="2" s="1"/>
  <c r="P1737" i="2"/>
  <c r="R1737" i="2" s="1"/>
  <c r="P1736" i="2"/>
  <c r="R1736" i="2" s="1"/>
  <c r="P1735" i="2"/>
  <c r="R1735" i="2" s="1"/>
  <c r="P1734" i="2"/>
  <c r="R1734" i="2" s="1"/>
  <c r="P1733" i="2"/>
  <c r="R1733" i="2" s="1"/>
  <c r="P1732" i="2"/>
  <c r="R1732" i="2" s="1"/>
  <c r="P1731" i="2"/>
  <c r="R1731" i="2" s="1"/>
  <c r="P1730" i="2"/>
  <c r="R1730" i="2" s="1"/>
  <c r="P1729" i="2"/>
  <c r="R1729" i="2" s="1"/>
  <c r="P1728" i="2"/>
  <c r="P1727" i="2"/>
  <c r="R1727" i="2" s="1"/>
  <c r="P1726" i="2"/>
  <c r="R1726" i="2" s="1"/>
  <c r="P1725" i="2"/>
  <c r="P1724" i="2"/>
  <c r="R1724" i="2" s="1"/>
  <c r="P1723" i="2"/>
  <c r="R1723" i="2" s="1"/>
  <c r="P1722" i="2"/>
  <c r="R1722" i="2" s="1"/>
  <c r="P1721" i="2"/>
  <c r="R1721" i="2" s="1"/>
  <c r="P1720" i="2"/>
  <c r="R1720" i="2" s="1"/>
  <c r="P1719" i="2"/>
  <c r="R1719" i="2" s="1"/>
  <c r="P1718" i="2"/>
  <c r="R1718" i="2" s="1"/>
  <c r="P1717" i="2"/>
  <c r="R1717" i="2" s="1"/>
  <c r="P1716" i="2"/>
  <c r="R1716" i="2" s="1"/>
  <c r="P1715" i="2"/>
  <c r="R1715" i="2" s="1"/>
  <c r="P1714" i="2"/>
  <c r="R1714" i="2" s="1"/>
  <c r="P1713" i="2"/>
  <c r="R1713" i="2" s="1"/>
  <c r="P1712" i="2"/>
  <c r="R1712" i="2" s="1"/>
  <c r="P1711" i="2"/>
  <c r="R1711" i="2" s="1"/>
  <c r="P1710" i="2"/>
  <c r="R1710" i="2" s="1"/>
  <c r="P1709" i="2"/>
  <c r="R1709" i="2" s="1"/>
  <c r="P1708" i="2"/>
  <c r="R1708" i="2" s="1"/>
  <c r="P1707" i="2"/>
  <c r="R1707" i="2" s="1"/>
  <c r="P1706" i="2"/>
  <c r="R1706" i="2" s="1"/>
  <c r="P1705" i="2"/>
  <c r="R1705" i="2" s="1"/>
  <c r="P1704" i="2"/>
  <c r="R1704" i="2" s="1"/>
  <c r="P1703" i="2"/>
  <c r="R1703" i="2" s="1"/>
  <c r="P1702" i="2"/>
  <c r="R1702" i="2" s="1"/>
  <c r="P1701" i="2"/>
  <c r="R1701" i="2" s="1"/>
  <c r="P1700" i="2"/>
  <c r="R1700" i="2" s="1"/>
  <c r="P1699" i="2"/>
  <c r="R1699" i="2" s="1"/>
  <c r="P1698" i="2"/>
  <c r="R1698" i="2" s="1"/>
  <c r="P1697" i="2"/>
  <c r="R1697" i="2" s="1"/>
  <c r="P1696" i="2"/>
  <c r="R1696" i="2" s="1"/>
  <c r="P1695" i="2"/>
  <c r="R1695" i="2" s="1"/>
  <c r="P1694" i="2"/>
  <c r="R1694" i="2" s="1"/>
  <c r="P1693" i="2"/>
  <c r="R1693" i="2" s="1"/>
  <c r="P1692" i="2"/>
  <c r="R1692" i="2" s="1"/>
  <c r="P1691" i="2"/>
  <c r="R1691" i="2" s="1"/>
  <c r="P1690" i="2"/>
  <c r="R1690" i="2" s="1"/>
  <c r="P1689" i="2"/>
  <c r="R1689" i="2" s="1"/>
  <c r="P1688" i="2"/>
  <c r="R1688" i="2" s="1"/>
  <c r="P1687" i="2"/>
  <c r="R1687" i="2" s="1"/>
  <c r="P1686" i="2"/>
  <c r="R1686" i="2" s="1"/>
  <c r="P1685" i="2"/>
  <c r="R1685" i="2" s="1"/>
  <c r="P1684" i="2"/>
  <c r="R1684" i="2" s="1"/>
  <c r="P1683" i="2"/>
  <c r="R1683" i="2" s="1"/>
  <c r="P1682" i="2"/>
  <c r="P1681" i="2"/>
  <c r="R1681" i="2" s="1"/>
  <c r="P1680" i="2"/>
  <c r="P1679" i="2"/>
  <c r="R1679" i="2" s="1"/>
  <c r="P1678" i="2"/>
  <c r="P1677" i="2"/>
  <c r="R1677" i="2" s="1"/>
  <c r="P1676" i="2"/>
  <c r="R1676" i="2" s="1"/>
  <c r="P1675" i="2"/>
  <c r="R1675" i="2" s="1"/>
  <c r="P1674" i="2"/>
  <c r="R1674" i="2" s="1"/>
  <c r="P1673" i="2"/>
  <c r="R1673" i="2" s="1"/>
  <c r="P1672" i="2"/>
  <c r="R1672" i="2" s="1"/>
  <c r="P1671" i="2"/>
  <c r="R1671" i="2" s="1"/>
  <c r="P1670" i="2"/>
  <c r="R1670" i="2" s="1"/>
  <c r="P1669" i="2"/>
  <c r="R1669" i="2" s="1"/>
  <c r="P1668" i="2"/>
  <c r="R1668" i="2" s="1"/>
  <c r="P1667" i="2"/>
  <c r="R1667" i="2" s="1"/>
  <c r="P1666" i="2"/>
  <c r="R1666" i="2" s="1"/>
  <c r="P1665" i="2"/>
  <c r="R1665" i="2" s="1"/>
  <c r="P1664" i="2"/>
  <c r="R1664" i="2" s="1"/>
  <c r="P1663" i="2"/>
  <c r="R1663" i="2" s="1"/>
  <c r="P1662" i="2"/>
  <c r="R1662" i="2" s="1"/>
  <c r="P1661" i="2"/>
  <c r="R1661" i="2" s="1"/>
  <c r="P1660" i="2"/>
  <c r="R1660" i="2" s="1"/>
  <c r="P1659" i="2"/>
  <c r="R1659" i="2" s="1"/>
  <c r="P1658" i="2"/>
  <c r="R1658" i="2" s="1"/>
  <c r="P1657" i="2"/>
  <c r="R1657" i="2" s="1"/>
  <c r="P1656" i="2"/>
  <c r="R1656" i="2" s="1"/>
  <c r="P1655" i="2"/>
  <c r="R1655" i="2" s="1"/>
  <c r="P1654" i="2"/>
  <c r="R1654" i="2" s="1"/>
  <c r="P1653" i="2"/>
  <c r="R1653" i="2" s="1"/>
  <c r="P1652" i="2"/>
  <c r="R1652" i="2" s="1"/>
  <c r="P1651" i="2"/>
  <c r="R1651" i="2" s="1"/>
  <c r="P1650" i="2"/>
  <c r="R1650" i="2" s="1"/>
  <c r="P1649" i="2"/>
  <c r="R1649" i="2" s="1"/>
  <c r="P1648" i="2"/>
  <c r="P1647" i="2"/>
  <c r="R1647" i="2" s="1"/>
  <c r="P1646" i="2"/>
  <c r="R1646" i="2" s="1"/>
  <c r="P1645" i="2"/>
  <c r="R1645" i="2" s="1"/>
  <c r="P1644" i="2"/>
  <c r="R1644" i="2" s="1"/>
  <c r="P1643" i="2"/>
  <c r="R1643" i="2" s="1"/>
  <c r="P1642" i="2"/>
  <c r="R1642" i="2" s="1"/>
  <c r="P1641" i="2"/>
  <c r="R1641" i="2" s="1"/>
  <c r="P1640" i="2"/>
  <c r="R1640" i="2" s="1"/>
  <c r="P1639" i="2"/>
  <c r="R1639" i="2" s="1"/>
  <c r="P1638" i="2"/>
  <c r="R1638" i="2" s="1"/>
  <c r="P1637" i="2"/>
  <c r="R1637" i="2" s="1"/>
  <c r="P1636" i="2"/>
  <c r="R1636" i="2" s="1"/>
  <c r="P1635" i="2"/>
  <c r="P1634" i="2"/>
  <c r="R1634" i="2" s="1"/>
  <c r="P1633" i="2"/>
  <c r="R1633" i="2" s="1"/>
  <c r="P1632" i="2"/>
  <c r="R1632" i="2" s="1"/>
  <c r="P1631" i="2"/>
  <c r="R1631" i="2" s="1"/>
  <c r="P1630" i="2"/>
  <c r="R1630" i="2" s="1"/>
  <c r="P1629" i="2"/>
  <c r="R1629" i="2" s="1"/>
  <c r="P1628" i="2"/>
  <c r="R1628" i="2" s="1"/>
  <c r="P1627" i="2"/>
  <c r="R1627" i="2" s="1"/>
  <c r="P1626" i="2"/>
  <c r="R1626" i="2" s="1"/>
  <c r="P1625" i="2"/>
  <c r="R1625" i="2" s="1"/>
  <c r="P1624" i="2"/>
  <c r="R1624" i="2" s="1"/>
  <c r="P1623" i="2"/>
  <c r="R1623" i="2" s="1"/>
  <c r="P1622" i="2"/>
  <c r="R1622" i="2" s="1"/>
  <c r="P1621" i="2"/>
  <c r="R1621" i="2" s="1"/>
  <c r="P1620" i="2"/>
  <c r="R1620" i="2" s="1"/>
  <c r="P1619" i="2"/>
  <c r="R1619" i="2" s="1"/>
  <c r="P1618" i="2"/>
  <c r="R1618" i="2" s="1"/>
  <c r="P1617" i="2"/>
  <c r="R1617" i="2" s="1"/>
  <c r="P1616" i="2"/>
  <c r="R1616" i="2" s="1"/>
  <c r="P1615" i="2"/>
  <c r="R1615" i="2" s="1"/>
  <c r="P1614" i="2"/>
  <c r="R1614" i="2" s="1"/>
  <c r="P1613" i="2"/>
  <c r="R1613" i="2" s="1"/>
  <c r="P1612" i="2"/>
  <c r="R1612" i="2" s="1"/>
  <c r="P1611" i="2"/>
  <c r="R1611" i="2" s="1"/>
  <c r="P1610" i="2"/>
  <c r="R1610" i="2" s="1"/>
  <c r="P1609" i="2"/>
  <c r="R1609" i="2" s="1"/>
  <c r="P1608" i="2"/>
  <c r="R1608" i="2" s="1"/>
  <c r="P1607" i="2"/>
  <c r="R1607" i="2" s="1"/>
  <c r="P1606" i="2"/>
  <c r="R1606" i="2" s="1"/>
  <c r="P1605" i="2"/>
  <c r="R1605" i="2" s="1"/>
  <c r="P1604" i="2"/>
  <c r="R1604" i="2" s="1"/>
  <c r="P1603" i="2"/>
  <c r="R1603" i="2" s="1"/>
  <c r="P1602" i="2"/>
  <c r="R1602" i="2" s="1"/>
  <c r="P1601" i="2"/>
  <c r="R1601" i="2" s="1"/>
  <c r="P1600" i="2"/>
  <c r="R1600" i="2" s="1"/>
  <c r="P1599" i="2"/>
  <c r="R1599" i="2" s="1"/>
  <c r="P1598" i="2"/>
  <c r="R1598" i="2" s="1"/>
  <c r="P1597" i="2"/>
  <c r="R1597" i="2" s="1"/>
  <c r="P1596" i="2"/>
  <c r="R1596" i="2" s="1"/>
  <c r="P1595" i="2"/>
  <c r="R1595" i="2" s="1"/>
  <c r="P1594" i="2"/>
  <c r="R1594" i="2" s="1"/>
  <c r="P1593" i="2"/>
  <c r="R1593" i="2" s="1"/>
  <c r="P1592" i="2"/>
  <c r="R1592" i="2" s="1"/>
  <c r="P1591" i="2"/>
  <c r="R1591" i="2" s="1"/>
  <c r="P1590" i="2"/>
  <c r="R1590" i="2" s="1"/>
  <c r="P1589" i="2"/>
  <c r="R1589" i="2" s="1"/>
  <c r="P1588" i="2"/>
  <c r="P1587" i="2"/>
  <c r="R1587" i="2" s="1"/>
  <c r="P1586" i="2"/>
  <c r="R1586" i="2" s="1"/>
  <c r="P1585" i="2"/>
  <c r="R1585" i="2" s="1"/>
  <c r="P1584" i="2"/>
  <c r="R1584" i="2" s="1"/>
  <c r="P1583" i="2"/>
  <c r="R1583" i="2" s="1"/>
  <c r="P1582" i="2"/>
  <c r="R1582" i="2" s="1"/>
  <c r="P1581" i="2"/>
  <c r="R1581" i="2" s="1"/>
  <c r="P1580" i="2"/>
  <c r="R1580" i="2" s="1"/>
  <c r="P1579" i="2"/>
  <c r="R1579" i="2" s="1"/>
  <c r="P1578" i="2"/>
  <c r="R1578" i="2" s="1"/>
  <c r="P1577" i="2"/>
  <c r="R1577" i="2" s="1"/>
  <c r="P1576" i="2"/>
  <c r="R1576" i="2" s="1"/>
  <c r="P1575" i="2"/>
  <c r="R1575" i="2" s="1"/>
  <c r="P1574" i="2"/>
  <c r="R1574" i="2" s="1"/>
  <c r="P1573" i="2"/>
  <c r="R1573" i="2" s="1"/>
  <c r="P1572" i="2"/>
  <c r="R1572" i="2" s="1"/>
  <c r="P1571" i="2"/>
  <c r="R1571" i="2" s="1"/>
  <c r="P1570" i="2"/>
  <c r="R1570" i="2" s="1"/>
  <c r="P1569" i="2"/>
  <c r="R1569" i="2" s="1"/>
  <c r="P1568" i="2"/>
  <c r="R1568" i="2" s="1"/>
  <c r="P1567" i="2"/>
  <c r="R1567" i="2" s="1"/>
  <c r="P1566" i="2"/>
  <c r="R1566" i="2" s="1"/>
  <c r="P1565" i="2"/>
  <c r="R1565" i="2" s="1"/>
  <c r="P1564" i="2"/>
  <c r="R1564" i="2" s="1"/>
  <c r="P1563" i="2"/>
  <c r="R1563" i="2" s="1"/>
  <c r="P1562" i="2"/>
  <c r="R1562" i="2" s="1"/>
  <c r="P1561" i="2"/>
  <c r="R1561" i="2" s="1"/>
  <c r="P1560" i="2"/>
  <c r="R1560" i="2" s="1"/>
  <c r="P1559" i="2"/>
  <c r="R1559" i="2" s="1"/>
  <c r="P1558" i="2"/>
  <c r="R1558" i="2" s="1"/>
  <c r="P1557" i="2"/>
  <c r="R1557" i="2" s="1"/>
  <c r="P1556" i="2"/>
  <c r="R1556" i="2" s="1"/>
  <c r="P1555" i="2"/>
  <c r="R1555" i="2" s="1"/>
  <c r="P1554" i="2"/>
  <c r="R1554" i="2" s="1"/>
  <c r="P1553" i="2"/>
  <c r="R1553" i="2" s="1"/>
  <c r="P1552" i="2"/>
  <c r="R1552" i="2" s="1"/>
  <c r="P1551" i="2"/>
  <c r="P1550" i="2"/>
  <c r="R1550" i="2" s="1"/>
  <c r="P1549" i="2"/>
  <c r="R1549" i="2" s="1"/>
  <c r="P1548" i="2"/>
  <c r="R1548" i="2" s="1"/>
  <c r="P1547" i="2"/>
  <c r="R1547" i="2" s="1"/>
  <c r="P1546" i="2"/>
  <c r="R1546" i="2" s="1"/>
  <c r="P1545" i="2"/>
  <c r="R1545" i="2" s="1"/>
  <c r="P1544" i="2"/>
  <c r="R1544" i="2" s="1"/>
  <c r="P1543" i="2"/>
  <c r="R1543" i="2" s="1"/>
  <c r="P1542" i="2"/>
  <c r="R1542" i="2" s="1"/>
  <c r="P1541" i="2"/>
  <c r="R1541" i="2" s="1"/>
  <c r="P1540" i="2"/>
  <c r="R1540" i="2" s="1"/>
  <c r="P1539" i="2"/>
  <c r="R1539" i="2" s="1"/>
  <c r="P1538" i="2"/>
  <c r="R1538" i="2" s="1"/>
  <c r="P1537" i="2"/>
  <c r="P1536" i="2"/>
  <c r="R1536" i="2" s="1"/>
  <c r="P1535" i="2"/>
  <c r="R1535" i="2" s="1"/>
  <c r="P1534" i="2"/>
  <c r="R1534" i="2" s="1"/>
  <c r="P1533" i="2"/>
  <c r="R1533" i="2" s="1"/>
  <c r="P1532" i="2"/>
  <c r="R1532" i="2" s="1"/>
  <c r="P1531" i="2"/>
  <c r="R1531" i="2" s="1"/>
  <c r="P1530" i="2"/>
  <c r="R1530" i="2" s="1"/>
  <c r="P1529" i="2"/>
  <c r="R1529" i="2" s="1"/>
  <c r="P1528" i="2"/>
  <c r="R1528" i="2" s="1"/>
  <c r="P1527" i="2"/>
  <c r="R1527" i="2" s="1"/>
  <c r="P1526" i="2"/>
  <c r="R1526" i="2" s="1"/>
  <c r="P1525" i="2"/>
  <c r="R1525" i="2" s="1"/>
  <c r="P1524" i="2"/>
  <c r="R1524" i="2" s="1"/>
  <c r="P1523" i="2"/>
  <c r="R1523" i="2" s="1"/>
  <c r="P1522" i="2"/>
  <c r="R1522" i="2" s="1"/>
  <c r="P1521" i="2"/>
  <c r="R1521" i="2" s="1"/>
  <c r="P1520" i="2"/>
  <c r="R1520" i="2" s="1"/>
  <c r="P1519" i="2"/>
  <c r="R1519" i="2" s="1"/>
  <c r="P1518" i="2"/>
  <c r="R1518" i="2" s="1"/>
  <c r="P1517" i="2"/>
  <c r="R1517" i="2" s="1"/>
  <c r="P1516" i="2"/>
  <c r="R1516" i="2" s="1"/>
  <c r="P1515" i="2"/>
  <c r="R1515" i="2" s="1"/>
  <c r="P1514" i="2"/>
  <c r="R1514" i="2" s="1"/>
  <c r="P1513" i="2"/>
  <c r="R1513" i="2" s="1"/>
  <c r="P1512" i="2"/>
  <c r="R1512" i="2" s="1"/>
  <c r="P1511" i="2"/>
  <c r="R1511" i="2" s="1"/>
  <c r="P1510" i="2"/>
  <c r="R1510" i="2" s="1"/>
  <c r="P1509" i="2"/>
  <c r="R1509" i="2" s="1"/>
  <c r="P1508" i="2"/>
  <c r="R1508" i="2" s="1"/>
  <c r="P1507" i="2"/>
  <c r="R1507" i="2" s="1"/>
  <c r="P1506" i="2"/>
  <c r="R1506" i="2" s="1"/>
  <c r="P1505" i="2"/>
  <c r="R1505" i="2" s="1"/>
  <c r="P1504" i="2"/>
  <c r="R1504" i="2" s="1"/>
  <c r="P1503" i="2"/>
  <c r="R1503" i="2" s="1"/>
  <c r="P1502" i="2"/>
  <c r="R1502" i="2" s="1"/>
  <c r="P1501" i="2"/>
  <c r="R1501" i="2" s="1"/>
  <c r="P1500" i="2"/>
  <c r="R1500" i="2" s="1"/>
  <c r="P1499" i="2"/>
  <c r="R1499" i="2" s="1"/>
  <c r="P1498" i="2"/>
  <c r="R1498" i="2" s="1"/>
  <c r="P1497" i="2"/>
  <c r="R1497" i="2" s="1"/>
  <c r="P1496" i="2"/>
  <c r="R1496" i="2" s="1"/>
  <c r="P1495" i="2"/>
  <c r="R1495" i="2" s="1"/>
  <c r="P1494" i="2"/>
  <c r="R1494" i="2" s="1"/>
  <c r="P1493" i="2"/>
  <c r="P1492" i="2"/>
  <c r="R1492" i="2" s="1"/>
  <c r="P1491" i="2"/>
  <c r="R1491" i="2" s="1"/>
  <c r="P1490" i="2"/>
  <c r="R1490" i="2" s="1"/>
  <c r="P1489" i="2"/>
  <c r="R1489" i="2" s="1"/>
  <c r="P1488" i="2"/>
  <c r="R1488" i="2" s="1"/>
  <c r="P1487" i="2"/>
  <c r="R1487" i="2" s="1"/>
  <c r="P1486" i="2"/>
  <c r="R1486" i="2" s="1"/>
  <c r="P1485" i="2"/>
  <c r="R1485" i="2" s="1"/>
  <c r="P1484" i="2"/>
  <c r="R1484" i="2" s="1"/>
  <c r="P1483" i="2"/>
  <c r="R1483" i="2" s="1"/>
  <c r="P1482" i="2"/>
  <c r="R1482" i="2" s="1"/>
  <c r="P1481" i="2"/>
  <c r="R1481" i="2" s="1"/>
  <c r="P1480" i="2"/>
  <c r="R1480" i="2" s="1"/>
  <c r="P1479" i="2"/>
  <c r="R1479" i="2" s="1"/>
  <c r="P1478" i="2"/>
  <c r="R1478" i="2" s="1"/>
  <c r="P1477" i="2"/>
  <c r="R1477" i="2" s="1"/>
  <c r="P1476" i="2"/>
  <c r="R1476" i="2" s="1"/>
  <c r="P1475" i="2"/>
  <c r="R1475" i="2" s="1"/>
  <c r="P1474" i="2"/>
  <c r="R1474" i="2" s="1"/>
  <c r="P1473" i="2"/>
  <c r="R1473" i="2" s="1"/>
  <c r="P1472" i="2"/>
  <c r="R1472" i="2" s="1"/>
  <c r="P1471" i="2"/>
  <c r="R1471" i="2" s="1"/>
  <c r="P1470" i="2"/>
  <c r="R1470" i="2" s="1"/>
  <c r="P1469" i="2"/>
  <c r="P1468" i="2"/>
  <c r="R1468" i="2" s="1"/>
  <c r="P1467" i="2"/>
  <c r="R1467" i="2" s="1"/>
  <c r="P1466" i="2"/>
  <c r="R1466" i="2" s="1"/>
  <c r="P1465" i="2"/>
  <c r="R1465" i="2" s="1"/>
  <c r="P1464" i="2"/>
  <c r="R1464" i="2" s="1"/>
  <c r="P1463" i="2"/>
  <c r="R1463" i="2" s="1"/>
  <c r="P1462" i="2"/>
  <c r="R1462" i="2" s="1"/>
  <c r="P1461" i="2"/>
  <c r="R1461" i="2" s="1"/>
  <c r="P1460" i="2"/>
  <c r="R1460" i="2" s="1"/>
  <c r="P1459" i="2"/>
  <c r="R1459" i="2" s="1"/>
  <c r="P1458" i="2"/>
  <c r="R1458" i="2" s="1"/>
  <c r="P1457" i="2"/>
  <c r="R1457" i="2" s="1"/>
  <c r="P1456" i="2"/>
  <c r="R1456" i="2" s="1"/>
  <c r="P1455" i="2"/>
  <c r="R1455" i="2" s="1"/>
  <c r="P1454" i="2"/>
  <c r="R1454" i="2" s="1"/>
  <c r="P1453" i="2"/>
  <c r="R1453" i="2" s="1"/>
  <c r="P1452" i="2"/>
  <c r="R1452" i="2" s="1"/>
  <c r="P1451" i="2"/>
  <c r="R1451" i="2" s="1"/>
  <c r="P1450" i="2"/>
  <c r="R1450" i="2" s="1"/>
  <c r="P1449" i="2"/>
  <c r="R1449" i="2" s="1"/>
  <c r="P1448" i="2"/>
  <c r="R1448" i="2" s="1"/>
  <c r="P1447" i="2"/>
  <c r="R1447" i="2" s="1"/>
  <c r="P1446" i="2"/>
  <c r="R1446" i="2" s="1"/>
  <c r="P1445" i="2"/>
  <c r="R1445" i="2" s="1"/>
  <c r="P1444" i="2"/>
  <c r="R1444" i="2" s="1"/>
  <c r="P1443" i="2"/>
  <c r="R1443" i="2" s="1"/>
  <c r="P1442" i="2"/>
  <c r="R1442" i="2" s="1"/>
  <c r="P1441" i="2"/>
  <c r="R1441" i="2" s="1"/>
  <c r="P1440" i="2"/>
  <c r="R1440" i="2" s="1"/>
  <c r="P1439" i="2"/>
  <c r="R1439" i="2" s="1"/>
  <c r="P1438" i="2"/>
  <c r="R1438" i="2" s="1"/>
  <c r="P1437" i="2"/>
  <c r="R1437" i="2" s="1"/>
  <c r="P1436" i="2"/>
  <c r="R1436" i="2" s="1"/>
  <c r="P1435" i="2"/>
  <c r="R1435" i="2" s="1"/>
  <c r="P1434" i="2"/>
  <c r="R1434" i="2" s="1"/>
  <c r="P1433" i="2"/>
  <c r="R1433" i="2" s="1"/>
  <c r="P1432" i="2"/>
  <c r="R1432" i="2" s="1"/>
  <c r="P1431" i="2"/>
  <c r="R1431" i="2" s="1"/>
  <c r="P1430" i="2"/>
  <c r="R1430" i="2" s="1"/>
  <c r="P1429" i="2"/>
  <c r="R1429" i="2" s="1"/>
  <c r="P1428" i="2"/>
  <c r="R1428" i="2" s="1"/>
  <c r="P1427" i="2"/>
  <c r="R1427" i="2" s="1"/>
  <c r="P1426" i="2"/>
  <c r="P1425" i="2"/>
  <c r="R1425" i="2" s="1"/>
  <c r="P1424" i="2"/>
  <c r="R1424" i="2" s="1"/>
  <c r="P1423" i="2"/>
  <c r="R1423" i="2" s="1"/>
  <c r="P1422" i="2"/>
  <c r="P1421" i="2"/>
  <c r="R1421" i="2" s="1"/>
  <c r="P1420" i="2"/>
  <c r="R1420" i="2" s="1"/>
  <c r="P1419" i="2"/>
  <c r="R1419" i="2" s="1"/>
  <c r="P1418" i="2"/>
  <c r="R1418" i="2" s="1"/>
  <c r="P1417" i="2"/>
  <c r="R1417" i="2" s="1"/>
  <c r="P1416" i="2"/>
  <c r="R1416" i="2" s="1"/>
  <c r="P1415" i="2"/>
  <c r="R1415" i="2" s="1"/>
  <c r="P1414" i="2"/>
  <c r="R1414" i="2" s="1"/>
  <c r="P1413" i="2"/>
  <c r="R1413" i="2" s="1"/>
  <c r="P1412" i="2"/>
  <c r="R1412" i="2" s="1"/>
  <c r="P1411" i="2"/>
  <c r="R1411" i="2" s="1"/>
  <c r="P1410" i="2"/>
  <c r="R1410" i="2" s="1"/>
  <c r="P1409" i="2"/>
  <c r="R1409" i="2" s="1"/>
  <c r="P1408" i="2"/>
  <c r="R1408" i="2" s="1"/>
  <c r="P1407" i="2"/>
  <c r="R1407" i="2" s="1"/>
  <c r="P1406" i="2"/>
  <c r="R1406" i="2" s="1"/>
  <c r="P1405" i="2"/>
  <c r="R1405" i="2" s="1"/>
  <c r="P1404" i="2"/>
  <c r="R1404" i="2" s="1"/>
  <c r="P1403" i="2"/>
  <c r="R1403" i="2" s="1"/>
  <c r="P1402" i="2"/>
  <c r="R1402" i="2" s="1"/>
  <c r="P1401" i="2"/>
  <c r="R1401" i="2" s="1"/>
  <c r="P1400" i="2"/>
  <c r="R1400" i="2" s="1"/>
  <c r="P1399" i="2"/>
  <c r="R1399" i="2" s="1"/>
  <c r="P1398" i="2"/>
  <c r="R1398" i="2" s="1"/>
  <c r="P1397" i="2"/>
  <c r="R1397" i="2" s="1"/>
  <c r="P1396" i="2"/>
  <c r="R1396" i="2" s="1"/>
  <c r="P1395" i="2"/>
  <c r="R1395" i="2" s="1"/>
  <c r="P1394" i="2"/>
  <c r="R1394" i="2" s="1"/>
  <c r="P1393" i="2"/>
  <c r="R1393" i="2" s="1"/>
  <c r="P1392" i="2"/>
  <c r="R1392" i="2" s="1"/>
  <c r="P1391" i="2"/>
  <c r="R1391" i="2" s="1"/>
  <c r="P1390" i="2"/>
  <c r="R1390" i="2" s="1"/>
  <c r="P1389" i="2"/>
  <c r="R1389" i="2" s="1"/>
  <c r="P1388" i="2"/>
  <c r="R1388" i="2" s="1"/>
  <c r="P1387" i="2"/>
  <c r="R1387" i="2" s="1"/>
  <c r="P1386" i="2"/>
  <c r="R1386" i="2" s="1"/>
  <c r="P1385" i="2"/>
  <c r="R1385" i="2" s="1"/>
  <c r="P1384" i="2"/>
  <c r="R1384" i="2" s="1"/>
  <c r="P1383" i="2"/>
  <c r="R1383" i="2" s="1"/>
  <c r="P1382" i="2"/>
  <c r="R1382" i="2" s="1"/>
  <c r="P1381" i="2"/>
  <c r="R1381" i="2" s="1"/>
  <c r="P1380" i="2"/>
  <c r="R1380" i="2" s="1"/>
  <c r="P1379" i="2"/>
  <c r="P1378" i="2"/>
  <c r="R1378" i="2" s="1"/>
  <c r="P1377" i="2"/>
  <c r="R1377" i="2" s="1"/>
  <c r="P1376" i="2"/>
  <c r="R1376" i="2" s="1"/>
  <c r="P1375" i="2"/>
  <c r="R1375" i="2" s="1"/>
  <c r="P1374" i="2"/>
  <c r="R1374" i="2" s="1"/>
  <c r="P1373" i="2"/>
  <c r="R1373" i="2" s="1"/>
  <c r="P1372" i="2"/>
  <c r="R1372" i="2" s="1"/>
  <c r="P1371" i="2"/>
  <c r="R1371" i="2" s="1"/>
  <c r="P1370" i="2"/>
  <c r="R1370" i="2" s="1"/>
  <c r="P1369" i="2"/>
  <c r="R1369" i="2" s="1"/>
  <c r="P1368" i="2"/>
  <c r="R1368" i="2" s="1"/>
  <c r="P1367" i="2"/>
  <c r="R1367" i="2" s="1"/>
  <c r="P1366" i="2"/>
  <c r="R1366" i="2" s="1"/>
  <c r="P1365" i="2"/>
  <c r="R1365" i="2" s="1"/>
  <c r="P1364" i="2"/>
  <c r="R1364" i="2" s="1"/>
  <c r="P1363" i="2"/>
  <c r="R1363" i="2" s="1"/>
  <c r="P1362" i="2"/>
  <c r="R1362" i="2" s="1"/>
  <c r="P1361" i="2"/>
  <c r="R1361" i="2" s="1"/>
  <c r="P1360" i="2"/>
  <c r="R1360" i="2" s="1"/>
  <c r="P1359" i="2"/>
  <c r="R1359" i="2" s="1"/>
  <c r="P1358" i="2"/>
  <c r="R1358" i="2" s="1"/>
  <c r="P1357" i="2"/>
  <c r="R1357" i="2" s="1"/>
  <c r="P1356" i="2"/>
  <c r="R1356" i="2" s="1"/>
  <c r="P1355" i="2"/>
  <c r="R1355" i="2" s="1"/>
  <c r="P1354" i="2"/>
  <c r="R1354" i="2" s="1"/>
  <c r="P1353" i="2"/>
  <c r="R1353" i="2" s="1"/>
  <c r="P1352" i="2"/>
  <c r="R1352" i="2" s="1"/>
  <c r="P1351" i="2"/>
  <c r="R1351" i="2" s="1"/>
  <c r="P1350" i="2"/>
  <c r="R1350" i="2" s="1"/>
  <c r="P1349" i="2"/>
  <c r="R1349" i="2" s="1"/>
  <c r="P1348" i="2"/>
  <c r="R1348" i="2" s="1"/>
  <c r="P1347" i="2"/>
  <c r="R1347" i="2" s="1"/>
  <c r="P1346" i="2"/>
  <c r="R1346" i="2" s="1"/>
  <c r="P1345" i="2"/>
  <c r="R1345" i="2" s="1"/>
  <c r="P1344" i="2"/>
  <c r="R1344" i="2" s="1"/>
  <c r="P1343" i="2"/>
  <c r="R1343" i="2" s="1"/>
  <c r="P1342" i="2"/>
  <c r="R1342" i="2" s="1"/>
  <c r="P1341" i="2"/>
  <c r="R1341" i="2" s="1"/>
  <c r="P1340" i="2"/>
  <c r="R1340" i="2" s="1"/>
  <c r="P1339" i="2"/>
  <c r="R1339" i="2" s="1"/>
  <c r="P1338" i="2"/>
  <c r="R1338" i="2" s="1"/>
  <c r="P1337" i="2"/>
  <c r="R1337" i="2" s="1"/>
  <c r="P1336" i="2"/>
  <c r="R1336" i="2" s="1"/>
  <c r="P1335" i="2"/>
  <c r="R1335" i="2" s="1"/>
  <c r="P1334" i="2"/>
  <c r="R1334" i="2" s="1"/>
  <c r="P1333" i="2"/>
  <c r="R1333" i="2" s="1"/>
  <c r="P1332" i="2"/>
  <c r="R1332" i="2" s="1"/>
  <c r="P1331" i="2"/>
  <c r="R1331" i="2" s="1"/>
  <c r="P1330" i="2"/>
  <c r="R1330" i="2" s="1"/>
  <c r="P1329" i="2"/>
  <c r="R1329" i="2" s="1"/>
  <c r="P1328" i="2"/>
  <c r="R1328" i="2" s="1"/>
  <c r="P1327" i="2"/>
  <c r="R1327" i="2" s="1"/>
  <c r="P1326" i="2"/>
  <c r="R1326" i="2" s="1"/>
  <c r="P1325" i="2"/>
  <c r="R1325" i="2" s="1"/>
  <c r="P1324" i="2"/>
  <c r="R1324" i="2" s="1"/>
  <c r="P1323" i="2"/>
  <c r="R1323" i="2" s="1"/>
  <c r="P1322" i="2"/>
  <c r="R1322" i="2" s="1"/>
  <c r="P1321" i="2"/>
  <c r="R1321" i="2" s="1"/>
  <c r="P1320" i="2"/>
  <c r="R1320" i="2" s="1"/>
  <c r="P1319" i="2"/>
  <c r="R1319" i="2" s="1"/>
  <c r="P1318" i="2"/>
  <c r="R1318" i="2" s="1"/>
  <c r="P1317" i="2"/>
  <c r="R1317" i="2" s="1"/>
  <c r="P1316" i="2"/>
  <c r="R1316" i="2" s="1"/>
  <c r="P1315" i="2"/>
  <c r="R1315" i="2" s="1"/>
  <c r="P1314" i="2"/>
  <c r="R1314" i="2" s="1"/>
  <c r="P1313" i="2"/>
  <c r="R1313" i="2" s="1"/>
  <c r="P1312" i="2"/>
  <c r="R1312" i="2" s="1"/>
  <c r="P1311" i="2"/>
  <c r="R1311" i="2" s="1"/>
  <c r="P1310" i="2"/>
  <c r="R1310" i="2" s="1"/>
  <c r="P1309" i="2"/>
  <c r="R1309" i="2" s="1"/>
  <c r="P1308" i="2"/>
  <c r="R1308" i="2" s="1"/>
  <c r="P1307" i="2"/>
  <c r="R1307" i="2" s="1"/>
  <c r="P1306" i="2"/>
  <c r="R1306" i="2" s="1"/>
  <c r="P1305" i="2"/>
  <c r="R1305" i="2" s="1"/>
  <c r="P1304" i="2"/>
  <c r="R1304" i="2" s="1"/>
  <c r="P1303" i="2"/>
  <c r="R1303" i="2" s="1"/>
  <c r="P1302" i="2"/>
  <c r="R1302" i="2" s="1"/>
  <c r="P1301" i="2"/>
  <c r="R1301" i="2" s="1"/>
  <c r="P1300" i="2"/>
  <c r="R1300" i="2" s="1"/>
  <c r="P1299" i="2"/>
  <c r="R1299" i="2" s="1"/>
  <c r="P1298" i="2"/>
  <c r="R1298" i="2" s="1"/>
  <c r="P1297" i="2"/>
  <c r="R1297" i="2" s="1"/>
  <c r="P1296" i="2"/>
  <c r="R1296" i="2" s="1"/>
  <c r="P1295" i="2"/>
  <c r="P1294" i="2"/>
  <c r="R1294" i="2" s="1"/>
  <c r="P1293" i="2"/>
  <c r="R1293" i="2" s="1"/>
  <c r="P1292" i="2"/>
  <c r="R1292" i="2" s="1"/>
  <c r="P1291" i="2"/>
  <c r="R1291" i="2" s="1"/>
  <c r="P1290" i="2"/>
  <c r="R1290" i="2" s="1"/>
  <c r="P1289" i="2"/>
  <c r="R1289" i="2" s="1"/>
  <c r="P1288" i="2"/>
  <c r="R1288" i="2" s="1"/>
  <c r="P1287" i="2"/>
  <c r="R1287" i="2" s="1"/>
  <c r="P1286" i="2"/>
  <c r="R1286" i="2" s="1"/>
  <c r="P1285" i="2"/>
  <c r="R1285" i="2" s="1"/>
  <c r="P1284" i="2"/>
  <c r="R1284" i="2" s="1"/>
  <c r="P1283" i="2"/>
  <c r="R1283" i="2" s="1"/>
  <c r="P1282" i="2"/>
  <c r="R1282" i="2" s="1"/>
  <c r="P1281" i="2"/>
  <c r="P1280" i="2"/>
  <c r="R1280" i="2" s="1"/>
  <c r="P1279" i="2"/>
  <c r="R1279" i="2" s="1"/>
  <c r="P1278" i="2"/>
  <c r="R1278" i="2" s="1"/>
  <c r="P1277" i="2"/>
  <c r="R1277" i="2" s="1"/>
  <c r="P1276" i="2"/>
  <c r="R1276" i="2" s="1"/>
  <c r="P1275" i="2"/>
  <c r="R1275" i="2" s="1"/>
  <c r="P1274" i="2"/>
  <c r="R1274" i="2" s="1"/>
  <c r="P1273" i="2"/>
  <c r="R1273" i="2" s="1"/>
  <c r="P1272" i="2"/>
  <c r="R1272" i="2" s="1"/>
  <c r="P1271" i="2"/>
  <c r="R1271" i="2" s="1"/>
  <c r="P1270" i="2"/>
  <c r="R1270" i="2" s="1"/>
  <c r="P1269" i="2"/>
  <c r="R1269" i="2" s="1"/>
  <c r="P1268" i="2"/>
  <c r="R1268" i="2" s="1"/>
  <c r="P1267" i="2"/>
  <c r="R1267" i="2" s="1"/>
  <c r="P1266" i="2"/>
  <c r="R1266" i="2" s="1"/>
  <c r="P1265" i="2"/>
  <c r="R1265" i="2" s="1"/>
  <c r="P1264" i="2"/>
  <c r="R1264" i="2" s="1"/>
  <c r="P1263" i="2"/>
  <c r="R1263" i="2" s="1"/>
  <c r="P1262" i="2"/>
  <c r="R1262" i="2" s="1"/>
  <c r="P1261" i="2"/>
  <c r="R1261" i="2" s="1"/>
  <c r="P1260" i="2"/>
  <c r="R1260" i="2" s="1"/>
  <c r="P1259" i="2"/>
  <c r="R1259" i="2" s="1"/>
  <c r="P1258" i="2"/>
  <c r="R1258" i="2" s="1"/>
  <c r="P1257" i="2"/>
  <c r="R1257" i="2" s="1"/>
  <c r="P1256" i="2"/>
  <c r="R1256" i="2" s="1"/>
  <c r="P1255" i="2"/>
  <c r="R1255" i="2" s="1"/>
  <c r="P1254" i="2"/>
  <c r="R1254" i="2" s="1"/>
  <c r="P1253" i="2"/>
  <c r="R1253" i="2" s="1"/>
  <c r="P1252" i="2"/>
  <c r="R1252" i="2" s="1"/>
  <c r="P1251" i="2"/>
  <c r="R1251" i="2" s="1"/>
  <c r="P1250" i="2"/>
  <c r="R1250" i="2" s="1"/>
  <c r="P1249" i="2"/>
  <c r="R1249" i="2" s="1"/>
  <c r="P1248" i="2"/>
  <c r="P1247" i="2"/>
  <c r="R1247" i="2" s="1"/>
  <c r="P1246" i="2"/>
  <c r="R1246" i="2" s="1"/>
  <c r="P1245" i="2"/>
  <c r="R1245" i="2" s="1"/>
  <c r="P1244" i="2"/>
  <c r="R1244" i="2" s="1"/>
  <c r="P1243" i="2"/>
  <c r="R1243" i="2" s="1"/>
  <c r="P1242" i="2"/>
  <c r="R1242" i="2" s="1"/>
  <c r="P1241" i="2"/>
  <c r="R1241" i="2" s="1"/>
  <c r="P1240" i="2"/>
  <c r="R1240" i="2" s="1"/>
  <c r="P1239" i="2"/>
  <c r="R1239" i="2" s="1"/>
  <c r="P1238" i="2"/>
  <c r="R1238" i="2" s="1"/>
  <c r="P1237" i="2"/>
  <c r="P1236" i="2"/>
  <c r="R1236" i="2" s="1"/>
  <c r="P1235" i="2"/>
  <c r="R1235" i="2" s="1"/>
  <c r="P1234" i="2"/>
  <c r="R1234" i="2" s="1"/>
  <c r="P1233" i="2"/>
  <c r="R1233" i="2" s="1"/>
  <c r="P1232" i="2"/>
  <c r="R1232" i="2" s="1"/>
  <c r="P1231" i="2"/>
  <c r="R1231" i="2" s="1"/>
  <c r="P1230" i="2"/>
  <c r="R1230" i="2" s="1"/>
  <c r="P1229" i="2"/>
  <c r="R1229" i="2" s="1"/>
  <c r="P1228" i="2"/>
  <c r="R1228" i="2" s="1"/>
  <c r="P1227" i="2"/>
  <c r="R1227" i="2" s="1"/>
  <c r="P1226" i="2"/>
  <c r="R1226" i="2" s="1"/>
  <c r="P1225" i="2"/>
  <c r="R1225" i="2" s="1"/>
  <c r="P1224" i="2"/>
  <c r="R1224" i="2" s="1"/>
  <c r="P1223" i="2"/>
  <c r="R1223" i="2" s="1"/>
  <c r="P1222" i="2"/>
  <c r="P1221" i="2"/>
  <c r="R1221" i="2" s="1"/>
  <c r="P1220" i="2"/>
  <c r="R1220" i="2" s="1"/>
  <c r="P1219" i="2"/>
  <c r="R1219" i="2" s="1"/>
  <c r="P1218" i="2"/>
  <c r="R1218" i="2" s="1"/>
  <c r="P1217" i="2"/>
  <c r="R1217" i="2" s="1"/>
  <c r="P1216" i="2"/>
  <c r="R1216" i="2" s="1"/>
  <c r="P1215" i="2"/>
  <c r="R1215" i="2" s="1"/>
  <c r="P1214" i="2"/>
  <c r="R1214" i="2" s="1"/>
  <c r="P1213" i="2"/>
  <c r="P1212" i="2"/>
  <c r="R1212" i="2" s="1"/>
  <c r="P1211" i="2"/>
  <c r="R1211" i="2" s="1"/>
  <c r="P1210" i="2"/>
  <c r="R1210" i="2" s="1"/>
  <c r="P1209" i="2"/>
  <c r="R1209" i="2" s="1"/>
  <c r="P1208" i="2"/>
  <c r="R1208" i="2" s="1"/>
  <c r="P1207" i="2"/>
  <c r="R1207" i="2" s="1"/>
  <c r="P1206" i="2"/>
  <c r="R1206" i="2" s="1"/>
  <c r="P1205" i="2"/>
  <c r="R1205" i="2" s="1"/>
  <c r="P1204" i="2"/>
  <c r="P1203" i="2"/>
  <c r="R1203" i="2" s="1"/>
  <c r="P1202" i="2"/>
  <c r="R1202" i="2" s="1"/>
  <c r="P1201" i="2"/>
  <c r="R1201" i="2" s="1"/>
  <c r="P1200" i="2"/>
  <c r="P1199" i="2"/>
  <c r="R1199" i="2" s="1"/>
  <c r="P1198" i="2"/>
  <c r="R1198" i="2" s="1"/>
  <c r="P1197" i="2"/>
  <c r="R1197" i="2" s="1"/>
  <c r="P1196" i="2"/>
  <c r="R1196" i="2" s="1"/>
  <c r="P1195" i="2"/>
  <c r="R1195" i="2" s="1"/>
  <c r="P1194" i="2"/>
  <c r="R1194" i="2" s="1"/>
  <c r="P1193" i="2"/>
  <c r="R1193" i="2" s="1"/>
  <c r="P1192" i="2"/>
  <c r="R1192" i="2" s="1"/>
  <c r="P1191" i="2"/>
  <c r="R1191" i="2" s="1"/>
  <c r="P1190" i="2"/>
  <c r="R1190" i="2" s="1"/>
  <c r="P1189" i="2"/>
  <c r="R1189" i="2" s="1"/>
  <c r="P1188" i="2"/>
  <c r="R1188" i="2" s="1"/>
  <c r="P1187" i="2"/>
  <c r="R1187" i="2" s="1"/>
  <c r="P1186" i="2"/>
  <c r="R1186" i="2" s="1"/>
  <c r="P1185" i="2"/>
  <c r="P1184" i="2"/>
  <c r="P1183" i="2"/>
  <c r="R1183" i="2" s="1"/>
  <c r="P1182" i="2"/>
  <c r="R1182" i="2" s="1"/>
  <c r="P1181" i="2"/>
  <c r="R1181" i="2" s="1"/>
  <c r="P1180" i="2"/>
  <c r="R1180" i="2" s="1"/>
  <c r="P1179" i="2"/>
  <c r="R1179" i="2" s="1"/>
  <c r="P1178" i="2"/>
  <c r="R1178" i="2" s="1"/>
  <c r="P1177" i="2"/>
  <c r="R1177" i="2" s="1"/>
  <c r="P1176" i="2"/>
  <c r="R1176" i="2" s="1"/>
  <c r="P1175" i="2"/>
  <c r="R1175" i="2" s="1"/>
  <c r="P1174" i="2"/>
  <c r="R1174" i="2" s="1"/>
  <c r="P1173" i="2"/>
  <c r="R1173" i="2" s="1"/>
  <c r="P1172" i="2"/>
  <c r="R1172" i="2" s="1"/>
  <c r="P1171" i="2"/>
  <c r="R1171" i="2" s="1"/>
  <c r="P1170" i="2"/>
  <c r="P1169" i="2"/>
  <c r="R1169" i="2" s="1"/>
  <c r="P1168" i="2"/>
  <c r="R1168" i="2" s="1"/>
  <c r="P1167" i="2"/>
  <c r="R1167" i="2" s="1"/>
  <c r="P1166" i="2"/>
  <c r="P1165" i="2"/>
  <c r="R1165" i="2" s="1"/>
  <c r="P1164" i="2"/>
  <c r="R1164" i="2" s="1"/>
  <c r="P1163" i="2"/>
  <c r="R1163" i="2" s="1"/>
  <c r="P1162" i="2"/>
  <c r="P1161" i="2"/>
  <c r="R1161" i="2" s="1"/>
  <c r="P1160" i="2"/>
  <c r="R1160" i="2" s="1"/>
  <c r="P1159" i="2"/>
  <c r="R1159" i="2" s="1"/>
  <c r="P1158" i="2"/>
  <c r="R1158" i="2" s="1"/>
  <c r="P1157" i="2"/>
  <c r="R1157" i="2" s="1"/>
  <c r="P1156" i="2"/>
  <c r="R1156" i="2" s="1"/>
  <c r="P1155" i="2"/>
  <c r="R1155" i="2" s="1"/>
  <c r="P1154" i="2"/>
  <c r="R1154" i="2" s="1"/>
  <c r="P1153" i="2"/>
  <c r="R1153" i="2" s="1"/>
  <c r="P1152" i="2"/>
  <c r="P1151" i="2"/>
  <c r="R1151" i="2" s="1"/>
  <c r="P1150" i="2"/>
  <c r="R1150" i="2" s="1"/>
  <c r="P1149" i="2"/>
  <c r="R1149" i="2" s="1"/>
  <c r="P1148" i="2"/>
  <c r="R1148" i="2" s="1"/>
  <c r="P1147" i="2"/>
  <c r="R1147" i="2" s="1"/>
  <c r="P1146" i="2"/>
  <c r="R1146" i="2" s="1"/>
  <c r="P1145" i="2"/>
  <c r="R1145" i="2" s="1"/>
  <c r="P1144" i="2"/>
  <c r="R1144" i="2" s="1"/>
  <c r="P1143" i="2"/>
  <c r="R1143" i="2" s="1"/>
  <c r="P1142" i="2"/>
  <c r="R1142" i="2" s="1"/>
  <c r="P1141" i="2"/>
  <c r="R1141" i="2" s="1"/>
  <c r="P1140" i="2"/>
  <c r="R1140" i="2" s="1"/>
  <c r="P1139" i="2"/>
  <c r="R1139" i="2" s="1"/>
  <c r="P1138" i="2"/>
  <c r="R1138" i="2" s="1"/>
  <c r="P1137" i="2"/>
  <c r="R1137" i="2" s="1"/>
  <c r="P1136" i="2"/>
  <c r="R1136" i="2" s="1"/>
  <c r="P1135" i="2"/>
  <c r="R1135" i="2" s="1"/>
  <c r="P1134" i="2"/>
  <c r="R1134" i="2" s="1"/>
  <c r="P1133" i="2"/>
  <c r="R1133" i="2" s="1"/>
  <c r="P1132" i="2"/>
  <c r="R1132" i="2" s="1"/>
  <c r="P1131" i="2"/>
  <c r="R1131" i="2" s="1"/>
  <c r="P1130" i="2"/>
  <c r="R1130" i="2" s="1"/>
  <c r="P1129" i="2"/>
  <c r="R1129" i="2" s="1"/>
  <c r="P1128" i="2"/>
  <c r="R1128" i="2" s="1"/>
  <c r="P1127" i="2"/>
  <c r="R1127" i="2" s="1"/>
  <c r="P1126" i="2"/>
  <c r="R1126" i="2" s="1"/>
  <c r="P1125" i="2"/>
  <c r="R1125" i="2" s="1"/>
  <c r="P1124" i="2"/>
  <c r="R1124" i="2" s="1"/>
  <c r="P1123" i="2"/>
  <c r="R1123" i="2" s="1"/>
  <c r="P1122" i="2"/>
  <c r="R1122" i="2" s="1"/>
  <c r="P1121" i="2"/>
  <c r="R1121" i="2" s="1"/>
  <c r="P1120" i="2"/>
  <c r="R1120" i="2" s="1"/>
  <c r="P1119" i="2"/>
  <c r="R1119" i="2" s="1"/>
  <c r="P1118" i="2"/>
  <c r="R1118" i="2" s="1"/>
  <c r="P1117" i="2"/>
  <c r="R1117" i="2" s="1"/>
  <c r="P1116" i="2"/>
  <c r="R1116" i="2" s="1"/>
  <c r="P1115" i="2"/>
  <c r="R1115" i="2" s="1"/>
  <c r="P1114" i="2"/>
  <c r="R1114" i="2" s="1"/>
  <c r="P1113" i="2"/>
  <c r="R1113" i="2" s="1"/>
  <c r="P1112" i="2"/>
  <c r="R1112" i="2" s="1"/>
  <c r="P1111" i="2"/>
  <c r="R1111" i="2" s="1"/>
  <c r="P1110" i="2"/>
  <c r="R1110" i="2" s="1"/>
  <c r="P1109" i="2"/>
  <c r="R1109" i="2" s="1"/>
  <c r="P1108" i="2"/>
  <c r="R1108" i="2" s="1"/>
  <c r="P1107" i="2"/>
  <c r="R1107" i="2" s="1"/>
  <c r="P1106" i="2"/>
  <c r="R1106" i="2" s="1"/>
  <c r="P1105" i="2"/>
  <c r="R1105" i="2" s="1"/>
  <c r="P1104" i="2"/>
  <c r="R1104" i="2" s="1"/>
  <c r="P1103" i="2"/>
  <c r="R1103" i="2" s="1"/>
  <c r="P1102" i="2"/>
  <c r="R1102" i="2" s="1"/>
  <c r="P1101" i="2"/>
  <c r="R1101" i="2" s="1"/>
  <c r="P1100" i="2"/>
  <c r="R1100" i="2" s="1"/>
  <c r="P1099" i="2"/>
  <c r="R1099" i="2" s="1"/>
  <c r="P1098" i="2"/>
  <c r="R1098" i="2" s="1"/>
  <c r="P1097" i="2"/>
  <c r="R1097" i="2" s="1"/>
  <c r="P1096" i="2"/>
  <c r="R1096" i="2" s="1"/>
  <c r="P1095" i="2"/>
  <c r="R1095" i="2" s="1"/>
  <c r="P1094" i="2"/>
  <c r="R1094" i="2" s="1"/>
  <c r="P1093" i="2"/>
  <c r="R1093" i="2" s="1"/>
  <c r="P1092" i="2"/>
  <c r="R1092" i="2" s="1"/>
  <c r="P1091" i="2"/>
  <c r="P1090" i="2"/>
  <c r="R1090" i="2" s="1"/>
  <c r="P1089" i="2"/>
  <c r="R1089" i="2" s="1"/>
  <c r="P1088" i="2"/>
  <c r="R1088" i="2" s="1"/>
  <c r="P1087" i="2"/>
  <c r="R1087" i="2" s="1"/>
  <c r="P1086" i="2"/>
  <c r="P1085" i="2"/>
  <c r="R1085" i="2" s="1"/>
  <c r="P1084" i="2"/>
  <c r="R1084" i="2" s="1"/>
  <c r="P1083" i="2"/>
  <c r="R1083" i="2" s="1"/>
  <c r="P1082" i="2"/>
  <c r="R1082" i="2" s="1"/>
  <c r="P1081" i="2"/>
  <c r="R1081" i="2" s="1"/>
  <c r="P1080" i="2"/>
  <c r="R1080" i="2" s="1"/>
  <c r="P1079" i="2"/>
  <c r="R1079" i="2" s="1"/>
  <c r="P1078" i="2"/>
  <c r="R1078" i="2" s="1"/>
  <c r="P1077" i="2"/>
  <c r="P1076" i="2"/>
  <c r="R1076" i="2" s="1"/>
  <c r="P1075" i="2"/>
  <c r="R1075" i="2" s="1"/>
  <c r="P1074" i="2"/>
  <c r="R1074" i="2" s="1"/>
  <c r="P1073" i="2"/>
  <c r="R1073" i="2" s="1"/>
  <c r="P1072" i="2"/>
  <c r="R1072" i="2" s="1"/>
  <c r="P1071" i="2"/>
  <c r="R1071" i="2" s="1"/>
  <c r="P1070" i="2"/>
  <c r="P1069" i="2"/>
  <c r="R1069" i="2" s="1"/>
  <c r="P1068" i="2"/>
  <c r="R1068" i="2" s="1"/>
  <c r="P1067" i="2"/>
  <c r="P1066" i="2"/>
  <c r="R1066" i="2" s="1"/>
  <c r="P1065" i="2"/>
  <c r="R1065" i="2" s="1"/>
  <c r="P1064" i="2"/>
  <c r="R1064" i="2" s="1"/>
  <c r="P1063" i="2"/>
  <c r="R1063" i="2" s="1"/>
  <c r="P1062" i="2"/>
  <c r="R1062" i="2" s="1"/>
  <c r="P1061" i="2"/>
  <c r="R1061" i="2" s="1"/>
  <c r="P1060" i="2"/>
  <c r="R1060" i="2" s="1"/>
  <c r="P1059" i="2"/>
  <c r="R1059" i="2" s="1"/>
  <c r="P1058" i="2"/>
  <c r="R1058" i="2" s="1"/>
  <c r="P1057" i="2"/>
  <c r="R1057" i="2" s="1"/>
  <c r="P1056" i="2"/>
  <c r="R1056" i="2" s="1"/>
  <c r="P1055" i="2"/>
  <c r="R1055" i="2" s="1"/>
  <c r="P1054" i="2"/>
  <c r="R1054" i="2" s="1"/>
  <c r="P1053" i="2"/>
  <c r="R1053" i="2" s="1"/>
  <c r="P1052" i="2"/>
  <c r="R1052" i="2" s="1"/>
  <c r="P1051" i="2"/>
  <c r="P1050" i="2"/>
  <c r="R1050" i="2" s="1"/>
  <c r="P1049" i="2"/>
  <c r="R1049" i="2" s="1"/>
  <c r="P1048" i="2"/>
  <c r="R1048" i="2" s="1"/>
  <c r="P1047" i="2"/>
  <c r="R1047" i="2" s="1"/>
  <c r="P1046" i="2"/>
  <c r="R1046" i="2" s="1"/>
  <c r="P1045" i="2"/>
  <c r="R1045" i="2" s="1"/>
  <c r="P1044" i="2"/>
  <c r="R1044" i="2" s="1"/>
  <c r="P1043" i="2"/>
  <c r="R1043" i="2" s="1"/>
  <c r="P1042" i="2"/>
  <c r="R1042" i="2" s="1"/>
  <c r="P1041" i="2"/>
  <c r="R1041" i="2" s="1"/>
  <c r="P1040" i="2"/>
  <c r="R1040" i="2" s="1"/>
  <c r="P1039" i="2"/>
  <c r="P1038" i="2"/>
  <c r="R1038" i="2" s="1"/>
  <c r="P1037" i="2"/>
  <c r="R1037" i="2" s="1"/>
  <c r="P1036" i="2"/>
  <c r="R1036" i="2" s="1"/>
  <c r="P1035" i="2"/>
  <c r="R1035" i="2" s="1"/>
  <c r="P1034" i="2"/>
  <c r="R1034" i="2" s="1"/>
  <c r="P1033" i="2"/>
  <c r="R1033" i="2" s="1"/>
  <c r="P1032" i="2"/>
  <c r="R1032" i="2" s="1"/>
  <c r="P1031" i="2"/>
  <c r="R1031" i="2" s="1"/>
  <c r="P1030" i="2"/>
  <c r="R1030" i="2" s="1"/>
  <c r="P1029" i="2"/>
  <c r="R1029" i="2" s="1"/>
  <c r="P1028" i="2"/>
  <c r="R1028" i="2" s="1"/>
  <c r="P1027" i="2"/>
  <c r="R1027" i="2" s="1"/>
  <c r="P1026" i="2"/>
  <c r="R1026" i="2" s="1"/>
  <c r="P1025" i="2"/>
  <c r="R1025" i="2" s="1"/>
  <c r="P1024" i="2"/>
  <c r="R1024" i="2" s="1"/>
  <c r="P1023" i="2"/>
  <c r="R1023" i="2" s="1"/>
  <c r="P1022" i="2"/>
  <c r="R1022" i="2" s="1"/>
  <c r="P1021" i="2"/>
  <c r="R1021" i="2" s="1"/>
  <c r="P1020" i="2"/>
  <c r="R1020" i="2" s="1"/>
  <c r="P1019" i="2"/>
  <c r="R1019" i="2" s="1"/>
  <c r="P1018" i="2"/>
  <c r="R1018" i="2" s="1"/>
  <c r="P1017" i="2"/>
  <c r="R1017" i="2" s="1"/>
  <c r="P1016" i="2"/>
  <c r="R1016" i="2" s="1"/>
  <c r="P1015" i="2"/>
  <c r="R1015" i="2" s="1"/>
  <c r="P1014" i="2"/>
  <c r="R1014" i="2" s="1"/>
  <c r="P1013" i="2"/>
  <c r="R1013" i="2" s="1"/>
  <c r="P1012" i="2"/>
  <c r="R1012" i="2" s="1"/>
  <c r="P1011" i="2"/>
  <c r="R1011" i="2" s="1"/>
  <c r="P1010" i="2"/>
  <c r="R1010" i="2" s="1"/>
  <c r="P1009" i="2"/>
  <c r="R1009" i="2" s="1"/>
  <c r="P1008" i="2"/>
  <c r="R1008" i="2" s="1"/>
  <c r="P1007" i="2"/>
  <c r="R1007" i="2" s="1"/>
  <c r="P1006" i="2"/>
  <c r="R1006" i="2" s="1"/>
  <c r="P1005" i="2"/>
  <c r="R1005" i="2" s="1"/>
  <c r="P1004" i="2"/>
  <c r="R1004" i="2" s="1"/>
  <c r="P1003" i="2"/>
  <c r="R1003" i="2" s="1"/>
  <c r="P1002" i="2"/>
  <c r="R1002" i="2" s="1"/>
  <c r="P1001" i="2"/>
  <c r="R1001" i="2" s="1"/>
  <c r="P1000" i="2"/>
  <c r="R1000" i="2" s="1"/>
  <c r="P999" i="2"/>
  <c r="R999" i="2" s="1"/>
  <c r="P998" i="2"/>
  <c r="R998" i="2" s="1"/>
  <c r="P997" i="2"/>
  <c r="R997" i="2" s="1"/>
  <c r="P996" i="2"/>
  <c r="R996" i="2" s="1"/>
  <c r="P995" i="2"/>
  <c r="R995" i="2" s="1"/>
  <c r="P994" i="2"/>
  <c r="R994" i="2" s="1"/>
  <c r="P993" i="2"/>
  <c r="R993" i="2" s="1"/>
  <c r="P992" i="2"/>
  <c r="R992" i="2" s="1"/>
  <c r="P991" i="2"/>
  <c r="R991" i="2" s="1"/>
  <c r="P990" i="2"/>
  <c r="R990" i="2" s="1"/>
  <c r="P989" i="2"/>
  <c r="R989" i="2" s="1"/>
  <c r="P988" i="2"/>
  <c r="R988" i="2" s="1"/>
  <c r="P987" i="2"/>
  <c r="R987" i="2" s="1"/>
  <c r="P986" i="2"/>
  <c r="R986" i="2" s="1"/>
  <c r="P985" i="2"/>
  <c r="P984" i="2"/>
  <c r="R984" i="2" s="1"/>
  <c r="P983" i="2"/>
  <c r="R983" i="2" s="1"/>
  <c r="P982" i="2"/>
  <c r="R982" i="2" s="1"/>
  <c r="P981" i="2"/>
  <c r="R981" i="2" s="1"/>
  <c r="P980" i="2"/>
  <c r="R980" i="2" s="1"/>
  <c r="P979" i="2"/>
  <c r="R979" i="2" s="1"/>
  <c r="P978" i="2"/>
  <c r="R978" i="2" s="1"/>
  <c r="P977" i="2"/>
  <c r="R977" i="2" s="1"/>
  <c r="P976" i="2"/>
  <c r="R976" i="2" s="1"/>
  <c r="P975" i="2"/>
  <c r="R975" i="2" s="1"/>
  <c r="P974" i="2"/>
  <c r="R974" i="2" s="1"/>
  <c r="P973" i="2"/>
  <c r="R973" i="2" s="1"/>
  <c r="P972" i="2"/>
  <c r="R972" i="2" s="1"/>
  <c r="P971" i="2"/>
  <c r="R971" i="2" s="1"/>
  <c r="P970" i="2"/>
  <c r="R970" i="2" s="1"/>
  <c r="P969" i="2"/>
  <c r="R969" i="2" s="1"/>
  <c r="P968" i="2"/>
  <c r="R968" i="2" s="1"/>
  <c r="P967" i="2"/>
  <c r="R967" i="2" s="1"/>
  <c r="P966" i="2"/>
  <c r="P965" i="2"/>
  <c r="R965" i="2" s="1"/>
  <c r="P964" i="2"/>
  <c r="R964" i="2" s="1"/>
  <c r="P963" i="2"/>
  <c r="R963" i="2" s="1"/>
  <c r="P962" i="2"/>
  <c r="R962" i="2" s="1"/>
  <c r="P961" i="2"/>
  <c r="R961" i="2" s="1"/>
  <c r="P960" i="2"/>
  <c r="R960" i="2" s="1"/>
  <c r="P959" i="2"/>
  <c r="R959" i="2" s="1"/>
  <c r="P958" i="2"/>
  <c r="R958" i="2" s="1"/>
  <c r="P957" i="2"/>
  <c r="R957" i="2" s="1"/>
  <c r="P956" i="2"/>
  <c r="R956" i="2" s="1"/>
  <c r="P955" i="2"/>
  <c r="R955" i="2" s="1"/>
  <c r="P954" i="2"/>
  <c r="R954" i="2" s="1"/>
  <c r="P953" i="2"/>
  <c r="R953" i="2" s="1"/>
  <c r="P952" i="2"/>
  <c r="R952" i="2" s="1"/>
  <c r="P951" i="2"/>
  <c r="R951" i="2" s="1"/>
  <c r="P950" i="2"/>
  <c r="R950" i="2" s="1"/>
  <c r="P949" i="2"/>
  <c r="R949" i="2" s="1"/>
  <c r="P948" i="2"/>
  <c r="P947" i="2"/>
  <c r="R947" i="2" s="1"/>
  <c r="P946" i="2"/>
  <c r="R946" i="2" s="1"/>
  <c r="P945" i="2"/>
  <c r="R945" i="2" s="1"/>
  <c r="P944" i="2"/>
  <c r="R944" i="2" s="1"/>
  <c r="P943" i="2"/>
  <c r="R943" i="2" s="1"/>
  <c r="P942" i="2"/>
  <c r="R942" i="2" s="1"/>
  <c r="P941" i="2"/>
  <c r="P940" i="2"/>
  <c r="R940" i="2" s="1"/>
  <c r="P939" i="2"/>
  <c r="R939" i="2" s="1"/>
  <c r="P938" i="2"/>
  <c r="R938" i="2" s="1"/>
  <c r="P937" i="2"/>
  <c r="R937" i="2" s="1"/>
  <c r="P936" i="2"/>
  <c r="R936" i="2" s="1"/>
  <c r="P935" i="2"/>
  <c r="R935" i="2" s="1"/>
  <c r="P934" i="2"/>
  <c r="R934" i="2" s="1"/>
  <c r="P933" i="2"/>
  <c r="R933" i="2" s="1"/>
  <c r="P932" i="2"/>
  <c r="R932" i="2" s="1"/>
  <c r="P931" i="2"/>
  <c r="R931" i="2" s="1"/>
  <c r="P930" i="2"/>
  <c r="R930" i="2" s="1"/>
  <c r="P929" i="2"/>
  <c r="P928" i="2"/>
  <c r="R928" i="2" s="1"/>
  <c r="P927" i="2"/>
  <c r="R927" i="2" s="1"/>
  <c r="P926" i="2"/>
  <c r="R926" i="2" s="1"/>
  <c r="P925" i="2"/>
  <c r="P924" i="2"/>
  <c r="R924" i="2" s="1"/>
  <c r="P923" i="2"/>
  <c r="R923" i="2" s="1"/>
  <c r="P922" i="2"/>
  <c r="R922" i="2" s="1"/>
  <c r="P921" i="2"/>
  <c r="R921" i="2" s="1"/>
  <c r="P920" i="2"/>
  <c r="R920" i="2" s="1"/>
  <c r="P919" i="2"/>
  <c r="R919" i="2" s="1"/>
  <c r="P918" i="2"/>
  <c r="R918" i="2" s="1"/>
  <c r="P917" i="2"/>
  <c r="R917" i="2" s="1"/>
  <c r="P916" i="2"/>
  <c r="R916" i="2" s="1"/>
  <c r="P915" i="2"/>
  <c r="R915" i="2" s="1"/>
  <c r="P914" i="2"/>
  <c r="P913" i="2"/>
  <c r="R913" i="2" s="1"/>
  <c r="P912" i="2"/>
  <c r="R912" i="2" s="1"/>
  <c r="P911" i="2"/>
  <c r="R911" i="2" s="1"/>
  <c r="P910" i="2"/>
  <c r="R910" i="2" s="1"/>
  <c r="P909" i="2"/>
  <c r="R909" i="2" s="1"/>
  <c r="P908" i="2"/>
  <c r="R908" i="2" s="1"/>
  <c r="P907" i="2"/>
  <c r="R907" i="2" s="1"/>
  <c r="P906" i="2"/>
  <c r="P905" i="2"/>
  <c r="R905" i="2" s="1"/>
  <c r="P904" i="2"/>
  <c r="R904" i="2" s="1"/>
  <c r="P903" i="2"/>
  <c r="R903" i="2" s="1"/>
  <c r="P902" i="2"/>
  <c r="R902" i="2" s="1"/>
  <c r="P901" i="2"/>
  <c r="R901" i="2" s="1"/>
  <c r="P900" i="2"/>
  <c r="R900" i="2" s="1"/>
  <c r="P899" i="2"/>
  <c r="R899" i="2" s="1"/>
  <c r="P898" i="2"/>
  <c r="R898" i="2" s="1"/>
  <c r="P897" i="2"/>
  <c r="R897" i="2" s="1"/>
  <c r="P896" i="2"/>
  <c r="R896" i="2" s="1"/>
  <c r="P895" i="2"/>
  <c r="R895" i="2" s="1"/>
  <c r="P894" i="2"/>
  <c r="R894" i="2" s="1"/>
  <c r="P893" i="2"/>
  <c r="R893" i="2" s="1"/>
  <c r="P892" i="2"/>
  <c r="R892" i="2" s="1"/>
  <c r="P891" i="2"/>
  <c r="R891" i="2" s="1"/>
  <c r="P890" i="2"/>
  <c r="R890" i="2" s="1"/>
  <c r="P889" i="2"/>
  <c r="R889" i="2" s="1"/>
  <c r="P888" i="2"/>
  <c r="R888" i="2" s="1"/>
  <c r="P887" i="2"/>
  <c r="R887" i="2" s="1"/>
  <c r="P886" i="2"/>
  <c r="R886" i="2" s="1"/>
  <c r="P885" i="2"/>
  <c r="R885" i="2" s="1"/>
  <c r="P884" i="2"/>
  <c r="R884" i="2" s="1"/>
  <c r="P883" i="2"/>
  <c r="R883" i="2" s="1"/>
  <c r="P882" i="2"/>
  <c r="R882" i="2" s="1"/>
  <c r="P881" i="2"/>
  <c r="R881" i="2" s="1"/>
  <c r="P880" i="2"/>
  <c r="R880" i="2" s="1"/>
  <c r="P879" i="2"/>
  <c r="R879" i="2" s="1"/>
  <c r="P878" i="2"/>
  <c r="R878" i="2" s="1"/>
  <c r="P877" i="2"/>
  <c r="R877" i="2" s="1"/>
  <c r="P876" i="2"/>
  <c r="R876" i="2" s="1"/>
  <c r="P875" i="2"/>
  <c r="R875" i="2" s="1"/>
  <c r="P874" i="2"/>
  <c r="R874" i="2" s="1"/>
  <c r="P873" i="2"/>
  <c r="R873" i="2" s="1"/>
  <c r="P872" i="2"/>
  <c r="R872" i="2" s="1"/>
  <c r="P871" i="2"/>
  <c r="R871" i="2" s="1"/>
  <c r="P870" i="2"/>
  <c r="R870" i="2" s="1"/>
  <c r="P869" i="2"/>
  <c r="R869" i="2" s="1"/>
  <c r="P868" i="2"/>
  <c r="R868" i="2" s="1"/>
  <c r="P867" i="2"/>
  <c r="R867" i="2" s="1"/>
  <c r="P866" i="2"/>
  <c r="R866" i="2" s="1"/>
  <c r="P865" i="2"/>
  <c r="R865" i="2" s="1"/>
  <c r="P864" i="2"/>
  <c r="R864" i="2" s="1"/>
  <c r="P863" i="2"/>
  <c r="R863" i="2" s="1"/>
  <c r="P862" i="2"/>
  <c r="R862" i="2" s="1"/>
  <c r="P861" i="2"/>
  <c r="R861" i="2" s="1"/>
  <c r="P860" i="2"/>
  <c r="R860" i="2" s="1"/>
  <c r="P859" i="2"/>
  <c r="R859" i="2" s="1"/>
  <c r="P858" i="2"/>
  <c r="R858" i="2" s="1"/>
  <c r="P857" i="2"/>
  <c r="R857" i="2" s="1"/>
  <c r="P856" i="2"/>
  <c r="R856" i="2" s="1"/>
  <c r="P855" i="2"/>
  <c r="R855" i="2" s="1"/>
  <c r="P854" i="2"/>
  <c r="R854" i="2" s="1"/>
  <c r="P853" i="2"/>
  <c r="R853" i="2" s="1"/>
  <c r="P852" i="2"/>
  <c r="R852" i="2" s="1"/>
  <c r="P851" i="2"/>
  <c r="P850" i="2"/>
  <c r="R850" i="2" s="1"/>
  <c r="P849" i="2"/>
  <c r="R849" i="2" s="1"/>
  <c r="P848" i="2"/>
  <c r="R848" i="2" s="1"/>
  <c r="P847" i="2"/>
  <c r="R847" i="2" s="1"/>
  <c r="P846" i="2"/>
  <c r="R846" i="2" s="1"/>
  <c r="P845" i="2"/>
  <c r="R845" i="2" s="1"/>
  <c r="P844" i="2"/>
  <c r="R844" i="2" s="1"/>
  <c r="P843" i="2"/>
  <c r="R843" i="2" s="1"/>
  <c r="P842" i="2"/>
  <c r="R842" i="2" s="1"/>
  <c r="P841" i="2"/>
  <c r="R841" i="2" s="1"/>
  <c r="P840" i="2"/>
  <c r="R840" i="2" s="1"/>
  <c r="P839" i="2"/>
  <c r="R839" i="2" s="1"/>
  <c r="P838" i="2"/>
  <c r="R838" i="2" s="1"/>
  <c r="P837" i="2"/>
  <c r="R837" i="2" s="1"/>
  <c r="P836" i="2"/>
  <c r="R836" i="2" s="1"/>
  <c r="P835" i="2"/>
  <c r="P834" i="2"/>
  <c r="R834" i="2" s="1"/>
  <c r="P833" i="2"/>
  <c r="R833" i="2" s="1"/>
  <c r="P832" i="2"/>
  <c r="R832" i="2" s="1"/>
  <c r="P831" i="2"/>
  <c r="R831" i="2" s="1"/>
  <c r="P830" i="2"/>
  <c r="P829" i="2"/>
  <c r="R829" i="2" s="1"/>
  <c r="P828" i="2"/>
  <c r="P827" i="2"/>
  <c r="R827" i="2" s="1"/>
  <c r="P826" i="2"/>
  <c r="R826" i="2" s="1"/>
  <c r="P825" i="2"/>
  <c r="R825" i="2" s="1"/>
  <c r="P824" i="2"/>
  <c r="R824" i="2" s="1"/>
  <c r="P823" i="2"/>
  <c r="R823" i="2" s="1"/>
  <c r="P822" i="2"/>
  <c r="R822" i="2" s="1"/>
  <c r="P821" i="2"/>
  <c r="P820" i="2"/>
  <c r="R820" i="2" s="1"/>
  <c r="P819" i="2"/>
  <c r="R819" i="2" s="1"/>
  <c r="P818" i="2"/>
  <c r="R818" i="2" s="1"/>
  <c r="P817" i="2"/>
  <c r="R817" i="2" s="1"/>
  <c r="P816" i="2"/>
  <c r="R816" i="2" s="1"/>
  <c r="P815" i="2"/>
  <c r="R815" i="2" s="1"/>
  <c r="P814" i="2"/>
  <c r="P813" i="2"/>
  <c r="R813" i="2" s="1"/>
  <c r="P812" i="2"/>
  <c r="P811" i="2"/>
  <c r="P810" i="2"/>
  <c r="R810" i="2" s="1"/>
  <c r="P809" i="2"/>
  <c r="R809" i="2" s="1"/>
  <c r="P808" i="2"/>
  <c r="R808" i="2" s="1"/>
  <c r="P807" i="2"/>
  <c r="R807" i="2" s="1"/>
  <c r="P806" i="2"/>
  <c r="R806" i="2" s="1"/>
  <c r="P805" i="2"/>
  <c r="R805" i="2" s="1"/>
  <c r="P804" i="2"/>
  <c r="R804" i="2" s="1"/>
  <c r="P803" i="2"/>
  <c r="R803" i="2" s="1"/>
  <c r="P802" i="2"/>
  <c r="R802" i="2" s="1"/>
  <c r="P801" i="2"/>
  <c r="R801" i="2" s="1"/>
  <c r="P800" i="2"/>
  <c r="R800" i="2" s="1"/>
  <c r="P799" i="2"/>
  <c r="R799" i="2" s="1"/>
  <c r="P798" i="2"/>
  <c r="R798" i="2" s="1"/>
  <c r="P797" i="2"/>
  <c r="R797" i="2" s="1"/>
  <c r="P796" i="2"/>
  <c r="R796" i="2" s="1"/>
  <c r="P795" i="2"/>
  <c r="P794" i="2"/>
  <c r="R794" i="2" s="1"/>
  <c r="P793" i="2"/>
  <c r="R793" i="2" s="1"/>
  <c r="P792" i="2"/>
  <c r="R792" i="2" s="1"/>
  <c r="P791" i="2"/>
  <c r="R791" i="2" s="1"/>
  <c r="P790" i="2"/>
  <c r="R790" i="2" s="1"/>
  <c r="P789" i="2"/>
  <c r="R789" i="2" s="1"/>
  <c r="P788" i="2"/>
  <c r="R788" i="2" s="1"/>
  <c r="P787" i="2"/>
  <c r="R787" i="2" s="1"/>
  <c r="P786" i="2"/>
  <c r="R786" i="2" s="1"/>
  <c r="P785" i="2"/>
  <c r="R785" i="2" s="1"/>
  <c r="P784" i="2"/>
  <c r="R784" i="2" s="1"/>
  <c r="P783" i="2"/>
  <c r="P782" i="2"/>
  <c r="R782" i="2" s="1"/>
  <c r="P781" i="2"/>
  <c r="R781" i="2" s="1"/>
  <c r="P780" i="2"/>
  <c r="R780" i="2" s="1"/>
  <c r="P779" i="2"/>
  <c r="R779" i="2" s="1"/>
  <c r="P778" i="2"/>
  <c r="R778" i="2" s="1"/>
  <c r="P777" i="2"/>
  <c r="R777" i="2" s="1"/>
  <c r="P776" i="2"/>
  <c r="R776" i="2" s="1"/>
  <c r="P775" i="2"/>
  <c r="R775" i="2" s="1"/>
  <c r="P774" i="2"/>
  <c r="R774" i="2" s="1"/>
  <c r="P773" i="2"/>
  <c r="R773" i="2" s="1"/>
  <c r="P772" i="2"/>
  <c r="R772" i="2" s="1"/>
  <c r="P771" i="2"/>
  <c r="R771" i="2" s="1"/>
  <c r="P770" i="2"/>
  <c r="R770" i="2" s="1"/>
  <c r="P769" i="2"/>
  <c r="R769" i="2" s="1"/>
  <c r="P768" i="2"/>
  <c r="R768" i="2" s="1"/>
  <c r="P767" i="2"/>
  <c r="R767" i="2" s="1"/>
  <c r="P766" i="2"/>
  <c r="R766" i="2" s="1"/>
  <c r="P765" i="2"/>
  <c r="R765" i="2" s="1"/>
  <c r="P764" i="2"/>
  <c r="R764" i="2" s="1"/>
  <c r="P763" i="2"/>
  <c r="R763" i="2" s="1"/>
  <c r="P762" i="2"/>
  <c r="R762" i="2" s="1"/>
  <c r="P761" i="2"/>
  <c r="R761" i="2" s="1"/>
  <c r="P760" i="2"/>
  <c r="R760" i="2" s="1"/>
  <c r="P759" i="2"/>
  <c r="R759" i="2" s="1"/>
  <c r="P758" i="2"/>
  <c r="R758" i="2" s="1"/>
  <c r="P757" i="2"/>
  <c r="R757" i="2" s="1"/>
  <c r="P756" i="2"/>
  <c r="R756" i="2" s="1"/>
  <c r="P755" i="2"/>
  <c r="R755" i="2" s="1"/>
  <c r="P754" i="2"/>
  <c r="R754" i="2" s="1"/>
  <c r="P753" i="2"/>
  <c r="R753" i="2" s="1"/>
  <c r="P752" i="2"/>
  <c r="R752" i="2" s="1"/>
  <c r="P751" i="2"/>
  <c r="R751" i="2" s="1"/>
  <c r="P750" i="2"/>
  <c r="R750" i="2" s="1"/>
  <c r="P749" i="2"/>
  <c r="R749" i="2" s="1"/>
  <c r="P748" i="2"/>
  <c r="R748" i="2" s="1"/>
  <c r="P747" i="2"/>
  <c r="R747" i="2" s="1"/>
  <c r="P746" i="2"/>
  <c r="R746" i="2" s="1"/>
  <c r="P745" i="2"/>
  <c r="R745" i="2" s="1"/>
  <c r="P744" i="2"/>
  <c r="R744" i="2" s="1"/>
  <c r="P743" i="2"/>
  <c r="R743" i="2" s="1"/>
  <c r="P742" i="2"/>
  <c r="R742" i="2" s="1"/>
  <c r="P741" i="2"/>
  <c r="R741" i="2" s="1"/>
  <c r="P740" i="2"/>
  <c r="R740" i="2" s="1"/>
  <c r="P739" i="2"/>
  <c r="R739" i="2" s="1"/>
  <c r="P738" i="2"/>
  <c r="R738" i="2" s="1"/>
  <c r="P737" i="2"/>
  <c r="R737" i="2" s="1"/>
  <c r="P736" i="2"/>
  <c r="P735" i="2"/>
  <c r="R735" i="2" s="1"/>
  <c r="P734" i="2"/>
  <c r="R734" i="2" s="1"/>
  <c r="P733" i="2"/>
  <c r="R733" i="2" s="1"/>
  <c r="P732" i="2"/>
  <c r="R732" i="2" s="1"/>
  <c r="P731" i="2"/>
  <c r="R731" i="2" s="1"/>
  <c r="P730" i="2"/>
  <c r="R730" i="2" s="1"/>
  <c r="P729" i="2"/>
  <c r="P728" i="2"/>
  <c r="R728" i="2" s="1"/>
  <c r="P727" i="2"/>
  <c r="R727" i="2" s="1"/>
  <c r="P726" i="2"/>
  <c r="R726" i="2" s="1"/>
  <c r="P725" i="2"/>
  <c r="R725" i="2" s="1"/>
  <c r="P724" i="2"/>
  <c r="R724" i="2" s="1"/>
  <c r="P723" i="2"/>
  <c r="R723" i="2" s="1"/>
  <c r="P722" i="2"/>
  <c r="P721" i="2"/>
  <c r="R721" i="2" s="1"/>
  <c r="P720" i="2"/>
  <c r="R720" i="2" s="1"/>
  <c r="P719" i="2"/>
  <c r="R719" i="2" s="1"/>
  <c r="P718" i="2"/>
  <c r="R718" i="2" s="1"/>
  <c r="P717" i="2"/>
  <c r="R717" i="2" s="1"/>
  <c r="P716" i="2"/>
  <c r="R716" i="2" s="1"/>
  <c r="P715" i="2"/>
  <c r="R715" i="2" s="1"/>
  <c r="P714" i="2"/>
  <c r="R714" i="2" s="1"/>
  <c r="P713" i="2"/>
  <c r="R713" i="2" s="1"/>
  <c r="P712" i="2"/>
  <c r="R712" i="2" s="1"/>
  <c r="P711" i="2"/>
  <c r="R711" i="2" s="1"/>
  <c r="P710" i="2"/>
  <c r="P709" i="2"/>
  <c r="R709" i="2" s="1"/>
  <c r="P708" i="2"/>
  <c r="R708" i="2" s="1"/>
  <c r="P707" i="2"/>
  <c r="R707" i="2" s="1"/>
  <c r="P706" i="2"/>
  <c r="R706" i="2" s="1"/>
  <c r="P705" i="2"/>
  <c r="R705" i="2" s="1"/>
  <c r="P704" i="2"/>
  <c r="P703" i="2"/>
  <c r="R703" i="2" s="1"/>
  <c r="P702" i="2"/>
  <c r="R702" i="2" s="1"/>
  <c r="P701" i="2"/>
  <c r="R701" i="2" s="1"/>
  <c r="P700" i="2"/>
  <c r="R700" i="2" s="1"/>
  <c r="P699" i="2"/>
  <c r="R699" i="2" s="1"/>
  <c r="P698" i="2"/>
  <c r="R698" i="2" s="1"/>
  <c r="P697" i="2"/>
  <c r="R697" i="2" s="1"/>
  <c r="P696" i="2"/>
  <c r="R696" i="2" s="1"/>
  <c r="P695" i="2"/>
  <c r="R695" i="2" s="1"/>
  <c r="P694" i="2"/>
  <c r="R694" i="2" s="1"/>
  <c r="P693" i="2"/>
  <c r="R693" i="2" s="1"/>
  <c r="P692" i="2"/>
  <c r="P691" i="2"/>
  <c r="R691" i="2" s="1"/>
  <c r="P690" i="2"/>
  <c r="R690" i="2" s="1"/>
  <c r="P689" i="2"/>
  <c r="R689" i="2" s="1"/>
  <c r="P688" i="2"/>
  <c r="R688" i="2" s="1"/>
  <c r="P687" i="2"/>
  <c r="R687" i="2" s="1"/>
  <c r="P686" i="2"/>
  <c r="R686" i="2" s="1"/>
  <c r="P685" i="2"/>
  <c r="P684" i="2"/>
  <c r="R684" i="2" s="1"/>
  <c r="P683" i="2"/>
  <c r="R683" i="2" s="1"/>
  <c r="P682" i="2"/>
  <c r="R682" i="2" s="1"/>
  <c r="P681" i="2"/>
  <c r="R681" i="2" s="1"/>
  <c r="P680" i="2"/>
  <c r="R680" i="2" s="1"/>
  <c r="P679" i="2"/>
  <c r="R679" i="2" s="1"/>
  <c r="P678" i="2"/>
  <c r="R678" i="2" s="1"/>
  <c r="P677" i="2"/>
  <c r="R677" i="2" s="1"/>
  <c r="P676" i="2"/>
  <c r="R676" i="2" s="1"/>
  <c r="P675" i="2"/>
  <c r="R675" i="2" s="1"/>
  <c r="P674" i="2"/>
  <c r="R674" i="2" s="1"/>
  <c r="P673" i="2"/>
  <c r="P672" i="2"/>
  <c r="R672" i="2" s="1"/>
  <c r="P671" i="2"/>
  <c r="R671" i="2" s="1"/>
  <c r="P670" i="2"/>
  <c r="R670" i="2" s="1"/>
  <c r="P669" i="2"/>
  <c r="P668" i="2"/>
  <c r="R668" i="2" s="1"/>
  <c r="P667" i="2"/>
  <c r="R667" i="2" s="1"/>
  <c r="P666" i="2"/>
  <c r="R666" i="2" s="1"/>
  <c r="P665" i="2"/>
  <c r="R665" i="2" s="1"/>
  <c r="P664" i="2"/>
  <c r="R664" i="2" s="1"/>
  <c r="P663" i="2"/>
  <c r="R663" i="2" s="1"/>
  <c r="P662" i="2"/>
  <c r="R662" i="2" s="1"/>
  <c r="P661" i="2"/>
  <c r="R661" i="2" s="1"/>
  <c r="P660" i="2"/>
  <c r="R660" i="2" s="1"/>
  <c r="P659" i="2"/>
  <c r="R659" i="2" s="1"/>
  <c r="P658" i="2"/>
  <c r="R658" i="2" s="1"/>
  <c r="P657" i="2"/>
  <c r="R657" i="2" s="1"/>
  <c r="P656" i="2"/>
  <c r="R656" i="2" s="1"/>
  <c r="P655" i="2"/>
  <c r="R655" i="2" s="1"/>
  <c r="P654" i="2"/>
  <c r="R654" i="2" s="1"/>
  <c r="P653" i="2"/>
  <c r="R653" i="2" s="1"/>
  <c r="P652" i="2"/>
  <c r="R652" i="2" s="1"/>
  <c r="P651" i="2"/>
  <c r="R651" i="2" s="1"/>
  <c r="P650" i="2"/>
  <c r="P649" i="2"/>
  <c r="R649" i="2" s="1"/>
  <c r="P648" i="2"/>
  <c r="R648" i="2" s="1"/>
  <c r="P647" i="2"/>
  <c r="R647" i="2" s="1"/>
  <c r="P646" i="2"/>
  <c r="R646" i="2" s="1"/>
  <c r="P645" i="2"/>
  <c r="R645" i="2" s="1"/>
  <c r="P644" i="2"/>
  <c r="R644" i="2" s="1"/>
  <c r="P643" i="2"/>
  <c r="R643" i="2" s="1"/>
  <c r="P642" i="2"/>
  <c r="R642" i="2" s="1"/>
  <c r="P641" i="2"/>
  <c r="R641" i="2" s="1"/>
  <c r="P640" i="2"/>
  <c r="R640" i="2" s="1"/>
  <c r="P639" i="2"/>
  <c r="R639" i="2" s="1"/>
  <c r="P638" i="2"/>
  <c r="R638" i="2" s="1"/>
  <c r="P637" i="2"/>
  <c r="R637" i="2" s="1"/>
  <c r="P636" i="2"/>
  <c r="R636" i="2" s="1"/>
  <c r="P635" i="2"/>
  <c r="R635" i="2" s="1"/>
  <c r="P634" i="2"/>
  <c r="R634" i="2" s="1"/>
  <c r="P633" i="2"/>
  <c r="R633" i="2" s="1"/>
  <c r="P632" i="2"/>
  <c r="R632" i="2" s="1"/>
  <c r="P631" i="2"/>
  <c r="R631" i="2" s="1"/>
  <c r="P630" i="2"/>
  <c r="R630" i="2" s="1"/>
  <c r="P629" i="2"/>
  <c r="R629" i="2" s="1"/>
  <c r="P628" i="2"/>
  <c r="R628" i="2" s="1"/>
  <c r="P627" i="2"/>
  <c r="R627" i="2" s="1"/>
  <c r="P626" i="2"/>
  <c r="R626" i="2" s="1"/>
  <c r="P625" i="2"/>
  <c r="R625" i="2" s="1"/>
  <c r="P624" i="2"/>
  <c r="R624" i="2" s="1"/>
  <c r="P623" i="2"/>
  <c r="R623" i="2" s="1"/>
  <c r="P622" i="2"/>
  <c r="R622" i="2" s="1"/>
  <c r="P621" i="2"/>
  <c r="R621" i="2" s="1"/>
  <c r="P620" i="2"/>
  <c r="R620" i="2" s="1"/>
  <c r="P619" i="2"/>
  <c r="R619" i="2" s="1"/>
  <c r="P618" i="2"/>
  <c r="R618" i="2" s="1"/>
  <c r="P617" i="2"/>
  <c r="R617" i="2" s="1"/>
  <c r="P616" i="2"/>
  <c r="R616" i="2" s="1"/>
  <c r="P615" i="2"/>
  <c r="R615" i="2" s="1"/>
  <c r="P614" i="2"/>
  <c r="R614" i="2" s="1"/>
  <c r="P613" i="2"/>
  <c r="R613" i="2" s="1"/>
  <c r="P612" i="2"/>
  <c r="R612" i="2" s="1"/>
  <c r="P611" i="2"/>
  <c r="R611" i="2" s="1"/>
  <c r="P610" i="2"/>
  <c r="R610" i="2" s="1"/>
  <c r="P609" i="2"/>
  <c r="R609" i="2" s="1"/>
  <c r="P608" i="2"/>
  <c r="R608" i="2" s="1"/>
  <c r="P607" i="2"/>
  <c r="R607" i="2" s="1"/>
  <c r="P606" i="2"/>
  <c r="R606" i="2" s="1"/>
  <c r="P605" i="2"/>
  <c r="R605" i="2" s="1"/>
  <c r="P604" i="2"/>
  <c r="R604" i="2" s="1"/>
  <c r="P603" i="2"/>
  <c r="R603" i="2" s="1"/>
  <c r="P602" i="2"/>
  <c r="R602" i="2" s="1"/>
  <c r="P601" i="2"/>
  <c r="R601" i="2" s="1"/>
  <c r="P600" i="2"/>
  <c r="R600" i="2" s="1"/>
  <c r="P599" i="2"/>
  <c r="R599" i="2" s="1"/>
  <c r="P598" i="2"/>
  <c r="R598" i="2" s="1"/>
  <c r="P597" i="2"/>
  <c r="R597" i="2" s="1"/>
  <c r="P596" i="2"/>
  <c r="R596" i="2" s="1"/>
  <c r="P595" i="2"/>
  <c r="P594" i="2"/>
  <c r="R594" i="2" s="1"/>
  <c r="P593" i="2"/>
  <c r="R593" i="2" s="1"/>
  <c r="P592" i="2"/>
  <c r="R592" i="2" s="1"/>
  <c r="P591" i="2"/>
  <c r="R591" i="2" s="1"/>
  <c r="P590" i="2"/>
  <c r="R590" i="2" s="1"/>
  <c r="P589" i="2"/>
  <c r="R589" i="2" s="1"/>
  <c r="P588" i="2"/>
  <c r="R588" i="2" s="1"/>
  <c r="P587" i="2"/>
  <c r="R587" i="2" s="1"/>
  <c r="P586" i="2"/>
  <c r="R586" i="2" s="1"/>
  <c r="P585" i="2"/>
  <c r="R585" i="2" s="1"/>
  <c r="P584" i="2"/>
  <c r="R584" i="2" s="1"/>
  <c r="P583" i="2"/>
  <c r="R583" i="2" s="1"/>
  <c r="P582" i="2"/>
  <c r="R582" i="2" s="1"/>
  <c r="P581" i="2"/>
  <c r="R581" i="2" s="1"/>
  <c r="P580" i="2"/>
  <c r="R580" i="2" s="1"/>
  <c r="P579" i="2"/>
  <c r="P578" i="2"/>
  <c r="R578" i="2" s="1"/>
  <c r="P577" i="2"/>
  <c r="R577" i="2" s="1"/>
  <c r="P576" i="2"/>
  <c r="R576" i="2" s="1"/>
  <c r="P575" i="2"/>
  <c r="R575" i="2" s="1"/>
  <c r="P574" i="2"/>
  <c r="P573" i="2"/>
  <c r="R573" i="2" s="1"/>
  <c r="P572" i="2"/>
  <c r="P571" i="2"/>
  <c r="R571" i="2" s="1"/>
  <c r="P570" i="2"/>
  <c r="R570" i="2" s="1"/>
  <c r="P569" i="2"/>
  <c r="R569" i="2" s="1"/>
  <c r="P568" i="2"/>
  <c r="R568" i="2" s="1"/>
  <c r="P567" i="2"/>
  <c r="R567" i="2" s="1"/>
  <c r="P566" i="2"/>
  <c r="R566" i="2" s="1"/>
  <c r="P565" i="2"/>
  <c r="P564" i="2"/>
  <c r="R564" i="2" s="1"/>
  <c r="P563" i="2"/>
  <c r="R563" i="2" s="1"/>
  <c r="P562" i="2"/>
  <c r="R562" i="2" s="1"/>
  <c r="P561" i="2"/>
  <c r="R561" i="2" s="1"/>
  <c r="P560" i="2"/>
  <c r="R560" i="2" s="1"/>
  <c r="P559" i="2"/>
  <c r="R559" i="2" s="1"/>
  <c r="P558" i="2"/>
  <c r="P557" i="2"/>
  <c r="R557" i="2" s="1"/>
  <c r="P556" i="2"/>
  <c r="P555" i="2"/>
  <c r="P554" i="2"/>
  <c r="R554" i="2" s="1"/>
  <c r="P553" i="2"/>
  <c r="R553" i="2" s="1"/>
  <c r="P552" i="2"/>
  <c r="R552" i="2" s="1"/>
  <c r="P551" i="2"/>
  <c r="R551" i="2" s="1"/>
  <c r="P550" i="2"/>
  <c r="R550" i="2" s="1"/>
  <c r="P549" i="2"/>
  <c r="R549" i="2" s="1"/>
  <c r="P548" i="2"/>
  <c r="R548" i="2" s="1"/>
  <c r="P547" i="2"/>
  <c r="R547" i="2" s="1"/>
  <c r="P546" i="2"/>
  <c r="R546" i="2" s="1"/>
  <c r="P545" i="2"/>
  <c r="R545" i="2" s="1"/>
  <c r="P544" i="2"/>
  <c r="R544" i="2" s="1"/>
  <c r="P543" i="2"/>
  <c r="R543" i="2" s="1"/>
  <c r="P542" i="2"/>
  <c r="R542" i="2" s="1"/>
  <c r="P541" i="2"/>
  <c r="R541" i="2" s="1"/>
  <c r="P540" i="2"/>
  <c r="R540" i="2" s="1"/>
  <c r="P539" i="2"/>
  <c r="P538" i="2"/>
  <c r="R538" i="2" s="1"/>
  <c r="P537" i="2"/>
  <c r="R537" i="2" s="1"/>
  <c r="P536" i="2"/>
  <c r="R536" i="2" s="1"/>
  <c r="P535" i="2"/>
  <c r="R535" i="2" s="1"/>
  <c r="P534" i="2"/>
  <c r="R534" i="2" s="1"/>
  <c r="P533" i="2"/>
  <c r="R533" i="2" s="1"/>
  <c r="P532" i="2"/>
  <c r="R532" i="2" s="1"/>
  <c r="P531" i="2"/>
  <c r="R531" i="2" s="1"/>
  <c r="P530" i="2"/>
  <c r="R530" i="2" s="1"/>
  <c r="P529" i="2"/>
  <c r="R529" i="2" s="1"/>
  <c r="P528" i="2"/>
  <c r="R528" i="2" s="1"/>
  <c r="P527" i="2"/>
  <c r="P526" i="2"/>
  <c r="R526" i="2" s="1"/>
  <c r="P525" i="2"/>
  <c r="R525" i="2" s="1"/>
  <c r="P524" i="2"/>
  <c r="R524" i="2" s="1"/>
  <c r="P523" i="2"/>
  <c r="R523" i="2" s="1"/>
  <c r="P522" i="2"/>
  <c r="R522" i="2" s="1"/>
  <c r="P521" i="2"/>
  <c r="R521" i="2" s="1"/>
  <c r="P520" i="2"/>
  <c r="R520" i="2" s="1"/>
  <c r="P519" i="2"/>
  <c r="R519" i="2" s="1"/>
  <c r="P518" i="2"/>
  <c r="R518" i="2" s="1"/>
  <c r="P517" i="2"/>
  <c r="R517" i="2" s="1"/>
  <c r="P516" i="2"/>
  <c r="R516" i="2" s="1"/>
  <c r="P515" i="2"/>
  <c r="R515" i="2" s="1"/>
  <c r="P514" i="2"/>
  <c r="R514" i="2" s="1"/>
  <c r="P513" i="2"/>
  <c r="R513" i="2" s="1"/>
  <c r="P512" i="2"/>
  <c r="R512" i="2" s="1"/>
  <c r="P511" i="2"/>
  <c r="R511" i="2" s="1"/>
  <c r="P510" i="2"/>
  <c r="R510" i="2" s="1"/>
  <c r="P509" i="2"/>
  <c r="R509" i="2" s="1"/>
  <c r="P508" i="2"/>
  <c r="R508" i="2" s="1"/>
  <c r="P507" i="2"/>
  <c r="R507" i="2" s="1"/>
  <c r="P506" i="2"/>
  <c r="R506" i="2" s="1"/>
  <c r="P505" i="2"/>
  <c r="R505" i="2" s="1"/>
  <c r="P504" i="2"/>
  <c r="R504" i="2" s="1"/>
  <c r="P503" i="2"/>
  <c r="R503" i="2" s="1"/>
  <c r="P502" i="2"/>
  <c r="R502" i="2" s="1"/>
  <c r="P501" i="2"/>
  <c r="R501" i="2" s="1"/>
  <c r="P500" i="2"/>
  <c r="R500" i="2" s="1"/>
  <c r="P499" i="2"/>
  <c r="R499" i="2" s="1"/>
  <c r="P498" i="2"/>
  <c r="R498" i="2" s="1"/>
  <c r="P497" i="2"/>
  <c r="R497" i="2" s="1"/>
  <c r="P496" i="2"/>
  <c r="R496" i="2" s="1"/>
  <c r="P495" i="2"/>
  <c r="R495" i="2" s="1"/>
  <c r="P494" i="2"/>
  <c r="R494" i="2" s="1"/>
  <c r="P493" i="2"/>
  <c r="R493" i="2" s="1"/>
  <c r="P492" i="2"/>
  <c r="R492" i="2" s="1"/>
  <c r="P491" i="2"/>
  <c r="R491" i="2" s="1"/>
  <c r="P490" i="2"/>
  <c r="R490" i="2" s="1"/>
  <c r="P489" i="2"/>
  <c r="R489" i="2" s="1"/>
  <c r="P488" i="2"/>
  <c r="R488" i="2" s="1"/>
  <c r="P487" i="2"/>
  <c r="R487" i="2" s="1"/>
  <c r="P486" i="2"/>
  <c r="R486" i="2" s="1"/>
  <c r="P485" i="2"/>
  <c r="R485" i="2" s="1"/>
  <c r="P484" i="2"/>
  <c r="R484" i="2" s="1"/>
  <c r="P483" i="2"/>
  <c r="R483" i="2" s="1"/>
  <c r="P482" i="2"/>
  <c r="R482" i="2" s="1"/>
  <c r="P481" i="2"/>
  <c r="R481" i="2" s="1"/>
  <c r="P480" i="2"/>
  <c r="R480" i="2" s="1"/>
  <c r="P479" i="2"/>
  <c r="P478" i="2"/>
  <c r="R478" i="2" s="1"/>
  <c r="P477" i="2"/>
  <c r="R477" i="2" s="1"/>
  <c r="P476" i="2"/>
  <c r="R476" i="2" s="1"/>
  <c r="P475" i="2"/>
  <c r="R475" i="2" s="1"/>
  <c r="P474" i="2"/>
  <c r="R474" i="2" s="1"/>
  <c r="P473" i="2"/>
  <c r="P472" i="2"/>
  <c r="R472" i="2" s="1"/>
  <c r="P471" i="2"/>
  <c r="R471" i="2" s="1"/>
  <c r="P470" i="2"/>
  <c r="R470" i="2" s="1"/>
  <c r="P469" i="2"/>
  <c r="R469" i="2" s="1"/>
  <c r="P468" i="2"/>
  <c r="R468" i="2" s="1"/>
  <c r="P467" i="2"/>
  <c r="R467" i="2" s="1"/>
  <c r="P466" i="2"/>
  <c r="P465" i="2"/>
  <c r="R465" i="2" s="1"/>
  <c r="P464" i="2"/>
  <c r="P463" i="2"/>
  <c r="P462" i="2"/>
  <c r="R462" i="2" s="1"/>
  <c r="P461" i="2"/>
  <c r="R461" i="2" s="1"/>
  <c r="P460" i="2"/>
  <c r="R460" i="2" s="1"/>
  <c r="P459" i="2"/>
  <c r="R459" i="2" s="1"/>
  <c r="P458" i="2"/>
  <c r="R458" i="2" s="1"/>
  <c r="P457" i="2"/>
  <c r="R457" i="2" s="1"/>
  <c r="P456" i="2"/>
  <c r="R456" i="2" s="1"/>
  <c r="P455" i="2"/>
  <c r="R455" i="2" s="1"/>
  <c r="P454" i="2"/>
  <c r="P453" i="2"/>
  <c r="R453" i="2" s="1"/>
  <c r="P452" i="2"/>
  <c r="R452" i="2" s="1"/>
  <c r="P451" i="2"/>
  <c r="R451" i="2" s="1"/>
  <c r="P450" i="2"/>
  <c r="R450" i="2" s="1"/>
  <c r="P449" i="2"/>
  <c r="R449" i="2" s="1"/>
  <c r="P448" i="2"/>
  <c r="P447" i="2"/>
  <c r="R447" i="2" s="1"/>
  <c r="P446" i="2"/>
  <c r="R446" i="2" s="1"/>
  <c r="P445" i="2"/>
  <c r="R445" i="2" s="1"/>
  <c r="P444" i="2"/>
  <c r="R444" i="2" s="1"/>
  <c r="P443" i="2"/>
  <c r="R443" i="2" s="1"/>
  <c r="P442" i="2"/>
  <c r="R442" i="2" s="1"/>
  <c r="P441" i="2"/>
  <c r="R441" i="2" s="1"/>
  <c r="P440" i="2"/>
  <c r="R440" i="2" s="1"/>
  <c r="P439" i="2"/>
  <c r="P438" i="2"/>
  <c r="R438" i="2" s="1"/>
  <c r="P437" i="2"/>
  <c r="R437" i="2" s="1"/>
  <c r="P436" i="2"/>
  <c r="P435" i="2"/>
  <c r="R435" i="2" s="1"/>
  <c r="P434" i="2"/>
  <c r="R434" i="2" s="1"/>
  <c r="P433" i="2"/>
  <c r="R433" i="2" s="1"/>
  <c r="P432" i="2"/>
  <c r="R432" i="2" s="1"/>
  <c r="P431" i="2"/>
  <c r="R431" i="2" s="1"/>
  <c r="P430" i="2"/>
  <c r="R430" i="2" s="1"/>
  <c r="P429" i="2"/>
  <c r="P428" i="2"/>
  <c r="R428" i="2" s="1"/>
  <c r="P427" i="2"/>
  <c r="R427" i="2" s="1"/>
  <c r="P426" i="2"/>
  <c r="R426" i="2" s="1"/>
  <c r="P425" i="2"/>
  <c r="R425" i="2" s="1"/>
  <c r="P424" i="2"/>
  <c r="R424" i="2" s="1"/>
  <c r="P423" i="2"/>
  <c r="R423" i="2" s="1"/>
  <c r="P422" i="2"/>
  <c r="R422" i="2" s="1"/>
  <c r="P421" i="2"/>
  <c r="R421" i="2" s="1"/>
  <c r="P420" i="2"/>
  <c r="R420" i="2" s="1"/>
  <c r="P419" i="2"/>
  <c r="R419" i="2" s="1"/>
  <c r="P418" i="2"/>
  <c r="R418" i="2" s="1"/>
  <c r="P417" i="2"/>
  <c r="P416" i="2"/>
  <c r="R416" i="2" s="1"/>
  <c r="P415" i="2"/>
  <c r="R415" i="2" s="1"/>
  <c r="P414" i="2"/>
  <c r="R414" i="2" s="1"/>
  <c r="P413" i="2"/>
  <c r="P412" i="2"/>
  <c r="R412" i="2" s="1"/>
  <c r="P411" i="2"/>
  <c r="R411" i="2" s="1"/>
  <c r="P410" i="2"/>
  <c r="R410" i="2" s="1"/>
  <c r="P409" i="2"/>
  <c r="R409" i="2" s="1"/>
  <c r="P408" i="2"/>
  <c r="R408" i="2" s="1"/>
  <c r="P407" i="2"/>
  <c r="R407" i="2" s="1"/>
  <c r="P406" i="2"/>
  <c r="R406" i="2" s="1"/>
  <c r="P405" i="2"/>
  <c r="R405" i="2" s="1"/>
  <c r="P404" i="2"/>
  <c r="R404" i="2" s="1"/>
  <c r="P403" i="2"/>
  <c r="R403" i="2" s="1"/>
  <c r="P402" i="2"/>
  <c r="R402" i="2" s="1"/>
  <c r="P401" i="2"/>
  <c r="R401" i="2" s="1"/>
  <c r="P400" i="2"/>
  <c r="R400" i="2" s="1"/>
  <c r="P399" i="2"/>
  <c r="R399" i="2" s="1"/>
  <c r="P398" i="2"/>
  <c r="R398" i="2" s="1"/>
  <c r="P397" i="2"/>
  <c r="R397" i="2" s="1"/>
  <c r="P396" i="2"/>
  <c r="R396" i="2" s="1"/>
  <c r="P395" i="2"/>
  <c r="R395" i="2" s="1"/>
  <c r="P394" i="2"/>
  <c r="P393" i="2"/>
  <c r="R393" i="2" s="1"/>
  <c r="P392" i="2"/>
  <c r="R392" i="2" s="1"/>
  <c r="P391" i="2"/>
  <c r="R391" i="2" s="1"/>
  <c r="P390" i="2"/>
  <c r="R390" i="2" s="1"/>
  <c r="P389" i="2"/>
  <c r="R389" i="2" s="1"/>
  <c r="P388" i="2"/>
  <c r="R388" i="2" s="1"/>
  <c r="P387" i="2"/>
  <c r="R387" i="2" s="1"/>
  <c r="P386" i="2"/>
  <c r="R386" i="2" s="1"/>
  <c r="P385" i="2"/>
  <c r="R385" i="2" s="1"/>
  <c r="P384" i="2"/>
  <c r="R384" i="2" s="1"/>
  <c r="P383" i="2"/>
  <c r="R383" i="2" s="1"/>
  <c r="P382" i="2"/>
  <c r="R382" i="2" s="1"/>
  <c r="P381" i="2"/>
  <c r="R381" i="2" s="1"/>
  <c r="P380" i="2"/>
  <c r="R380" i="2" s="1"/>
  <c r="P379" i="2"/>
  <c r="R379" i="2" s="1"/>
  <c r="P378" i="2"/>
  <c r="R378" i="2" s="1"/>
  <c r="P377" i="2"/>
  <c r="R377" i="2" s="1"/>
  <c r="P376" i="2"/>
  <c r="R376" i="2" s="1"/>
  <c r="P375" i="2"/>
  <c r="R375" i="2" s="1"/>
  <c r="P374" i="2"/>
  <c r="R374" i="2" s="1"/>
  <c r="P373" i="2"/>
  <c r="R373" i="2" s="1"/>
  <c r="P372" i="2"/>
  <c r="R372" i="2" s="1"/>
  <c r="P371" i="2"/>
  <c r="R371" i="2" s="1"/>
  <c r="P370" i="2"/>
  <c r="R370" i="2" s="1"/>
  <c r="P369" i="2"/>
  <c r="R369" i="2" s="1"/>
  <c r="P368" i="2"/>
  <c r="R368" i="2" s="1"/>
  <c r="P367" i="2"/>
  <c r="R367" i="2" s="1"/>
  <c r="P366" i="2"/>
  <c r="R366" i="2" s="1"/>
  <c r="P365" i="2"/>
  <c r="R365" i="2" s="1"/>
  <c r="P364" i="2"/>
  <c r="R364" i="2" s="1"/>
  <c r="P363" i="2"/>
  <c r="R363" i="2" s="1"/>
  <c r="P362" i="2"/>
  <c r="R362" i="2" s="1"/>
  <c r="P361" i="2"/>
  <c r="R361" i="2" s="1"/>
  <c r="P360" i="2"/>
  <c r="R360" i="2" s="1"/>
  <c r="P359" i="2"/>
  <c r="R359" i="2" s="1"/>
  <c r="P358" i="2"/>
  <c r="R358" i="2" s="1"/>
  <c r="P357" i="2"/>
  <c r="R357" i="2" s="1"/>
  <c r="P356" i="2"/>
  <c r="R356" i="2" s="1"/>
  <c r="P355" i="2"/>
  <c r="R355" i="2" s="1"/>
  <c r="P354" i="2"/>
  <c r="R354" i="2" s="1"/>
  <c r="P353" i="2"/>
  <c r="R353" i="2" s="1"/>
  <c r="P352" i="2"/>
  <c r="R352" i="2" s="1"/>
  <c r="P351" i="2"/>
  <c r="R351" i="2" s="1"/>
  <c r="P350" i="2"/>
  <c r="R350" i="2" s="1"/>
  <c r="P349" i="2"/>
  <c r="R349" i="2" s="1"/>
  <c r="P348" i="2"/>
  <c r="R348" i="2" s="1"/>
  <c r="P347" i="2"/>
  <c r="R347" i="2" s="1"/>
  <c r="P346" i="2"/>
  <c r="R346" i="2" s="1"/>
  <c r="P345" i="2"/>
  <c r="R345" i="2" s="1"/>
  <c r="P344" i="2"/>
  <c r="R344" i="2" s="1"/>
  <c r="P343" i="2"/>
  <c r="R343" i="2" s="1"/>
  <c r="P342" i="2"/>
  <c r="R342" i="2" s="1"/>
  <c r="P341" i="2"/>
  <c r="R341" i="2" s="1"/>
  <c r="P340" i="2"/>
  <c r="R340" i="2" s="1"/>
  <c r="P339" i="2"/>
  <c r="P338" i="2"/>
  <c r="R338" i="2" s="1"/>
  <c r="P337" i="2"/>
  <c r="R337" i="2" s="1"/>
  <c r="P336" i="2"/>
  <c r="R336" i="2" s="1"/>
  <c r="P335" i="2"/>
  <c r="R335" i="2" s="1"/>
  <c r="P334" i="2"/>
  <c r="R334" i="2" s="1"/>
  <c r="P333" i="2"/>
  <c r="R333" i="2" s="1"/>
  <c r="P332" i="2"/>
  <c r="R332" i="2" s="1"/>
  <c r="P331" i="2"/>
  <c r="R331" i="2" s="1"/>
  <c r="P330" i="2"/>
  <c r="R330" i="2" s="1"/>
  <c r="P329" i="2"/>
  <c r="R329" i="2" s="1"/>
  <c r="P328" i="2"/>
  <c r="R328" i="2" s="1"/>
  <c r="P327" i="2"/>
  <c r="R327" i="2" s="1"/>
  <c r="P326" i="2"/>
  <c r="R326" i="2" s="1"/>
  <c r="P325" i="2"/>
  <c r="R325" i="2" s="1"/>
  <c r="P324" i="2"/>
  <c r="R324" i="2" s="1"/>
  <c r="P323" i="2"/>
  <c r="P322" i="2"/>
  <c r="R322" i="2" s="1"/>
  <c r="P321" i="2"/>
  <c r="R321" i="2" s="1"/>
  <c r="P320" i="2"/>
  <c r="R320" i="2" s="1"/>
  <c r="P319" i="2"/>
  <c r="R319" i="2" s="1"/>
  <c r="P318" i="2"/>
  <c r="P317" i="2"/>
  <c r="R317" i="2" s="1"/>
  <c r="P316" i="2"/>
  <c r="P315" i="2"/>
  <c r="R315" i="2" s="1"/>
  <c r="P314" i="2"/>
  <c r="R314" i="2" s="1"/>
  <c r="P313" i="2"/>
  <c r="R313" i="2" s="1"/>
  <c r="P312" i="2"/>
  <c r="R312" i="2" s="1"/>
  <c r="P311" i="2"/>
  <c r="R311" i="2" s="1"/>
  <c r="P310" i="2"/>
  <c r="R310" i="2" s="1"/>
  <c r="P309" i="2"/>
  <c r="P308" i="2"/>
  <c r="R308" i="2" s="1"/>
  <c r="P307" i="2"/>
  <c r="R307" i="2" s="1"/>
  <c r="P306" i="2"/>
  <c r="R306" i="2" s="1"/>
  <c r="P305" i="2"/>
  <c r="R305" i="2" s="1"/>
  <c r="P304" i="2"/>
  <c r="R304" i="2" s="1"/>
  <c r="P303" i="2"/>
  <c r="R303" i="2" s="1"/>
  <c r="P302" i="2"/>
  <c r="P301" i="2"/>
  <c r="R301" i="2" s="1"/>
  <c r="P300" i="2"/>
  <c r="P299" i="2"/>
  <c r="P298" i="2"/>
  <c r="R298" i="2" s="1"/>
  <c r="P297" i="2"/>
  <c r="R297" i="2" s="1"/>
  <c r="P296" i="2"/>
  <c r="R296" i="2" s="1"/>
  <c r="P295" i="2"/>
  <c r="R295" i="2" s="1"/>
  <c r="P294" i="2"/>
  <c r="R294" i="2" s="1"/>
  <c r="P293" i="2"/>
  <c r="R293" i="2" s="1"/>
  <c r="P292" i="2"/>
  <c r="R292" i="2" s="1"/>
  <c r="P291" i="2"/>
  <c r="R291" i="2" s="1"/>
  <c r="P290" i="2"/>
  <c r="R290" i="2" s="1"/>
  <c r="P289" i="2"/>
  <c r="R289" i="2" s="1"/>
  <c r="P288" i="2"/>
  <c r="R288" i="2" s="1"/>
  <c r="P287" i="2"/>
  <c r="R287" i="2" s="1"/>
  <c r="P286" i="2"/>
  <c r="R286" i="2" s="1"/>
  <c r="P285" i="2"/>
  <c r="R285" i="2" s="1"/>
  <c r="P284" i="2"/>
  <c r="R284" i="2" s="1"/>
  <c r="P283" i="2"/>
  <c r="P282" i="2"/>
  <c r="R282" i="2" s="1"/>
  <c r="P281" i="2"/>
  <c r="R281" i="2" s="1"/>
  <c r="P280" i="2"/>
  <c r="R280" i="2" s="1"/>
  <c r="P279" i="2"/>
  <c r="R279" i="2" s="1"/>
  <c r="P278" i="2"/>
  <c r="R278" i="2" s="1"/>
  <c r="P277" i="2"/>
  <c r="R277" i="2" s="1"/>
  <c r="P276" i="2"/>
  <c r="R276" i="2" s="1"/>
  <c r="P275" i="2"/>
  <c r="R275" i="2" s="1"/>
  <c r="P274" i="2"/>
  <c r="R274" i="2" s="1"/>
  <c r="P273" i="2"/>
  <c r="R273" i="2" s="1"/>
  <c r="P272" i="2"/>
  <c r="R272" i="2" s="1"/>
  <c r="P271" i="2"/>
  <c r="R271" i="2" s="1"/>
  <c r="P270" i="2"/>
  <c r="R270" i="2" s="1"/>
  <c r="P269" i="2"/>
  <c r="R269" i="2" s="1"/>
  <c r="P268" i="2"/>
  <c r="R268" i="2" s="1"/>
  <c r="P267" i="2"/>
  <c r="R267" i="2" s="1"/>
  <c r="P266" i="2"/>
  <c r="R266" i="2" s="1"/>
  <c r="P265" i="2"/>
  <c r="R265" i="2" s="1"/>
  <c r="P264" i="2"/>
  <c r="R264" i="2" s="1"/>
  <c r="P263" i="2"/>
  <c r="R263" i="2" s="1"/>
  <c r="P262" i="2"/>
  <c r="R262" i="2" s="1"/>
  <c r="P261" i="2"/>
  <c r="R261" i="2" s="1"/>
  <c r="P260" i="2"/>
  <c r="R260" i="2" s="1"/>
  <c r="P259" i="2"/>
  <c r="R259" i="2" s="1"/>
  <c r="P258" i="2"/>
  <c r="R258" i="2" s="1"/>
  <c r="P257" i="2"/>
  <c r="R257" i="2" s="1"/>
  <c r="P256" i="2"/>
  <c r="R256" i="2" s="1"/>
  <c r="P255" i="2"/>
  <c r="R255" i="2" s="1"/>
  <c r="P254" i="2"/>
  <c r="R254" i="2" s="1"/>
  <c r="P253" i="2"/>
  <c r="R253" i="2" s="1"/>
  <c r="P252" i="2"/>
  <c r="R252" i="2" s="1"/>
  <c r="P251" i="2"/>
  <c r="R251" i="2" s="1"/>
  <c r="P250" i="2"/>
  <c r="R250" i="2" s="1"/>
  <c r="P249" i="2"/>
  <c r="R249" i="2" s="1"/>
  <c r="P248" i="2"/>
  <c r="R248" i="2" s="1"/>
  <c r="P247" i="2"/>
  <c r="R247" i="2" s="1"/>
  <c r="P246" i="2"/>
  <c r="R246" i="2" s="1"/>
  <c r="P245" i="2"/>
  <c r="R245" i="2" s="1"/>
  <c r="P244" i="2"/>
  <c r="R244" i="2" s="1"/>
  <c r="P243" i="2"/>
  <c r="R243" i="2" s="1"/>
  <c r="P242" i="2"/>
  <c r="R242" i="2" s="1"/>
  <c r="P241" i="2"/>
  <c r="R241" i="2" s="1"/>
  <c r="P240" i="2"/>
  <c r="R240" i="2" s="1"/>
  <c r="P239" i="2"/>
  <c r="R239" i="2" s="1"/>
  <c r="P238" i="2"/>
  <c r="R238" i="2" s="1"/>
  <c r="P237" i="2"/>
  <c r="R237" i="2" s="1"/>
  <c r="P236" i="2"/>
  <c r="R236" i="2" s="1"/>
  <c r="P235" i="2"/>
  <c r="R235" i="2" s="1"/>
  <c r="P234" i="2"/>
  <c r="R234" i="2" s="1"/>
  <c r="P233" i="2"/>
  <c r="R233" i="2" s="1"/>
  <c r="P232" i="2"/>
  <c r="R232" i="2" s="1"/>
  <c r="P231" i="2"/>
  <c r="R231" i="2" s="1"/>
  <c r="P230" i="2"/>
  <c r="R230" i="2" s="1"/>
  <c r="P229" i="2"/>
  <c r="R229" i="2" s="1"/>
  <c r="P228" i="2"/>
  <c r="R228" i="2" s="1"/>
  <c r="P227" i="2"/>
  <c r="R227" i="2" s="1"/>
  <c r="P226" i="2"/>
  <c r="R226" i="2" s="1"/>
  <c r="P225" i="2"/>
  <c r="R225" i="2" s="1"/>
  <c r="P224" i="2"/>
  <c r="R224" i="2" s="1"/>
  <c r="P223" i="2"/>
  <c r="P222" i="2"/>
  <c r="R222" i="2" s="1"/>
  <c r="P221" i="2"/>
  <c r="R221" i="2" s="1"/>
  <c r="P220" i="2"/>
  <c r="R220" i="2" s="1"/>
  <c r="P219" i="2"/>
  <c r="R219" i="2" s="1"/>
  <c r="P218" i="2"/>
  <c r="R218" i="2" s="1"/>
  <c r="P217" i="2"/>
  <c r="P216" i="2"/>
  <c r="R216" i="2" s="1"/>
  <c r="P215" i="2"/>
  <c r="R215" i="2" s="1"/>
  <c r="P214" i="2"/>
  <c r="R214" i="2" s="1"/>
  <c r="P213" i="2"/>
  <c r="R213" i="2" s="1"/>
  <c r="P212" i="2"/>
  <c r="R212" i="2" s="1"/>
  <c r="P211" i="2"/>
  <c r="R211" i="2" s="1"/>
  <c r="P210" i="2"/>
  <c r="P209" i="2"/>
  <c r="R209" i="2" s="1"/>
  <c r="P208" i="2"/>
  <c r="P207" i="2"/>
  <c r="P206" i="2"/>
  <c r="R206" i="2" s="1"/>
  <c r="P205" i="2"/>
  <c r="R205" i="2" s="1"/>
  <c r="P204" i="2"/>
  <c r="R204" i="2" s="1"/>
  <c r="P203" i="2"/>
  <c r="R203" i="2" s="1"/>
  <c r="P202" i="2"/>
  <c r="R202" i="2" s="1"/>
  <c r="P201" i="2"/>
  <c r="R201" i="2" s="1"/>
  <c r="P200" i="2"/>
  <c r="R200" i="2" s="1"/>
  <c r="P199" i="2"/>
  <c r="R199" i="2" s="1"/>
  <c r="P198" i="2"/>
  <c r="P197" i="2"/>
  <c r="R197" i="2" s="1"/>
  <c r="P196" i="2"/>
  <c r="R196" i="2" s="1"/>
  <c r="P195" i="2"/>
  <c r="R195" i="2" s="1"/>
  <c r="P194" i="2"/>
  <c r="R194" i="2" s="1"/>
  <c r="P193" i="2"/>
  <c r="R193" i="2" s="1"/>
  <c r="P192" i="2"/>
  <c r="P191" i="2"/>
  <c r="R191" i="2" s="1"/>
  <c r="P190" i="2"/>
  <c r="R190" i="2" s="1"/>
  <c r="P189" i="2"/>
  <c r="R189" i="2" s="1"/>
  <c r="P188" i="2"/>
  <c r="R188" i="2" s="1"/>
  <c r="P187" i="2"/>
  <c r="R187" i="2" s="1"/>
  <c r="P186" i="2"/>
  <c r="R186" i="2" s="1"/>
  <c r="P185" i="2"/>
  <c r="R185" i="2" s="1"/>
  <c r="P184" i="2"/>
  <c r="R184" i="2" s="1"/>
  <c r="P183" i="2"/>
  <c r="P182" i="2"/>
  <c r="R182" i="2" s="1"/>
  <c r="P181" i="2"/>
  <c r="R181" i="2" s="1"/>
  <c r="P180" i="2"/>
  <c r="P179" i="2"/>
  <c r="R179" i="2" s="1"/>
  <c r="P178" i="2"/>
  <c r="R178" i="2" s="1"/>
  <c r="P177" i="2"/>
  <c r="R177" i="2" s="1"/>
  <c r="P176" i="2"/>
  <c r="R176" i="2" s="1"/>
  <c r="P175" i="2"/>
  <c r="R175" i="2" s="1"/>
  <c r="P174" i="2"/>
  <c r="R174" i="2" s="1"/>
  <c r="P173" i="2"/>
  <c r="P172" i="2"/>
  <c r="R172" i="2" s="1"/>
  <c r="P171" i="2"/>
  <c r="R171" i="2" s="1"/>
  <c r="P170" i="2"/>
  <c r="R170" i="2" s="1"/>
  <c r="P169" i="2"/>
  <c r="R169" i="2" s="1"/>
  <c r="P168" i="2"/>
  <c r="R168" i="2" s="1"/>
  <c r="P167" i="2"/>
  <c r="R167" i="2" s="1"/>
  <c r="P166" i="2"/>
  <c r="R166" i="2" s="1"/>
  <c r="P165" i="2"/>
  <c r="R165" i="2" s="1"/>
  <c r="P164" i="2"/>
  <c r="R164" i="2" s="1"/>
  <c r="P163" i="2"/>
  <c r="R163" i="2" s="1"/>
  <c r="P162" i="2"/>
  <c r="R162" i="2" s="1"/>
  <c r="P161" i="2"/>
  <c r="P160" i="2"/>
  <c r="R160" i="2" s="1"/>
  <c r="P159" i="2"/>
  <c r="R159" i="2" s="1"/>
  <c r="P158" i="2"/>
  <c r="R158" i="2" s="1"/>
  <c r="P157" i="2"/>
  <c r="P156" i="2"/>
  <c r="R156" i="2" s="1"/>
  <c r="P155" i="2"/>
  <c r="R155" i="2" s="1"/>
  <c r="P154" i="2"/>
  <c r="R154" i="2" s="1"/>
  <c r="P153" i="2"/>
  <c r="R153" i="2" s="1"/>
  <c r="P152" i="2"/>
  <c r="R152" i="2" s="1"/>
  <c r="P151" i="2"/>
  <c r="R151" i="2" s="1"/>
  <c r="P150" i="2"/>
  <c r="R150" i="2" s="1"/>
  <c r="P149" i="2"/>
  <c r="R149" i="2" s="1"/>
  <c r="P148" i="2"/>
  <c r="R148" i="2" s="1"/>
  <c r="P147" i="2"/>
  <c r="R147" i="2" s="1"/>
  <c r="P146" i="2"/>
  <c r="R146" i="2" s="1"/>
  <c r="P145" i="2"/>
  <c r="R145" i="2" s="1"/>
  <c r="P144" i="2"/>
  <c r="R144" i="2" s="1"/>
  <c r="P143" i="2"/>
  <c r="R143" i="2" s="1"/>
  <c r="P142" i="2"/>
  <c r="R142" i="2" s="1"/>
  <c r="P141" i="2"/>
  <c r="R141" i="2" s="1"/>
  <c r="P140" i="2"/>
  <c r="R140" i="2" s="1"/>
  <c r="P139" i="2"/>
  <c r="R139" i="2" s="1"/>
  <c r="P138" i="2"/>
  <c r="P137" i="2"/>
  <c r="R137" i="2" s="1"/>
  <c r="P136" i="2"/>
  <c r="R136" i="2" s="1"/>
  <c r="P135" i="2"/>
  <c r="R135" i="2" s="1"/>
  <c r="P134" i="2"/>
  <c r="R134" i="2" s="1"/>
  <c r="P133" i="2"/>
  <c r="R133" i="2" s="1"/>
  <c r="P132" i="2"/>
  <c r="R132" i="2" s="1"/>
  <c r="P131" i="2"/>
  <c r="R131" i="2" s="1"/>
  <c r="P130" i="2"/>
  <c r="R130" i="2" s="1"/>
  <c r="P129" i="2"/>
  <c r="R129" i="2" s="1"/>
  <c r="P128" i="2"/>
  <c r="R128" i="2" s="1"/>
  <c r="P127" i="2"/>
  <c r="R127" i="2" s="1"/>
  <c r="P126" i="2"/>
  <c r="R126" i="2" s="1"/>
  <c r="P125" i="2"/>
  <c r="R125" i="2" s="1"/>
  <c r="P124" i="2"/>
  <c r="R124" i="2" s="1"/>
  <c r="P123" i="2"/>
  <c r="R123" i="2" s="1"/>
  <c r="P122" i="2"/>
  <c r="R122" i="2" s="1"/>
  <c r="P121" i="2"/>
  <c r="R121" i="2" s="1"/>
  <c r="P120" i="2"/>
  <c r="R120" i="2" s="1"/>
  <c r="P119" i="2"/>
  <c r="R119" i="2" s="1"/>
  <c r="P118" i="2"/>
  <c r="R118" i="2" s="1"/>
  <c r="P117" i="2"/>
  <c r="R117" i="2" s="1"/>
  <c r="P116" i="2"/>
  <c r="R116" i="2" s="1"/>
  <c r="P115" i="2"/>
  <c r="R115" i="2" s="1"/>
  <c r="P114" i="2"/>
  <c r="R114" i="2" s="1"/>
  <c r="P113" i="2"/>
  <c r="R113" i="2" s="1"/>
  <c r="P112" i="2"/>
  <c r="R112" i="2" s="1"/>
  <c r="P111" i="2"/>
  <c r="R111" i="2" s="1"/>
  <c r="P110" i="2"/>
  <c r="R110" i="2" s="1"/>
  <c r="P109" i="2"/>
  <c r="R109" i="2" s="1"/>
  <c r="P108" i="2"/>
  <c r="R108" i="2" s="1"/>
  <c r="P107" i="2"/>
  <c r="R107" i="2" s="1"/>
  <c r="P106" i="2"/>
  <c r="R106" i="2" s="1"/>
  <c r="P105" i="2"/>
  <c r="R105" i="2" s="1"/>
  <c r="P104" i="2"/>
  <c r="R104" i="2" s="1"/>
  <c r="P103" i="2"/>
  <c r="R103" i="2" s="1"/>
  <c r="P102" i="2"/>
  <c r="R102" i="2" s="1"/>
  <c r="P101" i="2"/>
  <c r="R101" i="2" s="1"/>
  <c r="P100" i="2"/>
  <c r="R100" i="2" s="1"/>
  <c r="P99" i="2"/>
  <c r="R99" i="2" s="1"/>
  <c r="P98" i="2"/>
  <c r="R98" i="2" s="1"/>
  <c r="P97" i="2"/>
  <c r="R97" i="2" s="1"/>
  <c r="P96" i="2"/>
  <c r="R96" i="2" s="1"/>
  <c r="P95" i="2"/>
  <c r="R95" i="2" s="1"/>
  <c r="P94" i="2"/>
  <c r="R94" i="2" s="1"/>
  <c r="P93" i="2"/>
  <c r="R93" i="2" s="1"/>
  <c r="P92" i="2"/>
  <c r="R92" i="2" s="1"/>
  <c r="P91" i="2"/>
  <c r="R91" i="2" s="1"/>
  <c r="P90" i="2"/>
  <c r="R90" i="2" s="1"/>
  <c r="P89" i="2"/>
  <c r="R89" i="2" s="1"/>
  <c r="P88" i="2"/>
  <c r="R88" i="2" s="1"/>
  <c r="P87" i="2"/>
  <c r="R87" i="2" s="1"/>
  <c r="P86" i="2"/>
  <c r="R86" i="2" s="1"/>
  <c r="P85" i="2"/>
  <c r="R85" i="2" s="1"/>
  <c r="P84" i="2"/>
  <c r="R84" i="2" s="1"/>
  <c r="P83" i="2"/>
  <c r="P82" i="2"/>
  <c r="R82" i="2" s="1"/>
  <c r="P81" i="2"/>
  <c r="R81" i="2" s="1"/>
  <c r="P80" i="2"/>
  <c r="R80" i="2" s="1"/>
  <c r="P79" i="2"/>
  <c r="R79" i="2" s="1"/>
  <c r="P78" i="2"/>
  <c r="R78" i="2" s="1"/>
  <c r="P77" i="2"/>
  <c r="R77" i="2" s="1"/>
  <c r="P76" i="2"/>
  <c r="R76" i="2" s="1"/>
  <c r="P75" i="2"/>
  <c r="R75" i="2" s="1"/>
  <c r="P74" i="2"/>
  <c r="R74" i="2" s="1"/>
  <c r="P73" i="2"/>
  <c r="R73" i="2" s="1"/>
  <c r="P72" i="2"/>
  <c r="R72" i="2" s="1"/>
  <c r="P71" i="2"/>
  <c r="R71" i="2" s="1"/>
  <c r="P70" i="2"/>
  <c r="R70" i="2" s="1"/>
  <c r="P69" i="2"/>
  <c r="R69" i="2" s="1"/>
  <c r="P68" i="2"/>
  <c r="R68" i="2" s="1"/>
  <c r="P67" i="2"/>
  <c r="P66" i="2"/>
  <c r="R66" i="2" s="1"/>
  <c r="P65" i="2"/>
  <c r="R65" i="2" s="1"/>
  <c r="P64" i="2"/>
  <c r="R64" i="2" s="1"/>
  <c r="P63" i="2"/>
  <c r="R63" i="2" s="1"/>
  <c r="P62" i="2"/>
  <c r="P61" i="2"/>
  <c r="R61" i="2" s="1"/>
  <c r="P60" i="2"/>
  <c r="P59" i="2"/>
  <c r="R59" i="2" s="1"/>
  <c r="P58" i="2"/>
  <c r="R58" i="2" s="1"/>
  <c r="P57" i="2"/>
  <c r="R57" i="2" s="1"/>
  <c r="P56" i="2"/>
  <c r="R56" i="2" s="1"/>
  <c r="P55" i="2"/>
  <c r="R55" i="2" s="1"/>
  <c r="P54" i="2"/>
  <c r="R54" i="2" s="1"/>
  <c r="P53" i="2"/>
  <c r="P52" i="2"/>
  <c r="R52" i="2" s="1"/>
  <c r="P51" i="2"/>
  <c r="R51" i="2" s="1"/>
  <c r="P50" i="2"/>
  <c r="R50" i="2" s="1"/>
  <c r="P49" i="2"/>
  <c r="R49" i="2" s="1"/>
  <c r="P48" i="2"/>
  <c r="R48" i="2" s="1"/>
  <c r="P47" i="2"/>
  <c r="R47" i="2" s="1"/>
  <c r="P46" i="2"/>
  <c r="P45" i="2"/>
  <c r="R45" i="2" s="1"/>
  <c r="P44" i="2"/>
  <c r="P43" i="2"/>
  <c r="P42" i="2"/>
  <c r="R42" i="2" s="1"/>
  <c r="P41" i="2"/>
  <c r="R41" i="2" s="1"/>
  <c r="P40" i="2"/>
  <c r="R40" i="2" s="1"/>
  <c r="P39" i="2"/>
  <c r="R39" i="2" s="1"/>
  <c r="P38" i="2"/>
  <c r="R38" i="2" s="1"/>
  <c r="P37" i="2"/>
  <c r="R37" i="2" s="1"/>
  <c r="P36" i="2"/>
  <c r="R36" i="2" s="1"/>
  <c r="P35" i="2"/>
  <c r="R35" i="2" s="1"/>
  <c r="P34" i="2"/>
  <c r="R34" i="2" s="1"/>
  <c r="P33" i="2"/>
  <c r="R33" i="2" s="1"/>
  <c r="P32" i="2"/>
  <c r="R32" i="2" s="1"/>
  <c r="P31" i="2"/>
  <c r="R31" i="2" s="1"/>
  <c r="P30" i="2"/>
  <c r="R30" i="2" s="1"/>
  <c r="P29" i="2"/>
  <c r="R29" i="2" s="1"/>
  <c r="P28" i="2"/>
  <c r="R28" i="2" s="1"/>
  <c r="P27" i="2"/>
  <c r="P26" i="2"/>
  <c r="R26" i="2" s="1"/>
  <c r="P25" i="2"/>
  <c r="R25" i="2" s="1"/>
  <c r="P24" i="2"/>
  <c r="R24" i="2" s="1"/>
  <c r="P23" i="2"/>
  <c r="R23" i="2" s="1"/>
  <c r="P22" i="2"/>
  <c r="R22" i="2" s="1"/>
  <c r="P21" i="2"/>
  <c r="R21" i="2" s="1"/>
  <c r="P20" i="2"/>
  <c r="R20" i="2" s="1"/>
  <c r="P19" i="2"/>
  <c r="R19" i="2" s="1"/>
  <c r="P18" i="2"/>
  <c r="R18" i="2" s="1"/>
  <c r="P17" i="2"/>
  <c r="R17" i="2" s="1"/>
  <c r="P16" i="2"/>
  <c r="R16" i="2" s="1"/>
  <c r="P15" i="2"/>
  <c r="R15" i="2" s="1"/>
  <c r="P14" i="2"/>
  <c r="R14" i="2" s="1"/>
  <c r="P13" i="2"/>
  <c r="R13" i="2" s="1"/>
  <c r="P12" i="2"/>
  <c r="R12" i="2" s="1"/>
  <c r="P11" i="2"/>
  <c r="R11" i="2" s="1"/>
  <c r="P10" i="2"/>
  <c r="R10" i="2" s="1"/>
  <c r="P9" i="2"/>
  <c r="R9" i="2" s="1"/>
  <c r="P8" i="2"/>
  <c r="R8" i="2" s="1"/>
  <c r="P7" i="2"/>
  <c r="R7" i="2" s="1"/>
  <c r="P6" i="2"/>
  <c r="R6" i="2" s="1"/>
  <c r="P5" i="2"/>
  <c r="R5" i="2" s="1"/>
  <c r="P4" i="2"/>
  <c r="R4" i="2" s="1"/>
  <c r="P3" i="2"/>
  <c r="R3" i="2" s="1"/>
  <c r="P2" i="2"/>
  <c r="R2" i="2" s="1"/>
  <c r="R906" i="2" l="1"/>
  <c r="R1162" i="2"/>
  <c r="R43" i="2"/>
  <c r="R555" i="2"/>
  <c r="R394" i="2"/>
  <c r="R27" i="2"/>
  <c r="R283" i="2"/>
  <c r="R795" i="2"/>
  <c r="R1051" i="2"/>
  <c r="R300" i="2"/>
  <c r="R572" i="2"/>
  <c r="R812" i="2"/>
  <c r="R650" i="2"/>
  <c r="R539" i="2"/>
  <c r="R60" i="2"/>
  <c r="R157" i="2"/>
  <c r="R173" i="2"/>
  <c r="R413" i="2"/>
  <c r="R429" i="2"/>
  <c r="R669" i="2"/>
  <c r="R685" i="2"/>
  <c r="R925" i="2"/>
  <c r="R941" i="2"/>
  <c r="R1213" i="2"/>
  <c r="R1469" i="2"/>
  <c r="R1725" i="2"/>
  <c r="R1981" i="2"/>
  <c r="R2237" i="2"/>
  <c r="R2493" i="2"/>
  <c r="R2749" i="2"/>
  <c r="R3005" i="2"/>
  <c r="R3261" i="2"/>
  <c r="R299" i="2"/>
  <c r="R811" i="2"/>
  <c r="R1067" i="2"/>
  <c r="R44" i="2"/>
  <c r="R316" i="2"/>
  <c r="R556" i="2"/>
  <c r="R828" i="2"/>
  <c r="R46" i="2"/>
  <c r="R62" i="2"/>
  <c r="R302" i="2"/>
  <c r="R318" i="2"/>
  <c r="R558" i="2"/>
  <c r="R574" i="2"/>
  <c r="R814" i="2"/>
  <c r="R830" i="2"/>
  <c r="R1070" i="2"/>
  <c r="R1086" i="2"/>
  <c r="R1166" i="2"/>
  <c r="R1422" i="2"/>
  <c r="R1678" i="2"/>
  <c r="R1934" i="2"/>
  <c r="R2190" i="2"/>
  <c r="R2446" i="2"/>
  <c r="R2702" i="2"/>
  <c r="R473" i="2"/>
  <c r="R985" i="2"/>
  <c r="R783" i="2"/>
  <c r="R1807" i="2"/>
  <c r="R217" i="2"/>
  <c r="R192" i="2"/>
  <c r="R448" i="2"/>
  <c r="R464" i="2"/>
  <c r="R704" i="2"/>
  <c r="R736" i="2"/>
  <c r="R1152" i="2"/>
  <c r="R1184" i="2"/>
  <c r="R1200" i="2"/>
  <c r="R1248" i="2"/>
  <c r="R1648" i="2"/>
  <c r="R1680" i="2"/>
  <c r="R1728" i="2"/>
  <c r="R1760" i="2"/>
  <c r="R2080" i="2"/>
  <c r="R2336" i="2"/>
  <c r="R2592" i="2"/>
  <c r="R2848" i="2"/>
  <c r="R3104" i="2"/>
  <c r="R3360" i="2"/>
  <c r="R3616" i="2"/>
  <c r="R729" i="2"/>
  <c r="R138" i="2"/>
  <c r="R223" i="2"/>
  <c r="R479" i="2"/>
  <c r="R1295" i="2"/>
  <c r="R1551" i="2"/>
  <c r="R673" i="2"/>
  <c r="R929" i="2"/>
  <c r="R1185" i="2"/>
  <c r="R1281" i="2"/>
  <c r="R1537" i="2"/>
  <c r="R1793" i="2"/>
  <c r="R2049" i="2"/>
  <c r="R2305" i="2"/>
  <c r="R2561" i="2"/>
  <c r="R3025" i="2"/>
  <c r="R3073" i="2"/>
  <c r="R3521" i="2"/>
  <c r="R3601" i="2"/>
  <c r="R463" i="2"/>
  <c r="R527" i="2"/>
  <c r="R1039" i="2"/>
  <c r="R210" i="2"/>
  <c r="R466" i="2"/>
  <c r="R207" i="2"/>
  <c r="R2063" i="2"/>
  <c r="R2319" i="2"/>
  <c r="R2575" i="2"/>
  <c r="R208" i="2"/>
  <c r="R161" i="2"/>
  <c r="R417" i="2"/>
  <c r="R722" i="2"/>
  <c r="R914" i="2"/>
  <c r="R1170" i="2"/>
  <c r="R1426" i="2"/>
  <c r="R1682" i="2"/>
  <c r="R1938" i="2"/>
  <c r="R2194" i="2"/>
  <c r="R2450" i="2"/>
  <c r="R2866" i="2"/>
  <c r="R3218" i="2"/>
  <c r="R3298" i="2"/>
  <c r="R67" i="2"/>
  <c r="R83" i="2"/>
  <c r="R323" i="2"/>
  <c r="R339" i="2"/>
  <c r="R579" i="2"/>
  <c r="R595" i="2"/>
  <c r="R835" i="2"/>
  <c r="R851" i="2"/>
  <c r="R1091" i="2"/>
  <c r="R1379" i="2"/>
  <c r="R1635" i="2"/>
  <c r="R1891" i="2"/>
  <c r="R2147" i="2"/>
  <c r="R2403" i="2"/>
  <c r="R2659" i="2"/>
  <c r="R2915" i="2"/>
  <c r="R3171" i="2"/>
  <c r="R3459" i="2"/>
  <c r="R3507" i="2"/>
  <c r="R948" i="2"/>
  <c r="R1588" i="2"/>
  <c r="R692" i="2"/>
  <c r="R180" i="2"/>
  <c r="R436" i="2"/>
  <c r="R2100" i="2"/>
  <c r="R2868" i="2"/>
  <c r="R3124" i="2"/>
  <c r="R309" i="2"/>
  <c r="R565" i="2"/>
  <c r="R821" i="2"/>
  <c r="R1077" i="2"/>
  <c r="R1749" i="2"/>
  <c r="R198" i="2"/>
  <c r="R454" i="2"/>
  <c r="R710" i="2"/>
  <c r="R966" i="2"/>
  <c r="R1222" i="2"/>
  <c r="R1204" i="2"/>
  <c r="R1844" i="2"/>
  <c r="R2356" i="2"/>
  <c r="R2612" i="2"/>
  <c r="R3380" i="2"/>
  <c r="R3636" i="2"/>
  <c r="R53" i="2"/>
  <c r="R1237" i="2"/>
  <c r="R1493" i="2"/>
  <c r="R2005" i="2"/>
  <c r="R183" i="2"/>
  <c r="R439" i="2"/>
  <c r="N6" i="1"/>
  <c r="N7" i="1"/>
  <c r="N3" i="1"/>
  <c r="N2" i="1"/>
  <c r="N4" i="1"/>
  <c r="N5" i="1"/>
  <c r="M10" i="1"/>
  <c r="N10" i="1"/>
  <c r="M9" i="1"/>
  <c r="N9" i="1"/>
  <c r="M8" i="1"/>
  <c r="N8" i="1"/>
  <c r="M7" i="1"/>
  <c r="M6" i="1"/>
  <c r="M5" i="1"/>
  <c r="M4" i="1"/>
  <c r="M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<sst xmlns="http://schemas.openxmlformats.org/spreadsheetml/2006/main" count="14624" uniqueCount="47">
  <si>
    <t>State</t>
  </si>
  <si>
    <t>County</t>
  </si>
  <si>
    <t>Construction Spread</t>
  </si>
  <si>
    <t>Milepost</t>
  </si>
  <si>
    <t>Slope Station (3D)</t>
  </si>
  <si>
    <t>Horizontal Station (2D)</t>
  </si>
  <si>
    <t>Elevation</t>
  </si>
  <si>
    <t>Pipe Wall Thickness</t>
  </si>
  <si>
    <t>Selected Pipe Coating</t>
  </si>
  <si>
    <t>Length of Pipe</t>
  </si>
  <si>
    <t>Selected Material Type</t>
  </si>
  <si>
    <t>Class Location</t>
  </si>
  <si>
    <t>Pipe Wall Actual</t>
  </si>
  <si>
    <t>Max. Pressure</t>
  </si>
  <si>
    <t>Min. Pressure</t>
  </si>
  <si>
    <t>Elevation Diff from High</t>
  </si>
  <si>
    <t>Test Pressure</t>
  </si>
  <si>
    <t>VA</t>
  </si>
  <si>
    <t>Montgomery</t>
  </si>
  <si>
    <t>H</t>
  </si>
  <si>
    <t>FBE</t>
  </si>
  <si>
    <t>FBE+ARO</t>
  </si>
  <si>
    <t>Roanoke</t>
  </si>
  <si>
    <t>Franklin</t>
  </si>
  <si>
    <t>Test Section</t>
  </si>
  <si>
    <t>Start</t>
  </si>
  <si>
    <t>End</t>
  </si>
  <si>
    <t>Min Test Pressure</t>
  </si>
  <si>
    <t>Test Site</t>
  </si>
  <si>
    <t>Fill Site</t>
  </si>
  <si>
    <t>Dewater Site</t>
  </si>
  <si>
    <t>Section High</t>
  </si>
  <si>
    <t>Section Low</t>
  </si>
  <si>
    <t>Fill Elevation</t>
  </si>
  <si>
    <t>Dewater Elevation</t>
  </si>
  <si>
    <t>Fill Head</t>
  </si>
  <si>
    <t>Dewater Head</t>
  </si>
  <si>
    <t>Test Elevation</t>
  </si>
  <si>
    <t>ID</t>
  </si>
  <si>
    <t>WT</t>
  </si>
  <si>
    <t>OD</t>
  </si>
  <si>
    <t>Yield</t>
  </si>
  <si>
    <t>SMYS</t>
  </si>
  <si>
    <t>Working Pressure (bar) </t>
  </si>
  <si>
    <t>Class</t>
  </si>
  <si>
    <t>Section</t>
  </si>
  <si>
    <t>104%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</si>
</sst>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\+##"/>
    <numFmt numFmtId="165" formatCode="0\+00"/>
    <numFmt numFmtId="166" formatCode="0\'"/>
    <numFmt numFmtId="167" formatCode="0.000"/>
    <numFmt numFmtId="168" formatCode="#\ &quot;PSIG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.8000000000000007"/>
      <color rgb="FF000000"/>
      <name val="Arial"/>
      <family val="2"/>
    </font>
    <font>
      <sz val="8.8000000000000007"/>
      <color rgb="FF00000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/>
      <top style="double">
        <color auto="1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theme="4" tint="0.39997558519241921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6" fillId="0" borderId="0"/>
    <xf numFmtId="0" fontId="6" fillId="0" borderId="0"/>
  </cellStyleXfs>
  <cellXfs count="97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2" fontId="5" fillId="4" borderId="2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165" fontId="0" fillId="0" borderId="0" xfId="0" applyNumberFormat="1"/>
    <xf numFmtId="168" fontId="0" fillId="0" borderId="0" xfId="1" applyNumberFormat="1" applyFont="1"/>
    <xf numFmtId="0" fontId="2" fillId="2" borderId="1" xfId="2"/>
    <xf numFmtId="165" fontId="2" fillId="2" borderId="1" xfId="2" applyNumberFormat="1"/>
    <xf numFmtId="168" fontId="2" fillId="2" borderId="1" xfId="2" applyNumberFormat="1"/>
    <xf numFmtId="2" fontId="3" fillId="3" borderId="1" xfId="3" applyNumberFormat="1"/>
    <xf numFmtId="0" fontId="3" fillId="3" borderId="1" xfId="3"/>
    <xf numFmtId="0" fontId="2" fillId="2" borderId="3" xfId="2" applyBorder="1"/>
    <xf numFmtId="165" fontId="2" fillId="2" borderId="3" xfId="2" applyNumberFormat="1" applyBorder="1"/>
    <xf numFmtId="168" fontId="2" fillId="2" borderId="3" xfId="2" applyNumberFormat="1" applyBorder="1"/>
    <xf numFmtId="2" fontId="3" fillId="3" borderId="3" xfId="3" applyNumberFormat="1" applyBorder="1"/>
    <xf numFmtId="0" fontId="3" fillId="3" borderId="3" xfId="3" applyBorder="1"/>
    <xf numFmtId="1" fontId="0" fillId="0" borderId="0" xfId="0" applyNumberFormat="1"/>
    <xf numFmtId="1" fontId="3" fillId="3" borderId="1" xfId="3" applyNumberFormat="1"/>
    <xf numFmtId="1" fontId="3" fillId="3" borderId="3" xfId="3" applyNumberFormat="1" applyBorder="1"/>
    <xf numFmtId="0" fontId="7" fillId="7" borderId="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2" fontId="5" fillId="4" borderId="17" xfId="0" applyNumberFormat="1" applyFont="1" applyFill="1" applyBorder="1" applyAlignment="1">
      <alignment horizontal="center"/>
    </xf>
    <xf numFmtId="9" fontId="0" fillId="0" borderId="0" xfId="0" applyNumberFormat="1"/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1" fontId="9" fillId="8" borderId="20" xfId="0" applyNumberFormat="1" applyFont="1" applyFill="1" applyBorder="1" applyAlignment="1">
      <alignment horizontal="center" vertical="center" wrapText="1"/>
    </xf>
    <xf numFmtId="1" fontId="9" fillId="8" borderId="21" xfId="0" applyNumberFormat="1" applyFont="1" applyFill="1" applyBorder="1" applyAlignment="1">
      <alignment horizontal="center" vertical="center" wrapText="1"/>
    </xf>
    <xf numFmtId="2" fontId="9" fillId="5" borderId="21" xfId="0" applyNumberFormat="1" applyFont="1" applyFill="1" applyBorder="1" applyAlignment="1">
      <alignment horizontal="center" vertical="center" wrapText="1"/>
    </xf>
    <xf numFmtId="164" fontId="10" fillId="5" borderId="21" xfId="0" applyNumberFormat="1" applyFont="1" applyFill="1" applyBorder="1" applyAlignment="1">
      <alignment horizontal="center" vertical="center" wrapText="1"/>
    </xf>
    <xf numFmtId="164" fontId="10" fillId="8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center" vertical="center" wrapText="1"/>
    </xf>
    <xf numFmtId="164" fontId="10" fillId="4" borderId="23" xfId="0" applyNumberFormat="1" applyFont="1" applyFill="1" applyBorder="1" applyAlignment="1">
      <alignment horizontal="center" vertical="center" wrapText="1"/>
    </xf>
    <xf numFmtId="164" fontId="10" fillId="4" borderId="24" xfId="0" applyNumberFormat="1" applyFont="1" applyFill="1" applyBorder="1" applyAlignment="1">
      <alignment horizontal="center" vertical="center" wrapText="1"/>
    </xf>
    <xf numFmtId="0" fontId="4" fillId="9" borderId="25" xfId="0" applyFont="1" applyFill="1" applyBorder="1" applyAlignment="1">
      <alignment horizontal="center" vertical="top"/>
    </xf>
    <xf numFmtId="1" fontId="4" fillId="9" borderId="26" xfId="0" applyNumberFormat="1" applyFont="1" applyFill="1" applyBorder="1" applyAlignment="1">
      <alignment horizontal="center"/>
    </xf>
    <xf numFmtId="1" fontId="6" fillId="9" borderId="26" xfId="4" applyNumberFormat="1" applyFont="1" applyFill="1" applyBorder="1" applyAlignment="1">
      <alignment horizontal="center" wrapText="1"/>
    </xf>
    <xf numFmtId="2" fontId="6" fillId="9" borderId="26" xfId="4" applyNumberFormat="1" applyFont="1" applyFill="1" applyBorder="1" applyAlignment="1">
      <alignment horizontal="center" wrapText="1"/>
    </xf>
    <xf numFmtId="165" fontId="6" fillId="9" borderId="26" xfId="5" applyNumberFormat="1" applyFont="1" applyFill="1" applyBorder="1" applyAlignment="1">
      <alignment horizontal="center" wrapText="1"/>
    </xf>
    <xf numFmtId="165" fontId="6" fillId="9" borderId="27" xfId="5" applyNumberFormat="1" applyFont="1" applyFill="1" applyBorder="1" applyAlignment="1">
      <alignment horizontal="center" wrapText="1"/>
    </xf>
    <xf numFmtId="166" fontId="5" fillId="9" borderId="27" xfId="0" applyNumberFormat="1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166" fontId="6" fillId="9" borderId="26" xfId="5" applyNumberFormat="1" applyFont="1" applyFill="1" applyBorder="1" applyAlignment="1">
      <alignment horizontal="center" wrapText="1"/>
    </xf>
    <xf numFmtId="0" fontId="4" fillId="9" borderId="27" xfId="0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167" fontId="4" fillId="4" borderId="23" xfId="0" applyNumberFormat="1" applyFont="1" applyFill="1" applyBorder="1" applyAlignment="1">
      <alignment horizontal="center"/>
    </xf>
    <xf numFmtId="1" fontId="4" fillId="4" borderId="23" xfId="0" applyNumberFormat="1" applyFont="1" applyFill="1" applyBorder="1" applyAlignment="1">
      <alignment horizontal="center"/>
    </xf>
    <xf numFmtId="1" fontId="5" fillId="4" borderId="23" xfId="0" applyNumberFormat="1" applyFont="1" applyFill="1" applyBorder="1" applyAlignment="1">
      <alignment horizontal="center"/>
    </xf>
    <xf numFmtId="2" fontId="5" fillId="4" borderId="23" xfId="0" applyNumberFormat="1" applyFont="1" applyFill="1" applyBorder="1" applyAlignment="1">
      <alignment horizontal="center"/>
    </xf>
    <xf numFmtId="2" fontId="5" fillId="4" borderId="24" xfId="0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 vertical="top"/>
    </xf>
    <xf numFmtId="1" fontId="4" fillId="0" borderId="22" xfId="0" applyNumberFormat="1" applyFont="1" applyBorder="1" applyAlignment="1">
      <alignment horizontal="center"/>
    </xf>
    <xf numFmtId="1" fontId="6" fillId="0" borderId="22" xfId="4" applyNumberFormat="1" applyFont="1" applyBorder="1" applyAlignment="1">
      <alignment horizontal="center" wrapText="1"/>
    </xf>
    <xf numFmtId="2" fontId="6" fillId="0" borderId="22" xfId="4" applyNumberFormat="1" applyFont="1" applyBorder="1" applyAlignment="1">
      <alignment horizontal="center" wrapText="1"/>
    </xf>
    <xf numFmtId="165" fontId="6" fillId="6" borderId="29" xfId="5" applyNumberFormat="1" applyFont="1" applyFill="1" applyBorder="1" applyAlignment="1">
      <alignment horizontal="center" wrapText="1"/>
    </xf>
    <xf numFmtId="165" fontId="6" fillId="6" borderId="30" xfId="5" applyNumberFormat="1" applyFont="1" applyFill="1" applyBorder="1" applyAlignment="1">
      <alignment horizontal="center" wrapText="1"/>
    </xf>
    <xf numFmtId="166" fontId="5" fillId="0" borderId="31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166" fontId="6" fillId="0" borderId="29" xfId="5" applyNumberFormat="1" applyFont="1" applyBorder="1" applyAlignment="1">
      <alignment horizontal="center" wrapText="1"/>
    </xf>
    <xf numFmtId="0" fontId="4" fillId="0" borderId="31" xfId="0" applyFont="1" applyBorder="1" applyAlignment="1">
      <alignment horizontal="center"/>
    </xf>
    <xf numFmtId="0" fontId="4" fillId="9" borderId="28" xfId="0" applyFont="1" applyFill="1" applyBorder="1" applyAlignment="1">
      <alignment horizontal="center" vertical="top"/>
    </xf>
    <xf numFmtId="1" fontId="4" fillId="9" borderId="22" xfId="0" applyNumberFormat="1" applyFont="1" applyFill="1" applyBorder="1" applyAlignment="1">
      <alignment horizontal="center"/>
    </xf>
    <xf numFmtId="1" fontId="6" fillId="9" borderId="22" xfId="4" applyNumberFormat="1" applyFont="1" applyFill="1" applyBorder="1" applyAlignment="1">
      <alignment horizontal="center" wrapText="1"/>
    </xf>
    <xf numFmtId="2" fontId="6" fillId="9" borderId="22" xfId="4" applyNumberFormat="1" applyFont="1" applyFill="1" applyBorder="1" applyAlignment="1">
      <alignment horizontal="center" wrapText="1"/>
    </xf>
    <xf numFmtId="166" fontId="5" fillId="9" borderId="31" xfId="0" applyNumberFormat="1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166" fontId="6" fillId="9" borderId="29" xfId="5" applyNumberFormat="1" applyFont="1" applyFill="1" applyBorder="1" applyAlignment="1">
      <alignment horizontal="center" wrapText="1"/>
    </xf>
    <xf numFmtId="0" fontId="4" fillId="9" borderId="31" xfId="0" applyFont="1" applyFill="1" applyBorder="1" applyAlignment="1">
      <alignment horizontal="center"/>
    </xf>
    <xf numFmtId="165" fontId="6" fillId="0" borderId="29" xfId="5" applyNumberFormat="1" applyFont="1" applyBorder="1" applyAlignment="1">
      <alignment horizontal="center" wrapText="1"/>
    </xf>
    <xf numFmtId="165" fontId="6" fillId="0" borderId="30" xfId="5" applyNumberFormat="1" applyFont="1" applyBorder="1" applyAlignment="1">
      <alignment horizontal="center" wrapText="1"/>
    </xf>
    <xf numFmtId="165" fontId="6" fillId="9" borderId="29" xfId="5" applyNumberFormat="1" applyFont="1" applyFill="1" applyBorder="1" applyAlignment="1">
      <alignment horizontal="center" wrapText="1"/>
    </xf>
    <xf numFmtId="165" fontId="6" fillId="9" borderId="30" xfId="5" applyNumberFormat="1" applyFont="1" applyFill="1" applyBorder="1" applyAlignment="1">
      <alignment horizontal="center" wrapText="1"/>
    </xf>
    <xf numFmtId="0" fontId="4" fillId="0" borderId="19" xfId="0" applyFont="1" applyBorder="1" applyAlignment="1">
      <alignment horizontal="center" vertical="top"/>
    </xf>
    <xf numFmtId="1" fontId="4" fillId="0" borderId="18" xfId="0" applyNumberFormat="1" applyFont="1" applyBorder="1" applyAlignment="1">
      <alignment horizontal="center"/>
    </xf>
    <xf numFmtId="1" fontId="6" fillId="0" borderId="18" xfId="4" applyNumberFormat="1" applyFont="1" applyBorder="1" applyAlignment="1">
      <alignment horizontal="center" wrapText="1"/>
    </xf>
    <xf numFmtId="2" fontId="6" fillId="0" borderId="18" xfId="4" applyNumberFormat="1" applyFont="1" applyBorder="1" applyAlignment="1">
      <alignment horizontal="center" wrapText="1"/>
    </xf>
    <xf numFmtId="165" fontId="6" fillId="0" borderId="32" xfId="5" applyNumberFormat="1" applyFont="1" applyBorder="1" applyAlignment="1">
      <alignment horizontal="center" wrapText="1"/>
    </xf>
    <xf numFmtId="165" fontId="6" fillId="0" borderId="33" xfId="5" applyNumberFormat="1" applyFont="1" applyBorder="1" applyAlignment="1">
      <alignment horizontal="center" wrapText="1"/>
    </xf>
    <xf numFmtId="166" fontId="5" fillId="0" borderId="34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66" fontId="6" fillId="0" borderId="32" xfId="5" applyNumberFormat="1" applyFont="1" applyBorder="1" applyAlignment="1">
      <alignment horizontal="center" wrapText="1"/>
    </xf>
    <xf numFmtId="0" fontId="4" fillId="0" borderId="34" xfId="0" applyFont="1" applyBorder="1" applyAlignment="1">
      <alignment horizontal="center"/>
    </xf>
    <xf numFmtId="167" fontId="4" fillId="4" borderId="17" xfId="0" applyNumberFormat="1" applyFont="1" applyFill="1" applyBorder="1" applyAlignment="1">
      <alignment horizontal="center"/>
    </xf>
    <xf numFmtId="1" fontId="4" fillId="4" borderId="17" xfId="0" applyNumberFormat="1" applyFont="1" applyFill="1" applyBorder="1" applyAlignment="1">
      <alignment horizontal="center"/>
    </xf>
    <xf numFmtId="1" fontId="5" fillId="4" borderId="17" xfId="0" applyNumberFormat="1" applyFont="1" applyFill="1" applyBorder="1" applyAlignment="1">
      <alignment horizontal="center"/>
    </xf>
  </cellXfs>
  <cellStyles count="6">
    <cellStyle name="Calculation" xfId="3" builtinId="22"/>
    <cellStyle name="Comma" xfId="1" builtinId="3"/>
    <cellStyle name="Input" xfId="2" builtinId="20"/>
    <cellStyle name="Normal" xfId="0" builtinId="0"/>
    <cellStyle name="Normal_Sheet1" xfId="4" xr:uid="{09C0A981-9289-422E-A911-C36847CAABD0}"/>
    <cellStyle name="Normal_Sheet1 3" xfId="5" xr:uid="{4F5DF09D-2344-4856-A2C0-F70C7DA0C93D}"/>
  </cellStyles>
  <dxfs count="13">
    <dxf>
      <numFmt numFmtId="0" formatCode="General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8" formatCode="#\ &quot;PSIG&quot;"/>
    </dxf>
    <dxf>
      <numFmt numFmtId="165" formatCode="0\+00"/>
    </dxf>
    <dxf>
      <numFmt numFmtId="165" formatCode="0\+00"/>
    </dxf>
    <dxf>
      <numFmt numFmtId="165" formatCode="0\+00"/>
    </dxf>
    <dxf>
      <numFmt numFmtId="165" formatCode="0\+00"/>
    </dxf>
    <dxf>
      <numFmt numFmtId="165" formatCode="0\+00"/>
    </dxf>
    <dxf>
      <numFmt numFmtId="165" formatCode="0\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E4FED-475F-4737-AF14-7669F36F86C2}" name="sections" displayName="sections" ref="A1:N10" totalsRowShown="0" headerRowDxfId="12">
  <autoFilter ref="A1:N10" xr:uid="{DE2E4FED-475F-4737-AF14-7669F36F86C2}"/>
  <tableColumns count="14">
    <tableColumn id="1" xr3:uid="{DD78A07B-B0DA-49E9-BE35-8934C3EE446F}" name="Test Section" dataCellStyle="Input"/>
    <tableColumn id="2" xr3:uid="{76ACDD90-772B-4B05-96A7-B1E808842EA5}" name="Start" dataDxfId="11" dataCellStyle="Input"/>
    <tableColumn id="3" xr3:uid="{B3847647-D116-48AE-8658-839E104B984B}" name="End" dataDxfId="10" dataCellStyle="Input"/>
    <tableColumn id="4" xr3:uid="{FDF4DB36-7C7C-4F2C-8E83-87E2A7478117}" name="Test Site" dataDxfId="9" dataCellStyle="Input"/>
    <tableColumn id="5" xr3:uid="{FBE91B9E-F2D1-4F58-8343-C21C6FBCE0EB}" name="Fill Site" dataDxfId="8" dataCellStyle="Input"/>
    <tableColumn id="6" xr3:uid="{45D191E1-4E11-4970-BC0B-9A771BB7E22D}" name="Dewater Site" dataDxfId="7" dataCellStyle="Input"/>
    <tableColumn id="7" xr3:uid="{1BB829EB-920C-4854-A2CE-9DBE117B240F}" name="Min Test Pressure" dataDxfId="6" dataCellStyle="Input"/>
    <tableColumn id="8" xr3:uid="{4A3366F3-CF98-4B9E-9B48-DE901C0205D0}" name="Section High" dataDxfId="5" dataCellStyle="Calculation">
      <calculatedColumnFormula>_xlfn.MAXIFS(Survey!G:G,Survey!F:F,"&gt;="&amp;TSInputs!B2,Survey!F:F,"&lt;="&amp;TSInputs!C2)</calculatedColumnFormula>
    </tableColumn>
    <tableColumn id="9" xr3:uid="{D2BCD537-F91F-44F0-B81E-964918C283B5}" name="Section Low" dataDxfId="4" dataCellStyle="Calculation">
      <calculatedColumnFormula>_xlfn.MINIFS(Survey!G:G,Survey!F:F,"&gt;="&amp;TSInputs!B2,Survey!F:F,"&lt;="&amp;TSInputs!C2)</calculatedColumnFormula>
    </tableColumn>
    <tableColumn id="10" xr3:uid="{4AD6A8A6-8980-488C-A737-9DC5F02A21B4}" name="Test Elevation" dataDxfId="3" dataCellStyle="Calculation">
      <calculatedColumnFormula>_xlfn.XLOOKUP(D2,Survey!F:F,Survey!G:G,,1)</calculatedColumnFormula>
    </tableColumn>
    <tableColumn id="11" xr3:uid="{8ABFB9BD-8001-47AA-8F34-42B5E613E795}" name="Fill Elevation" dataCellStyle="Calculation">
      <calculatedColumnFormula>_xlfn.XLOOKUP(E2,Survey!F:F,Survey!G:G,,1)</calculatedColumnFormula>
    </tableColumn>
    <tableColumn id="12" xr3:uid="{913A916A-8924-4A7B-8637-134CE081F614}" name="Dewater Elevation" dataCellStyle="Calculation">
      <calculatedColumnFormula>_xlfn.XLOOKUP(F2,Survey!F:F,Survey!G:G,,1)</calculatedColumnFormula>
    </tableColumn>
    <tableColumn id="13" xr3:uid="{39C11B8F-3B94-431F-920A-70C1D9C2A095}" name="Fill Head" dataDxfId="2" dataCellStyle="Calculation">
      <calculatedColumnFormula>(H2-J2)*0.433</calculatedColumnFormula>
    </tableColumn>
    <tableColumn id="14" xr3:uid="{06DDAD14-EDA1-4989-8F0B-612FED50592F}" name="Dewater Head" dataDxfId="1" dataCellStyle="Calculation">
      <calculatedColumnFormula>(H2-J2)*0.433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8EBFB8-CC68-47C2-9111-7F8AB7DE1260}" name="pipedata" displayName="pipedata" ref="A1:F10" totalsRowShown="0">
  <autoFilter ref="A1:F10" xr:uid="{8D8EBFB8-CC68-47C2-9111-7F8AB7DE1260}"/>
  <tableColumns count="6">
    <tableColumn id="1" xr3:uid="{FD7C221A-E582-48A8-87E9-EF1BFF664DD8}" name="ID"/>
    <tableColumn id="2" xr3:uid="{E571AC16-3463-49A3-B9D8-8FAE95926E47}" name="WT"/>
    <tableColumn id="3" xr3:uid="{1BDC2F42-792D-48A4-B0A9-19EA1DE16890}" name="OD"/>
    <tableColumn id="4" xr3:uid="{F5C96131-043C-4498-9613-3DE91E481305}" name="Yield"/>
    <tableColumn id="5" xr3:uid="{06996EF5-A14B-4A23-B4EA-AE2C92F13BC1}" name="SMYS"/>
    <tableColumn id="6" xr3:uid="{9711E062-1FD6-4777-A727-6726BAF830BE}" name="104%" dataDxfId="0">
      <calculatedColumnFormula>pipedata[[#This Row],[SMYS]]*1.04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E815-4A62-495A-8E68-EF1E54DA8451}">
  <dimension ref="A1:R3647"/>
  <sheetViews>
    <sheetView tabSelected="1" zoomScale="96" zoomScaleNormal="96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10" style="2" bestFit="1" customWidth="1"/>
    <col min="2" max="2" width="11.42578125" style="2" bestFit="1" customWidth="1"/>
    <col min="3" max="3" width="22.28515625" style="1" customWidth="1"/>
    <col min="4" max="4" width="12.5703125" style="4" bestFit="1" customWidth="1"/>
    <col min="5" max="5" width="20.140625" style="2" customWidth="1"/>
    <col min="6" max="6" width="24.28515625" style="2" customWidth="1"/>
    <col min="7" max="7" width="13" style="2" bestFit="1" customWidth="1"/>
    <col min="8" max="8" width="22.140625" style="2" customWidth="1"/>
    <col min="9" max="9" width="24.28515625" style="2" customWidth="1"/>
    <col min="10" max="10" width="17" style="2" customWidth="1"/>
    <col min="11" max="11" width="25" style="2" customWidth="1"/>
    <col min="12" max="13" width="16.85546875" style="2" customWidth="1"/>
    <col min="14" max="14" width="18.85546875" style="2" customWidth="1"/>
    <col min="15" max="15" width="16.5703125" style="2" customWidth="1"/>
    <col min="16" max="16" width="15.85546875" style="2" customWidth="1"/>
    <col min="17" max="17" width="25.42578125" style="2" customWidth="1"/>
    <col min="18" max="18" width="15.7109375" style="2" customWidth="1"/>
  </cols>
  <sheetData>
    <row r="1" spans="1:18" ht="15.75" thickBot="1" x14ac:dyDescent="0.3">
      <c r="A1" s="35" t="s">
        <v>0</v>
      </c>
      <c r="B1" s="36" t="s">
        <v>1</v>
      </c>
      <c r="C1" s="36" t="s">
        <v>2</v>
      </c>
      <c r="D1" s="37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9" t="s">
        <v>8</v>
      </c>
      <c r="J1" s="38" t="s">
        <v>9</v>
      </c>
      <c r="K1" s="38" t="s">
        <v>10</v>
      </c>
      <c r="L1" s="38" t="s">
        <v>11</v>
      </c>
      <c r="M1" s="40" t="s">
        <v>45</v>
      </c>
      <c r="N1" s="41" t="s">
        <v>12</v>
      </c>
      <c r="O1" s="41" t="s">
        <v>13</v>
      </c>
      <c r="P1" s="41" t="s">
        <v>14</v>
      </c>
      <c r="Q1" s="41" t="s">
        <v>15</v>
      </c>
      <c r="R1" s="42" t="s">
        <v>16</v>
      </c>
    </row>
    <row r="2" spans="1:18" ht="15.75" thickTop="1" x14ac:dyDescent="0.25">
      <c r="A2" s="43" t="s">
        <v>17</v>
      </c>
      <c r="B2" s="44" t="s">
        <v>18</v>
      </c>
      <c r="C2" s="45" t="s">
        <v>19</v>
      </c>
      <c r="D2" s="46">
        <v>227.17893295951001</v>
      </c>
      <c r="E2" s="47">
        <v>1226889</v>
      </c>
      <c r="F2" s="48">
        <v>1200495.1836734675</v>
      </c>
      <c r="G2" s="49">
        <v>1581.2958003040851</v>
      </c>
      <c r="H2" s="50">
        <v>2</v>
      </c>
      <c r="I2" s="51" t="s">
        <v>20</v>
      </c>
      <c r="J2" s="52">
        <v>40</v>
      </c>
      <c r="K2" s="53">
        <v>2</v>
      </c>
      <c r="L2" s="51">
        <v>1</v>
      </c>
      <c r="M2" s="54">
        <f>_xlfn.XLOOKUP(Survey!$F2,sections[Start],sections[Test Section],,-1,1)</f>
        <v>1</v>
      </c>
      <c r="N2" s="55">
        <f>_xlfn.XLOOKUP(Survey!$K2,pipedata[ID],pipedata[WT])</f>
        <v>0.74</v>
      </c>
      <c r="O2" s="56">
        <f>_xlfn.XLOOKUP(Survey!$K2,pipedata[ID],pipedata[104%])</f>
        <v>2565.3333333333335</v>
      </c>
      <c r="P2" s="57">
        <f t="shared" ref="P2:P65" si="0">IF(L2=1,1850,IF(L2=2,1850,2220))</f>
        <v>1850</v>
      </c>
      <c r="Q2" s="58">
        <f>_xlfn.MAXIFS(Survey!$G$2:$G$3647,Survey!$M$2:$M$3647,Survey!$M2)-Survey!$G2</f>
        <v>772.85428728368038</v>
      </c>
      <c r="R2" s="59">
        <f>Survey!$P2+(Survey!$Q2*0.433)</f>
        <v>2184.6459063938337</v>
      </c>
    </row>
    <row r="3" spans="1:18" x14ac:dyDescent="0.25">
      <c r="A3" s="60" t="s">
        <v>17</v>
      </c>
      <c r="B3" s="61" t="s">
        <v>18</v>
      </c>
      <c r="C3" s="62" t="s">
        <v>19</v>
      </c>
      <c r="D3" s="63">
        <v>227.18656851310521</v>
      </c>
      <c r="E3" s="64">
        <v>1226929</v>
      </c>
      <c r="F3" s="65">
        <v>1200534.1632653042</v>
      </c>
      <c r="G3" s="66">
        <v>1581.3656794171025</v>
      </c>
      <c r="H3" s="67">
        <v>2</v>
      </c>
      <c r="I3" s="68" t="s">
        <v>20</v>
      </c>
      <c r="J3" s="69">
        <v>40</v>
      </c>
      <c r="K3" s="70">
        <v>2</v>
      </c>
      <c r="L3" s="68">
        <v>1</v>
      </c>
      <c r="M3" s="68">
        <f>_xlfn.XLOOKUP(Survey!$F3,sections[Start],sections[Test Section],,-1,1)</f>
        <v>1</v>
      </c>
      <c r="N3" s="55">
        <f>_xlfn.XLOOKUP(Survey!$K3,pipedata[ID],pipedata[WT])</f>
        <v>0.74</v>
      </c>
      <c r="O3" s="56">
        <f>_xlfn.XLOOKUP(Survey!$K3,pipedata[ID],pipedata[104%])</f>
        <v>2565.3333333333335</v>
      </c>
      <c r="P3" s="57">
        <f t="shared" si="0"/>
        <v>1850</v>
      </c>
      <c r="Q3" s="58">
        <f>_xlfn.MAXIFS(Survey!$G$2:$G$3647,Survey!$M$2:$M$3647,Survey!$M3)-Survey!$G3</f>
        <v>772.78440817066303</v>
      </c>
      <c r="R3" s="59">
        <f>Survey!$P3+(Survey!$Q3*0.433)</f>
        <v>2184.6156487378971</v>
      </c>
    </row>
    <row r="4" spans="1:18" x14ac:dyDescent="0.25">
      <c r="A4" s="71" t="s">
        <v>17</v>
      </c>
      <c r="B4" s="72" t="s">
        <v>18</v>
      </c>
      <c r="C4" s="73" t="s">
        <v>19</v>
      </c>
      <c r="D4" s="74">
        <v>227.19390834337099</v>
      </c>
      <c r="E4" s="64">
        <v>1226969</v>
      </c>
      <c r="F4" s="65">
        <v>1200573.1428571409</v>
      </c>
      <c r="G4" s="75">
        <v>1581.1381237678809</v>
      </c>
      <c r="H4" s="76">
        <v>2</v>
      </c>
      <c r="I4" s="54" t="s">
        <v>20</v>
      </c>
      <c r="J4" s="77">
        <v>40</v>
      </c>
      <c r="K4" s="78">
        <v>2</v>
      </c>
      <c r="L4" s="54">
        <v>1</v>
      </c>
      <c r="M4" s="54">
        <f>_xlfn.XLOOKUP(Survey!$F4,sections[Start],sections[Test Section],,-1,1)</f>
        <v>1</v>
      </c>
      <c r="N4" s="55">
        <f>_xlfn.XLOOKUP(Survey!$K4,pipedata[ID],pipedata[WT])</f>
        <v>0.74</v>
      </c>
      <c r="O4" s="56">
        <f>_xlfn.XLOOKUP(Survey!$K4,pipedata[ID],pipedata[104%])</f>
        <v>2565.3333333333335</v>
      </c>
      <c r="P4" s="57">
        <f t="shared" si="0"/>
        <v>1850</v>
      </c>
      <c r="Q4" s="58">
        <f>_xlfn.MAXIFS(Survey!$G$2:$G$3647,Survey!$M$2:$M$3647,Survey!$M4)-Survey!$G4</f>
        <v>773.01196381988461</v>
      </c>
      <c r="R4" s="59">
        <f>Survey!$P4+(Survey!$Q4*0.433)</f>
        <v>2184.7141803340101</v>
      </c>
    </row>
    <row r="5" spans="1:18" x14ac:dyDescent="0.25">
      <c r="A5" s="60" t="s">
        <v>17</v>
      </c>
      <c r="B5" s="61" t="s">
        <v>18</v>
      </c>
      <c r="C5" s="62" t="s">
        <v>19</v>
      </c>
      <c r="D5" s="63">
        <v>227.20119863186574</v>
      </c>
      <c r="E5" s="79">
        <v>1227009</v>
      </c>
      <c r="F5" s="80">
        <v>1200612.1224489775</v>
      </c>
      <c r="G5" s="66">
        <v>1581.1161337140663</v>
      </c>
      <c r="H5" s="67">
        <v>2</v>
      </c>
      <c r="I5" s="68" t="s">
        <v>20</v>
      </c>
      <c r="J5" s="69">
        <v>40</v>
      </c>
      <c r="K5" s="70">
        <v>2</v>
      </c>
      <c r="L5" s="68">
        <v>1</v>
      </c>
      <c r="M5" s="68">
        <f>_xlfn.XLOOKUP(Survey!$F5,sections[Start],sections[Test Section],,-1,1)</f>
        <v>1</v>
      </c>
      <c r="N5" s="55">
        <f>_xlfn.XLOOKUP(Survey!$K5,pipedata[ID],pipedata[WT])</f>
        <v>0.74</v>
      </c>
      <c r="O5" s="56">
        <f>_xlfn.XLOOKUP(Survey!$K5,pipedata[ID],pipedata[104%])</f>
        <v>2565.3333333333335</v>
      </c>
      <c r="P5" s="57">
        <f t="shared" si="0"/>
        <v>1850</v>
      </c>
      <c r="Q5" s="58">
        <f>_xlfn.MAXIFS(Survey!$G$2:$G$3647,Survey!$M$2:$M$3647,Survey!$M5)-Survey!$G5</f>
        <v>773.03395387369915</v>
      </c>
      <c r="R5" s="59">
        <f>Survey!$P5+(Survey!$Q5*0.433)</f>
        <v>2184.7237020273119</v>
      </c>
    </row>
    <row r="6" spans="1:18" x14ac:dyDescent="0.25">
      <c r="A6" s="71" t="s">
        <v>17</v>
      </c>
      <c r="B6" s="72" t="s">
        <v>18</v>
      </c>
      <c r="C6" s="73" t="s">
        <v>19</v>
      </c>
      <c r="D6" s="74">
        <v>227.20888372723283</v>
      </c>
      <c r="E6" s="64">
        <v>1227049</v>
      </c>
      <c r="F6" s="65">
        <v>1200651.1020408142</v>
      </c>
      <c r="G6" s="75">
        <v>1581.502837147262</v>
      </c>
      <c r="H6" s="76">
        <v>2</v>
      </c>
      <c r="I6" s="54" t="s">
        <v>20</v>
      </c>
      <c r="J6" s="77">
        <v>40</v>
      </c>
      <c r="K6" s="78">
        <v>2</v>
      </c>
      <c r="L6" s="54">
        <v>1</v>
      </c>
      <c r="M6" s="54">
        <f>_xlfn.XLOOKUP(Survey!$F6,sections[Start],sections[Test Section],,-1,1)</f>
        <v>1</v>
      </c>
      <c r="N6" s="55">
        <f>_xlfn.XLOOKUP(Survey!$K6,pipedata[ID],pipedata[WT])</f>
        <v>0.74</v>
      </c>
      <c r="O6" s="56">
        <f>_xlfn.XLOOKUP(Survey!$K6,pipedata[ID],pipedata[104%])</f>
        <v>2565.3333333333335</v>
      </c>
      <c r="P6" s="57">
        <f t="shared" si="0"/>
        <v>1850</v>
      </c>
      <c r="Q6" s="58">
        <f>_xlfn.MAXIFS(Survey!$G$2:$G$3647,Survey!$M$2:$M$3647,Survey!$M6)-Survey!$G6</f>
        <v>772.64725044050351</v>
      </c>
      <c r="R6" s="59">
        <f>Survey!$P6+(Survey!$Q6*0.433)</f>
        <v>2184.5562594407379</v>
      </c>
    </row>
    <row r="7" spans="1:18" x14ac:dyDescent="0.25">
      <c r="A7" s="60" t="s">
        <v>17</v>
      </c>
      <c r="B7" s="61" t="s">
        <v>18</v>
      </c>
      <c r="C7" s="62" t="s">
        <v>19</v>
      </c>
      <c r="D7" s="63">
        <v>227.21662697899114</v>
      </c>
      <c r="E7" s="79">
        <v>1227089</v>
      </c>
      <c r="F7" s="80">
        <v>1200690.0816326509</v>
      </c>
      <c r="G7" s="66">
        <v>1581.943258439429</v>
      </c>
      <c r="H7" s="67">
        <v>2</v>
      </c>
      <c r="I7" s="68" t="s">
        <v>20</v>
      </c>
      <c r="J7" s="69">
        <v>40</v>
      </c>
      <c r="K7" s="70">
        <v>2</v>
      </c>
      <c r="L7" s="68">
        <v>1</v>
      </c>
      <c r="M7" s="68">
        <f>_xlfn.XLOOKUP(Survey!$F7,sections[Start],sections[Test Section],,-1,1)</f>
        <v>1</v>
      </c>
      <c r="N7" s="55">
        <f>_xlfn.XLOOKUP(Survey!$K7,pipedata[ID],pipedata[WT])</f>
        <v>0.74</v>
      </c>
      <c r="O7" s="56">
        <f>_xlfn.XLOOKUP(Survey!$K7,pipedata[ID],pipedata[104%])</f>
        <v>2565.3333333333335</v>
      </c>
      <c r="P7" s="57">
        <f t="shared" si="0"/>
        <v>1850</v>
      </c>
      <c r="Q7" s="58">
        <f>_xlfn.MAXIFS(Survey!$G$2:$G$3647,Survey!$M$2:$M$3647,Survey!$M7)-Survey!$G7</f>
        <v>772.20682914833651</v>
      </c>
      <c r="R7" s="59">
        <f>Survey!$P7+(Survey!$Q7*0.433)</f>
        <v>2184.3655570212295</v>
      </c>
    </row>
    <row r="8" spans="1:18" x14ac:dyDescent="0.25">
      <c r="A8" s="71" t="s">
        <v>17</v>
      </c>
      <c r="B8" s="72" t="s">
        <v>18</v>
      </c>
      <c r="C8" s="73" t="s">
        <v>19</v>
      </c>
      <c r="D8" s="74">
        <v>227.2241464245933</v>
      </c>
      <c r="E8" s="81">
        <v>1227129</v>
      </c>
      <c r="F8" s="82">
        <v>1200729.0612244876</v>
      </c>
      <c r="G8" s="75">
        <v>1582.2709682778752</v>
      </c>
      <c r="H8" s="76">
        <v>2</v>
      </c>
      <c r="I8" s="54" t="s">
        <v>20</v>
      </c>
      <c r="J8" s="77">
        <v>40</v>
      </c>
      <c r="K8" s="78">
        <v>2</v>
      </c>
      <c r="L8" s="54">
        <v>1</v>
      </c>
      <c r="M8" s="54">
        <f>_xlfn.XLOOKUP(Survey!$F8,sections[Start],sections[Test Section],,-1,1)</f>
        <v>1</v>
      </c>
      <c r="N8" s="55">
        <f>_xlfn.XLOOKUP(Survey!$K8,pipedata[ID],pipedata[WT])</f>
        <v>0.74</v>
      </c>
      <c r="O8" s="56">
        <f>_xlfn.XLOOKUP(Survey!$K8,pipedata[ID],pipedata[104%])</f>
        <v>2565.3333333333335</v>
      </c>
      <c r="P8" s="57">
        <f t="shared" si="0"/>
        <v>1850</v>
      </c>
      <c r="Q8" s="58">
        <f>_xlfn.MAXIFS(Survey!$G$2:$G$3647,Survey!$M$2:$M$3647,Survey!$M8)-Survey!$G8</f>
        <v>771.87911930989026</v>
      </c>
      <c r="R8" s="59">
        <f>Survey!$P8+(Survey!$Q8*0.433)</f>
        <v>2184.2236586611825</v>
      </c>
    </row>
    <row r="9" spans="1:18" x14ac:dyDescent="0.25">
      <c r="A9" s="60" t="s">
        <v>17</v>
      </c>
      <c r="B9" s="61" t="s">
        <v>18</v>
      </c>
      <c r="C9" s="62" t="s">
        <v>19</v>
      </c>
      <c r="D9" s="63">
        <v>227.23201819427456</v>
      </c>
      <c r="E9" s="79">
        <v>1227169</v>
      </c>
      <c r="F9" s="80">
        <v>1200768.0408163243</v>
      </c>
      <c r="G9" s="66">
        <v>1582.6984305408821</v>
      </c>
      <c r="H9" s="67">
        <v>2</v>
      </c>
      <c r="I9" s="68" t="s">
        <v>20</v>
      </c>
      <c r="J9" s="69">
        <v>40</v>
      </c>
      <c r="K9" s="70">
        <v>2</v>
      </c>
      <c r="L9" s="68">
        <v>1</v>
      </c>
      <c r="M9" s="68">
        <f>_xlfn.XLOOKUP(Survey!$F9,sections[Start],sections[Test Section],,-1,1)</f>
        <v>1</v>
      </c>
      <c r="N9" s="55">
        <f>_xlfn.XLOOKUP(Survey!$K9,pipedata[ID],pipedata[WT])</f>
        <v>0.74</v>
      </c>
      <c r="O9" s="56">
        <f>_xlfn.XLOOKUP(Survey!$K9,pipedata[ID],pipedata[104%])</f>
        <v>2565.3333333333335</v>
      </c>
      <c r="P9" s="57">
        <f t="shared" si="0"/>
        <v>1850</v>
      </c>
      <c r="Q9" s="58">
        <f>_xlfn.MAXIFS(Survey!$G$2:$G$3647,Survey!$M$2:$M$3647,Survey!$M9)-Survey!$G9</f>
        <v>771.45165704688338</v>
      </c>
      <c r="R9" s="59">
        <f>Survey!$P9+(Survey!$Q9*0.433)</f>
        <v>2184.0385675013003</v>
      </c>
    </row>
    <row r="10" spans="1:18" x14ac:dyDescent="0.25">
      <c r="A10" s="71" t="s">
        <v>17</v>
      </c>
      <c r="B10" s="72" t="s">
        <v>18</v>
      </c>
      <c r="C10" s="73" t="s">
        <v>19</v>
      </c>
      <c r="D10" s="74">
        <v>227.23866682381978</v>
      </c>
      <c r="E10" s="81">
        <v>1227209</v>
      </c>
      <c r="F10" s="82">
        <v>1200807.020408161</v>
      </c>
      <c r="G10" s="75">
        <v>1583.182273342725</v>
      </c>
      <c r="H10" s="76">
        <v>2</v>
      </c>
      <c r="I10" s="54" t="s">
        <v>20</v>
      </c>
      <c r="J10" s="77">
        <v>17</v>
      </c>
      <c r="K10" s="78">
        <v>2</v>
      </c>
      <c r="L10" s="54">
        <v>1</v>
      </c>
      <c r="M10" s="54">
        <f>_xlfn.XLOOKUP(Survey!$F10,sections[Start],sections[Test Section],,-1,1)</f>
        <v>1</v>
      </c>
      <c r="N10" s="55">
        <f>_xlfn.XLOOKUP(Survey!$K10,pipedata[ID],pipedata[WT])</f>
        <v>0.74</v>
      </c>
      <c r="O10" s="56">
        <f>_xlfn.XLOOKUP(Survey!$K10,pipedata[ID],pipedata[104%])</f>
        <v>2565.3333333333335</v>
      </c>
      <c r="P10" s="57">
        <f t="shared" si="0"/>
        <v>1850</v>
      </c>
      <c r="Q10" s="58">
        <f>_xlfn.MAXIFS(Survey!$G$2:$G$3647,Survey!$M$2:$M$3647,Survey!$M10)-Survey!$G10</f>
        <v>770.96781424504047</v>
      </c>
      <c r="R10" s="59">
        <f>Survey!$P10+(Survey!$Q10*0.433)</f>
        <v>2183.8290635681024</v>
      </c>
    </row>
    <row r="11" spans="1:18" x14ac:dyDescent="0.25">
      <c r="A11" s="60" t="s">
        <v>17</v>
      </c>
      <c r="B11" s="61" t="s">
        <v>18</v>
      </c>
      <c r="C11" s="62" t="s">
        <v>19</v>
      </c>
      <c r="D11" s="63">
        <v>227.24646106787714</v>
      </c>
      <c r="E11" s="79">
        <v>1227226</v>
      </c>
      <c r="F11" s="80">
        <v>1200846</v>
      </c>
      <c r="G11" s="66">
        <v>1580.9529325237856</v>
      </c>
      <c r="H11" s="67">
        <v>2</v>
      </c>
      <c r="I11" s="68" t="s">
        <v>21</v>
      </c>
      <c r="J11" s="69">
        <v>40</v>
      </c>
      <c r="K11" s="70">
        <v>4</v>
      </c>
      <c r="L11" s="68">
        <v>1</v>
      </c>
      <c r="M11" s="68">
        <f>_xlfn.XLOOKUP(Survey!$F11,sections[Start],sections[Test Section],,-1,1)</f>
        <v>1</v>
      </c>
      <c r="N11" s="55">
        <f>_xlfn.XLOOKUP(Survey!$K11,pipedata[ID],pipedata[WT])</f>
        <v>0.74</v>
      </c>
      <c r="O11" s="56">
        <f>_xlfn.XLOOKUP(Survey!$K11,pipedata[ID],pipedata[104%])</f>
        <v>2565.3333333333335</v>
      </c>
      <c r="P11" s="57">
        <f t="shared" si="0"/>
        <v>1850</v>
      </c>
      <c r="Q11" s="58">
        <f>_xlfn.MAXIFS(Survey!$G$2:$G$3647,Survey!$M$2:$M$3647,Survey!$M11)-Survey!$G11</f>
        <v>773.19715506397984</v>
      </c>
      <c r="R11" s="59">
        <f>Survey!$P11+(Survey!$Q11*0.433)</f>
        <v>2184.7943681427032</v>
      </c>
    </row>
    <row r="12" spans="1:18" x14ac:dyDescent="0.25">
      <c r="A12" s="71" t="s">
        <v>17</v>
      </c>
      <c r="B12" s="72" t="s">
        <v>18</v>
      </c>
      <c r="C12" s="73" t="s">
        <v>19</v>
      </c>
      <c r="D12" s="74">
        <v>227.25318722304624</v>
      </c>
      <c r="E12" s="81">
        <v>1227266</v>
      </c>
      <c r="F12" s="82">
        <v>1200886</v>
      </c>
      <c r="G12" s="75">
        <v>1579.4331780586244</v>
      </c>
      <c r="H12" s="76">
        <v>2</v>
      </c>
      <c r="I12" s="54" t="s">
        <v>20</v>
      </c>
      <c r="J12" s="77">
        <v>63</v>
      </c>
      <c r="K12" s="78">
        <v>2</v>
      </c>
      <c r="L12" s="54">
        <v>1</v>
      </c>
      <c r="M12" s="54">
        <f>_xlfn.XLOOKUP(Survey!$F12,sections[Start],sections[Test Section],,-1,1)</f>
        <v>1</v>
      </c>
      <c r="N12" s="55">
        <f>_xlfn.XLOOKUP(Survey!$K12,pipedata[ID],pipedata[WT])</f>
        <v>0.74</v>
      </c>
      <c r="O12" s="56">
        <f>_xlfn.XLOOKUP(Survey!$K12,pipedata[ID],pipedata[104%])</f>
        <v>2565.3333333333335</v>
      </c>
      <c r="P12" s="57">
        <f t="shared" si="0"/>
        <v>1850</v>
      </c>
      <c r="Q12" s="58">
        <f>_xlfn.MAXIFS(Survey!$G$2:$G$3647,Survey!$M$2:$M$3647,Survey!$M12)-Survey!$G12</f>
        <v>774.71690952914105</v>
      </c>
      <c r="R12" s="59">
        <f>Survey!$P12+(Survey!$Q12*0.433)</f>
        <v>2185.4524218261181</v>
      </c>
    </row>
    <row r="13" spans="1:18" x14ac:dyDescent="0.25">
      <c r="A13" s="60" t="s">
        <v>17</v>
      </c>
      <c r="B13" s="61" t="s">
        <v>18</v>
      </c>
      <c r="C13" s="62" t="s">
        <v>19</v>
      </c>
      <c r="D13" s="63">
        <v>227.26167276484887</v>
      </c>
      <c r="E13" s="79">
        <v>1227329</v>
      </c>
      <c r="F13" s="80">
        <v>1200922.8032786886</v>
      </c>
      <c r="G13" s="66">
        <v>1582.2515430147746</v>
      </c>
      <c r="H13" s="67">
        <v>2</v>
      </c>
      <c r="I13" s="68" t="s">
        <v>20</v>
      </c>
      <c r="J13" s="69">
        <v>40</v>
      </c>
      <c r="K13" s="70">
        <v>2</v>
      </c>
      <c r="L13" s="68">
        <v>1</v>
      </c>
      <c r="M13" s="68">
        <f>_xlfn.XLOOKUP(Survey!$F13,sections[Start],sections[Test Section],,-1,1)</f>
        <v>1</v>
      </c>
      <c r="N13" s="55">
        <f>_xlfn.XLOOKUP(Survey!$K13,pipedata[ID],pipedata[WT])</f>
        <v>0.74</v>
      </c>
      <c r="O13" s="56">
        <f>_xlfn.XLOOKUP(Survey!$K13,pipedata[ID],pipedata[104%])</f>
        <v>2565.3333333333335</v>
      </c>
      <c r="P13" s="57">
        <f t="shared" si="0"/>
        <v>1850</v>
      </c>
      <c r="Q13" s="58">
        <f>_xlfn.MAXIFS(Survey!$G$2:$G$3647,Survey!$M$2:$M$3647,Survey!$M13)-Survey!$G13</f>
        <v>771.89854457299089</v>
      </c>
      <c r="R13" s="59">
        <f>Survey!$P13+(Survey!$Q13*0.433)</f>
        <v>2184.2320698001049</v>
      </c>
    </row>
    <row r="14" spans="1:18" x14ac:dyDescent="0.25">
      <c r="A14" s="71" t="s">
        <v>17</v>
      </c>
      <c r="B14" s="72" t="s">
        <v>18</v>
      </c>
      <c r="C14" s="73" t="s">
        <v>19</v>
      </c>
      <c r="D14" s="74">
        <v>227.26775744363786</v>
      </c>
      <c r="E14" s="81">
        <v>1227369</v>
      </c>
      <c r="F14" s="82">
        <v>1200959.6065573771</v>
      </c>
      <c r="G14" s="75">
        <v>1583.8998673562091</v>
      </c>
      <c r="H14" s="76">
        <v>2</v>
      </c>
      <c r="I14" s="54" t="s">
        <v>20</v>
      </c>
      <c r="J14" s="77">
        <v>40</v>
      </c>
      <c r="K14" s="78">
        <v>2</v>
      </c>
      <c r="L14" s="54">
        <v>1</v>
      </c>
      <c r="M14" s="54">
        <f>_xlfn.XLOOKUP(Survey!$F14,sections[Start],sections[Test Section],,-1,1)</f>
        <v>1</v>
      </c>
      <c r="N14" s="55">
        <f>_xlfn.XLOOKUP(Survey!$K14,pipedata[ID],pipedata[WT])</f>
        <v>0.74</v>
      </c>
      <c r="O14" s="56">
        <f>_xlfn.XLOOKUP(Survey!$K14,pipedata[ID],pipedata[104%])</f>
        <v>2565.3333333333335</v>
      </c>
      <c r="P14" s="57">
        <f t="shared" si="0"/>
        <v>1850</v>
      </c>
      <c r="Q14" s="58">
        <f>_xlfn.MAXIFS(Survey!$G$2:$G$3647,Survey!$M$2:$M$3647,Survey!$M14)-Survey!$G14</f>
        <v>770.25022023155634</v>
      </c>
      <c r="R14" s="59">
        <f>Survey!$P14+(Survey!$Q14*0.433)</f>
        <v>2183.518345360264</v>
      </c>
    </row>
    <row r="15" spans="1:18" x14ac:dyDescent="0.25">
      <c r="A15" s="60" t="s">
        <v>17</v>
      </c>
      <c r="B15" s="61" t="s">
        <v>18</v>
      </c>
      <c r="C15" s="62" t="s">
        <v>19</v>
      </c>
      <c r="D15" s="63">
        <v>227.27496782188607</v>
      </c>
      <c r="E15" s="79">
        <v>1227409</v>
      </c>
      <c r="F15" s="80">
        <v>1200996.4098360657</v>
      </c>
      <c r="G15" s="66">
        <v>1599.2378194301259</v>
      </c>
      <c r="H15" s="67">
        <v>2</v>
      </c>
      <c r="I15" s="68" t="s">
        <v>20</v>
      </c>
      <c r="J15" s="69">
        <v>40</v>
      </c>
      <c r="K15" s="70">
        <v>2</v>
      </c>
      <c r="L15" s="68">
        <v>1</v>
      </c>
      <c r="M15" s="68">
        <f>_xlfn.XLOOKUP(Survey!$F15,sections[Start],sections[Test Section],,-1,1)</f>
        <v>1</v>
      </c>
      <c r="N15" s="55">
        <f>_xlfn.XLOOKUP(Survey!$K15,pipedata[ID],pipedata[WT])</f>
        <v>0.74</v>
      </c>
      <c r="O15" s="56">
        <f>_xlfn.XLOOKUP(Survey!$K15,pipedata[ID],pipedata[104%])</f>
        <v>2565.3333333333335</v>
      </c>
      <c r="P15" s="57">
        <f t="shared" si="0"/>
        <v>1850</v>
      </c>
      <c r="Q15" s="58">
        <f>_xlfn.MAXIFS(Survey!$G$2:$G$3647,Survey!$M$2:$M$3647,Survey!$M15)-Survey!$G15</f>
        <v>754.91226815763957</v>
      </c>
      <c r="R15" s="59">
        <f>Survey!$P15+(Survey!$Q15*0.433)</f>
        <v>2176.8770121122579</v>
      </c>
    </row>
    <row r="16" spans="1:18" x14ac:dyDescent="0.25">
      <c r="A16" s="71" t="s">
        <v>17</v>
      </c>
      <c r="B16" s="72" t="s">
        <v>18</v>
      </c>
      <c r="C16" s="73" t="s">
        <v>19</v>
      </c>
      <c r="D16" s="74">
        <v>227.28296914061022</v>
      </c>
      <c r="E16" s="81">
        <v>1227449</v>
      </c>
      <c r="F16" s="82">
        <v>1201033.2131147543</v>
      </c>
      <c r="G16" s="75">
        <v>1611.2746860397779</v>
      </c>
      <c r="H16" s="76">
        <v>2</v>
      </c>
      <c r="I16" s="54" t="s">
        <v>20</v>
      </c>
      <c r="J16" s="77">
        <v>40</v>
      </c>
      <c r="K16" s="78">
        <v>2</v>
      </c>
      <c r="L16" s="54">
        <v>1</v>
      </c>
      <c r="M16" s="54">
        <f>_xlfn.XLOOKUP(Survey!$F16,sections[Start],sections[Test Section],,-1,1)</f>
        <v>1</v>
      </c>
      <c r="N16" s="55">
        <f>_xlfn.XLOOKUP(Survey!$K16,pipedata[ID],pipedata[WT])</f>
        <v>0.74</v>
      </c>
      <c r="O16" s="56">
        <f>_xlfn.XLOOKUP(Survey!$K16,pipedata[ID],pipedata[104%])</f>
        <v>2565.3333333333335</v>
      </c>
      <c r="P16" s="57">
        <f t="shared" si="0"/>
        <v>1850</v>
      </c>
      <c r="Q16" s="58">
        <f>_xlfn.MAXIFS(Survey!$G$2:$G$3647,Survey!$M$2:$M$3647,Survey!$M16)-Survey!$G16</f>
        <v>742.87540154798762</v>
      </c>
      <c r="R16" s="59">
        <f>Survey!$P16+(Survey!$Q16*0.433)</f>
        <v>2171.6650488702785</v>
      </c>
    </row>
    <row r="17" spans="1:18" x14ac:dyDescent="0.25">
      <c r="A17" s="60" t="s">
        <v>17</v>
      </c>
      <c r="B17" s="61" t="s">
        <v>18</v>
      </c>
      <c r="C17" s="62" t="s">
        <v>19</v>
      </c>
      <c r="D17" s="63">
        <v>227.28948822111235</v>
      </c>
      <c r="E17" s="79">
        <v>1227489</v>
      </c>
      <c r="F17" s="80">
        <v>1201070.0163934429</v>
      </c>
      <c r="G17" s="66">
        <v>1622.9550118912045</v>
      </c>
      <c r="H17" s="67">
        <v>2</v>
      </c>
      <c r="I17" s="68" t="s">
        <v>20</v>
      </c>
      <c r="J17" s="69">
        <v>40</v>
      </c>
      <c r="K17" s="70">
        <v>2</v>
      </c>
      <c r="L17" s="68">
        <v>1</v>
      </c>
      <c r="M17" s="68">
        <f>_xlfn.XLOOKUP(Survey!$F17,sections[Start],sections[Test Section],,-1,1)</f>
        <v>1</v>
      </c>
      <c r="N17" s="55">
        <f>_xlfn.XLOOKUP(Survey!$K17,pipedata[ID],pipedata[WT])</f>
        <v>0.74</v>
      </c>
      <c r="O17" s="56">
        <f>_xlfn.XLOOKUP(Survey!$K17,pipedata[ID],pipedata[104%])</f>
        <v>2565.3333333333335</v>
      </c>
      <c r="P17" s="57">
        <f t="shared" si="0"/>
        <v>1850</v>
      </c>
      <c r="Q17" s="58">
        <f>_xlfn.MAXIFS(Survey!$G$2:$G$3647,Survey!$M$2:$M$3647,Survey!$M17)-Survey!$G17</f>
        <v>731.19507569656093</v>
      </c>
      <c r="R17" s="59">
        <f>Survey!$P17+(Survey!$Q17*0.433)</f>
        <v>2166.607467776611</v>
      </c>
    </row>
    <row r="18" spans="1:18" x14ac:dyDescent="0.25">
      <c r="A18" s="71" t="s">
        <v>17</v>
      </c>
      <c r="B18" s="72" t="s">
        <v>18</v>
      </c>
      <c r="C18" s="73" t="s">
        <v>19</v>
      </c>
      <c r="D18" s="74">
        <v>227.29818083757158</v>
      </c>
      <c r="E18" s="81">
        <v>1227529</v>
      </c>
      <c r="F18" s="82">
        <v>1201106.8196721314</v>
      </c>
      <c r="G18" s="75">
        <v>1632.3676418913255</v>
      </c>
      <c r="H18" s="76">
        <v>2</v>
      </c>
      <c r="I18" s="54" t="s">
        <v>20</v>
      </c>
      <c r="J18" s="77">
        <v>40</v>
      </c>
      <c r="K18" s="78">
        <v>2</v>
      </c>
      <c r="L18" s="54">
        <v>1</v>
      </c>
      <c r="M18" s="54">
        <f>_xlfn.XLOOKUP(Survey!$F18,sections[Start],sections[Test Section],,-1,1)</f>
        <v>1</v>
      </c>
      <c r="N18" s="55">
        <f>_xlfn.XLOOKUP(Survey!$K18,pipedata[ID],pipedata[WT])</f>
        <v>0.74</v>
      </c>
      <c r="O18" s="56">
        <f>_xlfn.XLOOKUP(Survey!$K18,pipedata[ID],pipedata[104%])</f>
        <v>2565.3333333333335</v>
      </c>
      <c r="P18" s="57">
        <f t="shared" si="0"/>
        <v>1850</v>
      </c>
      <c r="Q18" s="58">
        <f>_xlfn.MAXIFS(Survey!$G$2:$G$3647,Survey!$M$2:$M$3647,Survey!$M18)-Survey!$G18</f>
        <v>721.78244569643994</v>
      </c>
      <c r="R18" s="59">
        <f>Survey!$P18+(Survey!$Q18*0.433)</f>
        <v>2162.5317989865584</v>
      </c>
    </row>
    <row r="19" spans="1:18" x14ac:dyDescent="0.25">
      <c r="A19" s="60" t="s">
        <v>17</v>
      </c>
      <c r="B19" s="61" t="s">
        <v>18</v>
      </c>
      <c r="C19" s="62" t="s">
        <v>19</v>
      </c>
      <c r="D19" s="63">
        <v>227.30426551636134</v>
      </c>
      <c r="E19" s="79">
        <v>1227569</v>
      </c>
      <c r="F19" s="80">
        <v>1201143.62295082</v>
      </c>
      <c r="G19" s="66">
        <v>1640.7237830189615</v>
      </c>
      <c r="H19" s="67">
        <v>2</v>
      </c>
      <c r="I19" s="68" t="s">
        <v>20</v>
      </c>
      <c r="J19" s="69">
        <v>40</v>
      </c>
      <c r="K19" s="70">
        <v>2</v>
      </c>
      <c r="L19" s="68">
        <v>1</v>
      </c>
      <c r="M19" s="68">
        <f>_xlfn.XLOOKUP(Survey!$F19,sections[Start],sections[Test Section],,-1,1)</f>
        <v>1</v>
      </c>
      <c r="N19" s="55">
        <f>_xlfn.XLOOKUP(Survey!$K19,pipedata[ID],pipedata[WT])</f>
        <v>0.74</v>
      </c>
      <c r="O19" s="56">
        <f>_xlfn.XLOOKUP(Survey!$K19,pipedata[ID],pipedata[104%])</f>
        <v>2565.3333333333335</v>
      </c>
      <c r="P19" s="57">
        <f t="shared" si="0"/>
        <v>1850</v>
      </c>
      <c r="Q19" s="58">
        <f>_xlfn.MAXIFS(Survey!$G$2:$G$3647,Survey!$M$2:$M$3647,Survey!$M19)-Survey!$G19</f>
        <v>713.42630456880397</v>
      </c>
      <c r="R19" s="59">
        <f>Survey!$P19+(Survey!$Q19*0.433)</f>
        <v>2158.913589878292</v>
      </c>
    </row>
    <row r="20" spans="1:18" x14ac:dyDescent="0.25">
      <c r="A20" s="71" t="s">
        <v>17</v>
      </c>
      <c r="B20" s="72" t="s">
        <v>18</v>
      </c>
      <c r="C20" s="73" t="s">
        <v>19</v>
      </c>
      <c r="D20" s="74">
        <v>227.31126881996087</v>
      </c>
      <c r="E20" s="81">
        <v>1227609</v>
      </c>
      <c r="F20" s="82">
        <v>1201180.4262295086</v>
      </c>
      <c r="G20" s="75">
        <v>1646.0625216061956</v>
      </c>
      <c r="H20" s="76">
        <v>2</v>
      </c>
      <c r="I20" s="54" t="s">
        <v>20</v>
      </c>
      <c r="J20" s="77">
        <v>40</v>
      </c>
      <c r="K20" s="78">
        <v>2</v>
      </c>
      <c r="L20" s="54">
        <v>1</v>
      </c>
      <c r="M20" s="54">
        <f>_xlfn.XLOOKUP(Survey!$F20,sections[Start],sections[Test Section],,-1,1)</f>
        <v>1</v>
      </c>
      <c r="N20" s="55">
        <f>_xlfn.XLOOKUP(Survey!$K20,pipedata[ID],pipedata[WT])</f>
        <v>0.74</v>
      </c>
      <c r="O20" s="56">
        <f>_xlfn.XLOOKUP(Survey!$K20,pipedata[ID],pipedata[104%])</f>
        <v>2565.3333333333335</v>
      </c>
      <c r="P20" s="57">
        <f t="shared" si="0"/>
        <v>1850</v>
      </c>
      <c r="Q20" s="58">
        <f>_xlfn.MAXIFS(Survey!$G$2:$G$3647,Survey!$M$2:$M$3647,Survey!$M20)-Survey!$G20</f>
        <v>708.08756598156992</v>
      </c>
      <c r="R20" s="59">
        <f>Survey!$P20+(Survey!$Q20*0.433)</f>
        <v>2156.6019160700198</v>
      </c>
    </row>
    <row r="21" spans="1:18" x14ac:dyDescent="0.25">
      <c r="A21" s="60" t="s">
        <v>17</v>
      </c>
      <c r="B21" s="61" t="s">
        <v>18</v>
      </c>
      <c r="C21" s="62" t="s">
        <v>19</v>
      </c>
      <c r="D21" s="63">
        <v>227.31947721333563</v>
      </c>
      <c r="E21" s="79">
        <v>1227649</v>
      </c>
      <c r="F21" s="80">
        <v>1201217.2295081972</v>
      </c>
      <c r="G21" s="66">
        <v>1648.7701946854195</v>
      </c>
      <c r="H21" s="67">
        <v>2</v>
      </c>
      <c r="I21" s="68" t="s">
        <v>20</v>
      </c>
      <c r="J21" s="69">
        <v>40</v>
      </c>
      <c r="K21" s="70">
        <v>2</v>
      </c>
      <c r="L21" s="68">
        <v>1</v>
      </c>
      <c r="M21" s="68">
        <f>_xlfn.XLOOKUP(Survey!$F21,sections[Start],sections[Test Section],,-1,1)</f>
        <v>1</v>
      </c>
      <c r="N21" s="55">
        <f>_xlfn.XLOOKUP(Survey!$K21,pipedata[ID],pipedata[WT])</f>
        <v>0.74</v>
      </c>
      <c r="O21" s="56">
        <f>_xlfn.XLOOKUP(Survey!$K21,pipedata[ID],pipedata[104%])</f>
        <v>2565.3333333333335</v>
      </c>
      <c r="P21" s="57">
        <f t="shared" si="0"/>
        <v>1850</v>
      </c>
      <c r="Q21" s="58">
        <f>_xlfn.MAXIFS(Survey!$G$2:$G$3647,Survey!$M$2:$M$3647,Survey!$M21)-Survey!$G21</f>
        <v>705.379892902346</v>
      </c>
      <c r="R21" s="59">
        <f>Survey!$P21+(Survey!$Q21*0.433)</f>
        <v>2155.4294936267161</v>
      </c>
    </row>
    <row r="22" spans="1:18" x14ac:dyDescent="0.25">
      <c r="A22" s="71" t="s">
        <v>17</v>
      </c>
      <c r="B22" s="72" t="s">
        <v>18</v>
      </c>
      <c r="C22" s="73" t="s">
        <v>19</v>
      </c>
      <c r="D22" s="74">
        <v>227.32820928572346</v>
      </c>
      <c r="E22" s="81">
        <v>1227689</v>
      </c>
      <c r="F22" s="82">
        <v>1201254.0327868857</v>
      </c>
      <c r="G22" s="75">
        <v>1650.2261970629656</v>
      </c>
      <c r="H22" s="76">
        <v>2</v>
      </c>
      <c r="I22" s="54" t="s">
        <v>20</v>
      </c>
      <c r="J22" s="77">
        <v>40</v>
      </c>
      <c r="K22" s="78">
        <v>2</v>
      </c>
      <c r="L22" s="54">
        <v>1</v>
      </c>
      <c r="M22" s="54">
        <f>_xlfn.XLOOKUP(Survey!$F22,sections[Start],sections[Test Section],,-1,1)</f>
        <v>1</v>
      </c>
      <c r="N22" s="55">
        <f>_xlfn.XLOOKUP(Survey!$K22,pipedata[ID],pipedata[WT])</f>
        <v>0.74</v>
      </c>
      <c r="O22" s="56">
        <f>_xlfn.XLOOKUP(Survey!$K22,pipedata[ID],pipedata[104%])</f>
        <v>2565.3333333333335</v>
      </c>
      <c r="P22" s="57">
        <f t="shared" si="0"/>
        <v>1850</v>
      </c>
      <c r="Q22" s="58">
        <f>_xlfn.MAXIFS(Survey!$G$2:$G$3647,Survey!$M$2:$M$3647,Survey!$M22)-Survey!$G22</f>
        <v>703.92389052479984</v>
      </c>
      <c r="R22" s="59">
        <f>Survey!$P22+(Survey!$Q22*0.433)</f>
        <v>2154.7990445972382</v>
      </c>
    </row>
    <row r="23" spans="1:18" x14ac:dyDescent="0.25">
      <c r="A23" s="60" t="s">
        <v>17</v>
      </c>
      <c r="B23" s="61" t="s">
        <v>18</v>
      </c>
      <c r="C23" s="62" t="s">
        <v>19</v>
      </c>
      <c r="D23" s="63">
        <v>227.33546948533609</v>
      </c>
      <c r="E23" s="79">
        <v>1227729</v>
      </c>
      <c r="F23" s="80">
        <v>1201290.8360655743</v>
      </c>
      <c r="G23" s="66">
        <v>1650.7487918293639</v>
      </c>
      <c r="H23" s="67">
        <v>2</v>
      </c>
      <c r="I23" s="68" t="s">
        <v>20</v>
      </c>
      <c r="J23" s="69">
        <v>40</v>
      </c>
      <c r="K23" s="70">
        <v>2</v>
      </c>
      <c r="L23" s="68">
        <v>1</v>
      </c>
      <c r="M23" s="68">
        <f>_xlfn.XLOOKUP(Survey!$F23,sections[Start],sections[Test Section],,-1,1)</f>
        <v>1</v>
      </c>
      <c r="N23" s="55">
        <f>_xlfn.XLOOKUP(Survey!$K23,pipedata[ID],pipedata[WT])</f>
        <v>0.74</v>
      </c>
      <c r="O23" s="56">
        <f>_xlfn.XLOOKUP(Survey!$K23,pipedata[ID],pipedata[104%])</f>
        <v>2565.3333333333335</v>
      </c>
      <c r="P23" s="57">
        <f t="shared" si="0"/>
        <v>1850</v>
      </c>
      <c r="Q23" s="58">
        <f>_xlfn.MAXIFS(Survey!$G$2:$G$3647,Survey!$M$2:$M$3647,Survey!$M23)-Survey!$G23</f>
        <v>703.4012957584016</v>
      </c>
      <c r="R23" s="59">
        <f>Survey!$P23+(Survey!$Q23*0.433)</f>
        <v>2154.572761063388</v>
      </c>
    </row>
    <row r="24" spans="1:18" x14ac:dyDescent="0.25">
      <c r="A24" s="71" t="s">
        <v>17</v>
      </c>
      <c r="B24" s="72" t="s">
        <v>18</v>
      </c>
      <c r="C24" s="73" t="s">
        <v>19</v>
      </c>
      <c r="D24" s="74">
        <v>227.34272968494867</v>
      </c>
      <c r="E24" s="81">
        <v>1227769</v>
      </c>
      <c r="F24" s="82">
        <v>1201327.6393442629</v>
      </c>
      <c r="G24" s="75">
        <v>1651.5457244593913</v>
      </c>
      <c r="H24" s="76">
        <v>2</v>
      </c>
      <c r="I24" s="54" t="s">
        <v>20</v>
      </c>
      <c r="J24" s="77">
        <v>40</v>
      </c>
      <c r="K24" s="78">
        <v>2</v>
      </c>
      <c r="L24" s="54">
        <v>1</v>
      </c>
      <c r="M24" s="54">
        <f>_xlfn.XLOOKUP(Survey!$F24,sections[Start],sections[Test Section],,-1,1)</f>
        <v>1</v>
      </c>
      <c r="N24" s="55">
        <f>_xlfn.XLOOKUP(Survey!$K24,pipedata[ID],pipedata[WT])</f>
        <v>0.74</v>
      </c>
      <c r="O24" s="56">
        <f>_xlfn.XLOOKUP(Survey!$K24,pipedata[ID],pipedata[104%])</f>
        <v>2565.3333333333335</v>
      </c>
      <c r="P24" s="57">
        <f t="shared" si="0"/>
        <v>1850</v>
      </c>
      <c r="Q24" s="58">
        <f>_xlfn.MAXIFS(Survey!$G$2:$G$3647,Survey!$M$2:$M$3647,Survey!$M24)-Survey!$G24</f>
        <v>702.60436312837419</v>
      </c>
      <c r="R24" s="59">
        <f>Survey!$P24+(Survey!$Q24*0.433)</f>
        <v>2154.2276892345863</v>
      </c>
    </row>
    <row r="25" spans="1:18" x14ac:dyDescent="0.25">
      <c r="A25" s="60" t="s">
        <v>17</v>
      </c>
      <c r="B25" s="61" t="s">
        <v>18</v>
      </c>
      <c r="C25" s="62" t="s">
        <v>19</v>
      </c>
      <c r="D25" s="63">
        <v>227.35033709069</v>
      </c>
      <c r="E25" s="79">
        <v>1227809</v>
      </c>
      <c r="F25" s="80">
        <v>1201364.4426229515</v>
      </c>
      <c r="G25" s="66">
        <v>1649.5750091580021</v>
      </c>
      <c r="H25" s="67">
        <v>2</v>
      </c>
      <c r="I25" s="68" t="s">
        <v>20</v>
      </c>
      <c r="J25" s="69">
        <v>40</v>
      </c>
      <c r="K25" s="70">
        <v>2</v>
      </c>
      <c r="L25" s="68">
        <v>1</v>
      </c>
      <c r="M25" s="68">
        <f>_xlfn.XLOOKUP(Survey!$F25,sections[Start],sections[Test Section],,-1,1)</f>
        <v>1</v>
      </c>
      <c r="N25" s="55">
        <f>_xlfn.XLOOKUP(Survey!$K25,pipedata[ID],pipedata[WT])</f>
        <v>0.74</v>
      </c>
      <c r="O25" s="56">
        <f>_xlfn.XLOOKUP(Survey!$K25,pipedata[ID],pipedata[104%])</f>
        <v>2565.3333333333335</v>
      </c>
      <c r="P25" s="57">
        <f t="shared" si="0"/>
        <v>1850</v>
      </c>
      <c r="Q25" s="58">
        <f>_xlfn.MAXIFS(Survey!$G$2:$G$3647,Survey!$M$2:$M$3647,Survey!$M25)-Survey!$G25</f>
        <v>704.57507842976338</v>
      </c>
      <c r="R25" s="59">
        <f>Survey!$P25+(Survey!$Q25*0.433)</f>
        <v>2155.0810089600877</v>
      </c>
    </row>
    <row r="26" spans="1:18" x14ac:dyDescent="0.25">
      <c r="A26" s="71" t="s">
        <v>17</v>
      </c>
      <c r="B26" s="72" t="s">
        <v>18</v>
      </c>
      <c r="C26" s="73" t="s">
        <v>19</v>
      </c>
      <c r="D26" s="74">
        <v>227.35725008417378</v>
      </c>
      <c r="E26" s="81">
        <v>1227849</v>
      </c>
      <c r="F26" s="82">
        <v>1201401.24590164</v>
      </c>
      <c r="G26" s="75">
        <v>1646.405946208004</v>
      </c>
      <c r="H26" s="76">
        <v>2</v>
      </c>
      <c r="I26" s="54" t="s">
        <v>20</v>
      </c>
      <c r="J26" s="77">
        <v>40</v>
      </c>
      <c r="K26" s="78">
        <v>2</v>
      </c>
      <c r="L26" s="54">
        <v>1</v>
      </c>
      <c r="M26" s="54">
        <f>_xlfn.XLOOKUP(Survey!$F26,sections[Start],sections[Test Section],,-1,1)</f>
        <v>1</v>
      </c>
      <c r="N26" s="55">
        <f>_xlfn.XLOOKUP(Survey!$K26,pipedata[ID],pipedata[WT])</f>
        <v>0.74</v>
      </c>
      <c r="O26" s="56">
        <f>_xlfn.XLOOKUP(Survey!$K26,pipedata[ID],pipedata[104%])</f>
        <v>2565.3333333333335</v>
      </c>
      <c r="P26" s="57">
        <f t="shared" si="0"/>
        <v>1850</v>
      </c>
      <c r="Q26" s="58">
        <f>_xlfn.MAXIFS(Survey!$G$2:$G$3647,Survey!$M$2:$M$3647,Survey!$M26)-Survey!$G26</f>
        <v>707.74414137976146</v>
      </c>
      <c r="R26" s="59">
        <f>Survey!$P26+(Survey!$Q26*0.433)</f>
        <v>2156.4532132174368</v>
      </c>
    </row>
    <row r="27" spans="1:18" x14ac:dyDescent="0.25">
      <c r="A27" s="60" t="s">
        <v>17</v>
      </c>
      <c r="B27" s="61" t="s">
        <v>18</v>
      </c>
      <c r="C27" s="62" t="s">
        <v>19</v>
      </c>
      <c r="D27" s="63">
        <v>227.36511230425901</v>
      </c>
      <c r="E27" s="79">
        <v>1227889</v>
      </c>
      <c r="F27" s="80">
        <v>1201438.0491803286</v>
      </c>
      <c r="G27" s="66">
        <v>1642.3862504109684</v>
      </c>
      <c r="H27" s="67">
        <v>2</v>
      </c>
      <c r="I27" s="68" t="s">
        <v>20</v>
      </c>
      <c r="J27" s="69">
        <v>40</v>
      </c>
      <c r="K27" s="70">
        <v>2</v>
      </c>
      <c r="L27" s="68">
        <v>1</v>
      </c>
      <c r="M27" s="68">
        <f>_xlfn.XLOOKUP(Survey!$F27,sections[Start],sections[Test Section],,-1,1)</f>
        <v>1</v>
      </c>
      <c r="N27" s="55">
        <f>_xlfn.XLOOKUP(Survey!$K27,pipedata[ID],pipedata[WT])</f>
        <v>0.74</v>
      </c>
      <c r="O27" s="56">
        <f>_xlfn.XLOOKUP(Survey!$K27,pipedata[ID],pipedata[104%])</f>
        <v>2565.3333333333335</v>
      </c>
      <c r="P27" s="57">
        <f t="shared" si="0"/>
        <v>1850</v>
      </c>
      <c r="Q27" s="58">
        <f>_xlfn.MAXIFS(Survey!$G$2:$G$3647,Survey!$M$2:$M$3647,Survey!$M27)-Survey!$G27</f>
        <v>711.7638371767971</v>
      </c>
      <c r="R27" s="59">
        <f>Survey!$P27+(Survey!$Q27*0.433)</f>
        <v>2158.1937414975532</v>
      </c>
    </row>
    <row r="28" spans="1:18" x14ac:dyDescent="0.25">
      <c r="A28" s="71" t="s">
        <v>17</v>
      </c>
      <c r="B28" s="72" t="s">
        <v>18</v>
      </c>
      <c r="C28" s="73" t="s">
        <v>19</v>
      </c>
      <c r="D28" s="74">
        <v>227.37177048339902</v>
      </c>
      <c r="E28" s="81">
        <v>1227929</v>
      </c>
      <c r="F28" s="82">
        <v>1201474.8524590172</v>
      </c>
      <c r="G28" s="75">
        <v>1636.5662377256863</v>
      </c>
      <c r="H28" s="76">
        <v>2</v>
      </c>
      <c r="I28" s="54" t="s">
        <v>20</v>
      </c>
      <c r="J28" s="77">
        <v>40</v>
      </c>
      <c r="K28" s="78">
        <v>2</v>
      </c>
      <c r="L28" s="54">
        <v>1</v>
      </c>
      <c r="M28" s="54">
        <f>_xlfn.XLOOKUP(Survey!$F28,sections[Start],sections[Test Section],,-1,1)</f>
        <v>1</v>
      </c>
      <c r="N28" s="55">
        <f>_xlfn.XLOOKUP(Survey!$K28,pipedata[ID],pipedata[WT])</f>
        <v>0.74</v>
      </c>
      <c r="O28" s="56">
        <f>_xlfn.XLOOKUP(Survey!$K28,pipedata[ID],pipedata[104%])</f>
        <v>2565.3333333333335</v>
      </c>
      <c r="P28" s="57">
        <f t="shared" si="0"/>
        <v>1850</v>
      </c>
      <c r="Q28" s="58">
        <f>_xlfn.MAXIFS(Survey!$G$2:$G$3647,Survey!$M$2:$M$3647,Survey!$M28)-Survey!$G28</f>
        <v>717.58384986207921</v>
      </c>
      <c r="R28" s="59">
        <f>Survey!$P28+(Survey!$Q28*0.433)</f>
        <v>2160.7138069902803</v>
      </c>
    </row>
    <row r="29" spans="1:18" x14ac:dyDescent="0.25">
      <c r="A29" s="60" t="s">
        <v>17</v>
      </c>
      <c r="B29" s="61" t="s">
        <v>18</v>
      </c>
      <c r="C29" s="62" t="s">
        <v>19</v>
      </c>
      <c r="D29" s="63">
        <v>227.38095155451887</v>
      </c>
      <c r="E29" s="79">
        <v>1227969</v>
      </c>
      <c r="F29" s="80">
        <v>1201511.6557377058</v>
      </c>
      <c r="G29" s="66">
        <v>1627.8572809229661</v>
      </c>
      <c r="H29" s="67">
        <v>2</v>
      </c>
      <c r="I29" s="68" t="s">
        <v>20</v>
      </c>
      <c r="J29" s="69">
        <v>40</v>
      </c>
      <c r="K29" s="70">
        <v>2</v>
      </c>
      <c r="L29" s="68">
        <v>1</v>
      </c>
      <c r="M29" s="68">
        <f>_xlfn.XLOOKUP(Survey!$F29,sections[Start],sections[Test Section],,-1,1)</f>
        <v>1</v>
      </c>
      <c r="N29" s="55">
        <f>_xlfn.XLOOKUP(Survey!$K29,pipedata[ID],pipedata[WT])</f>
        <v>0.74</v>
      </c>
      <c r="O29" s="56">
        <f>_xlfn.XLOOKUP(Survey!$K29,pipedata[ID],pipedata[104%])</f>
        <v>2565.3333333333335</v>
      </c>
      <c r="P29" s="57">
        <f t="shared" si="0"/>
        <v>1850</v>
      </c>
      <c r="Q29" s="58">
        <f>_xlfn.MAXIFS(Survey!$G$2:$G$3647,Survey!$M$2:$M$3647,Survey!$M29)-Survey!$G29</f>
        <v>726.2928066647994</v>
      </c>
      <c r="R29" s="59">
        <f>Survey!$P29+(Survey!$Q29*0.433)</f>
        <v>2164.4847852858584</v>
      </c>
    </row>
    <row r="30" spans="1:18" x14ac:dyDescent="0.25">
      <c r="A30" s="71" t="s">
        <v>17</v>
      </c>
      <c r="B30" s="72" t="s">
        <v>18</v>
      </c>
      <c r="C30" s="73" t="s">
        <v>19</v>
      </c>
      <c r="D30" s="74">
        <v>227.38640868002315</v>
      </c>
      <c r="E30" s="81">
        <v>1228009</v>
      </c>
      <c r="F30" s="82">
        <v>1201548.4590163943</v>
      </c>
      <c r="G30" s="75">
        <v>1623.4508542943095</v>
      </c>
      <c r="H30" s="76">
        <v>2</v>
      </c>
      <c r="I30" s="54" t="s">
        <v>20</v>
      </c>
      <c r="J30" s="77">
        <v>40</v>
      </c>
      <c r="K30" s="78">
        <v>2</v>
      </c>
      <c r="L30" s="54">
        <v>1</v>
      </c>
      <c r="M30" s="54">
        <f>_xlfn.XLOOKUP(Survey!$F30,sections[Start],sections[Test Section],,-1,1)</f>
        <v>1</v>
      </c>
      <c r="N30" s="55">
        <f>_xlfn.XLOOKUP(Survey!$K30,pipedata[ID],pipedata[WT])</f>
        <v>0.74</v>
      </c>
      <c r="O30" s="56">
        <f>_xlfn.XLOOKUP(Survey!$K30,pipedata[ID],pipedata[104%])</f>
        <v>2565.3333333333335</v>
      </c>
      <c r="P30" s="57">
        <f t="shared" si="0"/>
        <v>1850</v>
      </c>
      <c r="Q30" s="58">
        <f>_xlfn.MAXIFS(Survey!$G$2:$G$3647,Survey!$M$2:$M$3647,Survey!$M30)-Survey!$G30</f>
        <v>730.69923329345602</v>
      </c>
      <c r="R30" s="59">
        <f>Survey!$P30+(Survey!$Q30*0.433)</f>
        <v>2166.3927680160664</v>
      </c>
    </row>
    <row r="31" spans="1:18" x14ac:dyDescent="0.25">
      <c r="A31" s="60" t="s">
        <v>17</v>
      </c>
      <c r="B31" s="61" t="s">
        <v>18</v>
      </c>
      <c r="C31" s="62" t="s">
        <v>19</v>
      </c>
      <c r="D31" s="63">
        <v>227.39427725492538</v>
      </c>
      <c r="E31" s="79">
        <v>1228049</v>
      </c>
      <c r="F31" s="80">
        <v>1201585.2622950829</v>
      </c>
      <c r="G31" s="66">
        <v>1620.8389049615912</v>
      </c>
      <c r="H31" s="67">
        <v>2</v>
      </c>
      <c r="I31" s="68" t="s">
        <v>20</v>
      </c>
      <c r="J31" s="69">
        <v>40</v>
      </c>
      <c r="K31" s="70">
        <v>2</v>
      </c>
      <c r="L31" s="68">
        <v>1</v>
      </c>
      <c r="M31" s="68">
        <f>_xlfn.XLOOKUP(Survey!$F31,sections[Start],sections[Test Section],,-1,1)</f>
        <v>1</v>
      </c>
      <c r="N31" s="55">
        <f>_xlfn.XLOOKUP(Survey!$K31,pipedata[ID],pipedata[WT])</f>
        <v>0.74</v>
      </c>
      <c r="O31" s="56">
        <f>_xlfn.XLOOKUP(Survey!$K31,pipedata[ID],pipedata[104%])</f>
        <v>2565.3333333333335</v>
      </c>
      <c r="P31" s="57">
        <f t="shared" si="0"/>
        <v>1850</v>
      </c>
      <c r="Q31" s="58">
        <f>_xlfn.MAXIFS(Survey!$G$2:$G$3647,Survey!$M$2:$M$3647,Survey!$M31)-Survey!$G31</f>
        <v>733.31118262617429</v>
      </c>
      <c r="R31" s="59">
        <f>Survey!$P31+(Survey!$Q31*0.433)</f>
        <v>2167.5237420771336</v>
      </c>
    </row>
    <row r="32" spans="1:18" x14ac:dyDescent="0.25">
      <c r="A32" s="71" t="s">
        <v>17</v>
      </c>
      <c r="B32" s="72" t="s">
        <v>18</v>
      </c>
      <c r="C32" s="73" t="s">
        <v>19</v>
      </c>
      <c r="D32" s="74">
        <v>227.40233908570235</v>
      </c>
      <c r="E32" s="81">
        <v>1228089</v>
      </c>
      <c r="F32" s="82">
        <v>1201622.0655737715</v>
      </c>
      <c r="G32" s="75">
        <v>1633.0218220334539</v>
      </c>
      <c r="H32" s="76">
        <v>2</v>
      </c>
      <c r="I32" s="54" t="s">
        <v>20</v>
      </c>
      <c r="J32" s="77">
        <v>40</v>
      </c>
      <c r="K32" s="78">
        <v>2</v>
      </c>
      <c r="L32" s="54">
        <v>1</v>
      </c>
      <c r="M32" s="54">
        <f>_xlfn.XLOOKUP(Survey!$F32,sections[Start],sections[Test Section],,-1,1)</f>
        <v>1</v>
      </c>
      <c r="N32" s="55">
        <f>_xlfn.XLOOKUP(Survey!$K32,pipedata[ID],pipedata[WT])</f>
        <v>0.74</v>
      </c>
      <c r="O32" s="56">
        <f>_xlfn.XLOOKUP(Survey!$K32,pipedata[ID],pipedata[104%])</f>
        <v>2565.3333333333335</v>
      </c>
      <c r="P32" s="57">
        <f t="shared" si="0"/>
        <v>1850</v>
      </c>
      <c r="Q32" s="58">
        <f>_xlfn.MAXIFS(Survey!$G$2:$G$3647,Survey!$M$2:$M$3647,Survey!$M32)-Survey!$G32</f>
        <v>721.12826555431161</v>
      </c>
      <c r="R32" s="59">
        <f>Survey!$P32+(Survey!$Q32*0.433)</f>
        <v>2162.2485389850171</v>
      </c>
    </row>
    <row r="33" spans="1:18" x14ac:dyDescent="0.25">
      <c r="A33" s="60" t="s">
        <v>17</v>
      </c>
      <c r="B33" s="61" t="s">
        <v>18</v>
      </c>
      <c r="C33" s="62" t="s">
        <v>19</v>
      </c>
      <c r="D33" s="63">
        <v>227.4090939866326</v>
      </c>
      <c r="E33" s="79">
        <v>1228129</v>
      </c>
      <c r="F33" s="80">
        <v>1201658.8688524601</v>
      </c>
      <c r="G33" s="66">
        <v>1645.8360066502255</v>
      </c>
      <c r="H33" s="67">
        <v>2</v>
      </c>
      <c r="I33" s="68" t="s">
        <v>20</v>
      </c>
      <c r="J33" s="69">
        <v>40</v>
      </c>
      <c r="K33" s="70">
        <v>2</v>
      </c>
      <c r="L33" s="68">
        <v>1</v>
      </c>
      <c r="M33" s="68">
        <f>_xlfn.XLOOKUP(Survey!$F33,sections[Start],sections[Test Section],,-1,1)</f>
        <v>1</v>
      </c>
      <c r="N33" s="55">
        <f>_xlfn.XLOOKUP(Survey!$K33,pipedata[ID],pipedata[WT])</f>
        <v>0.74</v>
      </c>
      <c r="O33" s="56">
        <f>_xlfn.XLOOKUP(Survey!$K33,pipedata[ID],pipedata[104%])</f>
        <v>2565.3333333333335</v>
      </c>
      <c r="P33" s="57">
        <f t="shared" si="0"/>
        <v>1850</v>
      </c>
      <c r="Q33" s="58">
        <f>_xlfn.MAXIFS(Survey!$G$2:$G$3647,Survey!$M$2:$M$3647,Survey!$M33)-Survey!$G33</f>
        <v>708.31408093753998</v>
      </c>
      <c r="R33" s="59">
        <f>Survey!$P33+(Survey!$Q33*0.433)</f>
        <v>2156.6999970459547</v>
      </c>
    </row>
    <row r="34" spans="1:18" x14ac:dyDescent="0.25">
      <c r="A34" s="71" t="s">
        <v>17</v>
      </c>
      <c r="B34" s="72" t="s">
        <v>18</v>
      </c>
      <c r="C34" s="73" t="s">
        <v>19</v>
      </c>
      <c r="D34" s="74">
        <v>227.41732191094127</v>
      </c>
      <c r="E34" s="81">
        <v>1228169</v>
      </c>
      <c r="F34" s="82">
        <v>1201695.6721311486</v>
      </c>
      <c r="G34" s="75">
        <v>1654.8263313255386</v>
      </c>
      <c r="H34" s="76">
        <v>2</v>
      </c>
      <c r="I34" s="54" t="s">
        <v>20</v>
      </c>
      <c r="J34" s="77">
        <v>40</v>
      </c>
      <c r="K34" s="78">
        <v>2</v>
      </c>
      <c r="L34" s="54">
        <v>1</v>
      </c>
      <c r="M34" s="54">
        <f>_xlfn.XLOOKUP(Survey!$F34,sections[Start],sections[Test Section],,-1,1)</f>
        <v>1</v>
      </c>
      <c r="N34" s="55">
        <f>_xlfn.XLOOKUP(Survey!$K34,pipedata[ID],pipedata[WT])</f>
        <v>0.74</v>
      </c>
      <c r="O34" s="56">
        <f>_xlfn.XLOOKUP(Survey!$K34,pipedata[ID],pipedata[104%])</f>
        <v>2565.3333333333335</v>
      </c>
      <c r="P34" s="57">
        <f t="shared" si="0"/>
        <v>1850</v>
      </c>
      <c r="Q34" s="58">
        <f>_xlfn.MAXIFS(Survey!$G$2:$G$3647,Survey!$M$2:$M$3647,Survey!$M34)-Survey!$G34</f>
        <v>699.32375626222688</v>
      </c>
      <c r="R34" s="59">
        <f>Survey!$P34+(Survey!$Q34*0.433)</f>
        <v>2152.807186461544</v>
      </c>
    </row>
    <row r="35" spans="1:18" x14ac:dyDescent="0.25">
      <c r="A35" s="60" t="s">
        <v>17</v>
      </c>
      <c r="B35" s="61" t="s">
        <v>18</v>
      </c>
      <c r="C35" s="62" t="s">
        <v>19</v>
      </c>
      <c r="D35" s="63">
        <v>227.42485542213655</v>
      </c>
      <c r="E35" s="79">
        <v>1228209</v>
      </c>
      <c r="F35" s="80">
        <v>1201732.4754098372</v>
      </c>
      <c r="G35" s="66">
        <v>1661.59500638078</v>
      </c>
      <c r="H35" s="67">
        <v>2</v>
      </c>
      <c r="I35" s="68" t="s">
        <v>20</v>
      </c>
      <c r="J35" s="69">
        <v>40</v>
      </c>
      <c r="K35" s="70">
        <v>2</v>
      </c>
      <c r="L35" s="68">
        <v>1</v>
      </c>
      <c r="M35" s="68">
        <f>_xlfn.XLOOKUP(Survey!$F35,sections[Start],sections[Test Section],,-1,1)</f>
        <v>1</v>
      </c>
      <c r="N35" s="55">
        <f>_xlfn.XLOOKUP(Survey!$K35,pipedata[ID],pipedata[WT])</f>
        <v>0.74</v>
      </c>
      <c r="O35" s="56">
        <f>_xlfn.XLOOKUP(Survey!$K35,pipedata[ID],pipedata[104%])</f>
        <v>2565.3333333333335</v>
      </c>
      <c r="P35" s="57">
        <f t="shared" si="0"/>
        <v>1850</v>
      </c>
      <c r="Q35" s="58">
        <f>_xlfn.MAXIFS(Survey!$G$2:$G$3647,Survey!$M$2:$M$3647,Survey!$M35)-Survey!$G35</f>
        <v>692.55508120698551</v>
      </c>
      <c r="R35" s="59">
        <f>Survey!$P35+(Survey!$Q35*0.433)</f>
        <v>2149.8763501626245</v>
      </c>
    </row>
    <row r="36" spans="1:18" x14ac:dyDescent="0.25">
      <c r="A36" s="71" t="s">
        <v>17</v>
      </c>
      <c r="B36" s="72" t="s">
        <v>18</v>
      </c>
      <c r="C36" s="73" t="s">
        <v>19</v>
      </c>
      <c r="D36" s="74">
        <v>227.43211532015883</v>
      </c>
      <c r="E36" s="81">
        <v>1228249</v>
      </c>
      <c r="F36" s="82">
        <v>1201769.2786885258</v>
      </c>
      <c r="G36" s="75">
        <v>1669.0065403401316</v>
      </c>
      <c r="H36" s="76">
        <v>2</v>
      </c>
      <c r="I36" s="54" t="s">
        <v>20</v>
      </c>
      <c r="J36" s="77">
        <v>40</v>
      </c>
      <c r="K36" s="78">
        <v>2</v>
      </c>
      <c r="L36" s="54">
        <v>1</v>
      </c>
      <c r="M36" s="54">
        <f>_xlfn.XLOOKUP(Survey!$F36,sections[Start],sections[Test Section],,-1,1)</f>
        <v>1</v>
      </c>
      <c r="N36" s="55">
        <f>_xlfn.XLOOKUP(Survey!$K36,pipedata[ID],pipedata[WT])</f>
        <v>0.74</v>
      </c>
      <c r="O36" s="56">
        <f>_xlfn.XLOOKUP(Survey!$K36,pipedata[ID],pipedata[104%])</f>
        <v>2565.3333333333335</v>
      </c>
      <c r="P36" s="57">
        <f t="shared" si="0"/>
        <v>1850</v>
      </c>
      <c r="Q36" s="58">
        <f>_xlfn.MAXIFS(Survey!$G$2:$G$3647,Survey!$M$2:$M$3647,Survey!$M36)-Survey!$G36</f>
        <v>685.14354724763393</v>
      </c>
      <c r="R36" s="59">
        <f>Survey!$P36+(Survey!$Q36*0.433)</f>
        <v>2146.6671559582255</v>
      </c>
    </row>
    <row r="37" spans="1:18" x14ac:dyDescent="0.25">
      <c r="A37" s="60" t="s">
        <v>17</v>
      </c>
      <c r="B37" s="61" t="s">
        <v>18</v>
      </c>
      <c r="C37" s="62" t="s">
        <v>19</v>
      </c>
      <c r="D37" s="63">
        <v>227.43995769020296</v>
      </c>
      <c r="E37" s="79">
        <v>1228289</v>
      </c>
      <c r="F37" s="80">
        <v>1201806.0819672144</v>
      </c>
      <c r="G37" s="66">
        <v>1674.8760326544334</v>
      </c>
      <c r="H37" s="67">
        <v>2</v>
      </c>
      <c r="I37" s="68" t="s">
        <v>20</v>
      </c>
      <c r="J37" s="69">
        <v>40</v>
      </c>
      <c r="K37" s="70">
        <v>2</v>
      </c>
      <c r="L37" s="68">
        <v>1</v>
      </c>
      <c r="M37" s="68">
        <f>_xlfn.XLOOKUP(Survey!$F37,sections[Start],sections[Test Section],,-1,1)</f>
        <v>1</v>
      </c>
      <c r="N37" s="55">
        <f>_xlfn.XLOOKUP(Survey!$K37,pipedata[ID],pipedata[WT])</f>
        <v>0.74</v>
      </c>
      <c r="O37" s="56">
        <f>_xlfn.XLOOKUP(Survey!$K37,pipedata[ID],pipedata[104%])</f>
        <v>2565.3333333333335</v>
      </c>
      <c r="P37" s="57">
        <f t="shared" si="0"/>
        <v>1850</v>
      </c>
      <c r="Q37" s="58">
        <f>_xlfn.MAXIFS(Survey!$G$2:$G$3647,Survey!$M$2:$M$3647,Survey!$M37)-Survey!$G37</f>
        <v>679.27405493333208</v>
      </c>
      <c r="R37" s="59">
        <f>Survey!$P37+(Survey!$Q37*0.433)</f>
        <v>2144.1256657861327</v>
      </c>
    </row>
    <row r="38" spans="1:18" x14ac:dyDescent="0.25">
      <c r="A38" s="71" t="s">
        <v>17</v>
      </c>
      <c r="B38" s="72" t="s">
        <v>18</v>
      </c>
      <c r="C38" s="73" t="s">
        <v>19</v>
      </c>
      <c r="D38" s="74">
        <v>227.44665183636641</v>
      </c>
      <c r="E38" s="81">
        <v>1228329</v>
      </c>
      <c r="F38" s="82">
        <v>1201842.8852459029</v>
      </c>
      <c r="G38" s="75">
        <v>1678.8172933403259</v>
      </c>
      <c r="H38" s="76">
        <v>2</v>
      </c>
      <c r="I38" s="54" t="s">
        <v>20</v>
      </c>
      <c r="J38" s="77">
        <v>40</v>
      </c>
      <c r="K38" s="78">
        <v>2</v>
      </c>
      <c r="L38" s="54">
        <v>1</v>
      </c>
      <c r="M38" s="54">
        <f>_xlfn.XLOOKUP(Survey!$F38,sections[Start],sections[Test Section],,-1,1)</f>
        <v>1</v>
      </c>
      <c r="N38" s="55">
        <f>_xlfn.XLOOKUP(Survey!$K38,pipedata[ID],pipedata[WT])</f>
        <v>0.74</v>
      </c>
      <c r="O38" s="56">
        <f>_xlfn.XLOOKUP(Survey!$K38,pipedata[ID],pipedata[104%])</f>
        <v>2565.3333333333335</v>
      </c>
      <c r="P38" s="57">
        <f t="shared" si="0"/>
        <v>1850</v>
      </c>
      <c r="Q38" s="58">
        <f>_xlfn.MAXIFS(Survey!$G$2:$G$3647,Survey!$M$2:$M$3647,Survey!$M38)-Survey!$G38</f>
        <v>675.33279424743955</v>
      </c>
      <c r="R38" s="59">
        <f>Survey!$P38+(Survey!$Q38*0.433)</f>
        <v>2142.4190999091416</v>
      </c>
    </row>
    <row r="39" spans="1:18" x14ac:dyDescent="0.25">
      <c r="A39" s="60" t="s">
        <v>17</v>
      </c>
      <c r="B39" s="61" t="s">
        <v>18</v>
      </c>
      <c r="C39" s="62" t="s">
        <v>19</v>
      </c>
      <c r="D39" s="63">
        <v>227.45334598252921</v>
      </c>
      <c r="E39" s="79">
        <v>1228369</v>
      </c>
      <c r="F39" s="80">
        <v>1201879.6885245915</v>
      </c>
      <c r="G39" s="66">
        <v>1683.32</v>
      </c>
      <c r="H39" s="67">
        <v>2</v>
      </c>
      <c r="I39" s="68" t="s">
        <v>20</v>
      </c>
      <c r="J39" s="69">
        <v>40</v>
      </c>
      <c r="K39" s="70">
        <v>2</v>
      </c>
      <c r="L39" s="68">
        <v>1</v>
      </c>
      <c r="M39" s="68">
        <f>_xlfn.XLOOKUP(Survey!$F39,sections[Start],sections[Test Section],,-1,1)</f>
        <v>1</v>
      </c>
      <c r="N39" s="55">
        <f>_xlfn.XLOOKUP(Survey!$K39,pipedata[ID],pipedata[WT])</f>
        <v>0.74</v>
      </c>
      <c r="O39" s="56">
        <f>_xlfn.XLOOKUP(Survey!$K39,pipedata[ID],pipedata[104%])</f>
        <v>2565.3333333333335</v>
      </c>
      <c r="P39" s="57">
        <f t="shared" si="0"/>
        <v>1850</v>
      </c>
      <c r="Q39" s="58">
        <f>_xlfn.MAXIFS(Survey!$G$2:$G$3647,Survey!$M$2:$M$3647,Survey!$M39)-Survey!$G39</f>
        <v>670.83008758776555</v>
      </c>
      <c r="R39" s="59">
        <f>Survey!$P39+(Survey!$Q39*0.433)</f>
        <v>2140.4694279255027</v>
      </c>
    </row>
    <row r="40" spans="1:18" x14ac:dyDescent="0.25">
      <c r="A40" s="71" t="s">
        <v>17</v>
      </c>
      <c r="B40" s="72" t="s">
        <v>18</v>
      </c>
      <c r="C40" s="73" t="s">
        <v>19</v>
      </c>
      <c r="D40" s="74">
        <v>227.46051451679241</v>
      </c>
      <c r="E40" s="81">
        <v>1228409</v>
      </c>
      <c r="F40" s="82">
        <v>1201916.4918032801</v>
      </c>
      <c r="G40" s="75">
        <v>1690.352672569044</v>
      </c>
      <c r="H40" s="76">
        <v>2</v>
      </c>
      <c r="I40" s="54" t="s">
        <v>20</v>
      </c>
      <c r="J40" s="77">
        <v>40</v>
      </c>
      <c r="K40" s="78">
        <v>2</v>
      </c>
      <c r="L40" s="54">
        <v>1</v>
      </c>
      <c r="M40" s="54">
        <f>_xlfn.XLOOKUP(Survey!$F40,sections[Start],sections[Test Section],,-1,1)</f>
        <v>1</v>
      </c>
      <c r="N40" s="55">
        <f>_xlfn.XLOOKUP(Survey!$K40,pipedata[ID],pipedata[WT])</f>
        <v>0.74</v>
      </c>
      <c r="O40" s="56">
        <f>_xlfn.XLOOKUP(Survey!$K40,pipedata[ID],pipedata[104%])</f>
        <v>2565.3333333333335</v>
      </c>
      <c r="P40" s="57">
        <f t="shared" si="0"/>
        <v>1850</v>
      </c>
      <c r="Q40" s="58">
        <f>_xlfn.MAXIFS(Survey!$G$2:$G$3647,Survey!$M$2:$M$3647,Survey!$M40)-Survey!$G40</f>
        <v>663.79741501872149</v>
      </c>
      <c r="R40" s="59">
        <f>Survey!$P40+(Survey!$Q40*0.433)</f>
        <v>2137.4242807031064</v>
      </c>
    </row>
    <row r="41" spans="1:18" x14ac:dyDescent="0.25">
      <c r="A41" s="60" t="s">
        <v>17</v>
      </c>
      <c r="B41" s="61" t="s">
        <v>18</v>
      </c>
      <c r="C41" s="62" t="s">
        <v>19</v>
      </c>
      <c r="D41" s="63">
        <v>227.46937715980837</v>
      </c>
      <c r="E41" s="79">
        <v>1228449</v>
      </c>
      <c r="F41" s="80">
        <v>1201953.2950819687</v>
      </c>
      <c r="G41" s="66">
        <v>1696.836123165898</v>
      </c>
      <c r="H41" s="67">
        <v>2</v>
      </c>
      <c r="I41" s="68" t="s">
        <v>20</v>
      </c>
      <c r="J41" s="69">
        <v>40</v>
      </c>
      <c r="K41" s="70">
        <v>2</v>
      </c>
      <c r="L41" s="68">
        <v>1</v>
      </c>
      <c r="M41" s="68">
        <f>_xlfn.XLOOKUP(Survey!$F41,sections[Start],sections[Test Section],,-1,1)</f>
        <v>1</v>
      </c>
      <c r="N41" s="55">
        <f>_xlfn.XLOOKUP(Survey!$K41,pipedata[ID],pipedata[WT])</f>
        <v>0.74</v>
      </c>
      <c r="O41" s="56">
        <f>_xlfn.XLOOKUP(Survey!$K41,pipedata[ID],pipedata[104%])</f>
        <v>2565.3333333333335</v>
      </c>
      <c r="P41" s="57">
        <f t="shared" si="0"/>
        <v>1850</v>
      </c>
      <c r="Q41" s="58">
        <f>_xlfn.MAXIFS(Survey!$G$2:$G$3647,Survey!$M$2:$M$3647,Survey!$M41)-Survey!$G41</f>
        <v>657.31396442186747</v>
      </c>
      <c r="R41" s="59">
        <f>Survey!$P41+(Survey!$Q41*0.433)</f>
        <v>2134.6169465946687</v>
      </c>
    </row>
    <row r="42" spans="1:18" x14ac:dyDescent="0.25">
      <c r="A42" s="71" t="s">
        <v>17</v>
      </c>
      <c r="B42" s="72" t="s">
        <v>18</v>
      </c>
      <c r="C42" s="73" t="s">
        <v>19</v>
      </c>
      <c r="D42" s="74">
        <v>227.47677549410156</v>
      </c>
      <c r="E42" s="81">
        <v>1228489</v>
      </c>
      <c r="F42" s="82">
        <v>1201990.0983606572</v>
      </c>
      <c r="G42" s="75">
        <v>1704.2825252603329</v>
      </c>
      <c r="H42" s="76">
        <v>2</v>
      </c>
      <c r="I42" s="54" t="s">
        <v>20</v>
      </c>
      <c r="J42" s="77">
        <v>40</v>
      </c>
      <c r="K42" s="78">
        <v>2</v>
      </c>
      <c r="L42" s="54">
        <v>1</v>
      </c>
      <c r="M42" s="54">
        <f>_xlfn.XLOOKUP(Survey!$F42,sections[Start],sections[Test Section],,-1,1)</f>
        <v>1</v>
      </c>
      <c r="N42" s="55">
        <f>_xlfn.XLOOKUP(Survey!$K42,pipedata[ID],pipedata[WT])</f>
        <v>0.74</v>
      </c>
      <c r="O42" s="56">
        <f>_xlfn.XLOOKUP(Survey!$K42,pipedata[ID],pipedata[104%])</f>
        <v>2565.3333333333335</v>
      </c>
      <c r="P42" s="57">
        <f t="shared" si="0"/>
        <v>1850</v>
      </c>
      <c r="Q42" s="58">
        <f>_xlfn.MAXIFS(Survey!$G$2:$G$3647,Survey!$M$2:$M$3647,Survey!$M42)-Survey!$G42</f>
        <v>649.86756232743255</v>
      </c>
      <c r="R42" s="59">
        <f>Survey!$P42+(Survey!$Q42*0.433)</f>
        <v>2131.3926544877781</v>
      </c>
    </row>
    <row r="43" spans="1:18" x14ac:dyDescent="0.25">
      <c r="A43" s="60" t="s">
        <v>17</v>
      </c>
      <c r="B43" s="61" t="s">
        <v>18</v>
      </c>
      <c r="C43" s="62" t="s">
        <v>19</v>
      </c>
      <c r="D43" s="63">
        <v>227.48346964026453</v>
      </c>
      <c r="E43" s="79">
        <v>1228529</v>
      </c>
      <c r="F43" s="80">
        <v>1202026.9016393458</v>
      </c>
      <c r="G43" s="66">
        <v>1713.2378444225972</v>
      </c>
      <c r="H43" s="67">
        <v>2</v>
      </c>
      <c r="I43" s="68" t="s">
        <v>20</v>
      </c>
      <c r="J43" s="69">
        <v>40</v>
      </c>
      <c r="K43" s="70">
        <v>2</v>
      </c>
      <c r="L43" s="68">
        <v>1</v>
      </c>
      <c r="M43" s="68">
        <f>_xlfn.XLOOKUP(Survey!$F43,sections[Start],sections[Test Section],,-1,1)</f>
        <v>1</v>
      </c>
      <c r="N43" s="55">
        <f>_xlfn.XLOOKUP(Survey!$K43,pipedata[ID],pipedata[WT])</f>
        <v>0.74</v>
      </c>
      <c r="O43" s="56">
        <f>_xlfn.XLOOKUP(Survey!$K43,pipedata[ID],pipedata[104%])</f>
        <v>2565.3333333333335</v>
      </c>
      <c r="P43" s="57">
        <f t="shared" si="0"/>
        <v>1850</v>
      </c>
      <c r="Q43" s="58">
        <f>_xlfn.MAXIFS(Survey!$G$2:$G$3647,Survey!$M$2:$M$3647,Survey!$M43)-Survey!$G43</f>
        <v>640.91224316516832</v>
      </c>
      <c r="R43" s="59">
        <f>Survey!$P43+(Survey!$Q43*0.433)</f>
        <v>2127.5150012905178</v>
      </c>
    </row>
    <row r="44" spans="1:18" x14ac:dyDescent="0.25">
      <c r="A44" s="71" t="s">
        <v>17</v>
      </c>
      <c r="B44" s="72" t="s">
        <v>18</v>
      </c>
      <c r="C44" s="73" t="s">
        <v>19</v>
      </c>
      <c r="D44" s="74">
        <v>227.4901637864281</v>
      </c>
      <c r="E44" s="81">
        <v>1228569</v>
      </c>
      <c r="F44" s="82">
        <v>1202063.7049180344</v>
      </c>
      <c r="G44" s="75">
        <v>1722.6854770945774</v>
      </c>
      <c r="H44" s="76">
        <v>2</v>
      </c>
      <c r="I44" s="54" t="s">
        <v>20</v>
      </c>
      <c r="J44" s="77">
        <v>40</v>
      </c>
      <c r="K44" s="78">
        <v>2</v>
      </c>
      <c r="L44" s="54">
        <v>1</v>
      </c>
      <c r="M44" s="54">
        <f>_xlfn.XLOOKUP(Survey!$F44,sections[Start],sections[Test Section],,-1,1)</f>
        <v>1</v>
      </c>
      <c r="N44" s="55">
        <f>_xlfn.XLOOKUP(Survey!$K44,pipedata[ID],pipedata[WT])</f>
        <v>0.74</v>
      </c>
      <c r="O44" s="56">
        <f>_xlfn.XLOOKUP(Survey!$K44,pipedata[ID],pipedata[104%])</f>
        <v>2565.3333333333335</v>
      </c>
      <c r="P44" s="57">
        <f t="shared" si="0"/>
        <v>1850</v>
      </c>
      <c r="Q44" s="58">
        <f>_xlfn.MAXIFS(Survey!$G$2:$G$3647,Survey!$M$2:$M$3647,Survey!$M44)-Survey!$G44</f>
        <v>631.46461049318805</v>
      </c>
      <c r="R44" s="59">
        <f>Survey!$P44+(Survey!$Q44*0.433)</f>
        <v>2123.4241763435502</v>
      </c>
    </row>
    <row r="45" spans="1:18" x14ac:dyDescent="0.25">
      <c r="A45" s="60" t="s">
        <v>17</v>
      </c>
      <c r="B45" s="61" t="s">
        <v>18</v>
      </c>
      <c r="C45" s="62" t="s">
        <v>19</v>
      </c>
      <c r="D45" s="63">
        <v>227.49712523173696</v>
      </c>
      <c r="E45" s="79">
        <v>1228609</v>
      </c>
      <c r="F45" s="80">
        <v>1202100.5081967229</v>
      </c>
      <c r="G45" s="66">
        <v>1734.0090890792198</v>
      </c>
      <c r="H45" s="67">
        <v>2</v>
      </c>
      <c r="I45" s="68" t="s">
        <v>20</v>
      </c>
      <c r="J45" s="69">
        <v>40</v>
      </c>
      <c r="K45" s="70">
        <v>2</v>
      </c>
      <c r="L45" s="68">
        <v>1</v>
      </c>
      <c r="M45" s="68">
        <f>_xlfn.XLOOKUP(Survey!$F45,sections[Start],sections[Test Section],,-1,1)</f>
        <v>1</v>
      </c>
      <c r="N45" s="55">
        <f>_xlfn.XLOOKUP(Survey!$K45,pipedata[ID],pipedata[WT])</f>
        <v>0.74</v>
      </c>
      <c r="O45" s="56">
        <f>_xlfn.XLOOKUP(Survey!$K45,pipedata[ID],pipedata[104%])</f>
        <v>2565.3333333333335</v>
      </c>
      <c r="P45" s="57">
        <f t="shared" si="0"/>
        <v>1850</v>
      </c>
      <c r="Q45" s="58">
        <f>_xlfn.MAXIFS(Survey!$G$2:$G$3647,Survey!$M$2:$M$3647,Survey!$M45)-Survey!$G45</f>
        <v>620.14099850854564</v>
      </c>
      <c r="R45" s="59">
        <f>Survey!$P45+(Survey!$Q45*0.433)</f>
        <v>2118.5210523542</v>
      </c>
    </row>
    <row r="46" spans="1:18" x14ac:dyDescent="0.25">
      <c r="A46" s="71" t="s">
        <v>17</v>
      </c>
      <c r="B46" s="72" t="s">
        <v>18</v>
      </c>
      <c r="C46" s="73" t="s">
        <v>19</v>
      </c>
      <c r="D46" s="74">
        <v>227.50444737472506</v>
      </c>
      <c r="E46" s="81">
        <v>1228649</v>
      </c>
      <c r="F46" s="82">
        <v>1202137.3114754115</v>
      </c>
      <c r="G46" s="75">
        <v>1746.539152157791</v>
      </c>
      <c r="H46" s="76">
        <v>2</v>
      </c>
      <c r="I46" s="54" t="s">
        <v>20</v>
      </c>
      <c r="J46" s="77">
        <v>40</v>
      </c>
      <c r="K46" s="78">
        <v>2</v>
      </c>
      <c r="L46" s="54">
        <v>1</v>
      </c>
      <c r="M46" s="54">
        <f>_xlfn.XLOOKUP(Survey!$F46,sections[Start],sections[Test Section],,-1,1)</f>
        <v>1</v>
      </c>
      <c r="N46" s="55">
        <f>_xlfn.XLOOKUP(Survey!$K46,pipedata[ID],pipedata[WT])</f>
        <v>0.74</v>
      </c>
      <c r="O46" s="56">
        <f>_xlfn.XLOOKUP(Survey!$K46,pipedata[ID],pipedata[104%])</f>
        <v>2565.3333333333335</v>
      </c>
      <c r="P46" s="57">
        <f t="shared" si="0"/>
        <v>1850</v>
      </c>
      <c r="Q46" s="58">
        <f>_xlfn.MAXIFS(Survey!$G$2:$G$3647,Survey!$M$2:$M$3647,Survey!$M46)-Survey!$G46</f>
        <v>607.61093542997446</v>
      </c>
      <c r="R46" s="59">
        <f>Survey!$P46+(Survey!$Q46*0.433)</f>
        <v>2113.0955350411791</v>
      </c>
    </row>
    <row r="47" spans="1:18" x14ac:dyDescent="0.25">
      <c r="A47" s="60" t="s">
        <v>17</v>
      </c>
      <c r="B47" s="61" t="s">
        <v>18</v>
      </c>
      <c r="C47" s="62" t="s">
        <v>19</v>
      </c>
      <c r="D47" s="63">
        <v>227.51176951771211</v>
      </c>
      <c r="E47" s="79">
        <v>1228689</v>
      </c>
      <c r="F47" s="80">
        <v>1202174.1147541001</v>
      </c>
      <c r="G47" s="66">
        <v>1761.4568374299745</v>
      </c>
      <c r="H47" s="67">
        <v>2</v>
      </c>
      <c r="I47" s="68" t="s">
        <v>20</v>
      </c>
      <c r="J47" s="69">
        <v>40</v>
      </c>
      <c r="K47" s="70">
        <v>2</v>
      </c>
      <c r="L47" s="68">
        <v>1</v>
      </c>
      <c r="M47" s="68">
        <f>_xlfn.XLOOKUP(Survey!$F47,sections[Start],sections[Test Section],,-1,1)</f>
        <v>1</v>
      </c>
      <c r="N47" s="55">
        <f>_xlfn.XLOOKUP(Survey!$K47,pipedata[ID],pipedata[WT])</f>
        <v>0.74</v>
      </c>
      <c r="O47" s="56">
        <f>_xlfn.XLOOKUP(Survey!$K47,pipedata[ID],pipedata[104%])</f>
        <v>2565.3333333333335</v>
      </c>
      <c r="P47" s="57">
        <f t="shared" si="0"/>
        <v>1850</v>
      </c>
      <c r="Q47" s="58">
        <f>_xlfn.MAXIFS(Survey!$G$2:$G$3647,Survey!$M$2:$M$3647,Survey!$M47)-Survey!$G47</f>
        <v>592.693250157791</v>
      </c>
      <c r="R47" s="59">
        <f>Survey!$P47+(Survey!$Q47*0.433)</f>
        <v>2106.6361773183235</v>
      </c>
    </row>
    <row r="48" spans="1:18" x14ac:dyDescent="0.25">
      <c r="A48" s="71" t="s">
        <v>17</v>
      </c>
      <c r="B48" s="72" t="s">
        <v>18</v>
      </c>
      <c r="C48" s="73" t="s">
        <v>19</v>
      </c>
      <c r="D48" s="74">
        <v>227.5190916607018</v>
      </c>
      <c r="E48" s="81">
        <v>1228729</v>
      </c>
      <c r="F48" s="82">
        <v>1202210.9180327887</v>
      </c>
      <c r="G48" s="75">
        <v>1774.5112757908448</v>
      </c>
      <c r="H48" s="76">
        <v>2</v>
      </c>
      <c r="I48" s="54" t="s">
        <v>20</v>
      </c>
      <c r="J48" s="77">
        <v>40</v>
      </c>
      <c r="K48" s="78">
        <v>2</v>
      </c>
      <c r="L48" s="54">
        <v>1</v>
      </c>
      <c r="M48" s="54">
        <f>_xlfn.XLOOKUP(Survey!$F48,sections[Start],sections[Test Section],,-1,1)</f>
        <v>1</v>
      </c>
      <c r="N48" s="55">
        <f>_xlfn.XLOOKUP(Survey!$K48,pipedata[ID],pipedata[WT])</f>
        <v>0.74</v>
      </c>
      <c r="O48" s="56">
        <f>_xlfn.XLOOKUP(Survey!$K48,pipedata[ID],pipedata[104%])</f>
        <v>2565.3333333333335</v>
      </c>
      <c r="P48" s="57">
        <f t="shared" si="0"/>
        <v>1850</v>
      </c>
      <c r="Q48" s="58">
        <f>_xlfn.MAXIFS(Survey!$G$2:$G$3647,Survey!$M$2:$M$3647,Survey!$M48)-Survey!$G48</f>
        <v>579.63881179692066</v>
      </c>
      <c r="R48" s="59">
        <f>Survey!$P48+(Survey!$Q48*0.433)</f>
        <v>2100.9836055080668</v>
      </c>
    </row>
    <row r="49" spans="1:18" x14ac:dyDescent="0.25">
      <c r="A49" s="60" t="s">
        <v>17</v>
      </c>
      <c r="B49" s="61" t="s">
        <v>18</v>
      </c>
      <c r="C49" s="62" t="s">
        <v>19</v>
      </c>
      <c r="D49" s="63">
        <v>227.52450641587194</v>
      </c>
      <c r="E49" s="79">
        <v>1228769</v>
      </c>
      <c r="F49" s="80">
        <v>1202247.7213114772</v>
      </c>
      <c r="G49" s="66">
        <v>1787.4974731079647</v>
      </c>
      <c r="H49" s="67">
        <v>2</v>
      </c>
      <c r="I49" s="68" t="s">
        <v>20</v>
      </c>
      <c r="J49" s="69">
        <v>40</v>
      </c>
      <c r="K49" s="70">
        <v>2</v>
      </c>
      <c r="L49" s="68">
        <v>1</v>
      </c>
      <c r="M49" s="68">
        <f>_xlfn.XLOOKUP(Survey!$F49,sections[Start],sections[Test Section],,-1,1)</f>
        <v>1</v>
      </c>
      <c r="N49" s="55">
        <f>_xlfn.XLOOKUP(Survey!$K49,pipedata[ID],pipedata[WT])</f>
        <v>0.74</v>
      </c>
      <c r="O49" s="56">
        <f>_xlfn.XLOOKUP(Survey!$K49,pipedata[ID],pipedata[104%])</f>
        <v>2565.3333333333335</v>
      </c>
      <c r="P49" s="57">
        <f t="shared" si="0"/>
        <v>1850</v>
      </c>
      <c r="Q49" s="58">
        <f>_xlfn.MAXIFS(Survey!$G$2:$G$3647,Survey!$M$2:$M$3647,Survey!$M49)-Survey!$G49</f>
        <v>566.65261447980083</v>
      </c>
      <c r="R49" s="59">
        <f>Survey!$P49+(Survey!$Q49*0.433)</f>
        <v>2095.3605820697539</v>
      </c>
    </row>
    <row r="50" spans="1:18" x14ac:dyDescent="0.25">
      <c r="A50" s="71" t="s">
        <v>17</v>
      </c>
      <c r="B50" s="72" t="s">
        <v>18</v>
      </c>
      <c r="C50" s="73" t="s">
        <v>19</v>
      </c>
      <c r="D50" s="74">
        <v>227.53139757287965</v>
      </c>
      <c r="E50" s="81">
        <v>1228809</v>
      </c>
      <c r="F50" s="82">
        <v>1202284.5245901658</v>
      </c>
      <c r="G50" s="75">
        <v>1801.834889021987</v>
      </c>
      <c r="H50" s="76">
        <v>2</v>
      </c>
      <c r="I50" s="54" t="s">
        <v>20</v>
      </c>
      <c r="J50" s="77">
        <v>40</v>
      </c>
      <c r="K50" s="78">
        <v>2</v>
      </c>
      <c r="L50" s="54">
        <v>1</v>
      </c>
      <c r="M50" s="54">
        <f>_xlfn.XLOOKUP(Survey!$F50,sections[Start],sections[Test Section],,-1,1)</f>
        <v>1</v>
      </c>
      <c r="N50" s="55">
        <f>_xlfn.XLOOKUP(Survey!$K50,pipedata[ID],pipedata[WT])</f>
        <v>0.74</v>
      </c>
      <c r="O50" s="56">
        <f>_xlfn.XLOOKUP(Survey!$K50,pipedata[ID],pipedata[104%])</f>
        <v>2565.3333333333335</v>
      </c>
      <c r="P50" s="57">
        <f t="shared" si="0"/>
        <v>1850</v>
      </c>
      <c r="Q50" s="58">
        <f>_xlfn.MAXIFS(Survey!$G$2:$G$3647,Survey!$M$2:$M$3647,Survey!$M50)-Survey!$G50</f>
        <v>552.31519856577847</v>
      </c>
      <c r="R50" s="59">
        <f>Survey!$P50+(Survey!$Q50*0.433)</f>
        <v>2089.1524809789821</v>
      </c>
    </row>
    <row r="51" spans="1:18" x14ac:dyDescent="0.25">
      <c r="A51" s="60" t="s">
        <v>17</v>
      </c>
      <c r="B51" s="61" t="s">
        <v>18</v>
      </c>
      <c r="C51" s="62" t="s">
        <v>19</v>
      </c>
      <c r="D51" s="63">
        <v>227.53828872988785</v>
      </c>
      <c r="E51" s="79">
        <v>1228849</v>
      </c>
      <c r="F51" s="80">
        <v>1202321.3278688544</v>
      </c>
      <c r="G51" s="66">
        <v>1816.6356587215755</v>
      </c>
      <c r="H51" s="67">
        <v>2</v>
      </c>
      <c r="I51" s="68" t="s">
        <v>20</v>
      </c>
      <c r="J51" s="69">
        <v>40</v>
      </c>
      <c r="K51" s="70">
        <v>2</v>
      </c>
      <c r="L51" s="68">
        <v>1</v>
      </c>
      <c r="M51" s="68">
        <f>_xlfn.XLOOKUP(Survey!$F51,sections[Start],sections[Test Section],,-1,1)</f>
        <v>1</v>
      </c>
      <c r="N51" s="55">
        <f>_xlfn.XLOOKUP(Survey!$K51,pipedata[ID],pipedata[WT])</f>
        <v>0.74</v>
      </c>
      <c r="O51" s="56">
        <f>_xlfn.XLOOKUP(Survey!$K51,pipedata[ID],pipedata[104%])</f>
        <v>2565.3333333333335</v>
      </c>
      <c r="P51" s="57">
        <f t="shared" si="0"/>
        <v>1850</v>
      </c>
      <c r="Q51" s="58">
        <f>_xlfn.MAXIFS(Survey!$G$2:$G$3647,Survey!$M$2:$M$3647,Survey!$M51)-Survey!$G51</f>
        <v>537.51442886618997</v>
      </c>
      <c r="R51" s="59">
        <f>Survey!$P51+(Survey!$Q51*0.433)</f>
        <v>2082.7437476990603</v>
      </c>
    </row>
    <row r="52" spans="1:18" x14ac:dyDescent="0.25">
      <c r="A52" s="71" t="s">
        <v>17</v>
      </c>
      <c r="B52" s="72" t="s">
        <v>18</v>
      </c>
      <c r="C52" s="73" t="s">
        <v>19</v>
      </c>
      <c r="D52" s="74">
        <v>227.54517988689582</v>
      </c>
      <c r="E52" s="81">
        <v>1228889</v>
      </c>
      <c r="F52" s="82">
        <v>1202358.131147543</v>
      </c>
      <c r="G52" s="75">
        <v>1833.9974453446464</v>
      </c>
      <c r="H52" s="76">
        <v>2</v>
      </c>
      <c r="I52" s="54" t="s">
        <v>20</v>
      </c>
      <c r="J52" s="77">
        <v>40</v>
      </c>
      <c r="K52" s="78">
        <v>2</v>
      </c>
      <c r="L52" s="54">
        <v>1</v>
      </c>
      <c r="M52" s="54">
        <f>_xlfn.XLOOKUP(Survey!$F52,sections[Start],sections[Test Section],,-1,1)</f>
        <v>1</v>
      </c>
      <c r="N52" s="55">
        <f>_xlfn.XLOOKUP(Survey!$K52,pipedata[ID],pipedata[WT])</f>
        <v>0.74</v>
      </c>
      <c r="O52" s="56">
        <f>_xlfn.XLOOKUP(Survey!$K52,pipedata[ID],pipedata[104%])</f>
        <v>2565.3333333333335</v>
      </c>
      <c r="P52" s="57">
        <f t="shared" si="0"/>
        <v>1850</v>
      </c>
      <c r="Q52" s="58">
        <f>_xlfn.MAXIFS(Survey!$G$2:$G$3647,Survey!$M$2:$M$3647,Survey!$M52)-Survey!$G52</f>
        <v>520.15264224311909</v>
      </c>
      <c r="R52" s="59">
        <f>Survey!$P52+(Survey!$Q52*0.433)</f>
        <v>2075.2260940912706</v>
      </c>
    </row>
    <row r="53" spans="1:18" x14ac:dyDescent="0.25">
      <c r="A53" s="60" t="s">
        <v>17</v>
      </c>
      <c r="B53" s="61" t="s">
        <v>18</v>
      </c>
      <c r="C53" s="62" t="s">
        <v>19</v>
      </c>
      <c r="D53" s="63">
        <v>227.55207104390354</v>
      </c>
      <c r="E53" s="79">
        <v>1228929</v>
      </c>
      <c r="F53" s="80">
        <v>1202394.9344262315</v>
      </c>
      <c r="G53" s="66">
        <v>1851.9422184803011</v>
      </c>
      <c r="H53" s="67">
        <v>2</v>
      </c>
      <c r="I53" s="68" t="s">
        <v>20</v>
      </c>
      <c r="J53" s="69">
        <v>40</v>
      </c>
      <c r="K53" s="70">
        <v>2</v>
      </c>
      <c r="L53" s="68">
        <v>1</v>
      </c>
      <c r="M53" s="68">
        <f>_xlfn.XLOOKUP(Survey!$F53,sections[Start],sections[Test Section],,-1,1)</f>
        <v>1</v>
      </c>
      <c r="N53" s="55">
        <f>_xlfn.XLOOKUP(Survey!$K53,pipedata[ID],pipedata[WT])</f>
        <v>0.74</v>
      </c>
      <c r="O53" s="56">
        <f>_xlfn.XLOOKUP(Survey!$K53,pipedata[ID],pipedata[104%])</f>
        <v>2565.3333333333335</v>
      </c>
      <c r="P53" s="57">
        <f t="shared" si="0"/>
        <v>1850</v>
      </c>
      <c r="Q53" s="58">
        <f>_xlfn.MAXIFS(Survey!$G$2:$G$3647,Survey!$M$2:$M$3647,Survey!$M53)-Survey!$G53</f>
        <v>502.20786910746438</v>
      </c>
      <c r="R53" s="59">
        <f>Survey!$P53+(Survey!$Q53*0.433)</f>
        <v>2067.456007323532</v>
      </c>
    </row>
    <row r="54" spans="1:18" x14ac:dyDescent="0.25">
      <c r="A54" s="71" t="s">
        <v>17</v>
      </c>
      <c r="B54" s="72" t="s">
        <v>18</v>
      </c>
      <c r="C54" s="73" t="s">
        <v>19</v>
      </c>
      <c r="D54" s="74">
        <v>227.55896220091151</v>
      </c>
      <c r="E54" s="81">
        <v>1228969</v>
      </c>
      <c r="F54" s="82">
        <v>1202431.7377049201</v>
      </c>
      <c r="G54" s="75">
        <v>1872.1216465159391</v>
      </c>
      <c r="H54" s="76">
        <v>2</v>
      </c>
      <c r="I54" s="54" t="s">
        <v>20</v>
      </c>
      <c r="J54" s="77">
        <v>40</v>
      </c>
      <c r="K54" s="78">
        <v>2</v>
      </c>
      <c r="L54" s="54">
        <v>1</v>
      </c>
      <c r="M54" s="54">
        <f>_xlfn.XLOOKUP(Survey!$F54,sections[Start],sections[Test Section],,-1,1)</f>
        <v>1</v>
      </c>
      <c r="N54" s="55">
        <f>_xlfn.XLOOKUP(Survey!$K54,pipedata[ID],pipedata[WT])</f>
        <v>0.74</v>
      </c>
      <c r="O54" s="56">
        <f>_xlfn.XLOOKUP(Survey!$K54,pipedata[ID],pipedata[104%])</f>
        <v>2565.3333333333335</v>
      </c>
      <c r="P54" s="57">
        <f t="shared" si="0"/>
        <v>1850</v>
      </c>
      <c r="Q54" s="58">
        <f>_xlfn.MAXIFS(Survey!$G$2:$G$3647,Survey!$M$2:$M$3647,Survey!$M54)-Survey!$G54</f>
        <v>482.02844107182636</v>
      </c>
      <c r="R54" s="59">
        <f>Survey!$P54+(Survey!$Q54*0.433)</f>
        <v>2058.7183149841007</v>
      </c>
    </row>
    <row r="55" spans="1:18" x14ac:dyDescent="0.25">
      <c r="A55" s="60" t="s">
        <v>17</v>
      </c>
      <c r="B55" s="61" t="s">
        <v>18</v>
      </c>
      <c r="C55" s="62" t="s">
        <v>19</v>
      </c>
      <c r="D55" s="63">
        <v>227.56379939422268</v>
      </c>
      <c r="E55" s="79">
        <v>1229009</v>
      </c>
      <c r="F55" s="80">
        <v>1202468.5409836087</v>
      </c>
      <c r="G55" s="66">
        <v>1893.8286096962058</v>
      </c>
      <c r="H55" s="67">
        <v>2</v>
      </c>
      <c r="I55" s="68" t="s">
        <v>20</v>
      </c>
      <c r="J55" s="69">
        <v>40</v>
      </c>
      <c r="K55" s="70">
        <v>2</v>
      </c>
      <c r="L55" s="68">
        <v>1</v>
      </c>
      <c r="M55" s="68">
        <f>_xlfn.XLOOKUP(Survey!$F55,sections[Start],sections[Test Section],,-1,1)</f>
        <v>1</v>
      </c>
      <c r="N55" s="55">
        <f>_xlfn.XLOOKUP(Survey!$K55,pipedata[ID],pipedata[WT])</f>
        <v>0.74</v>
      </c>
      <c r="O55" s="56">
        <f>_xlfn.XLOOKUP(Survey!$K55,pipedata[ID],pipedata[104%])</f>
        <v>2565.3333333333335</v>
      </c>
      <c r="P55" s="57">
        <f t="shared" si="0"/>
        <v>1850</v>
      </c>
      <c r="Q55" s="58">
        <f>_xlfn.MAXIFS(Survey!$G$2:$G$3647,Survey!$M$2:$M$3647,Survey!$M55)-Survey!$G55</f>
        <v>460.32147789155965</v>
      </c>
      <c r="R55" s="59">
        <f>Survey!$P55+(Survey!$Q55*0.433)</f>
        <v>2049.3191999270452</v>
      </c>
    </row>
    <row r="56" spans="1:18" x14ac:dyDescent="0.25">
      <c r="A56" s="71" t="s">
        <v>17</v>
      </c>
      <c r="B56" s="72" t="s">
        <v>18</v>
      </c>
      <c r="C56" s="73" t="s">
        <v>19</v>
      </c>
      <c r="D56" s="74">
        <v>227.57049354038543</v>
      </c>
      <c r="E56" s="81">
        <v>1229049</v>
      </c>
      <c r="F56" s="82">
        <v>1202505.3442622973</v>
      </c>
      <c r="G56" s="75">
        <v>1919.5664496566142</v>
      </c>
      <c r="H56" s="76">
        <v>2</v>
      </c>
      <c r="I56" s="54" t="s">
        <v>20</v>
      </c>
      <c r="J56" s="77">
        <v>40</v>
      </c>
      <c r="K56" s="78">
        <v>2</v>
      </c>
      <c r="L56" s="54">
        <v>1</v>
      </c>
      <c r="M56" s="54">
        <f>_xlfn.XLOOKUP(Survey!$F56,sections[Start],sections[Test Section],,-1,1)</f>
        <v>1</v>
      </c>
      <c r="N56" s="55">
        <f>_xlfn.XLOOKUP(Survey!$K56,pipedata[ID],pipedata[WT])</f>
        <v>0.74</v>
      </c>
      <c r="O56" s="56">
        <f>_xlfn.XLOOKUP(Survey!$K56,pipedata[ID],pipedata[104%])</f>
        <v>2565.3333333333335</v>
      </c>
      <c r="P56" s="57">
        <f t="shared" si="0"/>
        <v>1850</v>
      </c>
      <c r="Q56" s="58">
        <f>_xlfn.MAXIFS(Survey!$G$2:$G$3647,Survey!$M$2:$M$3647,Survey!$M56)-Survey!$G56</f>
        <v>434.58363793115132</v>
      </c>
      <c r="R56" s="59">
        <f>Survey!$P56+(Survey!$Q56*0.433)</f>
        <v>2038.1747152241885</v>
      </c>
    </row>
    <row r="57" spans="1:18" x14ac:dyDescent="0.25">
      <c r="A57" s="60" t="s">
        <v>17</v>
      </c>
      <c r="B57" s="61" t="s">
        <v>18</v>
      </c>
      <c r="C57" s="62" t="s">
        <v>19</v>
      </c>
      <c r="D57" s="63">
        <v>227.57963567193536</v>
      </c>
      <c r="E57" s="79">
        <v>1229089</v>
      </c>
      <c r="F57" s="80">
        <v>1202542.1475409858</v>
      </c>
      <c r="G57" s="66">
        <v>1944.7727259414639</v>
      </c>
      <c r="H57" s="67">
        <v>2</v>
      </c>
      <c r="I57" s="68" t="s">
        <v>20</v>
      </c>
      <c r="J57" s="69">
        <v>40</v>
      </c>
      <c r="K57" s="70">
        <v>2</v>
      </c>
      <c r="L57" s="68">
        <v>1</v>
      </c>
      <c r="M57" s="68">
        <f>_xlfn.XLOOKUP(Survey!$F57,sections[Start],sections[Test Section],,-1,1)</f>
        <v>1</v>
      </c>
      <c r="N57" s="55">
        <f>_xlfn.XLOOKUP(Survey!$K57,pipedata[ID],pipedata[WT])</f>
        <v>0.74</v>
      </c>
      <c r="O57" s="56">
        <f>_xlfn.XLOOKUP(Survey!$K57,pipedata[ID],pipedata[104%])</f>
        <v>2565.3333333333335</v>
      </c>
      <c r="P57" s="57">
        <f t="shared" si="0"/>
        <v>1850</v>
      </c>
      <c r="Q57" s="58">
        <f>_xlfn.MAXIFS(Survey!$G$2:$G$3647,Survey!$M$2:$M$3647,Survey!$M57)-Survey!$G57</f>
        <v>409.37736164630155</v>
      </c>
      <c r="R57" s="59">
        <f>Survey!$P57+(Survey!$Q57*0.433)</f>
        <v>2027.2603975928487</v>
      </c>
    </row>
    <row r="58" spans="1:18" x14ac:dyDescent="0.25">
      <c r="A58" s="71" t="s">
        <v>17</v>
      </c>
      <c r="B58" s="72" t="s">
        <v>18</v>
      </c>
      <c r="C58" s="73" t="s">
        <v>19</v>
      </c>
      <c r="D58" s="74">
        <v>227.58722890579313</v>
      </c>
      <c r="E58" s="81">
        <v>1229129</v>
      </c>
      <c r="F58" s="82">
        <v>1202578.9508196744</v>
      </c>
      <c r="G58" s="75">
        <v>1962.5289906903286</v>
      </c>
      <c r="H58" s="76">
        <v>2</v>
      </c>
      <c r="I58" s="54" t="s">
        <v>20</v>
      </c>
      <c r="J58" s="77">
        <v>40</v>
      </c>
      <c r="K58" s="78">
        <v>2</v>
      </c>
      <c r="L58" s="54">
        <v>1</v>
      </c>
      <c r="M58" s="54">
        <f>_xlfn.XLOOKUP(Survey!$F58,sections[Start],sections[Test Section],,-1,1)</f>
        <v>1</v>
      </c>
      <c r="N58" s="55">
        <f>_xlfn.XLOOKUP(Survey!$K58,pipedata[ID],pipedata[WT])</f>
        <v>0.74</v>
      </c>
      <c r="O58" s="56">
        <f>_xlfn.XLOOKUP(Survey!$K58,pipedata[ID],pipedata[104%])</f>
        <v>2565.3333333333335</v>
      </c>
      <c r="P58" s="57">
        <f t="shared" si="0"/>
        <v>1850</v>
      </c>
      <c r="Q58" s="58">
        <f>_xlfn.MAXIFS(Survey!$G$2:$G$3647,Survey!$M$2:$M$3647,Survey!$M58)-Survey!$G58</f>
        <v>391.62109689743693</v>
      </c>
      <c r="R58" s="59">
        <f>Survey!$P58+(Survey!$Q58*0.433)</f>
        <v>2019.5719349565902</v>
      </c>
    </row>
    <row r="59" spans="1:18" x14ac:dyDescent="0.25">
      <c r="A59" s="60" t="s">
        <v>17</v>
      </c>
      <c r="B59" s="61" t="s">
        <v>18</v>
      </c>
      <c r="C59" s="62" t="s">
        <v>19</v>
      </c>
      <c r="D59" s="63">
        <v>227.59333728320979</v>
      </c>
      <c r="E59" s="79">
        <v>1229169</v>
      </c>
      <c r="F59" s="80">
        <v>1202615.754098363</v>
      </c>
      <c r="G59" s="66">
        <v>1974.7611692737416</v>
      </c>
      <c r="H59" s="67">
        <v>2</v>
      </c>
      <c r="I59" s="68" t="s">
        <v>20</v>
      </c>
      <c r="J59" s="69">
        <v>40</v>
      </c>
      <c r="K59" s="70">
        <v>2</v>
      </c>
      <c r="L59" s="68">
        <v>1</v>
      </c>
      <c r="M59" s="68">
        <f>_xlfn.XLOOKUP(Survey!$F59,sections[Start],sections[Test Section],,-1,1)</f>
        <v>1</v>
      </c>
      <c r="N59" s="55">
        <f>_xlfn.XLOOKUP(Survey!$K59,pipedata[ID],pipedata[WT])</f>
        <v>0.74</v>
      </c>
      <c r="O59" s="56">
        <f>_xlfn.XLOOKUP(Survey!$K59,pipedata[ID],pipedata[104%])</f>
        <v>2565.3333333333335</v>
      </c>
      <c r="P59" s="57">
        <f t="shared" si="0"/>
        <v>1850</v>
      </c>
      <c r="Q59" s="58">
        <f>_xlfn.MAXIFS(Survey!$G$2:$G$3647,Survey!$M$2:$M$3647,Survey!$M59)-Survey!$G59</f>
        <v>379.38891831402384</v>
      </c>
      <c r="R59" s="59">
        <f>Survey!$P59+(Survey!$Q59*0.433)</f>
        <v>2014.2754016299723</v>
      </c>
    </row>
    <row r="60" spans="1:18" x14ac:dyDescent="0.25">
      <c r="A60" s="71" t="s">
        <v>17</v>
      </c>
      <c r="B60" s="72" t="s">
        <v>18</v>
      </c>
      <c r="C60" s="73" t="s">
        <v>19</v>
      </c>
      <c r="D60" s="74">
        <v>227.60064788391605</v>
      </c>
      <c r="E60" s="81">
        <v>1229209</v>
      </c>
      <c r="F60" s="82">
        <v>1202652.5573770516</v>
      </c>
      <c r="G60" s="75">
        <v>1982.0258869130575</v>
      </c>
      <c r="H60" s="76">
        <v>2</v>
      </c>
      <c r="I60" s="54" t="s">
        <v>20</v>
      </c>
      <c r="J60" s="77">
        <v>40</v>
      </c>
      <c r="K60" s="78">
        <v>2</v>
      </c>
      <c r="L60" s="54">
        <v>1</v>
      </c>
      <c r="M60" s="54">
        <f>_xlfn.XLOOKUP(Survey!$F60,sections[Start],sections[Test Section],,-1,1)</f>
        <v>1</v>
      </c>
      <c r="N60" s="55">
        <f>_xlfn.XLOOKUP(Survey!$K60,pipedata[ID],pipedata[WT])</f>
        <v>0.74</v>
      </c>
      <c r="O60" s="56">
        <f>_xlfn.XLOOKUP(Survey!$K60,pipedata[ID],pipedata[104%])</f>
        <v>2565.3333333333335</v>
      </c>
      <c r="P60" s="57">
        <f t="shared" si="0"/>
        <v>1850</v>
      </c>
      <c r="Q60" s="58">
        <f>_xlfn.MAXIFS(Survey!$G$2:$G$3647,Survey!$M$2:$M$3647,Survey!$M60)-Survey!$G60</f>
        <v>372.12420067470794</v>
      </c>
      <c r="R60" s="59">
        <f>Survey!$P60+(Survey!$Q60*0.433)</f>
        <v>2011.1297788921486</v>
      </c>
    </row>
    <row r="61" spans="1:18" x14ac:dyDescent="0.25">
      <c r="A61" s="60" t="s">
        <v>17</v>
      </c>
      <c r="B61" s="61" t="s">
        <v>18</v>
      </c>
      <c r="C61" s="62" t="s">
        <v>19</v>
      </c>
      <c r="D61" s="63">
        <v>227.60644557667993</v>
      </c>
      <c r="E61" s="79">
        <v>1229249</v>
      </c>
      <c r="F61" s="80">
        <v>1202689.3606557401</v>
      </c>
      <c r="G61" s="66">
        <v>1976.6311295028142</v>
      </c>
      <c r="H61" s="67">
        <v>2</v>
      </c>
      <c r="I61" s="68" t="s">
        <v>20</v>
      </c>
      <c r="J61" s="69">
        <v>40</v>
      </c>
      <c r="K61" s="70">
        <v>2</v>
      </c>
      <c r="L61" s="68">
        <v>1</v>
      </c>
      <c r="M61" s="68">
        <f>_xlfn.XLOOKUP(Survey!$F61,sections[Start],sections[Test Section],,-1,1)</f>
        <v>1</v>
      </c>
      <c r="N61" s="55">
        <f>_xlfn.XLOOKUP(Survey!$K61,pipedata[ID],pipedata[WT])</f>
        <v>0.74</v>
      </c>
      <c r="O61" s="56">
        <f>_xlfn.XLOOKUP(Survey!$K61,pipedata[ID],pipedata[104%])</f>
        <v>2565.3333333333335</v>
      </c>
      <c r="P61" s="57">
        <f t="shared" si="0"/>
        <v>1850</v>
      </c>
      <c r="Q61" s="58">
        <f>_xlfn.MAXIFS(Survey!$G$2:$G$3647,Survey!$M$2:$M$3647,Survey!$M61)-Survey!$G61</f>
        <v>377.51895808495124</v>
      </c>
      <c r="R61" s="59">
        <f>Survey!$P61+(Survey!$Q61*0.433)</f>
        <v>2013.4657088507838</v>
      </c>
    </row>
    <row r="62" spans="1:18" x14ac:dyDescent="0.25">
      <c r="A62" s="71" t="s">
        <v>17</v>
      </c>
      <c r="B62" s="72" t="s">
        <v>18</v>
      </c>
      <c r="C62" s="73" t="s">
        <v>19</v>
      </c>
      <c r="D62" s="74">
        <v>227.61283221842615</v>
      </c>
      <c r="E62" s="81">
        <v>1229289</v>
      </c>
      <c r="F62" s="82">
        <v>1202726.1639344287</v>
      </c>
      <c r="G62" s="75">
        <v>1959.3533186178947</v>
      </c>
      <c r="H62" s="76">
        <v>2</v>
      </c>
      <c r="I62" s="54" t="s">
        <v>20</v>
      </c>
      <c r="J62" s="77">
        <v>40</v>
      </c>
      <c r="K62" s="78">
        <v>2</v>
      </c>
      <c r="L62" s="54">
        <v>1</v>
      </c>
      <c r="M62" s="54">
        <f>_xlfn.XLOOKUP(Survey!$F62,sections[Start],sections[Test Section],,-1,1)</f>
        <v>1</v>
      </c>
      <c r="N62" s="55">
        <f>_xlfn.XLOOKUP(Survey!$K62,pipedata[ID],pipedata[WT])</f>
        <v>0.74</v>
      </c>
      <c r="O62" s="56">
        <f>_xlfn.XLOOKUP(Survey!$K62,pipedata[ID],pipedata[104%])</f>
        <v>2565.3333333333335</v>
      </c>
      <c r="P62" s="57">
        <f t="shared" si="0"/>
        <v>1850</v>
      </c>
      <c r="Q62" s="58">
        <f>_xlfn.MAXIFS(Survey!$G$2:$G$3647,Survey!$M$2:$M$3647,Survey!$M62)-Survey!$G62</f>
        <v>394.79676896987075</v>
      </c>
      <c r="R62" s="59">
        <f>Survey!$P62+(Survey!$Q62*0.433)</f>
        <v>2020.947000963954</v>
      </c>
    </row>
    <row r="63" spans="1:18" x14ac:dyDescent="0.25">
      <c r="A63" s="60" t="s">
        <v>17</v>
      </c>
      <c r="B63" s="61" t="s">
        <v>18</v>
      </c>
      <c r="C63" s="62" t="s">
        <v>19</v>
      </c>
      <c r="D63" s="63">
        <v>227.62014281913179</v>
      </c>
      <c r="E63" s="79">
        <v>1229329</v>
      </c>
      <c r="F63" s="80">
        <v>1202762.9672131173</v>
      </c>
      <c r="G63" s="66">
        <v>1939.6306370079928</v>
      </c>
      <c r="H63" s="67">
        <v>2</v>
      </c>
      <c r="I63" s="68" t="s">
        <v>20</v>
      </c>
      <c r="J63" s="69">
        <v>40</v>
      </c>
      <c r="K63" s="70">
        <v>2</v>
      </c>
      <c r="L63" s="68">
        <v>1</v>
      </c>
      <c r="M63" s="68">
        <f>_xlfn.XLOOKUP(Survey!$F63,sections[Start],sections[Test Section],,-1,1)</f>
        <v>1</v>
      </c>
      <c r="N63" s="55">
        <f>_xlfn.XLOOKUP(Survey!$K63,pipedata[ID],pipedata[WT])</f>
        <v>0.74</v>
      </c>
      <c r="O63" s="56">
        <f>_xlfn.XLOOKUP(Survey!$K63,pipedata[ID],pipedata[104%])</f>
        <v>2565.3333333333335</v>
      </c>
      <c r="P63" s="57">
        <f t="shared" si="0"/>
        <v>1850</v>
      </c>
      <c r="Q63" s="58">
        <f>_xlfn.MAXIFS(Survey!$G$2:$G$3647,Survey!$M$2:$M$3647,Survey!$M63)-Survey!$G63</f>
        <v>414.51945057977264</v>
      </c>
      <c r="R63" s="59">
        <f>Survey!$P63+(Survey!$Q63*0.433)</f>
        <v>2029.4869221010415</v>
      </c>
    </row>
    <row r="64" spans="1:18" x14ac:dyDescent="0.25">
      <c r="A64" s="71" t="s">
        <v>17</v>
      </c>
      <c r="B64" s="72" t="s">
        <v>18</v>
      </c>
      <c r="C64" s="73" t="s">
        <v>19</v>
      </c>
      <c r="D64" s="74">
        <v>227.62578423181964</v>
      </c>
      <c r="E64" s="81">
        <v>1229369</v>
      </c>
      <c r="F64" s="82">
        <v>1202799.7704918059</v>
      </c>
      <c r="G64" s="75">
        <v>1912.9760323608666</v>
      </c>
      <c r="H64" s="76">
        <v>2</v>
      </c>
      <c r="I64" s="54" t="s">
        <v>20</v>
      </c>
      <c r="J64" s="77">
        <v>40</v>
      </c>
      <c r="K64" s="78">
        <v>2</v>
      </c>
      <c r="L64" s="54">
        <v>1</v>
      </c>
      <c r="M64" s="54">
        <f>_xlfn.XLOOKUP(Survey!$F64,sections[Start],sections[Test Section],,-1,1)</f>
        <v>1</v>
      </c>
      <c r="N64" s="55">
        <f>_xlfn.XLOOKUP(Survey!$K64,pipedata[ID],pipedata[WT])</f>
        <v>0.74</v>
      </c>
      <c r="O64" s="56">
        <f>_xlfn.XLOOKUP(Survey!$K64,pipedata[ID],pipedata[104%])</f>
        <v>2565.3333333333335</v>
      </c>
      <c r="P64" s="57">
        <f t="shared" si="0"/>
        <v>1850</v>
      </c>
      <c r="Q64" s="58">
        <f>_xlfn.MAXIFS(Survey!$G$2:$G$3647,Survey!$M$2:$M$3647,Survey!$M64)-Survey!$G64</f>
        <v>441.17405522689887</v>
      </c>
      <c r="R64" s="59">
        <f>Survey!$P64+(Survey!$Q64*0.433)</f>
        <v>2041.0283659132472</v>
      </c>
    </row>
    <row r="65" spans="1:18" x14ac:dyDescent="0.25">
      <c r="A65" s="60" t="s">
        <v>17</v>
      </c>
      <c r="B65" s="61" t="s">
        <v>18</v>
      </c>
      <c r="C65" s="62" t="s">
        <v>19</v>
      </c>
      <c r="D65" s="63">
        <v>227.6323271536412</v>
      </c>
      <c r="E65" s="79">
        <v>1229409</v>
      </c>
      <c r="F65" s="80">
        <v>1202836.5737704944</v>
      </c>
      <c r="G65" s="66">
        <v>1893.6349000187888</v>
      </c>
      <c r="H65" s="67">
        <v>2</v>
      </c>
      <c r="I65" s="68" t="s">
        <v>20</v>
      </c>
      <c r="J65" s="69">
        <v>40</v>
      </c>
      <c r="K65" s="70">
        <v>2</v>
      </c>
      <c r="L65" s="68">
        <v>1</v>
      </c>
      <c r="M65" s="68">
        <f>_xlfn.XLOOKUP(Survey!$F65,sections[Start],sections[Test Section],,-1,1)</f>
        <v>1</v>
      </c>
      <c r="N65" s="55">
        <f>_xlfn.XLOOKUP(Survey!$K65,pipedata[ID],pipedata[WT])</f>
        <v>0.74</v>
      </c>
      <c r="O65" s="56">
        <f>_xlfn.XLOOKUP(Survey!$K65,pipedata[ID],pipedata[104%])</f>
        <v>2565.3333333333335</v>
      </c>
      <c r="P65" s="57">
        <f t="shared" si="0"/>
        <v>1850</v>
      </c>
      <c r="Q65" s="58">
        <f>_xlfn.MAXIFS(Survey!$G$2:$G$3647,Survey!$M$2:$M$3647,Survey!$M65)-Survey!$G65</f>
        <v>460.51518756897667</v>
      </c>
      <c r="R65" s="59">
        <f>Survey!$P65+(Survey!$Q65*0.433)</f>
        <v>2049.403076217367</v>
      </c>
    </row>
    <row r="66" spans="1:18" x14ac:dyDescent="0.25">
      <c r="A66" s="71" t="s">
        <v>17</v>
      </c>
      <c r="B66" s="72" t="s">
        <v>18</v>
      </c>
      <c r="C66" s="73" t="s">
        <v>19</v>
      </c>
      <c r="D66" s="74">
        <v>227.63932129041757</v>
      </c>
      <c r="E66" s="81">
        <v>1229449</v>
      </c>
      <c r="F66" s="82">
        <v>1202873.377049183</v>
      </c>
      <c r="G66" s="75">
        <v>1867.9395653934032</v>
      </c>
      <c r="H66" s="76">
        <v>2</v>
      </c>
      <c r="I66" s="54" t="s">
        <v>20</v>
      </c>
      <c r="J66" s="77">
        <v>40</v>
      </c>
      <c r="K66" s="78">
        <v>2</v>
      </c>
      <c r="L66" s="54">
        <v>1</v>
      </c>
      <c r="M66" s="54">
        <f>_xlfn.XLOOKUP(Survey!$F66,sections[Start],sections[Test Section],,-1,1)</f>
        <v>1</v>
      </c>
      <c r="N66" s="55">
        <f>_xlfn.XLOOKUP(Survey!$K66,pipedata[ID],pipedata[WT])</f>
        <v>0.74</v>
      </c>
      <c r="O66" s="56">
        <f>_xlfn.XLOOKUP(Survey!$K66,pipedata[ID],pipedata[104%])</f>
        <v>2565.3333333333335</v>
      </c>
      <c r="P66" s="57">
        <f t="shared" ref="P66:P129" si="1">IF(L66=1,1850,IF(L66=2,1850,2220))</f>
        <v>1850</v>
      </c>
      <c r="Q66" s="58">
        <f>_xlfn.MAXIFS(Survey!$G$2:$G$3647,Survey!$M$2:$M$3647,Survey!$M66)-Survey!$G66</f>
        <v>486.21052219436228</v>
      </c>
      <c r="R66" s="59">
        <f>Survey!$P66+(Survey!$Q66*0.433)</f>
        <v>2060.529156110159</v>
      </c>
    </row>
    <row r="67" spans="1:18" x14ac:dyDescent="0.25">
      <c r="A67" s="60" t="s">
        <v>17</v>
      </c>
      <c r="B67" s="61" t="s">
        <v>18</v>
      </c>
      <c r="C67" s="62" t="s">
        <v>19</v>
      </c>
      <c r="D67" s="63">
        <v>227.6451228869596</v>
      </c>
      <c r="E67" s="79">
        <v>1229489</v>
      </c>
      <c r="F67" s="80">
        <v>1202910.1803278716</v>
      </c>
      <c r="G67" s="66">
        <v>1844.6869618351516</v>
      </c>
      <c r="H67" s="67">
        <v>2</v>
      </c>
      <c r="I67" s="68" t="s">
        <v>20</v>
      </c>
      <c r="J67" s="69">
        <v>40</v>
      </c>
      <c r="K67" s="70">
        <v>2</v>
      </c>
      <c r="L67" s="68">
        <v>1</v>
      </c>
      <c r="M67" s="68">
        <f>_xlfn.XLOOKUP(Survey!$F67,sections[Start],sections[Test Section],,-1,1)</f>
        <v>1</v>
      </c>
      <c r="N67" s="55">
        <f>_xlfn.XLOOKUP(Survey!$K67,pipedata[ID],pipedata[WT])</f>
        <v>0.74</v>
      </c>
      <c r="O67" s="56">
        <f>_xlfn.XLOOKUP(Survey!$K67,pipedata[ID],pipedata[104%])</f>
        <v>2565.3333333333335</v>
      </c>
      <c r="P67" s="57">
        <f t="shared" si="1"/>
        <v>1850</v>
      </c>
      <c r="Q67" s="58">
        <f>_xlfn.MAXIFS(Survey!$G$2:$G$3647,Survey!$M$2:$M$3647,Survey!$M67)-Survey!$G67</f>
        <v>509.46312575261391</v>
      </c>
      <c r="R67" s="59">
        <f>Survey!$P67+(Survey!$Q67*0.433)</f>
        <v>2070.5975334508817</v>
      </c>
    </row>
    <row r="68" spans="1:18" x14ac:dyDescent="0.25">
      <c r="A68" s="71" t="s">
        <v>17</v>
      </c>
      <c r="B68" s="72" t="s">
        <v>18</v>
      </c>
      <c r="C68" s="73" t="s">
        <v>19</v>
      </c>
      <c r="D68" s="74">
        <v>227.65182208885773</v>
      </c>
      <c r="E68" s="81">
        <v>1229529</v>
      </c>
      <c r="F68" s="82">
        <v>1202946.9836065602</v>
      </c>
      <c r="G68" s="75">
        <v>1819.5104991428648</v>
      </c>
      <c r="H68" s="76">
        <v>2</v>
      </c>
      <c r="I68" s="54" t="s">
        <v>20</v>
      </c>
      <c r="J68" s="77">
        <v>40</v>
      </c>
      <c r="K68" s="78">
        <v>2</v>
      </c>
      <c r="L68" s="54">
        <v>1</v>
      </c>
      <c r="M68" s="54">
        <f>_xlfn.XLOOKUP(Survey!$F68,sections[Start],sections[Test Section],,-1,1)</f>
        <v>1</v>
      </c>
      <c r="N68" s="55">
        <f>_xlfn.XLOOKUP(Survey!$K68,pipedata[ID],pipedata[WT])</f>
        <v>0.74</v>
      </c>
      <c r="O68" s="56">
        <f>_xlfn.XLOOKUP(Survey!$K68,pipedata[ID],pipedata[104%])</f>
        <v>2565.3333333333335</v>
      </c>
      <c r="P68" s="57">
        <f t="shared" si="1"/>
        <v>1850</v>
      </c>
      <c r="Q68" s="58">
        <f>_xlfn.MAXIFS(Survey!$G$2:$G$3647,Survey!$M$2:$M$3647,Survey!$M68)-Survey!$G68</f>
        <v>534.63958844490071</v>
      </c>
      <c r="R68" s="59">
        <f>Survey!$P68+(Survey!$Q68*0.433)</f>
        <v>2081.4989417966422</v>
      </c>
    </row>
    <row r="69" spans="1:18" x14ac:dyDescent="0.25">
      <c r="A69" s="60" t="s">
        <v>17</v>
      </c>
      <c r="B69" s="61" t="s">
        <v>18</v>
      </c>
      <c r="C69" s="62" t="s">
        <v>19</v>
      </c>
      <c r="D69" s="63">
        <v>227.65865994555753</v>
      </c>
      <c r="E69" s="79">
        <v>1229569</v>
      </c>
      <c r="F69" s="80">
        <v>1202983.7868852487</v>
      </c>
      <c r="G69" s="66">
        <v>1794.3466723434719</v>
      </c>
      <c r="H69" s="67">
        <v>2</v>
      </c>
      <c r="I69" s="68" t="s">
        <v>20</v>
      </c>
      <c r="J69" s="69">
        <v>40</v>
      </c>
      <c r="K69" s="70">
        <v>2</v>
      </c>
      <c r="L69" s="68">
        <v>1</v>
      </c>
      <c r="M69" s="68">
        <f>_xlfn.XLOOKUP(Survey!$F69,sections[Start],sections[Test Section],,-1,1)</f>
        <v>1</v>
      </c>
      <c r="N69" s="55">
        <f>_xlfn.XLOOKUP(Survey!$K69,pipedata[ID],pipedata[WT])</f>
        <v>0.74</v>
      </c>
      <c r="O69" s="56">
        <f>_xlfn.XLOOKUP(Survey!$K69,pipedata[ID],pipedata[104%])</f>
        <v>2565.3333333333335</v>
      </c>
      <c r="P69" s="57">
        <f t="shared" si="1"/>
        <v>1850</v>
      </c>
      <c r="Q69" s="58">
        <f>_xlfn.MAXIFS(Survey!$G$2:$G$3647,Survey!$M$2:$M$3647,Survey!$M69)-Survey!$G69</f>
        <v>559.80341524429355</v>
      </c>
      <c r="R69" s="59">
        <f>Survey!$P69+(Survey!$Q69*0.433)</f>
        <v>2092.3948788007792</v>
      </c>
    </row>
    <row r="70" spans="1:18" x14ac:dyDescent="0.25">
      <c r="A70" s="71" t="s">
        <v>17</v>
      </c>
      <c r="B70" s="72" t="s">
        <v>18</v>
      </c>
      <c r="C70" s="73" t="s">
        <v>19</v>
      </c>
      <c r="D70" s="74">
        <v>227.66446154209945</v>
      </c>
      <c r="E70" s="81">
        <v>1229609</v>
      </c>
      <c r="F70" s="82">
        <v>1203020.5901639373</v>
      </c>
      <c r="G70" s="75">
        <v>1775.2408348811268</v>
      </c>
      <c r="H70" s="76">
        <v>2</v>
      </c>
      <c r="I70" s="54" t="s">
        <v>20</v>
      </c>
      <c r="J70" s="77">
        <v>40</v>
      </c>
      <c r="K70" s="78">
        <v>2</v>
      </c>
      <c r="L70" s="54">
        <v>1</v>
      </c>
      <c r="M70" s="54">
        <f>_xlfn.XLOOKUP(Survey!$F70,sections[Start],sections[Test Section],,-1,1)</f>
        <v>1</v>
      </c>
      <c r="N70" s="55">
        <f>_xlfn.XLOOKUP(Survey!$K70,pipedata[ID],pipedata[WT])</f>
        <v>0.74</v>
      </c>
      <c r="O70" s="56">
        <f>_xlfn.XLOOKUP(Survey!$K70,pipedata[ID],pipedata[104%])</f>
        <v>2565.3333333333335</v>
      </c>
      <c r="P70" s="57">
        <f t="shared" si="1"/>
        <v>1850</v>
      </c>
      <c r="Q70" s="58">
        <f>_xlfn.MAXIFS(Survey!$G$2:$G$3647,Survey!$M$2:$M$3647,Survey!$M70)-Survey!$G70</f>
        <v>578.90925270663865</v>
      </c>
      <c r="R70" s="59">
        <f>Survey!$P70+(Survey!$Q70*0.433)</f>
        <v>2100.6677064219743</v>
      </c>
    </row>
    <row r="71" spans="1:18" x14ac:dyDescent="0.25">
      <c r="A71" s="60" t="s">
        <v>17</v>
      </c>
      <c r="B71" s="61" t="s">
        <v>18</v>
      </c>
      <c r="C71" s="62" t="s">
        <v>19</v>
      </c>
      <c r="D71" s="63">
        <v>227.67219700415549</v>
      </c>
      <c r="E71" s="79">
        <v>1229649</v>
      </c>
      <c r="F71" s="80">
        <v>1203057.3934426259</v>
      </c>
      <c r="G71" s="66">
        <v>1750.4045368406848</v>
      </c>
      <c r="H71" s="67">
        <v>2</v>
      </c>
      <c r="I71" s="68" t="s">
        <v>20</v>
      </c>
      <c r="J71" s="69">
        <v>19</v>
      </c>
      <c r="K71" s="70">
        <v>2</v>
      </c>
      <c r="L71" s="68">
        <v>1</v>
      </c>
      <c r="M71" s="68">
        <f>_xlfn.XLOOKUP(Survey!$F71,sections[Start],sections[Test Section],,-1,1)</f>
        <v>1</v>
      </c>
      <c r="N71" s="55">
        <f>_xlfn.XLOOKUP(Survey!$K71,pipedata[ID],pipedata[WT])</f>
        <v>0.74</v>
      </c>
      <c r="O71" s="56">
        <f>_xlfn.XLOOKUP(Survey!$K71,pipedata[ID],pipedata[104%])</f>
        <v>2565.3333333333335</v>
      </c>
      <c r="P71" s="57">
        <f t="shared" si="1"/>
        <v>1850</v>
      </c>
      <c r="Q71" s="58">
        <f>_xlfn.MAXIFS(Survey!$G$2:$G$3647,Survey!$M$2:$M$3647,Survey!$M71)-Survey!$G71</f>
        <v>603.74555074708064</v>
      </c>
      <c r="R71" s="59">
        <f>Survey!$P71+(Survey!$Q71*0.433)</f>
        <v>2111.4218234734858</v>
      </c>
    </row>
    <row r="72" spans="1:18" x14ac:dyDescent="0.25">
      <c r="A72" s="71" t="s">
        <v>17</v>
      </c>
      <c r="B72" s="72" t="s">
        <v>18</v>
      </c>
      <c r="C72" s="73" t="s">
        <v>19</v>
      </c>
      <c r="D72" s="74">
        <v>227.67862762478075</v>
      </c>
      <c r="E72" s="81">
        <v>1229668</v>
      </c>
      <c r="F72" s="82">
        <v>1203131</v>
      </c>
      <c r="G72" s="75">
        <v>1728.9971739946677</v>
      </c>
      <c r="H72" s="76">
        <v>2</v>
      </c>
      <c r="I72" s="54" t="s">
        <v>21</v>
      </c>
      <c r="J72" s="77">
        <v>40</v>
      </c>
      <c r="K72" s="78">
        <v>4</v>
      </c>
      <c r="L72" s="54">
        <v>1</v>
      </c>
      <c r="M72" s="54">
        <f>_xlfn.XLOOKUP(Survey!$F72,sections[Start],sections[Test Section],,-1,1)</f>
        <v>1</v>
      </c>
      <c r="N72" s="55">
        <f>_xlfn.XLOOKUP(Survey!$K72,pipedata[ID],pipedata[WT])</f>
        <v>0.74</v>
      </c>
      <c r="O72" s="56">
        <f>_xlfn.XLOOKUP(Survey!$K72,pipedata[ID],pipedata[104%])</f>
        <v>2565.3333333333335</v>
      </c>
      <c r="P72" s="57">
        <f t="shared" si="1"/>
        <v>1850</v>
      </c>
      <c r="Q72" s="58">
        <f>_xlfn.MAXIFS(Survey!$G$2:$G$3647,Survey!$M$2:$M$3647,Survey!$M72)-Survey!$G72</f>
        <v>625.15291359309776</v>
      </c>
      <c r="R72" s="59">
        <f>Survey!$P72+(Survey!$Q72*0.433)</f>
        <v>2120.6912115858113</v>
      </c>
    </row>
    <row r="73" spans="1:18" x14ac:dyDescent="0.25">
      <c r="A73" s="60" t="s">
        <v>17</v>
      </c>
      <c r="B73" s="61" t="s">
        <v>18</v>
      </c>
      <c r="C73" s="62" t="s">
        <v>19</v>
      </c>
      <c r="D73" s="63">
        <v>227.68494912800182</v>
      </c>
      <c r="E73" s="79">
        <v>1229708</v>
      </c>
      <c r="F73" s="80">
        <v>1203171</v>
      </c>
      <c r="G73" s="66">
        <v>1720.6742654695959</v>
      </c>
      <c r="H73" s="67">
        <v>2</v>
      </c>
      <c r="I73" s="68" t="s">
        <v>20</v>
      </c>
      <c r="J73" s="69">
        <v>61</v>
      </c>
      <c r="K73" s="70">
        <v>2</v>
      </c>
      <c r="L73" s="68">
        <v>1</v>
      </c>
      <c r="M73" s="68">
        <f>_xlfn.XLOOKUP(Survey!$F73,sections[Start],sections[Test Section],,-1,1)</f>
        <v>1</v>
      </c>
      <c r="N73" s="55">
        <f>_xlfn.XLOOKUP(Survey!$K73,pipedata[ID],pipedata[WT])</f>
        <v>0.74</v>
      </c>
      <c r="O73" s="56">
        <f>_xlfn.XLOOKUP(Survey!$K73,pipedata[ID],pipedata[104%])</f>
        <v>2565.3333333333335</v>
      </c>
      <c r="P73" s="57">
        <f t="shared" si="1"/>
        <v>1850</v>
      </c>
      <c r="Q73" s="58">
        <f>_xlfn.MAXIFS(Survey!$G$2:$G$3647,Survey!$M$2:$M$3647,Survey!$M73)-Survey!$G73</f>
        <v>633.47582211816962</v>
      </c>
      <c r="R73" s="59">
        <f>Survey!$P73+(Survey!$Q73*0.433)</f>
        <v>2124.2950309771672</v>
      </c>
    </row>
    <row r="74" spans="1:18" x14ac:dyDescent="0.25">
      <c r="A74" s="71" t="s">
        <v>17</v>
      </c>
      <c r="B74" s="72" t="s">
        <v>18</v>
      </c>
      <c r="C74" s="73" t="s">
        <v>19</v>
      </c>
      <c r="D74" s="74">
        <v>227.69153565929568</v>
      </c>
      <c r="E74" s="81">
        <v>1229769</v>
      </c>
      <c r="F74" s="82">
        <v>1203208.5333333334</v>
      </c>
      <c r="G74" s="75">
        <v>1755.6597285714445</v>
      </c>
      <c r="H74" s="76">
        <v>2</v>
      </c>
      <c r="I74" s="54" t="s">
        <v>20</v>
      </c>
      <c r="J74" s="77">
        <v>40</v>
      </c>
      <c r="K74" s="78">
        <v>2</v>
      </c>
      <c r="L74" s="54">
        <v>1</v>
      </c>
      <c r="M74" s="54">
        <f>_xlfn.XLOOKUP(Survey!$F74,sections[Start],sections[Test Section],,-1,1)</f>
        <v>1</v>
      </c>
      <c r="N74" s="55">
        <f>_xlfn.XLOOKUP(Survey!$K74,pipedata[ID],pipedata[WT])</f>
        <v>0.74</v>
      </c>
      <c r="O74" s="56">
        <f>_xlfn.XLOOKUP(Survey!$K74,pipedata[ID],pipedata[104%])</f>
        <v>2565.3333333333335</v>
      </c>
      <c r="P74" s="57">
        <f t="shared" si="1"/>
        <v>1850</v>
      </c>
      <c r="Q74" s="58">
        <f>_xlfn.MAXIFS(Survey!$G$2:$G$3647,Survey!$M$2:$M$3647,Survey!$M74)-Survey!$G74</f>
        <v>598.49035901632101</v>
      </c>
      <c r="R74" s="59">
        <f>Survey!$P74+(Survey!$Q74*0.433)</f>
        <v>2109.1463254540668</v>
      </c>
    </row>
    <row r="75" spans="1:18" x14ac:dyDescent="0.25">
      <c r="A75" s="60" t="s">
        <v>17</v>
      </c>
      <c r="B75" s="61" t="s">
        <v>18</v>
      </c>
      <c r="C75" s="62" t="s">
        <v>19</v>
      </c>
      <c r="D75" s="63">
        <v>227.69733725583774</v>
      </c>
      <c r="E75" s="79">
        <v>1229809</v>
      </c>
      <c r="F75" s="80">
        <v>1203246.0666666669</v>
      </c>
      <c r="G75" s="66">
        <v>1780.2909660046187</v>
      </c>
      <c r="H75" s="67">
        <v>2</v>
      </c>
      <c r="I75" s="68" t="s">
        <v>20</v>
      </c>
      <c r="J75" s="69">
        <v>40</v>
      </c>
      <c r="K75" s="70">
        <v>2</v>
      </c>
      <c r="L75" s="68">
        <v>1</v>
      </c>
      <c r="M75" s="68">
        <f>_xlfn.XLOOKUP(Survey!$F75,sections[Start],sections[Test Section],,-1,1)</f>
        <v>1</v>
      </c>
      <c r="N75" s="55">
        <f>_xlfn.XLOOKUP(Survey!$K75,pipedata[ID],pipedata[WT])</f>
        <v>0.74</v>
      </c>
      <c r="O75" s="56">
        <f>_xlfn.XLOOKUP(Survey!$K75,pipedata[ID],pipedata[104%])</f>
        <v>2565.3333333333335</v>
      </c>
      <c r="P75" s="57">
        <f t="shared" si="1"/>
        <v>1850</v>
      </c>
      <c r="Q75" s="58">
        <f>_xlfn.MAXIFS(Survey!$G$2:$G$3647,Survey!$M$2:$M$3647,Survey!$M75)-Survey!$G75</f>
        <v>573.85912158314682</v>
      </c>
      <c r="R75" s="59">
        <f>Survey!$P75+(Survey!$Q75*0.433)</f>
        <v>2098.4809996455024</v>
      </c>
    </row>
    <row r="76" spans="1:18" x14ac:dyDescent="0.25">
      <c r="A76" s="71" t="s">
        <v>17</v>
      </c>
      <c r="B76" s="72" t="s">
        <v>18</v>
      </c>
      <c r="C76" s="73" t="s">
        <v>19</v>
      </c>
      <c r="D76" s="74">
        <v>227.70368694055969</v>
      </c>
      <c r="E76" s="81">
        <v>1229849</v>
      </c>
      <c r="F76" s="82">
        <v>1203283.6000000003</v>
      </c>
      <c r="G76" s="75">
        <v>1809.835309578609</v>
      </c>
      <c r="H76" s="76">
        <v>2</v>
      </c>
      <c r="I76" s="54" t="s">
        <v>20</v>
      </c>
      <c r="J76" s="77">
        <v>40</v>
      </c>
      <c r="K76" s="78">
        <v>2</v>
      </c>
      <c r="L76" s="54">
        <v>1</v>
      </c>
      <c r="M76" s="54">
        <f>_xlfn.XLOOKUP(Survey!$F76,sections[Start],sections[Test Section],,-1,1)</f>
        <v>1</v>
      </c>
      <c r="N76" s="55">
        <f>_xlfn.XLOOKUP(Survey!$K76,pipedata[ID],pipedata[WT])</f>
        <v>0.74</v>
      </c>
      <c r="O76" s="56">
        <f>_xlfn.XLOOKUP(Survey!$K76,pipedata[ID],pipedata[104%])</f>
        <v>2565.3333333333335</v>
      </c>
      <c r="P76" s="57">
        <f t="shared" si="1"/>
        <v>1850</v>
      </c>
      <c r="Q76" s="58">
        <f>_xlfn.MAXIFS(Survey!$G$2:$G$3647,Survey!$M$2:$M$3647,Survey!$M76)-Survey!$G76</f>
        <v>544.3147780091565</v>
      </c>
      <c r="R76" s="59">
        <f>Survey!$P76+(Survey!$Q76*0.433)</f>
        <v>2085.6882988779648</v>
      </c>
    </row>
    <row r="77" spans="1:18" x14ac:dyDescent="0.25">
      <c r="A77" s="60" t="s">
        <v>17</v>
      </c>
      <c r="B77" s="61" t="s">
        <v>18</v>
      </c>
      <c r="C77" s="62" t="s">
        <v>19</v>
      </c>
      <c r="D77" s="63">
        <v>227.71030689450956</v>
      </c>
      <c r="E77" s="79">
        <v>1229889</v>
      </c>
      <c r="F77" s="80">
        <v>1203321.1333333338</v>
      </c>
      <c r="G77" s="66">
        <v>1827.4826404549033</v>
      </c>
      <c r="H77" s="67">
        <v>2</v>
      </c>
      <c r="I77" s="68" t="s">
        <v>20</v>
      </c>
      <c r="J77" s="69">
        <v>40</v>
      </c>
      <c r="K77" s="70">
        <v>2</v>
      </c>
      <c r="L77" s="68">
        <v>1</v>
      </c>
      <c r="M77" s="68">
        <f>_xlfn.XLOOKUP(Survey!$F77,sections[Start],sections[Test Section],,-1,1)</f>
        <v>1</v>
      </c>
      <c r="N77" s="55">
        <f>_xlfn.XLOOKUP(Survey!$K77,pipedata[ID],pipedata[WT])</f>
        <v>0.74</v>
      </c>
      <c r="O77" s="56">
        <f>_xlfn.XLOOKUP(Survey!$K77,pipedata[ID],pipedata[104%])</f>
        <v>2565.3333333333335</v>
      </c>
      <c r="P77" s="57">
        <f t="shared" si="1"/>
        <v>1850</v>
      </c>
      <c r="Q77" s="58">
        <f>_xlfn.MAXIFS(Survey!$G$2:$G$3647,Survey!$M$2:$M$3647,Survey!$M77)-Survey!$G77</f>
        <v>526.66744713286221</v>
      </c>
      <c r="R77" s="59">
        <f>Survey!$P77+(Survey!$Q77*0.433)</f>
        <v>2078.0470046085293</v>
      </c>
    </row>
    <row r="78" spans="1:18" x14ac:dyDescent="0.25">
      <c r="A78" s="71" t="s">
        <v>17</v>
      </c>
      <c r="B78" s="72" t="s">
        <v>18</v>
      </c>
      <c r="C78" s="73" t="s">
        <v>19</v>
      </c>
      <c r="D78" s="74">
        <v>227.7174800995638</v>
      </c>
      <c r="E78" s="81">
        <v>1229929</v>
      </c>
      <c r="F78" s="82">
        <v>1203358.6666666672</v>
      </c>
      <c r="G78" s="75">
        <v>1824.1099732104769</v>
      </c>
      <c r="H78" s="76">
        <v>2</v>
      </c>
      <c r="I78" s="54" t="s">
        <v>20</v>
      </c>
      <c r="J78" s="77">
        <v>40</v>
      </c>
      <c r="K78" s="78">
        <v>2</v>
      </c>
      <c r="L78" s="54">
        <v>1</v>
      </c>
      <c r="M78" s="54">
        <f>_xlfn.XLOOKUP(Survey!$F78,sections[Start],sections[Test Section],,-1,1)</f>
        <v>1</v>
      </c>
      <c r="N78" s="55">
        <f>_xlfn.XLOOKUP(Survey!$K78,pipedata[ID],pipedata[WT])</f>
        <v>0.74</v>
      </c>
      <c r="O78" s="56">
        <f>_xlfn.XLOOKUP(Survey!$K78,pipedata[ID],pipedata[104%])</f>
        <v>2565.3333333333335</v>
      </c>
      <c r="P78" s="57">
        <f t="shared" si="1"/>
        <v>1850</v>
      </c>
      <c r="Q78" s="58">
        <f>_xlfn.MAXIFS(Survey!$G$2:$G$3647,Survey!$M$2:$M$3647,Survey!$M78)-Survey!$G78</f>
        <v>530.04011437728855</v>
      </c>
      <c r="R78" s="59">
        <f>Survey!$P78+(Survey!$Q78*0.433)</f>
        <v>2079.5073695253659</v>
      </c>
    </row>
    <row r="79" spans="1:18" x14ac:dyDescent="0.25">
      <c r="A79" s="60" t="s">
        <v>17</v>
      </c>
      <c r="B79" s="61" t="s">
        <v>18</v>
      </c>
      <c r="C79" s="62" t="s">
        <v>19</v>
      </c>
      <c r="D79" s="63">
        <v>227.72417816701278</v>
      </c>
      <c r="E79" s="79">
        <v>1229969</v>
      </c>
      <c r="F79" s="80">
        <v>1203396.2000000007</v>
      </c>
      <c r="G79" s="66">
        <v>1806.9102566626063</v>
      </c>
      <c r="H79" s="67">
        <v>2</v>
      </c>
      <c r="I79" s="68" t="s">
        <v>20</v>
      </c>
      <c r="J79" s="69">
        <v>40</v>
      </c>
      <c r="K79" s="70">
        <v>2</v>
      </c>
      <c r="L79" s="68">
        <v>1</v>
      </c>
      <c r="M79" s="68">
        <f>_xlfn.XLOOKUP(Survey!$F79,sections[Start],sections[Test Section],,-1,1)</f>
        <v>1</v>
      </c>
      <c r="N79" s="55">
        <f>_xlfn.XLOOKUP(Survey!$K79,pipedata[ID],pipedata[WT])</f>
        <v>0.74</v>
      </c>
      <c r="O79" s="56">
        <f>_xlfn.XLOOKUP(Survey!$K79,pipedata[ID],pipedata[104%])</f>
        <v>2565.3333333333335</v>
      </c>
      <c r="P79" s="57">
        <f t="shared" si="1"/>
        <v>1850</v>
      </c>
      <c r="Q79" s="58">
        <f>_xlfn.MAXIFS(Survey!$G$2:$G$3647,Survey!$M$2:$M$3647,Survey!$M79)-Survey!$G79</f>
        <v>547.23983092515914</v>
      </c>
      <c r="R79" s="59">
        <f>Survey!$P79+(Survey!$Q79*0.433)</f>
        <v>2086.9548467905938</v>
      </c>
    </row>
    <row r="80" spans="1:18" x14ac:dyDescent="0.25">
      <c r="A80" s="71" t="s">
        <v>17</v>
      </c>
      <c r="B80" s="72" t="s">
        <v>18</v>
      </c>
      <c r="C80" s="73" t="s">
        <v>19</v>
      </c>
      <c r="D80" s="74">
        <v>227.73007053582631</v>
      </c>
      <c r="E80" s="81">
        <v>1230009</v>
      </c>
      <c r="F80" s="82">
        <v>1203433.7333333341</v>
      </c>
      <c r="G80" s="75">
        <v>1773.6182995967661</v>
      </c>
      <c r="H80" s="76">
        <v>2</v>
      </c>
      <c r="I80" s="54" t="s">
        <v>20</v>
      </c>
      <c r="J80" s="77">
        <v>40</v>
      </c>
      <c r="K80" s="78">
        <v>2</v>
      </c>
      <c r="L80" s="54">
        <v>1</v>
      </c>
      <c r="M80" s="54">
        <f>_xlfn.XLOOKUP(Survey!$F80,sections[Start],sections[Test Section],,-1,1)</f>
        <v>1</v>
      </c>
      <c r="N80" s="55">
        <f>_xlfn.XLOOKUP(Survey!$K80,pipedata[ID],pipedata[WT])</f>
        <v>0.74</v>
      </c>
      <c r="O80" s="56">
        <f>_xlfn.XLOOKUP(Survey!$K80,pipedata[ID],pipedata[104%])</f>
        <v>2565.3333333333335</v>
      </c>
      <c r="P80" s="57">
        <f t="shared" si="1"/>
        <v>1850</v>
      </c>
      <c r="Q80" s="58">
        <f>_xlfn.MAXIFS(Survey!$G$2:$G$3647,Survey!$M$2:$M$3647,Survey!$M80)-Survey!$G80</f>
        <v>580.53178799099942</v>
      </c>
      <c r="R80" s="59">
        <f>Survey!$P80+(Survey!$Q80*0.433)</f>
        <v>2101.3702642001026</v>
      </c>
    </row>
    <row r="81" spans="1:18" x14ac:dyDescent="0.25">
      <c r="A81" s="60" t="s">
        <v>17</v>
      </c>
      <c r="B81" s="61" t="s">
        <v>18</v>
      </c>
      <c r="C81" s="62" t="s">
        <v>19</v>
      </c>
      <c r="D81" s="63">
        <v>227.73531914671696</v>
      </c>
      <c r="E81" s="79">
        <v>1230049</v>
      </c>
      <c r="F81" s="80">
        <v>1203471.2666666675</v>
      </c>
      <c r="G81" s="66">
        <v>1744.5301882272661</v>
      </c>
      <c r="H81" s="67">
        <v>2</v>
      </c>
      <c r="I81" s="68" t="s">
        <v>20</v>
      </c>
      <c r="J81" s="69">
        <v>40</v>
      </c>
      <c r="K81" s="70">
        <v>2</v>
      </c>
      <c r="L81" s="68">
        <v>1</v>
      </c>
      <c r="M81" s="68">
        <f>_xlfn.XLOOKUP(Survey!$F81,sections[Start],sections[Test Section],,-1,1)</f>
        <v>1</v>
      </c>
      <c r="N81" s="55">
        <f>_xlfn.XLOOKUP(Survey!$K81,pipedata[ID],pipedata[WT])</f>
        <v>0.74</v>
      </c>
      <c r="O81" s="56">
        <f>_xlfn.XLOOKUP(Survey!$K81,pipedata[ID],pipedata[104%])</f>
        <v>2565.3333333333335</v>
      </c>
      <c r="P81" s="57">
        <f t="shared" si="1"/>
        <v>1850</v>
      </c>
      <c r="Q81" s="58">
        <f>_xlfn.MAXIFS(Survey!$G$2:$G$3647,Survey!$M$2:$M$3647,Survey!$M81)-Survey!$G81</f>
        <v>609.6198993604994</v>
      </c>
      <c r="R81" s="59">
        <f>Survey!$P81+(Survey!$Q81*0.433)</f>
        <v>2113.965416423096</v>
      </c>
    </row>
    <row r="82" spans="1:18" x14ac:dyDescent="0.25">
      <c r="A82" s="71" t="s">
        <v>17</v>
      </c>
      <c r="B82" s="72" t="s">
        <v>18</v>
      </c>
      <c r="C82" s="73" t="s">
        <v>19</v>
      </c>
      <c r="D82" s="74">
        <v>227.74228225903184</v>
      </c>
      <c r="E82" s="81">
        <v>1230089</v>
      </c>
      <c r="F82" s="82">
        <v>1203508.800000001</v>
      </c>
      <c r="G82" s="75">
        <v>1725.7368245106793</v>
      </c>
      <c r="H82" s="76">
        <v>2</v>
      </c>
      <c r="I82" s="54" t="s">
        <v>20</v>
      </c>
      <c r="J82" s="77">
        <v>40</v>
      </c>
      <c r="K82" s="78">
        <v>2</v>
      </c>
      <c r="L82" s="54">
        <v>1</v>
      </c>
      <c r="M82" s="54">
        <f>_xlfn.XLOOKUP(Survey!$F82,sections[Start],sections[Test Section],,-1,1)</f>
        <v>1</v>
      </c>
      <c r="N82" s="55">
        <f>_xlfn.XLOOKUP(Survey!$K82,pipedata[ID],pipedata[WT])</f>
        <v>0.74</v>
      </c>
      <c r="O82" s="56">
        <f>_xlfn.XLOOKUP(Survey!$K82,pipedata[ID],pipedata[104%])</f>
        <v>2565.3333333333335</v>
      </c>
      <c r="P82" s="57">
        <f t="shared" si="1"/>
        <v>1850</v>
      </c>
      <c r="Q82" s="58">
        <f>_xlfn.MAXIFS(Survey!$G$2:$G$3647,Survey!$M$2:$M$3647,Survey!$M82)-Survey!$G82</f>
        <v>628.41326307708619</v>
      </c>
      <c r="R82" s="59">
        <f>Survey!$P82+(Survey!$Q82*0.433)</f>
        <v>2122.1029429123782</v>
      </c>
    </row>
    <row r="83" spans="1:18" x14ac:dyDescent="0.25">
      <c r="A83" s="60" t="s">
        <v>17</v>
      </c>
      <c r="B83" s="61" t="s">
        <v>18</v>
      </c>
      <c r="C83" s="62" t="s">
        <v>19</v>
      </c>
      <c r="D83" s="63">
        <v>227.74850569509263</v>
      </c>
      <c r="E83" s="79">
        <v>1230129</v>
      </c>
      <c r="F83" s="80">
        <v>1203546.3333333344</v>
      </c>
      <c r="G83" s="66">
        <v>1731.2080678483114</v>
      </c>
      <c r="H83" s="67">
        <v>2</v>
      </c>
      <c r="I83" s="68" t="s">
        <v>20</v>
      </c>
      <c r="J83" s="69">
        <v>40</v>
      </c>
      <c r="K83" s="70">
        <v>2</v>
      </c>
      <c r="L83" s="68">
        <v>1</v>
      </c>
      <c r="M83" s="68">
        <f>_xlfn.XLOOKUP(Survey!$F83,sections[Start],sections[Test Section],,-1,1)</f>
        <v>1</v>
      </c>
      <c r="N83" s="55">
        <f>_xlfn.XLOOKUP(Survey!$K83,pipedata[ID],pipedata[WT])</f>
        <v>0.74</v>
      </c>
      <c r="O83" s="56">
        <f>_xlfn.XLOOKUP(Survey!$K83,pipedata[ID],pipedata[104%])</f>
        <v>2565.3333333333335</v>
      </c>
      <c r="P83" s="57">
        <f t="shared" si="1"/>
        <v>1850</v>
      </c>
      <c r="Q83" s="58">
        <f>_xlfn.MAXIFS(Survey!$G$2:$G$3647,Survey!$M$2:$M$3647,Survey!$M83)-Survey!$G83</f>
        <v>622.94201973945405</v>
      </c>
      <c r="R83" s="59">
        <f>Survey!$P83+(Survey!$Q83*0.433)</f>
        <v>2119.7338945471838</v>
      </c>
    </row>
    <row r="84" spans="1:18" x14ac:dyDescent="0.25">
      <c r="A84" s="71" t="s">
        <v>17</v>
      </c>
      <c r="B84" s="72" t="s">
        <v>18</v>
      </c>
      <c r="C84" s="73" t="s">
        <v>19</v>
      </c>
      <c r="D84" s="74">
        <v>227.75662977919049</v>
      </c>
      <c r="E84" s="81">
        <v>1230169</v>
      </c>
      <c r="F84" s="82">
        <v>1203583.8666666679</v>
      </c>
      <c r="G84" s="75">
        <v>1735.9566764191986</v>
      </c>
      <c r="H84" s="76">
        <v>2</v>
      </c>
      <c r="I84" s="54" t="s">
        <v>20</v>
      </c>
      <c r="J84" s="77">
        <v>40</v>
      </c>
      <c r="K84" s="78">
        <v>2</v>
      </c>
      <c r="L84" s="54">
        <v>1</v>
      </c>
      <c r="M84" s="54">
        <f>_xlfn.XLOOKUP(Survey!$F84,sections[Start],sections[Test Section],,-1,1)</f>
        <v>1</v>
      </c>
      <c r="N84" s="55">
        <f>_xlfn.XLOOKUP(Survey!$K84,pipedata[ID],pipedata[WT])</f>
        <v>0.74</v>
      </c>
      <c r="O84" s="56">
        <f>_xlfn.XLOOKUP(Survey!$K84,pipedata[ID],pipedata[104%])</f>
        <v>2565.3333333333335</v>
      </c>
      <c r="P84" s="57">
        <f t="shared" si="1"/>
        <v>1850</v>
      </c>
      <c r="Q84" s="58">
        <f>_xlfn.MAXIFS(Survey!$G$2:$G$3647,Survey!$M$2:$M$3647,Survey!$M84)-Survey!$G84</f>
        <v>618.19341116856685</v>
      </c>
      <c r="R84" s="59">
        <f>Survey!$P84+(Survey!$Q84*0.433)</f>
        <v>2117.6777470359893</v>
      </c>
    </row>
    <row r="85" spans="1:18" x14ac:dyDescent="0.25">
      <c r="A85" s="60" t="s">
        <v>17</v>
      </c>
      <c r="B85" s="61" t="s">
        <v>18</v>
      </c>
      <c r="C85" s="62" t="s">
        <v>19</v>
      </c>
      <c r="D85" s="63">
        <v>227.76470065200638</v>
      </c>
      <c r="E85" s="79">
        <v>1230209</v>
      </c>
      <c r="F85" s="80">
        <v>1203621.4000000013</v>
      </c>
      <c r="G85" s="66">
        <v>1743.1380857663526</v>
      </c>
      <c r="H85" s="67">
        <v>2</v>
      </c>
      <c r="I85" s="68" t="s">
        <v>20</v>
      </c>
      <c r="J85" s="69">
        <v>40</v>
      </c>
      <c r="K85" s="70">
        <v>2</v>
      </c>
      <c r="L85" s="68">
        <v>1</v>
      </c>
      <c r="M85" s="68">
        <f>_xlfn.XLOOKUP(Survey!$F85,sections[Start],sections[Test Section],,-1,1)</f>
        <v>1</v>
      </c>
      <c r="N85" s="55">
        <f>_xlfn.XLOOKUP(Survey!$K85,pipedata[ID],pipedata[WT])</f>
        <v>0.74</v>
      </c>
      <c r="O85" s="56">
        <f>_xlfn.XLOOKUP(Survey!$K85,pipedata[ID],pipedata[104%])</f>
        <v>2565.3333333333335</v>
      </c>
      <c r="P85" s="57">
        <f t="shared" si="1"/>
        <v>1850</v>
      </c>
      <c r="Q85" s="58">
        <f>_xlfn.MAXIFS(Survey!$G$2:$G$3647,Survey!$M$2:$M$3647,Survey!$M85)-Survey!$G85</f>
        <v>611.01200182141292</v>
      </c>
      <c r="R85" s="59">
        <f>Survey!$P85+(Survey!$Q85*0.433)</f>
        <v>2114.5681967886717</v>
      </c>
    </row>
    <row r="86" spans="1:18" x14ac:dyDescent="0.25">
      <c r="A86" s="71" t="s">
        <v>17</v>
      </c>
      <c r="B86" s="72" t="s">
        <v>18</v>
      </c>
      <c r="C86" s="73" t="s">
        <v>19</v>
      </c>
      <c r="D86" s="74">
        <v>227.77122795961398</v>
      </c>
      <c r="E86" s="81">
        <v>1230249</v>
      </c>
      <c r="F86" s="82">
        <v>1203658.9333333347</v>
      </c>
      <c r="G86" s="75">
        <v>1751.2656222272926</v>
      </c>
      <c r="H86" s="76">
        <v>2</v>
      </c>
      <c r="I86" s="54" t="s">
        <v>20</v>
      </c>
      <c r="J86" s="77">
        <v>40</v>
      </c>
      <c r="K86" s="78">
        <v>2</v>
      </c>
      <c r="L86" s="54">
        <v>1</v>
      </c>
      <c r="M86" s="54">
        <f>_xlfn.XLOOKUP(Survey!$F86,sections[Start],sections[Test Section],,-1,1)</f>
        <v>1</v>
      </c>
      <c r="N86" s="55">
        <f>_xlfn.XLOOKUP(Survey!$K86,pipedata[ID],pipedata[WT])</f>
        <v>0.74</v>
      </c>
      <c r="O86" s="56">
        <f>_xlfn.XLOOKUP(Survey!$K86,pipedata[ID],pipedata[104%])</f>
        <v>2565.3333333333335</v>
      </c>
      <c r="P86" s="57">
        <f t="shared" si="1"/>
        <v>1850</v>
      </c>
      <c r="Q86" s="58">
        <f>_xlfn.MAXIFS(Survey!$G$2:$G$3647,Survey!$M$2:$M$3647,Survey!$M86)-Survey!$G86</f>
        <v>602.88446536047286</v>
      </c>
      <c r="R86" s="59">
        <f>Survey!$P86+(Survey!$Q86*0.433)</f>
        <v>2111.0489735010847</v>
      </c>
    </row>
    <row r="87" spans="1:18" x14ac:dyDescent="0.25">
      <c r="A87" s="60" t="s">
        <v>17</v>
      </c>
      <c r="B87" s="61" t="s">
        <v>18</v>
      </c>
      <c r="C87" s="62" t="s">
        <v>19</v>
      </c>
      <c r="D87" s="63">
        <v>227.77775526722147</v>
      </c>
      <c r="E87" s="79">
        <v>1230289</v>
      </c>
      <c r="F87" s="80">
        <v>1203696.4666666682</v>
      </c>
      <c r="G87" s="66">
        <v>1756.3879532872286</v>
      </c>
      <c r="H87" s="67">
        <v>2</v>
      </c>
      <c r="I87" s="68" t="s">
        <v>20</v>
      </c>
      <c r="J87" s="69">
        <v>40</v>
      </c>
      <c r="K87" s="70">
        <v>2</v>
      </c>
      <c r="L87" s="68">
        <v>1</v>
      </c>
      <c r="M87" s="68">
        <f>_xlfn.XLOOKUP(Survey!$F87,sections[Start],sections[Test Section],,-1,1)</f>
        <v>1</v>
      </c>
      <c r="N87" s="55">
        <f>_xlfn.XLOOKUP(Survey!$K87,pipedata[ID],pipedata[WT])</f>
        <v>0.74</v>
      </c>
      <c r="O87" s="56">
        <f>_xlfn.XLOOKUP(Survey!$K87,pipedata[ID],pipedata[104%])</f>
        <v>2565.3333333333335</v>
      </c>
      <c r="P87" s="57">
        <f t="shared" si="1"/>
        <v>1850</v>
      </c>
      <c r="Q87" s="58">
        <f>_xlfn.MAXIFS(Survey!$G$2:$G$3647,Survey!$M$2:$M$3647,Survey!$M87)-Survey!$G87</f>
        <v>597.7621343005369</v>
      </c>
      <c r="R87" s="59">
        <f>Survey!$P87+(Survey!$Q87*0.433)</f>
        <v>2108.8310041521327</v>
      </c>
    </row>
    <row r="88" spans="1:18" x14ac:dyDescent="0.25">
      <c r="A88" s="71" t="s">
        <v>17</v>
      </c>
      <c r="B88" s="72" t="s">
        <v>18</v>
      </c>
      <c r="C88" s="73" t="s">
        <v>19</v>
      </c>
      <c r="D88" s="74">
        <v>227.78686234169308</v>
      </c>
      <c r="E88" s="81">
        <v>1230329</v>
      </c>
      <c r="F88" s="82">
        <v>1203734.0000000016</v>
      </c>
      <c r="G88" s="75">
        <v>1763.3255744785181</v>
      </c>
      <c r="H88" s="76">
        <v>2</v>
      </c>
      <c r="I88" s="54" t="s">
        <v>20</v>
      </c>
      <c r="J88" s="77">
        <v>40</v>
      </c>
      <c r="K88" s="78">
        <v>2</v>
      </c>
      <c r="L88" s="54">
        <v>1</v>
      </c>
      <c r="M88" s="54">
        <f>_xlfn.XLOOKUP(Survey!$F88,sections[Start],sections[Test Section],,-1,1)</f>
        <v>1</v>
      </c>
      <c r="N88" s="55">
        <f>_xlfn.XLOOKUP(Survey!$K88,pipedata[ID],pipedata[WT])</f>
        <v>0.74</v>
      </c>
      <c r="O88" s="56">
        <f>_xlfn.XLOOKUP(Survey!$K88,pipedata[ID],pipedata[104%])</f>
        <v>2565.3333333333335</v>
      </c>
      <c r="P88" s="57">
        <f t="shared" si="1"/>
        <v>1850</v>
      </c>
      <c r="Q88" s="58">
        <f>_xlfn.MAXIFS(Survey!$G$2:$G$3647,Survey!$M$2:$M$3647,Survey!$M88)-Survey!$G88</f>
        <v>590.82451310924739</v>
      </c>
      <c r="R88" s="59">
        <f>Survey!$P88+(Survey!$Q88*0.433)</f>
        <v>2105.8270141763041</v>
      </c>
    </row>
    <row r="89" spans="1:18" x14ac:dyDescent="0.25">
      <c r="A89" s="60" t="s">
        <v>17</v>
      </c>
      <c r="B89" s="61" t="s">
        <v>18</v>
      </c>
      <c r="C89" s="62" t="s">
        <v>19</v>
      </c>
      <c r="D89" s="63">
        <v>227.79407353624018</v>
      </c>
      <c r="E89" s="79">
        <v>1230369</v>
      </c>
      <c r="F89" s="80">
        <v>1203771.5333333351</v>
      </c>
      <c r="G89" s="66">
        <v>1771.9694303562585</v>
      </c>
      <c r="H89" s="67">
        <v>2</v>
      </c>
      <c r="I89" s="68" t="s">
        <v>20</v>
      </c>
      <c r="J89" s="69">
        <v>40</v>
      </c>
      <c r="K89" s="70">
        <v>2</v>
      </c>
      <c r="L89" s="68">
        <v>1</v>
      </c>
      <c r="M89" s="68">
        <f>_xlfn.XLOOKUP(Survey!$F89,sections[Start],sections[Test Section],,-1,1)</f>
        <v>1</v>
      </c>
      <c r="N89" s="55">
        <f>_xlfn.XLOOKUP(Survey!$K89,pipedata[ID],pipedata[WT])</f>
        <v>0.74</v>
      </c>
      <c r="O89" s="56">
        <f>_xlfn.XLOOKUP(Survey!$K89,pipedata[ID],pipedata[104%])</f>
        <v>2565.3333333333335</v>
      </c>
      <c r="P89" s="57">
        <f t="shared" si="1"/>
        <v>1850</v>
      </c>
      <c r="Q89" s="58">
        <f>_xlfn.MAXIFS(Survey!$G$2:$G$3647,Survey!$M$2:$M$3647,Survey!$M89)-Survey!$G89</f>
        <v>582.18065723150698</v>
      </c>
      <c r="R89" s="59">
        <f>Survey!$P89+(Survey!$Q89*0.433)</f>
        <v>2102.0842245812423</v>
      </c>
    </row>
    <row r="90" spans="1:18" x14ac:dyDescent="0.25">
      <c r="A90" s="71" t="s">
        <v>17</v>
      </c>
      <c r="B90" s="72" t="s">
        <v>18</v>
      </c>
      <c r="C90" s="73" t="s">
        <v>19</v>
      </c>
      <c r="D90" s="74">
        <v>227.80134881106576</v>
      </c>
      <c r="E90" s="81">
        <v>1230409</v>
      </c>
      <c r="F90" s="82">
        <v>1203809.0666666685</v>
      </c>
      <c r="G90" s="75">
        <v>1781.1231741491035</v>
      </c>
      <c r="H90" s="76">
        <v>2</v>
      </c>
      <c r="I90" s="54" t="s">
        <v>20</v>
      </c>
      <c r="J90" s="77">
        <v>40</v>
      </c>
      <c r="K90" s="78">
        <v>2</v>
      </c>
      <c r="L90" s="54">
        <v>1</v>
      </c>
      <c r="M90" s="54">
        <f>_xlfn.XLOOKUP(Survey!$F90,sections[Start],sections[Test Section],,-1,1)</f>
        <v>1</v>
      </c>
      <c r="N90" s="55">
        <f>_xlfn.XLOOKUP(Survey!$K90,pipedata[ID],pipedata[WT])</f>
        <v>0.74</v>
      </c>
      <c r="O90" s="56">
        <f>_xlfn.XLOOKUP(Survey!$K90,pipedata[ID],pipedata[104%])</f>
        <v>2565.3333333333335</v>
      </c>
      <c r="P90" s="57">
        <f t="shared" si="1"/>
        <v>1850</v>
      </c>
      <c r="Q90" s="58">
        <f>_xlfn.MAXIFS(Survey!$G$2:$G$3647,Survey!$M$2:$M$3647,Survey!$M90)-Survey!$G90</f>
        <v>573.02691343866195</v>
      </c>
      <c r="R90" s="59">
        <f>Survey!$P90+(Survey!$Q90*0.433)</f>
        <v>2098.1206535189408</v>
      </c>
    </row>
    <row r="91" spans="1:18" x14ac:dyDescent="0.25">
      <c r="A91" s="60" t="s">
        <v>17</v>
      </c>
      <c r="B91" s="61" t="s">
        <v>18</v>
      </c>
      <c r="C91" s="62" t="s">
        <v>19</v>
      </c>
      <c r="D91" s="63">
        <v>227.80779257727158</v>
      </c>
      <c r="E91" s="79">
        <v>1230449</v>
      </c>
      <c r="F91" s="80">
        <v>1203846.600000002</v>
      </c>
      <c r="G91" s="66">
        <v>1791.7765371940286</v>
      </c>
      <c r="H91" s="67">
        <v>2</v>
      </c>
      <c r="I91" s="68" t="s">
        <v>20</v>
      </c>
      <c r="J91" s="69">
        <v>40</v>
      </c>
      <c r="K91" s="70">
        <v>2</v>
      </c>
      <c r="L91" s="68">
        <v>1</v>
      </c>
      <c r="M91" s="68">
        <f>_xlfn.XLOOKUP(Survey!$F91,sections[Start],sections[Test Section],,-1,1)</f>
        <v>1</v>
      </c>
      <c r="N91" s="55">
        <f>_xlfn.XLOOKUP(Survey!$K91,pipedata[ID],pipedata[WT])</f>
        <v>0.74</v>
      </c>
      <c r="O91" s="56">
        <f>_xlfn.XLOOKUP(Survey!$K91,pipedata[ID],pipedata[104%])</f>
        <v>2565.3333333333335</v>
      </c>
      <c r="P91" s="57">
        <f t="shared" si="1"/>
        <v>1850</v>
      </c>
      <c r="Q91" s="58">
        <f>_xlfn.MAXIFS(Survey!$G$2:$G$3647,Survey!$M$2:$M$3647,Survey!$M91)-Survey!$G91</f>
        <v>562.37355039373688</v>
      </c>
      <c r="R91" s="59">
        <f>Survey!$P91+(Survey!$Q91*0.433)</f>
        <v>2093.5077473204883</v>
      </c>
    </row>
    <row r="92" spans="1:18" x14ac:dyDescent="0.25">
      <c r="A92" s="71" t="s">
        <v>17</v>
      </c>
      <c r="B92" s="72" t="s">
        <v>18</v>
      </c>
      <c r="C92" s="73" t="s">
        <v>19</v>
      </c>
      <c r="D92" s="74">
        <v>227.8147693224646</v>
      </c>
      <c r="E92" s="81">
        <v>1230489</v>
      </c>
      <c r="F92" s="82">
        <v>1203884.1333333354</v>
      </c>
      <c r="G92" s="75">
        <v>1805.0656719115195</v>
      </c>
      <c r="H92" s="76">
        <v>2</v>
      </c>
      <c r="I92" s="54" t="s">
        <v>20</v>
      </c>
      <c r="J92" s="77">
        <v>40</v>
      </c>
      <c r="K92" s="78">
        <v>2</v>
      </c>
      <c r="L92" s="54">
        <v>1</v>
      </c>
      <c r="M92" s="54">
        <f>_xlfn.XLOOKUP(Survey!$F92,sections[Start],sections[Test Section],,-1,1)</f>
        <v>1</v>
      </c>
      <c r="N92" s="55">
        <f>_xlfn.XLOOKUP(Survey!$K92,pipedata[ID],pipedata[WT])</f>
        <v>0.74</v>
      </c>
      <c r="O92" s="56">
        <f>_xlfn.XLOOKUP(Survey!$K92,pipedata[ID],pipedata[104%])</f>
        <v>2565.3333333333335</v>
      </c>
      <c r="P92" s="57">
        <f t="shared" si="1"/>
        <v>1850</v>
      </c>
      <c r="Q92" s="58">
        <f>_xlfn.MAXIFS(Survey!$G$2:$G$3647,Survey!$M$2:$M$3647,Survey!$M92)-Survey!$G92</f>
        <v>549.08441567624595</v>
      </c>
      <c r="R92" s="59">
        <f>Survey!$P92+(Survey!$Q92*0.433)</f>
        <v>2087.7535519878147</v>
      </c>
    </row>
    <row r="93" spans="1:18" x14ac:dyDescent="0.25">
      <c r="A93" s="60" t="s">
        <v>17</v>
      </c>
      <c r="B93" s="61" t="s">
        <v>18</v>
      </c>
      <c r="C93" s="62" t="s">
        <v>19</v>
      </c>
      <c r="D93" s="63">
        <v>227.82174606765753</v>
      </c>
      <c r="E93" s="79">
        <v>1230529</v>
      </c>
      <c r="F93" s="80">
        <v>1203921.6666666688</v>
      </c>
      <c r="G93" s="66">
        <v>1819.4763657786455</v>
      </c>
      <c r="H93" s="67">
        <v>2</v>
      </c>
      <c r="I93" s="68" t="s">
        <v>20</v>
      </c>
      <c r="J93" s="69">
        <v>40</v>
      </c>
      <c r="K93" s="70">
        <v>2</v>
      </c>
      <c r="L93" s="68">
        <v>1</v>
      </c>
      <c r="M93" s="68">
        <f>_xlfn.XLOOKUP(Survey!$F93,sections[Start],sections[Test Section],,-1,1)</f>
        <v>1</v>
      </c>
      <c r="N93" s="55">
        <f>_xlfn.XLOOKUP(Survey!$K93,pipedata[ID],pipedata[WT])</f>
        <v>0.74</v>
      </c>
      <c r="O93" s="56">
        <f>_xlfn.XLOOKUP(Survey!$K93,pipedata[ID],pipedata[104%])</f>
        <v>2565.3333333333335</v>
      </c>
      <c r="P93" s="57">
        <f t="shared" si="1"/>
        <v>1850</v>
      </c>
      <c r="Q93" s="58">
        <f>_xlfn.MAXIFS(Survey!$G$2:$G$3647,Survey!$M$2:$M$3647,Survey!$M93)-Survey!$G93</f>
        <v>534.67372180912002</v>
      </c>
      <c r="R93" s="59">
        <f>Survey!$P93+(Survey!$Q93*0.433)</f>
        <v>2081.5137215433488</v>
      </c>
    </row>
    <row r="94" spans="1:18" x14ac:dyDescent="0.25">
      <c r="A94" s="71" t="s">
        <v>17</v>
      </c>
      <c r="B94" s="72" t="s">
        <v>18</v>
      </c>
      <c r="C94" s="73" t="s">
        <v>19</v>
      </c>
      <c r="D94" s="74">
        <v>227.82997372808131</v>
      </c>
      <c r="E94" s="81">
        <v>1230569</v>
      </c>
      <c r="F94" s="82">
        <v>1203959.2000000023</v>
      </c>
      <c r="G94" s="75">
        <v>1837.1724668272136</v>
      </c>
      <c r="H94" s="76">
        <v>2</v>
      </c>
      <c r="I94" s="54" t="s">
        <v>20</v>
      </c>
      <c r="J94" s="77">
        <v>40</v>
      </c>
      <c r="K94" s="78">
        <v>2</v>
      </c>
      <c r="L94" s="54">
        <v>1</v>
      </c>
      <c r="M94" s="54">
        <f>_xlfn.XLOOKUP(Survey!$F94,sections[Start],sections[Test Section],,-1,1)</f>
        <v>1</v>
      </c>
      <c r="N94" s="55">
        <f>_xlfn.XLOOKUP(Survey!$K94,pipedata[ID],pipedata[WT])</f>
        <v>0.74</v>
      </c>
      <c r="O94" s="56">
        <f>_xlfn.XLOOKUP(Survey!$K94,pipedata[ID],pipedata[104%])</f>
        <v>2565.3333333333335</v>
      </c>
      <c r="P94" s="57">
        <f t="shared" si="1"/>
        <v>1850</v>
      </c>
      <c r="Q94" s="58">
        <f>_xlfn.MAXIFS(Survey!$G$2:$G$3647,Survey!$M$2:$M$3647,Survey!$M94)-Survey!$G94</f>
        <v>516.97762076055187</v>
      </c>
      <c r="R94" s="59">
        <f>Survey!$P94+(Survey!$Q94*0.433)</f>
        <v>2073.8513097893187</v>
      </c>
    </row>
    <row r="95" spans="1:18" x14ac:dyDescent="0.25">
      <c r="A95" s="60" t="s">
        <v>17</v>
      </c>
      <c r="B95" s="61" t="s">
        <v>18</v>
      </c>
      <c r="C95" s="62" t="s">
        <v>19</v>
      </c>
      <c r="D95" s="63">
        <v>227.83650103568874</v>
      </c>
      <c r="E95" s="79">
        <v>1230609</v>
      </c>
      <c r="F95" s="80">
        <v>1203996.7333333357</v>
      </c>
      <c r="G95" s="66">
        <v>1853.6249893515167</v>
      </c>
      <c r="H95" s="67">
        <v>2</v>
      </c>
      <c r="I95" s="68" t="s">
        <v>20</v>
      </c>
      <c r="J95" s="69">
        <v>40</v>
      </c>
      <c r="K95" s="70">
        <v>2</v>
      </c>
      <c r="L95" s="68">
        <v>1</v>
      </c>
      <c r="M95" s="68">
        <f>_xlfn.XLOOKUP(Survey!$F95,sections[Start],sections[Test Section],,-1,1)</f>
        <v>1</v>
      </c>
      <c r="N95" s="55">
        <f>_xlfn.XLOOKUP(Survey!$K95,pipedata[ID],pipedata[WT])</f>
        <v>0.74</v>
      </c>
      <c r="O95" s="56">
        <f>_xlfn.XLOOKUP(Survey!$K95,pipedata[ID],pipedata[104%])</f>
        <v>2565.3333333333335</v>
      </c>
      <c r="P95" s="57">
        <f t="shared" si="1"/>
        <v>1850</v>
      </c>
      <c r="Q95" s="58">
        <f>_xlfn.MAXIFS(Survey!$G$2:$G$3647,Survey!$M$2:$M$3647,Survey!$M95)-Survey!$G95</f>
        <v>500.52509823624882</v>
      </c>
      <c r="R95" s="59">
        <f>Survey!$P95+(Survey!$Q95*0.433)</f>
        <v>2066.7273675362958</v>
      </c>
    </row>
    <row r="96" spans="1:18" x14ac:dyDescent="0.25">
      <c r="A96" s="71" t="s">
        <v>17</v>
      </c>
      <c r="B96" s="72" t="s">
        <v>18</v>
      </c>
      <c r="C96" s="73" t="s">
        <v>19</v>
      </c>
      <c r="D96" s="74">
        <v>227.84302834329608</v>
      </c>
      <c r="E96" s="81">
        <v>1230649</v>
      </c>
      <c r="F96" s="82">
        <v>1204034.2666666692</v>
      </c>
      <c r="G96" s="75">
        <v>1868.8680400133132</v>
      </c>
      <c r="H96" s="76">
        <v>2</v>
      </c>
      <c r="I96" s="54" t="s">
        <v>20</v>
      </c>
      <c r="J96" s="77">
        <v>40</v>
      </c>
      <c r="K96" s="78">
        <v>2</v>
      </c>
      <c r="L96" s="54">
        <v>1</v>
      </c>
      <c r="M96" s="54">
        <f>_xlfn.XLOOKUP(Survey!$F96,sections[Start],sections[Test Section],,-1,1)</f>
        <v>1</v>
      </c>
      <c r="N96" s="55">
        <f>_xlfn.XLOOKUP(Survey!$K96,pipedata[ID],pipedata[WT])</f>
        <v>0.74</v>
      </c>
      <c r="O96" s="56">
        <f>_xlfn.XLOOKUP(Survey!$K96,pipedata[ID],pipedata[104%])</f>
        <v>2565.3333333333335</v>
      </c>
      <c r="P96" s="57">
        <f t="shared" si="1"/>
        <v>1850</v>
      </c>
      <c r="Q96" s="58">
        <f>_xlfn.MAXIFS(Survey!$G$2:$G$3647,Survey!$M$2:$M$3647,Survey!$M96)-Survey!$G96</f>
        <v>485.28204757445224</v>
      </c>
      <c r="R96" s="59">
        <f>Survey!$P96+(Survey!$Q96*0.433)</f>
        <v>2060.1271265997379</v>
      </c>
    </row>
    <row r="97" spans="1:18" x14ac:dyDescent="0.25">
      <c r="A97" s="60" t="s">
        <v>17</v>
      </c>
      <c r="B97" s="61" t="s">
        <v>18</v>
      </c>
      <c r="C97" s="62" t="s">
        <v>19</v>
      </c>
      <c r="D97" s="63">
        <v>227.8498945073876</v>
      </c>
      <c r="E97" s="79">
        <v>1230689</v>
      </c>
      <c r="F97" s="80">
        <v>1204071.8000000026</v>
      </c>
      <c r="G97" s="66">
        <v>1883.5967680101096</v>
      </c>
      <c r="H97" s="67">
        <v>2</v>
      </c>
      <c r="I97" s="68" t="s">
        <v>20</v>
      </c>
      <c r="J97" s="69">
        <v>40</v>
      </c>
      <c r="K97" s="70">
        <v>2</v>
      </c>
      <c r="L97" s="68">
        <v>1</v>
      </c>
      <c r="M97" s="68">
        <f>_xlfn.XLOOKUP(Survey!$F97,sections[Start],sections[Test Section],,-1,1)</f>
        <v>1</v>
      </c>
      <c r="N97" s="55">
        <f>_xlfn.XLOOKUP(Survey!$K97,pipedata[ID],pipedata[WT])</f>
        <v>0.74</v>
      </c>
      <c r="O97" s="56">
        <f>_xlfn.XLOOKUP(Survey!$K97,pipedata[ID],pipedata[104%])</f>
        <v>2565.3333333333335</v>
      </c>
      <c r="P97" s="57">
        <f t="shared" si="1"/>
        <v>1850</v>
      </c>
      <c r="Q97" s="58">
        <f>_xlfn.MAXIFS(Survey!$G$2:$G$3647,Survey!$M$2:$M$3647,Survey!$M97)-Survey!$G97</f>
        <v>470.55331957765588</v>
      </c>
      <c r="R97" s="59">
        <f>Survey!$P97+(Survey!$Q97*0.433)</f>
        <v>2053.749587377125</v>
      </c>
    </row>
    <row r="98" spans="1:18" x14ac:dyDescent="0.25">
      <c r="A98" s="71" t="s">
        <v>17</v>
      </c>
      <c r="B98" s="72" t="s">
        <v>18</v>
      </c>
      <c r="C98" s="73" t="s">
        <v>19</v>
      </c>
      <c r="D98" s="74">
        <v>227.85798545677508</v>
      </c>
      <c r="E98" s="81">
        <v>1230729</v>
      </c>
      <c r="F98" s="82">
        <v>1204109.333333336</v>
      </c>
      <c r="G98" s="75">
        <v>1896.6099303875701</v>
      </c>
      <c r="H98" s="76">
        <v>2</v>
      </c>
      <c r="I98" s="54" t="s">
        <v>20</v>
      </c>
      <c r="J98" s="77">
        <v>40</v>
      </c>
      <c r="K98" s="78">
        <v>2</v>
      </c>
      <c r="L98" s="54">
        <v>1</v>
      </c>
      <c r="M98" s="54">
        <f>_xlfn.XLOOKUP(Survey!$F98,sections[Start],sections[Test Section],,-1,1)</f>
        <v>1</v>
      </c>
      <c r="N98" s="55">
        <f>_xlfn.XLOOKUP(Survey!$K98,pipedata[ID],pipedata[WT])</f>
        <v>0.74</v>
      </c>
      <c r="O98" s="56">
        <f>_xlfn.XLOOKUP(Survey!$K98,pipedata[ID],pipedata[104%])</f>
        <v>2565.3333333333335</v>
      </c>
      <c r="P98" s="57">
        <f t="shared" si="1"/>
        <v>1850</v>
      </c>
      <c r="Q98" s="58">
        <f>_xlfn.MAXIFS(Survey!$G$2:$G$3647,Survey!$M$2:$M$3647,Survey!$M98)-Survey!$G98</f>
        <v>457.54015720019538</v>
      </c>
      <c r="R98" s="59">
        <f>Survey!$P98+(Survey!$Q98*0.433)</f>
        <v>2048.1148880676847</v>
      </c>
    </row>
    <row r="99" spans="1:18" x14ac:dyDescent="0.25">
      <c r="A99" s="60" t="s">
        <v>17</v>
      </c>
      <c r="B99" s="61" t="s">
        <v>18</v>
      </c>
      <c r="C99" s="62" t="s">
        <v>19</v>
      </c>
      <c r="D99" s="63">
        <v>227.86360653881499</v>
      </c>
      <c r="E99" s="79">
        <v>1230769</v>
      </c>
      <c r="F99" s="80">
        <v>1204146.8666666695</v>
      </c>
      <c r="G99" s="66">
        <v>1910.0828420468467</v>
      </c>
      <c r="H99" s="67">
        <v>2</v>
      </c>
      <c r="I99" s="68" t="s">
        <v>20</v>
      </c>
      <c r="J99" s="69">
        <v>40</v>
      </c>
      <c r="K99" s="70">
        <v>2</v>
      </c>
      <c r="L99" s="68">
        <v>1</v>
      </c>
      <c r="M99" s="68">
        <f>_xlfn.XLOOKUP(Survey!$F99,sections[Start],sections[Test Section],,-1,1)</f>
        <v>1</v>
      </c>
      <c r="N99" s="55">
        <f>_xlfn.XLOOKUP(Survey!$K99,pipedata[ID],pipedata[WT])</f>
        <v>0.74</v>
      </c>
      <c r="O99" s="56">
        <f>_xlfn.XLOOKUP(Survey!$K99,pipedata[ID],pipedata[104%])</f>
        <v>2565.3333333333335</v>
      </c>
      <c r="P99" s="57">
        <f t="shared" si="1"/>
        <v>1850</v>
      </c>
      <c r="Q99" s="58">
        <f>_xlfn.MAXIFS(Survey!$G$2:$G$3647,Survey!$M$2:$M$3647,Survey!$M99)-Survey!$G99</f>
        <v>444.06724554091875</v>
      </c>
      <c r="R99" s="59">
        <f>Survey!$P99+(Survey!$Q99*0.433)</f>
        <v>2042.2811173192179</v>
      </c>
    </row>
    <row r="100" spans="1:18" x14ac:dyDescent="0.25">
      <c r="A100" s="71" t="s">
        <v>17</v>
      </c>
      <c r="B100" s="72" t="s">
        <v>18</v>
      </c>
      <c r="C100" s="73" t="s">
        <v>19</v>
      </c>
      <c r="D100" s="74">
        <v>227.87240122752931</v>
      </c>
      <c r="E100" s="81">
        <v>1230809</v>
      </c>
      <c r="F100" s="82">
        <v>1204184.4000000029</v>
      </c>
      <c r="G100" s="75">
        <v>1924.1310623804163</v>
      </c>
      <c r="H100" s="76">
        <v>2</v>
      </c>
      <c r="I100" s="54" t="s">
        <v>20</v>
      </c>
      <c r="J100" s="77">
        <v>40</v>
      </c>
      <c r="K100" s="78">
        <v>2</v>
      </c>
      <c r="L100" s="54">
        <v>1</v>
      </c>
      <c r="M100" s="54">
        <f>_xlfn.XLOOKUP(Survey!$F100,sections[Start],sections[Test Section],,-1,1)</f>
        <v>1</v>
      </c>
      <c r="N100" s="55">
        <f>_xlfn.XLOOKUP(Survey!$K100,pipedata[ID],pipedata[WT])</f>
        <v>0.74</v>
      </c>
      <c r="O100" s="56">
        <f>_xlfn.XLOOKUP(Survey!$K100,pipedata[ID],pipedata[104%])</f>
        <v>2565.3333333333335</v>
      </c>
      <c r="P100" s="57">
        <f t="shared" si="1"/>
        <v>1850</v>
      </c>
      <c r="Q100" s="58">
        <f>_xlfn.MAXIFS(Survey!$G$2:$G$3647,Survey!$M$2:$M$3647,Survey!$M100)-Survey!$G100</f>
        <v>430.01902520734916</v>
      </c>
      <c r="R100" s="59">
        <f>Survey!$P100+(Survey!$Q100*0.433)</f>
        <v>2036.1982379147821</v>
      </c>
    </row>
    <row r="101" spans="1:18" x14ac:dyDescent="0.25">
      <c r="A101" s="60" t="s">
        <v>17</v>
      </c>
      <c r="B101" s="61" t="s">
        <v>18</v>
      </c>
      <c r="C101" s="62" t="s">
        <v>19</v>
      </c>
      <c r="D101" s="63">
        <v>227.87892853513634</v>
      </c>
      <c r="E101" s="79">
        <v>1230849</v>
      </c>
      <c r="F101" s="80">
        <v>1204221.9333333364</v>
      </c>
      <c r="G101" s="66">
        <v>1933.7547755957619</v>
      </c>
      <c r="H101" s="67">
        <v>2</v>
      </c>
      <c r="I101" s="68" t="s">
        <v>20</v>
      </c>
      <c r="J101" s="69">
        <v>40</v>
      </c>
      <c r="K101" s="70">
        <v>2</v>
      </c>
      <c r="L101" s="68">
        <v>1</v>
      </c>
      <c r="M101" s="68">
        <f>_xlfn.XLOOKUP(Survey!$F101,sections[Start],sections[Test Section],,-1,1)</f>
        <v>1</v>
      </c>
      <c r="N101" s="55">
        <f>_xlfn.XLOOKUP(Survey!$K101,pipedata[ID],pipedata[WT])</f>
        <v>0.74</v>
      </c>
      <c r="O101" s="56">
        <f>_xlfn.XLOOKUP(Survey!$K101,pipedata[ID],pipedata[104%])</f>
        <v>2565.3333333333335</v>
      </c>
      <c r="P101" s="57">
        <f t="shared" si="1"/>
        <v>1850</v>
      </c>
      <c r="Q101" s="58">
        <f>_xlfn.MAXIFS(Survey!$G$2:$G$3647,Survey!$M$2:$M$3647,Survey!$M101)-Survey!$G101</f>
        <v>420.3953119920036</v>
      </c>
      <c r="R101" s="59">
        <f>Survey!$P101+(Survey!$Q101*0.433)</f>
        <v>2032.0311700925376</v>
      </c>
    </row>
    <row r="102" spans="1:18" x14ac:dyDescent="0.25">
      <c r="A102" s="71" t="s">
        <v>17</v>
      </c>
      <c r="B102" s="72" t="s">
        <v>18</v>
      </c>
      <c r="C102" s="73" t="s">
        <v>19</v>
      </c>
      <c r="D102" s="74">
        <v>227.88686235612491</v>
      </c>
      <c r="E102" s="81">
        <v>1230889</v>
      </c>
      <c r="F102" s="82">
        <v>1204259.4666666698</v>
      </c>
      <c r="G102" s="75">
        <v>1948.1004542608187</v>
      </c>
      <c r="H102" s="76">
        <v>2</v>
      </c>
      <c r="I102" s="54" t="s">
        <v>20</v>
      </c>
      <c r="J102" s="77">
        <v>40</v>
      </c>
      <c r="K102" s="78">
        <v>2</v>
      </c>
      <c r="L102" s="54">
        <v>1</v>
      </c>
      <c r="M102" s="54">
        <f>_xlfn.XLOOKUP(Survey!$F102,sections[Start],sections[Test Section],,-1,1)</f>
        <v>1</v>
      </c>
      <c r="N102" s="55">
        <f>_xlfn.XLOOKUP(Survey!$K102,pipedata[ID],pipedata[WT])</f>
        <v>0.74</v>
      </c>
      <c r="O102" s="56">
        <f>_xlfn.XLOOKUP(Survey!$K102,pipedata[ID],pipedata[104%])</f>
        <v>2565.3333333333335</v>
      </c>
      <c r="P102" s="57">
        <f t="shared" si="1"/>
        <v>1850</v>
      </c>
      <c r="Q102" s="58">
        <f>_xlfn.MAXIFS(Survey!$G$2:$G$3647,Survey!$M$2:$M$3647,Survey!$M102)-Survey!$G102</f>
        <v>406.04963332694683</v>
      </c>
      <c r="R102" s="59">
        <f>Survey!$P102+(Survey!$Q102*0.433)</f>
        <v>2025.819491230568</v>
      </c>
    </row>
    <row r="103" spans="1:18" x14ac:dyDescent="0.25">
      <c r="A103" s="60" t="s">
        <v>17</v>
      </c>
      <c r="B103" s="61" t="s">
        <v>18</v>
      </c>
      <c r="C103" s="62" t="s">
        <v>19</v>
      </c>
      <c r="D103" s="63">
        <v>227.89383910131798</v>
      </c>
      <c r="E103" s="79">
        <v>1230929</v>
      </c>
      <c r="F103" s="80">
        <v>1204297.0000000033</v>
      </c>
      <c r="G103" s="66">
        <v>1956.6163559485622</v>
      </c>
      <c r="H103" s="67">
        <v>2</v>
      </c>
      <c r="I103" s="68" t="s">
        <v>20</v>
      </c>
      <c r="J103" s="69">
        <v>40</v>
      </c>
      <c r="K103" s="70">
        <v>2</v>
      </c>
      <c r="L103" s="68">
        <v>1</v>
      </c>
      <c r="M103" s="68">
        <f>_xlfn.XLOOKUP(Survey!$F103,sections[Start],sections[Test Section],,-1,1)</f>
        <v>1</v>
      </c>
      <c r="N103" s="55">
        <f>_xlfn.XLOOKUP(Survey!$K103,pipedata[ID],pipedata[WT])</f>
        <v>0.74</v>
      </c>
      <c r="O103" s="56">
        <f>_xlfn.XLOOKUP(Survey!$K103,pipedata[ID],pipedata[104%])</f>
        <v>2565.3333333333335</v>
      </c>
      <c r="P103" s="57">
        <f t="shared" si="1"/>
        <v>1850</v>
      </c>
      <c r="Q103" s="58">
        <f>_xlfn.MAXIFS(Survey!$G$2:$G$3647,Survey!$M$2:$M$3647,Survey!$M103)-Survey!$G103</f>
        <v>397.53373163920332</v>
      </c>
      <c r="R103" s="59">
        <f>Survey!$P103+(Survey!$Q103*0.433)</f>
        <v>2022.132105799775</v>
      </c>
    </row>
    <row r="104" spans="1:18" x14ac:dyDescent="0.25">
      <c r="A104" s="71" t="s">
        <v>17</v>
      </c>
      <c r="B104" s="72" t="s">
        <v>18</v>
      </c>
      <c r="C104" s="73" t="s">
        <v>19</v>
      </c>
      <c r="D104" s="74">
        <v>227.90081584651088</v>
      </c>
      <c r="E104" s="81">
        <v>1230969</v>
      </c>
      <c r="F104" s="82">
        <v>1204334.5333333367</v>
      </c>
      <c r="G104" s="75">
        <v>1965.0299382773362</v>
      </c>
      <c r="H104" s="76">
        <v>2</v>
      </c>
      <c r="I104" s="54" t="s">
        <v>20</v>
      </c>
      <c r="J104" s="77">
        <v>40</v>
      </c>
      <c r="K104" s="78">
        <v>2</v>
      </c>
      <c r="L104" s="54">
        <v>1</v>
      </c>
      <c r="M104" s="54">
        <f>_xlfn.XLOOKUP(Survey!$F104,sections[Start],sections[Test Section],,-1,1)</f>
        <v>1</v>
      </c>
      <c r="N104" s="55">
        <f>_xlfn.XLOOKUP(Survey!$K104,pipedata[ID],pipedata[WT])</f>
        <v>0.74</v>
      </c>
      <c r="O104" s="56">
        <f>_xlfn.XLOOKUP(Survey!$K104,pipedata[ID],pipedata[104%])</f>
        <v>2565.3333333333335</v>
      </c>
      <c r="P104" s="57">
        <f t="shared" si="1"/>
        <v>1850</v>
      </c>
      <c r="Q104" s="58">
        <f>_xlfn.MAXIFS(Survey!$G$2:$G$3647,Survey!$M$2:$M$3647,Survey!$M104)-Survey!$G104</f>
        <v>389.12014931042927</v>
      </c>
      <c r="R104" s="59">
        <f>Survey!$P104+(Survey!$Q104*0.433)</f>
        <v>2018.4890246514158</v>
      </c>
    </row>
    <row r="105" spans="1:18" x14ac:dyDescent="0.25">
      <c r="A105" s="60" t="s">
        <v>17</v>
      </c>
      <c r="B105" s="61" t="s">
        <v>18</v>
      </c>
      <c r="C105" s="62" t="s">
        <v>19</v>
      </c>
      <c r="D105" s="63">
        <v>227.90830141936951</v>
      </c>
      <c r="E105" s="79">
        <v>1231009</v>
      </c>
      <c r="F105" s="80">
        <v>1204372.0666666701</v>
      </c>
      <c r="G105" s="66">
        <v>1974.0838325564657</v>
      </c>
      <c r="H105" s="67">
        <v>2</v>
      </c>
      <c r="I105" s="68" t="s">
        <v>20</v>
      </c>
      <c r="J105" s="69">
        <v>40</v>
      </c>
      <c r="K105" s="70">
        <v>2</v>
      </c>
      <c r="L105" s="68">
        <v>1</v>
      </c>
      <c r="M105" s="68">
        <f>_xlfn.XLOOKUP(Survey!$F105,sections[Start],sections[Test Section],,-1,1)</f>
        <v>1</v>
      </c>
      <c r="N105" s="55">
        <f>_xlfn.XLOOKUP(Survey!$K105,pipedata[ID],pipedata[WT])</f>
        <v>0.74</v>
      </c>
      <c r="O105" s="56">
        <f>_xlfn.XLOOKUP(Survey!$K105,pipedata[ID],pipedata[104%])</f>
        <v>2565.3333333333335</v>
      </c>
      <c r="P105" s="57">
        <f t="shared" si="1"/>
        <v>1850</v>
      </c>
      <c r="Q105" s="58">
        <f>_xlfn.MAXIFS(Survey!$G$2:$G$3647,Survey!$M$2:$M$3647,Survey!$M105)-Survey!$G105</f>
        <v>380.06625503129976</v>
      </c>
      <c r="R105" s="59">
        <f>Survey!$P105+(Survey!$Q105*0.433)</f>
        <v>2014.5686884285528</v>
      </c>
    </row>
    <row r="106" spans="1:18" x14ac:dyDescent="0.25">
      <c r="A106" s="71" t="s">
        <v>17</v>
      </c>
      <c r="B106" s="72" t="s">
        <v>18</v>
      </c>
      <c r="C106" s="73" t="s">
        <v>19</v>
      </c>
      <c r="D106" s="74">
        <v>227.91581108677056</v>
      </c>
      <c r="E106" s="81">
        <v>1231049</v>
      </c>
      <c r="F106" s="82">
        <v>1204409.6000000036</v>
      </c>
      <c r="G106" s="75">
        <v>1984.1299995235231</v>
      </c>
      <c r="H106" s="76">
        <v>2</v>
      </c>
      <c r="I106" s="54" t="s">
        <v>20</v>
      </c>
      <c r="J106" s="77">
        <v>40</v>
      </c>
      <c r="K106" s="78">
        <v>2</v>
      </c>
      <c r="L106" s="54">
        <v>1</v>
      </c>
      <c r="M106" s="54">
        <f>_xlfn.XLOOKUP(Survey!$F106,sections[Start],sections[Test Section],,-1,1)</f>
        <v>1</v>
      </c>
      <c r="N106" s="55">
        <f>_xlfn.XLOOKUP(Survey!$K106,pipedata[ID],pipedata[WT])</f>
        <v>0.74</v>
      </c>
      <c r="O106" s="56">
        <f>_xlfn.XLOOKUP(Survey!$K106,pipedata[ID],pipedata[104%])</f>
        <v>2565.3333333333335</v>
      </c>
      <c r="P106" s="57">
        <f t="shared" si="1"/>
        <v>1850</v>
      </c>
      <c r="Q106" s="58">
        <f>_xlfn.MAXIFS(Survey!$G$2:$G$3647,Survey!$M$2:$M$3647,Survey!$M106)-Survey!$G106</f>
        <v>370.02008806424237</v>
      </c>
      <c r="R106" s="59">
        <f>Survey!$P106+(Survey!$Q106*0.433)</f>
        <v>2010.2186981318168</v>
      </c>
    </row>
    <row r="107" spans="1:18" x14ac:dyDescent="0.25">
      <c r="A107" s="60" t="s">
        <v>17</v>
      </c>
      <c r="B107" s="61" t="s">
        <v>18</v>
      </c>
      <c r="C107" s="62" t="s">
        <v>19</v>
      </c>
      <c r="D107" s="63">
        <v>227.92361161173568</v>
      </c>
      <c r="E107" s="79">
        <v>1231089</v>
      </c>
      <c r="F107" s="80">
        <v>1204447.133333337</v>
      </c>
      <c r="G107" s="66">
        <v>1995.0598247285761</v>
      </c>
      <c r="H107" s="67">
        <v>2</v>
      </c>
      <c r="I107" s="68" t="s">
        <v>20</v>
      </c>
      <c r="J107" s="69">
        <v>40</v>
      </c>
      <c r="K107" s="70">
        <v>2</v>
      </c>
      <c r="L107" s="68">
        <v>1</v>
      </c>
      <c r="M107" s="68">
        <f>_xlfn.XLOOKUP(Survey!$F107,sections[Start],sections[Test Section],,-1,1)</f>
        <v>1</v>
      </c>
      <c r="N107" s="55">
        <f>_xlfn.XLOOKUP(Survey!$K107,pipedata[ID],pipedata[WT])</f>
        <v>0.74</v>
      </c>
      <c r="O107" s="56">
        <f>_xlfn.XLOOKUP(Survey!$K107,pipedata[ID],pipedata[104%])</f>
        <v>2565.3333333333335</v>
      </c>
      <c r="P107" s="57">
        <f t="shared" si="1"/>
        <v>1850</v>
      </c>
      <c r="Q107" s="58">
        <f>_xlfn.MAXIFS(Survey!$G$2:$G$3647,Survey!$M$2:$M$3647,Survey!$M107)-Survey!$G107</f>
        <v>359.09026285918935</v>
      </c>
      <c r="R107" s="59">
        <f>Survey!$P107+(Survey!$Q107*0.433)</f>
        <v>2005.4860838180289</v>
      </c>
    </row>
    <row r="108" spans="1:18" x14ac:dyDescent="0.25">
      <c r="A108" s="71" t="s">
        <v>17</v>
      </c>
      <c r="B108" s="72" t="s">
        <v>18</v>
      </c>
      <c r="C108" s="73" t="s">
        <v>19</v>
      </c>
      <c r="D108" s="74">
        <v>227.92973188041628</v>
      </c>
      <c r="E108" s="81">
        <v>1231129</v>
      </c>
      <c r="F108" s="82">
        <v>1204484.6666666705</v>
      </c>
      <c r="G108" s="75">
        <v>2003.0705496462658</v>
      </c>
      <c r="H108" s="76">
        <v>2</v>
      </c>
      <c r="I108" s="54" t="s">
        <v>20</v>
      </c>
      <c r="J108" s="77">
        <v>40</v>
      </c>
      <c r="K108" s="78">
        <v>2</v>
      </c>
      <c r="L108" s="54">
        <v>1</v>
      </c>
      <c r="M108" s="54">
        <f>_xlfn.XLOOKUP(Survey!$F108,sections[Start],sections[Test Section],,-1,1)</f>
        <v>1</v>
      </c>
      <c r="N108" s="55">
        <f>_xlfn.XLOOKUP(Survey!$K108,pipedata[ID],pipedata[WT])</f>
        <v>0.74</v>
      </c>
      <c r="O108" s="56">
        <f>_xlfn.XLOOKUP(Survey!$K108,pipedata[ID],pipedata[104%])</f>
        <v>2565.3333333333335</v>
      </c>
      <c r="P108" s="57">
        <f t="shared" si="1"/>
        <v>1850</v>
      </c>
      <c r="Q108" s="58">
        <f>_xlfn.MAXIFS(Survey!$G$2:$G$3647,Survey!$M$2:$M$3647,Survey!$M108)-Survey!$G108</f>
        <v>351.07953794149967</v>
      </c>
      <c r="R108" s="59">
        <f>Survey!$P108+(Survey!$Q108*0.433)</f>
        <v>2002.0174399286693</v>
      </c>
    </row>
    <row r="109" spans="1:18" x14ac:dyDescent="0.25">
      <c r="A109" s="60" t="s">
        <v>17</v>
      </c>
      <c r="B109" s="61" t="s">
        <v>18</v>
      </c>
      <c r="C109" s="62" t="s">
        <v>19</v>
      </c>
      <c r="D109" s="63">
        <v>227.93806238047316</v>
      </c>
      <c r="E109" s="79">
        <v>1231169</v>
      </c>
      <c r="F109" s="80">
        <v>1204522.2000000039</v>
      </c>
      <c r="G109" s="66">
        <v>2014.423985570613</v>
      </c>
      <c r="H109" s="67">
        <v>2</v>
      </c>
      <c r="I109" s="68" t="s">
        <v>20</v>
      </c>
      <c r="J109" s="69">
        <v>40</v>
      </c>
      <c r="K109" s="70">
        <v>2</v>
      </c>
      <c r="L109" s="68">
        <v>1</v>
      </c>
      <c r="M109" s="68">
        <f>_xlfn.XLOOKUP(Survey!$F109,sections[Start],sections[Test Section],,-1,1)</f>
        <v>1</v>
      </c>
      <c r="N109" s="55">
        <f>_xlfn.XLOOKUP(Survey!$K109,pipedata[ID],pipedata[WT])</f>
        <v>0.74</v>
      </c>
      <c r="O109" s="56">
        <f>_xlfn.XLOOKUP(Survey!$K109,pipedata[ID],pipedata[104%])</f>
        <v>2565.3333333333335</v>
      </c>
      <c r="P109" s="57">
        <f t="shared" si="1"/>
        <v>1850</v>
      </c>
      <c r="Q109" s="58">
        <f>_xlfn.MAXIFS(Survey!$G$2:$G$3647,Survey!$M$2:$M$3647,Survey!$M109)-Survey!$G109</f>
        <v>339.72610201715247</v>
      </c>
      <c r="R109" s="59">
        <f>Survey!$P109+(Survey!$Q109*0.433)</f>
        <v>1997.101402173427</v>
      </c>
    </row>
    <row r="110" spans="1:18" x14ac:dyDescent="0.25">
      <c r="A110" s="71" t="s">
        <v>17</v>
      </c>
      <c r="B110" s="72" t="s">
        <v>18</v>
      </c>
      <c r="C110" s="73" t="s">
        <v>19</v>
      </c>
      <c r="D110" s="74">
        <v>227.94477583673748</v>
      </c>
      <c r="E110" s="81">
        <v>1231209</v>
      </c>
      <c r="F110" s="82">
        <v>1204559.7333333374</v>
      </c>
      <c r="G110" s="75">
        <v>2023.8663710414914</v>
      </c>
      <c r="H110" s="76">
        <v>2</v>
      </c>
      <c r="I110" s="54" t="s">
        <v>20</v>
      </c>
      <c r="J110" s="77">
        <v>40</v>
      </c>
      <c r="K110" s="78">
        <v>2</v>
      </c>
      <c r="L110" s="54">
        <v>1</v>
      </c>
      <c r="M110" s="54">
        <f>_xlfn.XLOOKUP(Survey!$F110,sections[Start],sections[Test Section],,-1,1)</f>
        <v>1</v>
      </c>
      <c r="N110" s="55">
        <f>_xlfn.XLOOKUP(Survey!$K110,pipedata[ID],pipedata[WT])</f>
        <v>0.74</v>
      </c>
      <c r="O110" s="56">
        <f>_xlfn.XLOOKUP(Survey!$K110,pipedata[ID],pipedata[104%])</f>
        <v>2565.3333333333335</v>
      </c>
      <c r="P110" s="57">
        <f t="shared" si="1"/>
        <v>1850</v>
      </c>
      <c r="Q110" s="58">
        <f>_xlfn.MAXIFS(Survey!$G$2:$G$3647,Survey!$M$2:$M$3647,Survey!$M110)-Survey!$G110</f>
        <v>330.28371654627404</v>
      </c>
      <c r="R110" s="59">
        <f>Survey!$P110+(Survey!$Q110*0.433)</f>
        <v>1993.0128492645367</v>
      </c>
    </row>
    <row r="111" spans="1:18" x14ac:dyDescent="0.25">
      <c r="A111" s="60" t="s">
        <v>17</v>
      </c>
      <c r="B111" s="61" t="s">
        <v>18</v>
      </c>
      <c r="C111" s="62" t="s">
        <v>19</v>
      </c>
      <c r="D111" s="63">
        <v>227.95251314921038</v>
      </c>
      <c r="E111" s="79">
        <v>1231249</v>
      </c>
      <c r="F111" s="80">
        <v>1204597.2666666708</v>
      </c>
      <c r="G111" s="66">
        <v>2036.2420112363452</v>
      </c>
      <c r="H111" s="67">
        <v>2</v>
      </c>
      <c r="I111" s="68" t="s">
        <v>20</v>
      </c>
      <c r="J111" s="69">
        <v>40</v>
      </c>
      <c r="K111" s="70">
        <v>2</v>
      </c>
      <c r="L111" s="68">
        <v>1</v>
      </c>
      <c r="M111" s="68">
        <f>_xlfn.XLOOKUP(Survey!$F111,sections[Start],sections[Test Section],,-1,1)</f>
        <v>1</v>
      </c>
      <c r="N111" s="55">
        <f>_xlfn.XLOOKUP(Survey!$K111,pipedata[ID],pipedata[WT])</f>
        <v>0.74</v>
      </c>
      <c r="O111" s="56">
        <f>_xlfn.XLOOKUP(Survey!$K111,pipedata[ID],pipedata[104%])</f>
        <v>2565.3333333333335</v>
      </c>
      <c r="P111" s="57">
        <f t="shared" si="1"/>
        <v>1850</v>
      </c>
      <c r="Q111" s="58">
        <f>_xlfn.MAXIFS(Survey!$G$2:$G$3647,Survey!$M$2:$M$3647,Survey!$M111)-Survey!$G111</f>
        <v>317.90807635142028</v>
      </c>
      <c r="R111" s="59">
        <f>Survey!$P111+(Survey!$Q111*0.433)</f>
        <v>1987.654197060165</v>
      </c>
    </row>
    <row r="112" spans="1:18" x14ac:dyDescent="0.25">
      <c r="A112" s="71" t="s">
        <v>17</v>
      </c>
      <c r="B112" s="72" t="s">
        <v>18</v>
      </c>
      <c r="C112" s="73" t="s">
        <v>19</v>
      </c>
      <c r="D112" s="74">
        <v>227.95981979305859</v>
      </c>
      <c r="E112" s="81">
        <v>1231289</v>
      </c>
      <c r="F112" s="82">
        <v>1204634.8000000042</v>
      </c>
      <c r="G112" s="75">
        <v>2045.2294486319058</v>
      </c>
      <c r="H112" s="76">
        <v>2</v>
      </c>
      <c r="I112" s="54" t="s">
        <v>20</v>
      </c>
      <c r="J112" s="77">
        <v>40</v>
      </c>
      <c r="K112" s="78">
        <v>2</v>
      </c>
      <c r="L112" s="54">
        <v>1</v>
      </c>
      <c r="M112" s="54">
        <f>_xlfn.XLOOKUP(Survey!$F112,sections[Start],sections[Test Section],,-1,1)</f>
        <v>1</v>
      </c>
      <c r="N112" s="55">
        <f>_xlfn.XLOOKUP(Survey!$K112,pipedata[ID],pipedata[WT])</f>
        <v>0.74</v>
      </c>
      <c r="O112" s="56">
        <f>_xlfn.XLOOKUP(Survey!$K112,pipedata[ID],pipedata[104%])</f>
        <v>2565.3333333333335</v>
      </c>
      <c r="P112" s="57">
        <f t="shared" si="1"/>
        <v>1850</v>
      </c>
      <c r="Q112" s="58">
        <f>_xlfn.MAXIFS(Survey!$G$2:$G$3647,Survey!$M$2:$M$3647,Survey!$M112)-Survey!$G112</f>
        <v>308.92063895585966</v>
      </c>
      <c r="R112" s="59">
        <f>Survey!$P112+(Survey!$Q112*0.433)</f>
        <v>1983.7626366678871</v>
      </c>
    </row>
    <row r="113" spans="1:18" x14ac:dyDescent="0.25">
      <c r="A113" s="60" t="s">
        <v>17</v>
      </c>
      <c r="B113" s="61" t="s">
        <v>18</v>
      </c>
      <c r="C113" s="62" t="s">
        <v>19</v>
      </c>
      <c r="D113" s="63">
        <v>227.96696391794774</v>
      </c>
      <c r="E113" s="79">
        <v>1231329</v>
      </c>
      <c r="F113" s="80">
        <v>1204672.3333333377</v>
      </c>
      <c r="G113" s="66">
        <v>2057.6206555133858</v>
      </c>
      <c r="H113" s="67">
        <v>2</v>
      </c>
      <c r="I113" s="68" t="s">
        <v>20</v>
      </c>
      <c r="J113" s="69">
        <v>40</v>
      </c>
      <c r="K113" s="70">
        <v>2</v>
      </c>
      <c r="L113" s="68">
        <v>1</v>
      </c>
      <c r="M113" s="68">
        <f>_xlfn.XLOOKUP(Survey!$F113,sections[Start],sections[Test Section],,-1,1)</f>
        <v>1</v>
      </c>
      <c r="N113" s="55">
        <f>_xlfn.XLOOKUP(Survey!$K113,pipedata[ID],pipedata[WT])</f>
        <v>0.74</v>
      </c>
      <c r="O113" s="56">
        <f>_xlfn.XLOOKUP(Survey!$K113,pipedata[ID],pipedata[104%])</f>
        <v>2565.3333333333335</v>
      </c>
      <c r="P113" s="57">
        <f t="shared" si="1"/>
        <v>1850</v>
      </c>
      <c r="Q113" s="58">
        <f>_xlfn.MAXIFS(Survey!$G$2:$G$3647,Survey!$M$2:$M$3647,Survey!$M113)-Survey!$G113</f>
        <v>296.52943207437966</v>
      </c>
      <c r="R113" s="59">
        <f>Survey!$P113+(Survey!$Q113*0.433)</f>
        <v>1978.3972440882064</v>
      </c>
    </row>
    <row r="114" spans="1:18" x14ac:dyDescent="0.25">
      <c r="A114" s="71" t="s">
        <v>17</v>
      </c>
      <c r="B114" s="72" t="s">
        <v>18</v>
      </c>
      <c r="C114" s="73" t="s">
        <v>19</v>
      </c>
      <c r="D114" s="74">
        <v>227.97274422544282</v>
      </c>
      <c r="E114" s="81">
        <v>1231369</v>
      </c>
      <c r="F114" s="82">
        <v>1204709.8666666711</v>
      </c>
      <c r="G114" s="75">
        <v>2076.7827489289893</v>
      </c>
      <c r="H114" s="76">
        <v>2</v>
      </c>
      <c r="I114" s="54" t="s">
        <v>20</v>
      </c>
      <c r="J114" s="77">
        <v>40</v>
      </c>
      <c r="K114" s="78">
        <v>2</v>
      </c>
      <c r="L114" s="54">
        <v>1</v>
      </c>
      <c r="M114" s="54">
        <f>_xlfn.XLOOKUP(Survey!$F114,sections[Start],sections[Test Section],,-1,1)</f>
        <v>1</v>
      </c>
      <c r="N114" s="55">
        <f>_xlfn.XLOOKUP(Survey!$K114,pipedata[ID],pipedata[WT])</f>
        <v>0.74</v>
      </c>
      <c r="O114" s="56">
        <f>_xlfn.XLOOKUP(Survey!$K114,pipedata[ID],pipedata[104%])</f>
        <v>2565.3333333333335</v>
      </c>
      <c r="P114" s="57">
        <f t="shared" si="1"/>
        <v>1850</v>
      </c>
      <c r="Q114" s="58">
        <f>_xlfn.MAXIFS(Survey!$G$2:$G$3647,Survey!$M$2:$M$3647,Survey!$M114)-Survey!$G114</f>
        <v>277.36733865877613</v>
      </c>
      <c r="R114" s="59">
        <f>Survey!$P114+(Survey!$Q114*0.433)</f>
        <v>1970.1000576392501</v>
      </c>
    </row>
    <row r="115" spans="1:18" x14ac:dyDescent="0.25">
      <c r="A115" s="60" t="s">
        <v>17</v>
      </c>
      <c r="B115" s="61" t="s">
        <v>18</v>
      </c>
      <c r="C115" s="62" t="s">
        <v>19</v>
      </c>
      <c r="D115" s="63">
        <v>227.97987840148696</v>
      </c>
      <c r="E115" s="79">
        <v>1231409</v>
      </c>
      <c r="F115" s="80">
        <v>1204747.4000000046</v>
      </c>
      <c r="G115" s="66">
        <v>2091.7058576266095</v>
      </c>
      <c r="H115" s="67">
        <v>2</v>
      </c>
      <c r="I115" s="68" t="s">
        <v>20</v>
      </c>
      <c r="J115" s="69">
        <v>40</v>
      </c>
      <c r="K115" s="70">
        <v>2</v>
      </c>
      <c r="L115" s="68">
        <v>1</v>
      </c>
      <c r="M115" s="68">
        <f>_xlfn.XLOOKUP(Survey!$F115,sections[Start],sections[Test Section],,-1,1)</f>
        <v>1</v>
      </c>
      <c r="N115" s="55">
        <f>_xlfn.XLOOKUP(Survey!$K115,pipedata[ID],pipedata[WT])</f>
        <v>0.74</v>
      </c>
      <c r="O115" s="56">
        <f>_xlfn.XLOOKUP(Survey!$K115,pipedata[ID],pipedata[104%])</f>
        <v>2565.3333333333335</v>
      </c>
      <c r="P115" s="57">
        <f t="shared" si="1"/>
        <v>1850</v>
      </c>
      <c r="Q115" s="58">
        <f>_xlfn.MAXIFS(Survey!$G$2:$G$3647,Survey!$M$2:$M$3647,Survey!$M115)-Survey!$G115</f>
        <v>262.444229961156</v>
      </c>
      <c r="R115" s="59">
        <f>Survey!$P115+(Survey!$Q115*0.433)</f>
        <v>1963.6383515731804</v>
      </c>
    </row>
    <row r="116" spans="1:18" x14ac:dyDescent="0.25">
      <c r="A116" s="71" t="s">
        <v>17</v>
      </c>
      <c r="B116" s="72" t="s">
        <v>18</v>
      </c>
      <c r="C116" s="73" t="s">
        <v>19</v>
      </c>
      <c r="D116" s="74">
        <v>227.98740037964757</v>
      </c>
      <c r="E116" s="81">
        <v>1231449</v>
      </c>
      <c r="F116" s="82">
        <v>1204784.933333338</v>
      </c>
      <c r="G116" s="75">
        <v>2104.9954256020487</v>
      </c>
      <c r="H116" s="76">
        <v>2</v>
      </c>
      <c r="I116" s="54" t="s">
        <v>20</v>
      </c>
      <c r="J116" s="77">
        <v>40</v>
      </c>
      <c r="K116" s="78">
        <v>2</v>
      </c>
      <c r="L116" s="54">
        <v>1</v>
      </c>
      <c r="M116" s="54">
        <f>_xlfn.XLOOKUP(Survey!$F116,sections[Start],sections[Test Section],,-1,1)</f>
        <v>1</v>
      </c>
      <c r="N116" s="55">
        <f>_xlfn.XLOOKUP(Survey!$K116,pipedata[ID],pipedata[WT])</f>
        <v>0.74</v>
      </c>
      <c r="O116" s="56">
        <f>_xlfn.XLOOKUP(Survey!$K116,pipedata[ID],pipedata[104%])</f>
        <v>2565.3333333333335</v>
      </c>
      <c r="P116" s="57">
        <f t="shared" si="1"/>
        <v>1850</v>
      </c>
      <c r="Q116" s="58">
        <f>_xlfn.MAXIFS(Survey!$G$2:$G$3647,Survey!$M$2:$M$3647,Survey!$M116)-Survey!$G116</f>
        <v>249.15466198571676</v>
      </c>
      <c r="R116" s="59">
        <f>Survey!$P116+(Survey!$Q116*0.433)</f>
        <v>1957.8839686398153</v>
      </c>
    </row>
    <row r="117" spans="1:18" x14ac:dyDescent="0.25">
      <c r="A117" s="60" t="s">
        <v>17</v>
      </c>
      <c r="B117" s="61" t="s">
        <v>18</v>
      </c>
      <c r="C117" s="62" t="s">
        <v>19</v>
      </c>
      <c r="D117" s="63">
        <v>227.99492235780812</v>
      </c>
      <c r="E117" s="79">
        <v>1231489</v>
      </c>
      <c r="F117" s="80">
        <v>1204822.4666666714</v>
      </c>
      <c r="G117" s="66">
        <v>2117.0044255935641</v>
      </c>
      <c r="H117" s="67">
        <v>2</v>
      </c>
      <c r="I117" s="68" t="s">
        <v>20</v>
      </c>
      <c r="J117" s="69">
        <v>40</v>
      </c>
      <c r="K117" s="70">
        <v>2</v>
      </c>
      <c r="L117" s="68">
        <v>1</v>
      </c>
      <c r="M117" s="68">
        <f>_xlfn.XLOOKUP(Survey!$F117,sections[Start],sections[Test Section],,-1,1)</f>
        <v>1</v>
      </c>
      <c r="N117" s="55">
        <f>_xlfn.XLOOKUP(Survey!$K117,pipedata[ID],pipedata[WT])</f>
        <v>0.74</v>
      </c>
      <c r="O117" s="56">
        <f>_xlfn.XLOOKUP(Survey!$K117,pipedata[ID],pipedata[104%])</f>
        <v>2565.3333333333335</v>
      </c>
      <c r="P117" s="57">
        <f t="shared" si="1"/>
        <v>1850</v>
      </c>
      <c r="Q117" s="58">
        <f>_xlfn.MAXIFS(Survey!$G$2:$G$3647,Survey!$M$2:$M$3647,Survey!$M117)-Survey!$G117</f>
        <v>237.14566199420142</v>
      </c>
      <c r="R117" s="59">
        <f>Survey!$P117+(Survey!$Q117*0.433)</f>
        <v>1952.6840716434892</v>
      </c>
    </row>
    <row r="118" spans="1:18" x14ac:dyDescent="0.25">
      <c r="A118" s="71" t="s">
        <v>17</v>
      </c>
      <c r="B118" s="72" t="s">
        <v>18</v>
      </c>
      <c r="C118" s="73" t="s">
        <v>19</v>
      </c>
      <c r="D118" s="74">
        <v>228.00244433596887</v>
      </c>
      <c r="E118" s="81">
        <v>1231529</v>
      </c>
      <c r="F118" s="82">
        <v>1204860.0000000049</v>
      </c>
      <c r="G118" s="75">
        <v>2129.6915581832827</v>
      </c>
      <c r="H118" s="76">
        <v>2</v>
      </c>
      <c r="I118" s="54" t="s">
        <v>20</v>
      </c>
      <c r="J118" s="77">
        <v>40</v>
      </c>
      <c r="K118" s="78">
        <v>2</v>
      </c>
      <c r="L118" s="54">
        <v>1</v>
      </c>
      <c r="M118" s="54">
        <f>_xlfn.XLOOKUP(Survey!$F118,sections[Start],sections[Test Section],,-1,1)</f>
        <v>1</v>
      </c>
      <c r="N118" s="55">
        <f>_xlfn.XLOOKUP(Survey!$K118,pipedata[ID],pipedata[WT])</f>
        <v>0.74</v>
      </c>
      <c r="O118" s="56">
        <f>_xlfn.XLOOKUP(Survey!$K118,pipedata[ID],pipedata[104%])</f>
        <v>2565.3333333333335</v>
      </c>
      <c r="P118" s="57">
        <f t="shared" si="1"/>
        <v>1850</v>
      </c>
      <c r="Q118" s="58">
        <f>_xlfn.MAXIFS(Survey!$G$2:$G$3647,Survey!$M$2:$M$3647,Survey!$M118)-Survey!$G118</f>
        <v>224.45852940448276</v>
      </c>
      <c r="R118" s="59">
        <f>Survey!$P118+(Survey!$Q118*0.433)</f>
        <v>1947.190543232141</v>
      </c>
    </row>
    <row r="119" spans="1:18" x14ac:dyDescent="0.25">
      <c r="A119" s="60" t="s">
        <v>17</v>
      </c>
      <c r="B119" s="61" t="s">
        <v>18</v>
      </c>
      <c r="C119" s="62" t="s">
        <v>19</v>
      </c>
      <c r="D119" s="63">
        <v>228.00996631412966</v>
      </c>
      <c r="E119" s="79">
        <v>1231569</v>
      </c>
      <c r="F119" s="80">
        <v>1204897.5333333383</v>
      </c>
      <c r="G119" s="66">
        <v>2139.7919325083303</v>
      </c>
      <c r="H119" s="67">
        <v>2</v>
      </c>
      <c r="I119" s="68" t="s">
        <v>20</v>
      </c>
      <c r="J119" s="69">
        <v>40</v>
      </c>
      <c r="K119" s="70">
        <v>2</v>
      </c>
      <c r="L119" s="68">
        <v>1</v>
      </c>
      <c r="M119" s="68">
        <f>_xlfn.XLOOKUP(Survey!$F119,sections[Start],sections[Test Section],,-1,1)</f>
        <v>1</v>
      </c>
      <c r="N119" s="55">
        <f>_xlfn.XLOOKUP(Survey!$K119,pipedata[ID],pipedata[WT])</f>
        <v>0.74</v>
      </c>
      <c r="O119" s="56">
        <f>_xlfn.XLOOKUP(Survey!$K119,pipedata[ID],pipedata[104%])</f>
        <v>2565.3333333333335</v>
      </c>
      <c r="P119" s="57">
        <f t="shared" si="1"/>
        <v>1850</v>
      </c>
      <c r="Q119" s="58">
        <f>_xlfn.MAXIFS(Survey!$G$2:$G$3647,Survey!$M$2:$M$3647,Survey!$M119)-Survey!$G119</f>
        <v>214.35815507943516</v>
      </c>
      <c r="R119" s="59">
        <f>Survey!$P119+(Survey!$Q119*0.433)</f>
        <v>1942.8170811493953</v>
      </c>
    </row>
    <row r="120" spans="1:18" x14ac:dyDescent="0.25">
      <c r="A120" s="71" t="s">
        <v>17</v>
      </c>
      <c r="B120" s="72" t="s">
        <v>18</v>
      </c>
      <c r="C120" s="73" t="s">
        <v>19</v>
      </c>
      <c r="D120" s="74">
        <v>228.01609653165463</v>
      </c>
      <c r="E120" s="81">
        <v>1231609</v>
      </c>
      <c r="F120" s="82">
        <v>1204935.0666666718</v>
      </c>
      <c r="G120" s="75">
        <v>2158.9167121044056</v>
      </c>
      <c r="H120" s="76">
        <v>2</v>
      </c>
      <c r="I120" s="54" t="s">
        <v>20</v>
      </c>
      <c r="J120" s="77">
        <v>40</v>
      </c>
      <c r="K120" s="78">
        <v>2</v>
      </c>
      <c r="L120" s="54">
        <v>1</v>
      </c>
      <c r="M120" s="54">
        <f>_xlfn.XLOOKUP(Survey!$F120,sections[Start],sections[Test Section],,-1,1)</f>
        <v>1</v>
      </c>
      <c r="N120" s="55">
        <f>_xlfn.XLOOKUP(Survey!$K120,pipedata[ID],pipedata[WT])</f>
        <v>0.74</v>
      </c>
      <c r="O120" s="56">
        <f>_xlfn.XLOOKUP(Survey!$K120,pipedata[ID],pipedata[104%])</f>
        <v>2565.3333333333335</v>
      </c>
      <c r="P120" s="57">
        <f t="shared" si="1"/>
        <v>1850</v>
      </c>
      <c r="Q120" s="58">
        <f>_xlfn.MAXIFS(Survey!$G$2:$G$3647,Survey!$M$2:$M$3647,Survey!$M120)-Survey!$G120</f>
        <v>195.23337548335985</v>
      </c>
      <c r="R120" s="59">
        <f>Survey!$P120+(Survey!$Q120*0.433)</f>
        <v>1934.5360515842949</v>
      </c>
    </row>
    <row r="121" spans="1:18" x14ac:dyDescent="0.25">
      <c r="A121" s="60" t="s">
        <v>17</v>
      </c>
      <c r="B121" s="61" t="s">
        <v>18</v>
      </c>
      <c r="C121" s="62" t="s">
        <v>19</v>
      </c>
      <c r="D121" s="63">
        <v>228.02250294439679</v>
      </c>
      <c r="E121" s="79">
        <v>1231649</v>
      </c>
      <c r="F121" s="80">
        <v>1204972.6000000052</v>
      </c>
      <c r="G121" s="66">
        <v>2173.9783731514572</v>
      </c>
      <c r="H121" s="67">
        <v>2</v>
      </c>
      <c r="I121" s="68" t="s">
        <v>20</v>
      </c>
      <c r="J121" s="69">
        <v>40</v>
      </c>
      <c r="K121" s="70">
        <v>2</v>
      </c>
      <c r="L121" s="68">
        <v>1</v>
      </c>
      <c r="M121" s="68">
        <f>_xlfn.XLOOKUP(Survey!$F121,sections[Start],sections[Test Section],,-1,1)</f>
        <v>1</v>
      </c>
      <c r="N121" s="55">
        <f>_xlfn.XLOOKUP(Survey!$K121,pipedata[ID],pipedata[WT])</f>
        <v>0.74</v>
      </c>
      <c r="O121" s="56">
        <f>_xlfn.XLOOKUP(Survey!$K121,pipedata[ID],pipedata[104%])</f>
        <v>2565.3333333333335</v>
      </c>
      <c r="P121" s="57">
        <f t="shared" si="1"/>
        <v>1850</v>
      </c>
      <c r="Q121" s="58">
        <f>_xlfn.MAXIFS(Survey!$G$2:$G$3647,Survey!$M$2:$M$3647,Survey!$M121)-Survey!$G121</f>
        <v>180.17171443630832</v>
      </c>
      <c r="R121" s="59">
        <f>Survey!$P121+(Survey!$Q121*0.433)</f>
        <v>1928.0143523509214</v>
      </c>
    </row>
    <row r="122" spans="1:18" x14ac:dyDescent="0.25">
      <c r="A122" s="71" t="s">
        <v>17</v>
      </c>
      <c r="B122" s="72" t="s">
        <v>18</v>
      </c>
      <c r="C122" s="73" t="s">
        <v>19</v>
      </c>
      <c r="D122" s="74">
        <v>228.03054730039267</v>
      </c>
      <c r="E122" s="81">
        <v>1231689</v>
      </c>
      <c r="F122" s="82">
        <v>1205010.1333333387</v>
      </c>
      <c r="G122" s="75">
        <v>2194.2991868911531</v>
      </c>
      <c r="H122" s="76">
        <v>2</v>
      </c>
      <c r="I122" s="54" t="s">
        <v>20</v>
      </c>
      <c r="J122" s="77">
        <v>40</v>
      </c>
      <c r="K122" s="78">
        <v>2</v>
      </c>
      <c r="L122" s="54">
        <v>1</v>
      </c>
      <c r="M122" s="54">
        <f>_xlfn.XLOOKUP(Survey!$F122,sections[Start],sections[Test Section],,-1,1)</f>
        <v>1</v>
      </c>
      <c r="N122" s="55">
        <f>_xlfn.XLOOKUP(Survey!$K122,pipedata[ID],pipedata[WT])</f>
        <v>0.74</v>
      </c>
      <c r="O122" s="56">
        <f>_xlfn.XLOOKUP(Survey!$K122,pipedata[ID],pipedata[104%])</f>
        <v>2565.3333333333335</v>
      </c>
      <c r="P122" s="57">
        <f t="shared" si="1"/>
        <v>1850</v>
      </c>
      <c r="Q122" s="58">
        <f>_xlfn.MAXIFS(Survey!$G$2:$G$3647,Survey!$M$2:$M$3647,Survey!$M122)-Survey!$G122</f>
        <v>159.85090069661237</v>
      </c>
      <c r="R122" s="59">
        <f>Survey!$P122+(Survey!$Q122*0.433)</f>
        <v>1919.2154400016332</v>
      </c>
    </row>
    <row r="123" spans="1:18" x14ac:dyDescent="0.25">
      <c r="A123" s="60" t="s">
        <v>17</v>
      </c>
      <c r="B123" s="61" t="s">
        <v>18</v>
      </c>
      <c r="C123" s="62" t="s">
        <v>19</v>
      </c>
      <c r="D123" s="63">
        <v>228.03632760788773</v>
      </c>
      <c r="E123" s="79">
        <v>1231729</v>
      </c>
      <c r="F123" s="80">
        <v>1205047.6666666721</v>
      </c>
      <c r="G123" s="66">
        <v>2211.4995416787528</v>
      </c>
      <c r="H123" s="67">
        <v>2</v>
      </c>
      <c r="I123" s="68" t="s">
        <v>20</v>
      </c>
      <c r="J123" s="69">
        <v>40</v>
      </c>
      <c r="K123" s="70">
        <v>2</v>
      </c>
      <c r="L123" s="68">
        <v>1</v>
      </c>
      <c r="M123" s="68">
        <f>_xlfn.XLOOKUP(Survey!$F123,sections[Start],sections[Test Section],,-1,1)</f>
        <v>1</v>
      </c>
      <c r="N123" s="55">
        <f>_xlfn.XLOOKUP(Survey!$K123,pipedata[ID],pipedata[WT])</f>
        <v>0.74</v>
      </c>
      <c r="O123" s="56">
        <f>_xlfn.XLOOKUP(Survey!$K123,pipedata[ID],pipedata[104%])</f>
        <v>2565.3333333333335</v>
      </c>
      <c r="P123" s="57">
        <f t="shared" si="1"/>
        <v>1850</v>
      </c>
      <c r="Q123" s="58">
        <f>_xlfn.MAXIFS(Survey!$G$2:$G$3647,Survey!$M$2:$M$3647,Survey!$M123)-Survey!$G123</f>
        <v>142.65054590901264</v>
      </c>
      <c r="R123" s="59">
        <f>Survey!$P123+(Survey!$Q123*0.433)</f>
        <v>1911.7676863786025</v>
      </c>
    </row>
    <row r="124" spans="1:18" x14ac:dyDescent="0.25">
      <c r="A124" s="71" t="s">
        <v>17</v>
      </c>
      <c r="B124" s="72" t="s">
        <v>18</v>
      </c>
      <c r="C124" s="73" t="s">
        <v>19</v>
      </c>
      <c r="D124" s="74">
        <v>228.04256155282465</v>
      </c>
      <c r="E124" s="81">
        <v>1231769</v>
      </c>
      <c r="F124" s="82">
        <v>1205085.2000000055</v>
      </c>
      <c r="G124" s="75">
        <v>2229.7757060478366</v>
      </c>
      <c r="H124" s="76">
        <v>2</v>
      </c>
      <c r="I124" s="54" t="s">
        <v>20</v>
      </c>
      <c r="J124" s="77">
        <v>40</v>
      </c>
      <c r="K124" s="78">
        <v>2</v>
      </c>
      <c r="L124" s="54">
        <v>1</v>
      </c>
      <c r="M124" s="54">
        <f>_xlfn.XLOOKUP(Survey!$F124,sections[Start],sections[Test Section],,-1,1)</f>
        <v>1</v>
      </c>
      <c r="N124" s="55">
        <f>_xlfn.XLOOKUP(Survey!$K124,pipedata[ID],pipedata[WT])</f>
        <v>0.74</v>
      </c>
      <c r="O124" s="56">
        <f>_xlfn.XLOOKUP(Survey!$K124,pipedata[ID],pipedata[104%])</f>
        <v>2565.3333333333335</v>
      </c>
      <c r="P124" s="57">
        <f t="shared" si="1"/>
        <v>1850</v>
      </c>
      <c r="Q124" s="58">
        <f>_xlfn.MAXIFS(Survey!$G$2:$G$3647,Survey!$M$2:$M$3647,Survey!$M124)-Survey!$G124</f>
        <v>124.37438153992889</v>
      </c>
      <c r="R124" s="59">
        <f>Survey!$P124+(Survey!$Q124*0.433)</f>
        <v>1903.8541072067892</v>
      </c>
    </row>
    <row r="125" spans="1:18" x14ac:dyDescent="0.25">
      <c r="A125" s="60" t="s">
        <v>17</v>
      </c>
      <c r="B125" s="61" t="s">
        <v>18</v>
      </c>
      <c r="C125" s="62" t="s">
        <v>19</v>
      </c>
      <c r="D125" s="63">
        <v>228.05077837662614</v>
      </c>
      <c r="E125" s="79">
        <v>1231809</v>
      </c>
      <c r="F125" s="80">
        <v>1205122.733333339</v>
      </c>
      <c r="G125" s="66">
        <v>2243.4095749740741</v>
      </c>
      <c r="H125" s="67">
        <v>2</v>
      </c>
      <c r="I125" s="68" t="s">
        <v>20</v>
      </c>
      <c r="J125" s="69">
        <v>40</v>
      </c>
      <c r="K125" s="70">
        <v>2</v>
      </c>
      <c r="L125" s="68">
        <v>1</v>
      </c>
      <c r="M125" s="68">
        <f>_xlfn.XLOOKUP(Survey!$F125,sections[Start],sections[Test Section],,-1,1)</f>
        <v>1</v>
      </c>
      <c r="N125" s="55">
        <f>_xlfn.XLOOKUP(Survey!$K125,pipedata[ID],pipedata[WT])</f>
        <v>0.74</v>
      </c>
      <c r="O125" s="56">
        <f>_xlfn.XLOOKUP(Survey!$K125,pipedata[ID],pipedata[104%])</f>
        <v>2565.3333333333335</v>
      </c>
      <c r="P125" s="57">
        <f t="shared" si="1"/>
        <v>1850</v>
      </c>
      <c r="Q125" s="58">
        <f>_xlfn.MAXIFS(Survey!$G$2:$G$3647,Survey!$M$2:$M$3647,Survey!$M125)-Survey!$G125</f>
        <v>110.74051261369141</v>
      </c>
      <c r="R125" s="59">
        <f>Survey!$P125+(Survey!$Q125*0.433)</f>
        <v>1897.9506419617285</v>
      </c>
    </row>
    <row r="126" spans="1:18" x14ac:dyDescent="0.25">
      <c r="A126" s="71" t="s">
        <v>17</v>
      </c>
      <c r="B126" s="72" t="s">
        <v>18</v>
      </c>
      <c r="C126" s="73" t="s">
        <v>19</v>
      </c>
      <c r="D126" s="74">
        <v>228.05760550914533</v>
      </c>
      <c r="E126" s="81">
        <v>1231849</v>
      </c>
      <c r="F126" s="82">
        <v>1205160.2666666724</v>
      </c>
      <c r="G126" s="75">
        <v>2259.9044861200377</v>
      </c>
      <c r="H126" s="76">
        <v>2</v>
      </c>
      <c r="I126" s="54" t="s">
        <v>20</v>
      </c>
      <c r="J126" s="77">
        <v>40</v>
      </c>
      <c r="K126" s="78">
        <v>2</v>
      </c>
      <c r="L126" s="54">
        <v>1</v>
      </c>
      <c r="M126" s="54">
        <f>_xlfn.XLOOKUP(Survey!$F126,sections[Start],sections[Test Section],,-1,1)</f>
        <v>1</v>
      </c>
      <c r="N126" s="55">
        <f>_xlfn.XLOOKUP(Survey!$K126,pipedata[ID],pipedata[WT])</f>
        <v>0.74</v>
      </c>
      <c r="O126" s="56">
        <f>_xlfn.XLOOKUP(Survey!$K126,pipedata[ID],pipedata[104%])</f>
        <v>2565.3333333333335</v>
      </c>
      <c r="P126" s="57">
        <f t="shared" si="1"/>
        <v>1850</v>
      </c>
      <c r="Q126" s="58">
        <f>_xlfn.MAXIFS(Survey!$G$2:$G$3647,Survey!$M$2:$M$3647,Survey!$M126)-Survey!$G126</f>
        <v>94.245601467727738</v>
      </c>
      <c r="R126" s="59">
        <f>Survey!$P126+(Survey!$Q126*0.433)</f>
        <v>1890.808345435526</v>
      </c>
    </row>
    <row r="127" spans="1:18" x14ac:dyDescent="0.25">
      <c r="A127" s="60" t="s">
        <v>17</v>
      </c>
      <c r="B127" s="61" t="s">
        <v>18</v>
      </c>
      <c r="C127" s="62" t="s">
        <v>19</v>
      </c>
      <c r="D127" s="63">
        <v>228.06446167889527</v>
      </c>
      <c r="E127" s="79">
        <v>1231889</v>
      </c>
      <c r="F127" s="80">
        <v>1205197.8000000059</v>
      </c>
      <c r="G127" s="66">
        <v>2278.0171762129607</v>
      </c>
      <c r="H127" s="67">
        <v>2</v>
      </c>
      <c r="I127" s="68" t="s">
        <v>20</v>
      </c>
      <c r="J127" s="69">
        <v>40</v>
      </c>
      <c r="K127" s="70">
        <v>2</v>
      </c>
      <c r="L127" s="68">
        <v>1</v>
      </c>
      <c r="M127" s="68">
        <f>_xlfn.XLOOKUP(Survey!$F127,sections[Start],sections[Test Section],,-1,1)</f>
        <v>1</v>
      </c>
      <c r="N127" s="55">
        <f>_xlfn.XLOOKUP(Survey!$K127,pipedata[ID],pipedata[WT])</f>
        <v>0.74</v>
      </c>
      <c r="O127" s="56">
        <f>_xlfn.XLOOKUP(Survey!$K127,pipedata[ID],pipedata[104%])</f>
        <v>2565.3333333333335</v>
      </c>
      <c r="P127" s="57">
        <f t="shared" si="1"/>
        <v>1850</v>
      </c>
      <c r="Q127" s="58">
        <f>_xlfn.MAXIFS(Survey!$G$2:$G$3647,Survey!$M$2:$M$3647,Survey!$M127)-Survey!$G127</f>
        <v>76.132911374804735</v>
      </c>
      <c r="R127" s="59">
        <f>Survey!$P127+(Survey!$Q127*0.433)</f>
        <v>1882.9655506252905</v>
      </c>
    </row>
    <row r="128" spans="1:18" x14ac:dyDescent="0.25">
      <c r="A128" s="71" t="s">
        <v>17</v>
      </c>
      <c r="B128" s="72" t="s">
        <v>18</v>
      </c>
      <c r="C128" s="73" t="s">
        <v>19</v>
      </c>
      <c r="D128" s="74">
        <v>228.07186258358504</v>
      </c>
      <c r="E128" s="81">
        <v>1231929</v>
      </c>
      <c r="F128" s="82">
        <v>1205235.3333333393</v>
      </c>
      <c r="G128" s="75">
        <v>2296.608787003011</v>
      </c>
      <c r="H128" s="76">
        <v>2</v>
      </c>
      <c r="I128" s="54" t="s">
        <v>20</v>
      </c>
      <c r="J128" s="77">
        <v>40</v>
      </c>
      <c r="K128" s="78">
        <v>2</v>
      </c>
      <c r="L128" s="54">
        <v>1</v>
      </c>
      <c r="M128" s="54">
        <f>_xlfn.XLOOKUP(Survey!$F128,sections[Start],sections[Test Section],,-1,1)</f>
        <v>1</v>
      </c>
      <c r="N128" s="55">
        <f>_xlfn.XLOOKUP(Survey!$K128,pipedata[ID],pipedata[WT])</f>
        <v>0.74</v>
      </c>
      <c r="O128" s="56">
        <f>_xlfn.XLOOKUP(Survey!$K128,pipedata[ID],pipedata[104%])</f>
        <v>2565.3333333333335</v>
      </c>
      <c r="P128" s="57">
        <f t="shared" si="1"/>
        <v>1850</v>
      </c>
      <c r="Q128" s="58">
        <f>_xlfn.MAXIFS(Survey!$G$2:$G$3647,Survey!$M$2:$M$3647,Survey!$M128)-Survey!$G128</f>
        <v>57.541300584754481</v>
      </c>
      <c r="R128" s="59">
        <f>Survey!$P128+(Survey!$Q128*0.433)</f>
        <v>1874.9153831531987</v>
      </c>
    </row>
    <row r="129" spans="1:18" x14ac:dyDescent="0.25">
      <c r="A129" s="60" t="s">
        <v>17</v>
      </c>
      <c r="B129" s="61" t="s">
        <v>18</v>
      </c>
      <c r="C129" s="62" t="s">
        <v>19</v>
      </c>
      <c r="D129" s="63">
        <v>228.0779490148231</v>
      </c>
      <c r="E129" s="79">
        <v>1231969</v>
      </c>
      <c r="F129" s="80">
        <v>1205272.8666666728</v>
      </c>
      <c r="G129" s="66">
        <v>2314.0151703463584</v>
      </c>
      <c r="H129" s="67">
        <v>2</v>
      </c>
      <c r="I129" s="68" t="s">
        <v>20</v>
      </c>
      <c r="J129" s="69">
        <v>40</v>
      </c>
      <c r="K129" s="70">
        <v>2</v>
      </c>
      <c r="L129" s="68">
        <v>1</v>
      </c>
      <c r="M129" s="68">
        <f>_xlfn.XLOOKUP(Survey!$F129,sections[Start],sections[Test Section],,-1,1)</f>
        <v>1</v>
      </c>
      <c r="N129" s="55">
        <f>_xlfn.XLOOKUP(Survey!$K129,pipedata[ID],pipedata[WT])</f>
        <v>0.74</v>
      </c>
      <c r="O129" s="56">
        <f>_xlfn.XLOOKUP(Survey!$K129,pipedata[ID],pipedata[104%])</f>
        <v>2565.3333333333335</v>
      </c>
      <c r="P129" s="57">
        <f t="shared" si="1"/>
        <v>1850</v>
      </c>
      <c r="Q129" s="58">
        <f>_xlfn.MAXIFS(Survey!$G$2:$G$3647,Survey!$M$2:$M$3647,Survey!$M129)-Survey!$G129</f>
        <v>40.134917241407038</v>
      </c>
      <c r="R129" s="59">
        <f>Survey!$P129+(Survey!$Q129*0.433)</f>
        <v>1867.3784191655293</v>
      </c>
    </row>
    <row r="130" spans="1:18" x14ac:dyDescent="0.25">
      <c r="A130" s="71" t="s">
        <v>17</v>
      </c>
      <c r="B130" s="72" t="s">
        <v>18</v>
      </c>
      <c r="C130" s="73" t="s">
        <v>19</v>
      </c>
      <c r="D130" s="74">
        <v>228.0857968984368</v>
      </c>
      <c r="E130" s="81">
        <v>1232009</v>
      </c>
      <c r="F130" s="82">
        <v>1205310.4000000062</v>
      </c>
      <c r="G130" s="75">
        <v>2329.937243707152</v>
      </c>
      <c r="H130" s="76">
        <v>2</v>
      </c>
      <c r="I130" s="54" t="s">
        <v>20</v>
      </c>
      <c r="J130" s="77">
        <v>40</v>
      </c>
      <c r="K130" s="78">
        <v>2</v>
      </c>
      <c r="L130" s="54">
        <v>1</v>
      </c>
      <c r="M130" s="54">
        <f>_xlfn.XLOOKUP(Survey!$F130,sections[Start],sections[Test Section],,-1,1)</f>
        <v>1</v>
      </c>
      <c r="N130" s="55">
        <f>_xlfn.XLOOKUP(Survey!$K130,pipedata[ID],pipedata[WT])</f>
        <v>0.74</v>
      </c>
      <c r="O130" s="56">
        <f>_xlfn.XLOOKUP(Survey!$K130,pipedata[ID],pipedata[104%])</f>
        <v>2565.3333333333335</v>
      </c>
      <c r="P130" s="57">
        <f t="shared" ref="P130:P193" si="2">IF(L130=1,1850,IF(L130=2,1850,2220))</f>
        <v>1850</v>
      </c>
      <c r="Q130" s="58">
        <f>_xlfn.MAXIFS(Survey!$G$2:$G$3647,Survey!$M$2:$M$3647,Survey!$M130)-Survey!$G130</f>
        <v>24.212843880613491</v>
      </c>
      <c r="R130" s="59">
        <f>Survey!$P130+(Survey!$Q130*0.433)</f>
        <v>1860.4841614003055</v>
      </c>
    </row>
    <row r="131" spans="1:18" x14ac:dyDescent="0.25">
      <c r="A131" s="60" t="s">
        <v>17</v>
      </c>
      <c r="B131" s="61" t="s">
        <v>18</v>
      </c>
      <c r="C131" s="62" t="s">
        <v>19</v>
      </c>
      <c r="D131" s="63">
        <v>228.09168281114685</v>
      </c>
      <c r="E131" s="79">
        <v>1232049</v>
      </c>
      <c r="F131" s="80">
        <v>1205347.9333333396</v>
      </c>
      <c r="G131" s="66">
        <v>2341.7909246655454</v>
      </c>
      <c r="H131" s="67">
        <v>2</v>
      </c>
      <c r="I131" s="68" t="s">
        <v>20</v>
      </c>
      <c r="J131" s="69">
        <v>40</v>
      </c>
      <c r="K131" s="70">
        <v>2</v>
      </c>
      <c r="L131" s="68">
        <v>1</v>
      </c>
      <c r="M131" s="68">
        <f>_xlfn.XLOOKUP(Survey!$F131,sections[Start],sections[Test Section],,-1,1)</f>
        <v>1</v>
      </c>
      <c r="N131" s="55">
        <f>_xlfn.XLOOKUP(Survey!$K131,pipedata[ID],pipedata[WT])</f>
        <v>0.74</v>
      </c>
      <c r="O131" s="56">
        <f>_xlfn.XLOOKUP(Survey!$K131,pipedata[ID],pipedata[104%])</f>
        <v>2565.3333333333335</v>
      </c>
      <c r="P131" s="57">
        <f t="shared" si="2"/>
        <v>1850</v>
      </c>
      <c r="Q131" s="58">
        <f>_xlfn.MAXIFS(Survey!$G$2:$G$3647,Survey!$M$2:$M$3647,Survey!$M131)-Survey!$G131</f>
        <v>12.359162922220094</v>
      </c>
      <c r="R131" s="59">
        <f>Survey!$P131+(Survey!$Q131*0.433)</f>
        <v>1855.3515175453213</v>
      </c>
    </row>
    <row r="132" spans="1:18" x14ac:dyDescent="0.25">
      <c r="A132" s="71" t="s">
        <v>17</v>
      </c>
      <c r="B132" s="72" t="s">
        <v>18</v>
      </c>
      <c r="C132" s="73" t="s">
        <v>19</v>
      </c>
      <c r="D132" s="74">
        <v>228.09953069476046</v>
      </c>
      <c r="E132" s="81">
        <v>1232089</v>
      </c>
      <c r="F132" s="82">
        <v>1205385.4666666731</v>
      </c>
      <c r="G132" s="75">
        <v>2350.3667066947628</v>
      </c>
      <c r="H132" s="76">
        <v>2</v>
      </c>
      <c r="I132" s="54" t="s">
        <v>20</v>
      </c>
      <c r="J132" s="77">
        <v>40</v>
      </c>
      <c r="K132" s="78">
        <v>2</v>
      </c>
      <c r="L132" s="54">
        <v>1</v>
      </c>
      <c r="M132" s="54">
        <f>_xlfn.XLOOKUP(Survey!$F132,sections[Start],sections[Test Section],,-1,1)</f>
        <v>1</v>
      </c>
      <c r="N132" s="55">
        <f>_xlfn.XLOOKUP(Survey!$K132,pipedata[ID],pipedata[WT])</f>
        <v>0.74</v>
      </c>
      <c r="O132" s="56">
        <f>_xlfn.XLOOKUP(Survey!$K132,pipedata[ID],pipedata[104%])</f>
        <v>2565.3333333333335</v>
      </c>
      <c r="P132" s="57">
        <f t="shared" si="2"/>
        <v>1850</v>
      </c>
      <c r="Q132" s="58">
        <f>_xlfn.MAXIFS(Survey!$G$2:$G$3647,Survey!$M$2:$M$3647,Survey!$M132)-Survey!$G132</f>
        <v>3.7833808930026862</v>
      </c>
      <c r="R132" s="59">
        <f>Survey!$P132+(Survey!$Q132*0.433)</f>
        <v>1851.6382039266703</v>
      </c>
    </row>
    <row r="133" spans="1:18" x14ac:dyDescent="0.25">
      <c r="A133" s="60" t="s">
        <v>17</v>
      </c>
      <c r="B133" s="61" t="s">
        <v>18</v>
      </c>
      <c r="C133" s="62" t="s">
        <v>19</v>
      </c>
      <c r="D133" s="63">
        <v>228.10737857837398</v>
      </c>
      <c r="E133" s="79">
        <v>1232129</v>
      </c>
      <c r="F133" s="80">
        <v>1205423.0000000065</v>
      </c>
      <c r="G133" s="66">
        <v>2353.994535051896</v>
      </c>
      <c r="H133" s="67">
        <v>2</v>
      </c>
      <c r="I133" s="68" t="s">
        <v>20</v>
      </c>
      <c r="J133" s="69">
        <v>40</v>
      </c>
      <c r="K133" s="70">
        <v>2</v>
      </c>
      <c r="L133" s="68">
        <v>1</v>
      </c>
      <c r="M133" s="68">
        <f>_xlfn.XLOOKUP(Survey!$F133,sections[Start],sections[Test Section],,-1,1)</f>
        <v>1</v>
      </c>
      <c r="N133" s="55">
        <f>_xlfn.XLOOKUP(Survey!$K133,pipedata[ID],pipedata[WT])</f>
        <v>0.74</v>
      </c>
      <c r="O133" s="56">
        <f>_xlfn.XLOOKUP(Survey!$K133,pipedata[ID],pipedata[104%])</f>
        <v>2565.3333333333335</v>
      </c>
      <c r="P133" s="57">
        <f t="shared" si="2"/>
        <v>1850</v>
      </c>
      <c r="Q133" s="58">
        <f>_xlfn.MAXIFS(Survey!$G$2:$G$3647,Survey!$M$2:$M$3647,Survey!$M133)-Survey!$G133</f>
        <v>0.15555253586944673</v>
      </c>
      <c r="R133" s="59">
        <f>Survey!$P133+(Survey!$Q133*0.433)</f>
        <v>1850.0673542480315</v>
      </c>
    </row>
    <row r="134" spans="1:18" x14ac:dyDescent="0.25">
      <c r="A134" s="71" t="s">
        <v>17</v>
      </c>
      <c r="B134" s="72" t="s">
        <v>18</v>
      </c>
      <c r="C134" s="73" t="s">
        <v>19</v>
      </c>
      <c r="D134" s="74">
        <v>228.1152264619875</v>
      </c>
      <c r="E134" s="81">
        <v>1232169</v>
      </c>
      <c r="F134" s="82">
        <v>1205460.53333334</v>
      </c>
      <c r="G134" s="75">
        <v>2354.1500875877655</v>
      </c>
      <c r="H134" s="76">
        <v>2</v>
      </c>
      <c r="I134" s="54" t="s">
        <v>20</v>
      </c>
      <c r="J134" s="77">
        <v>40</v>
      </c>
      <c r="K134" s="78">
        <v>2</v>
      </c>
      <c r="L134" s="54">
        <v>1</v>
      </c>
      <c r="M134" s="54">
        <f>_xlfn.XLOOKUP(Survey!$F134,sections[Start],sections[Test Section],,-1,1)</f>
        <v>1</v>
      </c>
      <c r="N134" s="55">
        <f>_xlfn.XLOOKUP(Survey!$K134,pipedata[ID],pipedata[WT])</f>
        <v>0.74</v>
      </c>
      <c r="O134" s="56">
        <f>_xlfn.XLOOKUP(Survey!$K134,pipedata[ID],pipedata[104%])</f>
        <v>2565.3333333333335</v>
      </c>
      <c r="P134" s="57">
        <f t="shared" si="2"/>
        <v>1850</v>
      </c>
      <c r="Q134" s="58">
        <f>_xlfn.MAXIFS(Survey!$G$2:$G$3647,Survey!$M$2:$M$3647,Survey!$M134)-Survey!$G134</f>
        <v>0</v>
      </c>
      <c r="R134" s="59">
        <f>Survey!$P134+(Survey!$Q134*0.433)</f>
        <v>1850</v>
      </c>
    </row>
    <row r="135" spans="1:18" x14ac:dyDescent="0.25">
      <c r="A135" s="60" t="s">
        <v>17</v>
      </c>
      <c r="B135" s="61" t="s">
        <v>18</v>
      </c>
      <c r="C135" s="62" t="s">
        <v>19</v>
      </c>
      <c r="D135" s="63">
        <v>228.12295757079025</v>
      </c>
      <c r="E135" s="79">
        <v>1232209</v>
      </c>
      <c r="F135" s="80">
        <v>1205498.0666666734</v>
      </c>
      <c r="G135" s="66">
        <v>2352.3779674596112</v>
      </c>
      <c r="H135" s="67">
        <v>2</v>
      </c>
      <c r="I135" s="68" t="s">
        <v>20</v>
      </c>
      <c r="J135" s="69">
        <v>40</v>
      </c>
      <c r="K135" s="70">
        <v>2</v>
      </c>
      <c r="L135" s="68">
        <v>1</v>
      </c>
      <c r="M135" s="68">
        <f>_xlfn.XLOOKUP(Survey!$F135,sections[Start],sections[Test Section],,-1,1)</f>
        <v>1</v>
      </c>
      <c r="N135" s="55">
        <f>_xlfn.XLOOKUP(Survey!$K135,pipedata[ID],pipedata[WT])</f>
        <v>0.74</v>
      </c>
      <c r="O135" s="56">
        <f>_xlfn.XLOOKUP(Survey!$K135,pipedata[ID],pipedata[104%])</f>
        <v>2565.3333333333335</v>
      </c>
      <c r="P135" s="57">
        <f t="shared" si="2"/>
        <v>1850</v>
      </c>
      <c r="Q135" s="58">
        <f>_xlfn.MAXIFS(Survey!$G$2:$G$3647,Survey!$M$2:$M$3647,Survey!$M135)-Survey!$G135</f>
        <v>1.7721201281542562</v>
      </c>
      <c r="R135" s="59">
        <f>Survey!$P135+(Survey!$Q135*0.433)</f>
        <v>1850.7673280154909</v>
      </c>
    </row>
    <row r="136" spans="1:18" x14ac:dyDescent="0.25">
      <c r="A136" s="71" t="s">
        <v>17</v>
      </c>
      <c r="B136" s="72" t="s">
        <v>18</v>
      </c>
      <c r="C136" s="73" t="s">
        <v>19</v>
      </c>
      <c r="D136" s="74">
        <v>228.12896025831114</v>
      </c>
      <c r="E136" s="81">
        <v>1232249</v>
      </c>
      <c r="F136" s="82">
        <v>1205535.6000000068</v>
      </c>
      <c r="G136" s="75">
        <v>2349.3132056520358</v>
      </c>
      <c r="H136" s="76">
        <v>2</v>
      </c>
      <c r="I136" s="54" t="s">
        <v>20</v>
      </c>
      <c r="J136" s="77">
        <v>40</v>
      </c>
      <c r="K136" s="78">
        <v>2</v>
      </c>
      <c r="L136" s="54">
        <v>1</v>
      </c>
      <c r="M136" s="54">
        <f>_xlfn.XLOOKUP(Survey!$F136,sections[Start],sections[Test Section],,-1,1)</f>
        <v>1</v>
      </c>
      <c r="N136" s="55">
        <f>_xlfn.XLOOKUP(Survey!$K136,pipedata[ID],pipedata[WT])</f>
        <v>0.74</v>
      </c>
      <c r="O136" s="56">
        <f>_xlfn.XLOOKUP(Survey!$K136,pipedata[ID],pipedata[104%])</f>
        <v>2565.3333333333335</v>
      </c>
      <c r="P136" s="57">
        <f t="shared" si="2"/>
        <v>1850</v>
      </c>
      <c r="Q136" s="58">
        <f>_xlfn.MAXIFS(Survey!$G$2:$G$3647,Survey!$M$2:$M$3647,Survey!$M136)-Survey!$G136</f>
        <v>4.836881935729707</v>
      </c>
      <c r="R136" s="59">
        <f>Survey!$P136+(Survey!$Q136*0.433)</f>
        <v>1852.0943698781709</v>
      </c>
    </row>
    <row r="137" spans="1:18" x14ac:dyDescent="0.25">
      <c r="A137" s="60" t="s">
        <v>17</v>
      </c>
      <c r="B137" s="61" t="s">
        <v>18</v>
      </c>
      <c r="C137" s="62" t="s">
        <v>19</v>
      </c>
      <c r="D137" s="63">
        <v>228.13789947530145</v>
      </c>
      <c r="E137" s="79">
        <v>1232289</v>
      </c>
      <c r="F137" s="80">
        <v>1205573.1333333403</v>
      </c>
      <c r="G137" s="66">
        <v>2340.6361776360109</v>
      </c>
      <c r="H137" s="67">
        <v>2</v>
      </c>
      <c r="I137" s="68" t="s">
        <v>20</v>
      </c>
      <c r="J137" s="69">
        <v>40</v>
      </c>
      <c r="K137" s="70">
        <v>2</v>
      </c>
      <c r="L137" s="68">
        <v>1</v>
      </c>
      <c r="M137" s="68">
        <f>_xlfn.XLOOKUP(Survey!$F137,sections[Start],sections[Test Section],,-1,1)</f>
        <v>1</v>
      </c>
      <c r="N137" s="55">
        <f>_xlfn.XLOOKUP(Survey!$K137,pipedata[ID],pipedata[WT])</f>
        <v>0.74</v>
      </c>
      <c r="O137" s="56">
        <f>_xlfn.XLOOKUP(Survey!$K137,pipedata[ID],pipedata[104%])</f>
        <v>2565.3333333333335</v>
      </c>
      <c r="P137" s="57">
        <f t="shared" si="2"/>
        <v>1850</v>
      </c>
      <c r="Q137" s="58">
        <f>_xlfn.MAXIFS(Survey!$G$2:$G$3647,Survey!$M$2:$M$3647,Survey!$M137)-Survey!$G137</f>
        <v>13.513909951754613</v>
      </c>
      <c r="R137" s="59">
        <f>Survey!$P137+(Survey!$Q137*0.433)</f>
        <v>1855.8515230091098</v>
      </c>
    </row>
    <row r="138" spans="1:18" x14ac:dyDescent="0.25">
      <c r="A138" s="71" t="s">
        <v>17</v>
      </c>
      <c r="B138" s="72" t="s">
        <v>18</v>
      </c>
      <c r="C138" s="73" t="s">
        <v>19</v>
      </c>
      <c r="D138" s="74">
        <v>228.14515452054894</v>
      </c>
      <c r="E138" s="81">
        <v>1232329</v>
      </c>
      <c r="F138" s="82">
        <v>1205610.6666666737</v>
      </c>
      <c r="G138" s="75">
        <v>2332.3721765249884</v>
      </c>
      <c r="H138" s="76">
        <v>2</v>
      </c>
      <c r="I138" s="54" t="s">
        <v>20</v>
      </c>
      <c r="J138" s="77">
        <v>40</v>
      </c>
      <c r="K138" s="78">
        <v>2</v>
      </c>
      <c r="L138" s="54">
        <v>1</v>
      </c>
      <c r="M138" s="54">
        <f>_xlfn.XLOOKUP(Survey!$F138,sections[Start],sections[Test Section],,-1,1)</f>
        <v>1</v>
      </c>
      <c r="N138" s="55">
        <f>_xlfn.XLOOKUP(Survey!$K138,pipedata[ID],pipedata[WT])</f>
        <v>0.74</v>
      </c>
      <c r="O138" s="56">
        <f>_xlfn.XLOOKUP(Survey!$K138,pipedata[ID],pipedata[104%])</f>
        <v>2565.3333333333335</v>
      </c>
      <c r="P138" s="57">
        <f t="shared" si="2"/>
        <v>1850</v>
      </c>
      <c r="Q138" s="58">
        <f>_xlfn.MAXIFS(Survey!$G$2:$G$3647,Survey!$M$2:$M$3647,Survey!$M138)-Survey!$G138</f>
        <v>21.777911062777093</v>
      </c>
      <c r="R138" s="59">
        <f>Survey!$P138+(Survey!$Q138*0.433)</f>
        <v>1859.4298354901825</v>
      </c>
    </row>
    <row r="139" spans="1:18" x14ac:dyDescent="0.25">
      <c r="A139" s="60" t="s">
        <v>17</v>
      </c>
      <c r="B139" s="61" t="s">
        <v>18</v>
      </c>
      <c r="C139" s="62" t="s">
        <v>19</v>
      </c>
      <c r="D139" s="63">
        <v>228.15253887917228</v>
      </c>
      <c r="E139" s="79">
        <v>1232369</v>
      </c>
      <c r="F139" s="80">
        <v>1205648.2000000072</v>
      </c>
      <c r="G139" s="66">
        <v>2324.6706893198266</v>
      </c>
      <c r="H139" s="67">
        <v>2</v>
      </c>
      <c r="I139" s="68" t="s">
        <v>20</v>
      </c>
      <c r="J139" s="69">
        <v>40</v>
      </c>
      <c r="K139" s="70">
        <v>2</v>
      </c>
      <c r="L139" s="68">
        <v>1</v>
      </c>
      <c r="M139" s="68">
        <f>_xlfn.XLOOKUP(Survey!$F139,sections[Start],sections[Test Section],,-1,1)</f>
        <v>1</v>
      </c>
      <c r="N139" s="55">
        <f>_xlfn.XLOOKUP(Survey!$K139,pipedata[ID],pipedata[WT])</f>
        <v>0.74</v>
      </c>
      <c r="O139" s="56">
        <f>_xlfn.XLOOKUP(Survey!$K139,pipedata[ID],pipedata[104%])</f>
        <v>2565.3333333333335</v>
      </c>
      <c r="P139" s="57">
        <f t="shared" si="2"/>
        <v>1850</v>
      </c>
      <c r="Q139" s="58">
        <f>_xlfn.MAXIFS(Survey!$G$2:$G$3647,Survey!$M$2:$M$3647,Survey!$M139)-Survey!$G139</f>
        <v>29.479398267938905</v>
      </c>
      <c r="R139" s="59">
        <f>Survey!$P139+(Survey!$Q139*0.433)</f>
        <v>1862.7645794500174</v>
      </c>
    </row>
    <row r="140" spans="1:18" x14ac:dyDescent="0.25">
      <c r="A140" s="71" t="s">
        <v>17</v>
      </c>
      <c r="B140" s="72" t="s">
        <v>18</v>
      </c>
      <c r="C140" s="73" t="s">
        <v>19</v>
      </c>
      <c r="D140" s="74">
        <v>228.15966461104421</v>
      </c>
      <c r="E140" s="81">
        <v>1232409</v>
      </c>
      <c r="F140" s="82">
        <v>1205685.7333333406</v>
      </c>
      <c r="G140" s="75">
        <v>2311.697674785562</v>
      </c>
      <c r="H140" s="76">
        <v>2</v>
      </c>
      <c r="I140" s="54" t="s">
        <v>20</v>
      </c>
      <c r="J140" s="77">
        <v>40</v>
      </c>
      <c r="K140" s="78">
        <v>2</v>
      </c>
      <c r="L140" s="54">
        <v>1</v>
      </c>
      <c r="M140" s="54">
        <f>_xlfn.XLOOKUP(Survey!$F140,sections[Start],sections[Test Section],,-1,1)</f>
        <v>1</v>
      </c>
      <c r="N140" s="55">
        <f>_xlfn.XLOOKUP(Survey!$K140,pipedata[ID],pipedata[WT])</f>
        <v>0.74</v>
      </c>
      <c r="O140" s="56">
        <f>_xlfn.XLOOKUP(Survey!$K140,pipedata[ID],pipedata[104%])</f>
        <v>2565.3333333333335</v>
      </c>
      <c r="P140" s="57">
        <f t="shared" si="2"/>
        <v>1850</v>
      </c>
      <c r="Q140" s="58">
        <f>_xlfn.MAXIFS(Survey!$G$2:$G$3647,Survey!$M$2:$M$3647,Survey!$M140)-Survey!$G140</f>
        <v>42.452412802203526</v>
      </c>
      <c r="R140" s="59">
        <f>Survey!$P140+(Survey!$Q140*0.433)</f>
        <v>1868.3818947433542</v>
      </c>
    </row>
    <row r="141" spans="1:18" x14ac:dyDescent="0.25">
      <c r="A141" s="60" t="s">
        <v>17</v>
      </c>
      <c r="B141" s="61" t="s">
        <v>18</v>
      </c>
      <c r="C141" s="62" t="s">
        <v>19</v>
      </c>
      <c r="D141" s="63">
        <v>228.1669196562917</v>
      </c>
      <c r="E141" s="79">
        <v>1232449</v>
      </c>
      <c r="F141" s="80">
        <v>1205723.2666666741</v>
      </c>
      <c r="G141" s="66">
        <v>2300.3422562313899</v>
      </c>
      <c r="H141" s="67">
        <v>2</v>
      </c>
      <c r="I141" s="68" t="s">
        <v>20</v>
      </c>
      <c r="J141" s="69">
        <v>40</v>
      </c>
      <c r="K141" s="70">
        <v>2</v>
      </c>
      <c r="L141" s="68">
        <v>1</v>
      </c>
      <c r="M141" s="68">
        <f>_xlfn.XLOOKUP(Survey!$F141,sections[Start],sections[Test Section],,-1,1)</f>
        <v>1</v>
      </c>
      <c r="N141" s="55">
        <f>_xlfn.XLOOKUP(Survey!$K141,pipedata[ID],pipedata[WT])</f>
        <v>0.74</v>
      </c>
      <c r="O141" s="56">
        <f>_xlfn.XLOOKUP(Survey!$K141,pipedata[ID],pipedata[104%])</f>
        <v>2565.3333333333335</v>
      </c>
      <c r="P141" s="57">
        <f t="shared" si="2"/>
        <v>1850</v>
      </c>
      <c r="Q141" s="58">
        <f>_xlfn.MAXIFS(Survey!$G$2:$G$3647,Survey!$M$2:$M$3647,Survey!$M141)-Survey!$G141</f>
        <v>53.807831356375573</v>
      </c>
      <c r="R141" s="59">
        <f>Survey!$P141+(Survey!$Q141*0.433)</f>
        <v>1873.2987909773105</v>
      </c>
    </row>
    <row r="142" spans="1:18" x14ac:dyDescent="0.25">
      <c r="A142" s="71" t="s">
        <v>17</v>
      </c>
      <c r="B142" s="72" t="s">
        <v>18</v>
      </c>
      <c r="C142" s="73" t="s">
        <v>19</v>
      </c>
      <c r="D142" s="74">
        <v>228.17417470153921</v>
      </c>
      <c r="E142" s="81">
        <v>1232489</v>
      </c>
      <c r="F142" s="82">
        <v>1205760.8000000075</v>
      </c>
      <c r="G142" s="75">
        <v>2287.1202360154311</v>
      </c>
      <c r="H142" s="76">
        <v>2</v>
      </c>
      <c r="I142" s="54" t="s">
        <v>20</v>
      </c>
      <c r="J142" s="77">
        <v>40</v>
      </c>
      <c r="K142" s="78">
        <v>2</v>
      </c>
      <c r="L142" s="54">
        <v>1</v>
      </c>
      <c r="M142" s="54">
        <f>_xlfn.XLOOKUP(Survey!$F142,sections[Start],sections[Test Section],,-1,1)</f>
        <v>1</v>
      </c>
      <c r="N142" s="55">
        <f>_xlfn.XLOOKUP(Survey!$K142,pipedata[ID],pipedata[WT])</f>
        <v>0.74</v>
      </c>
      <c r="O142" s="56">
        <f>_xlfn.XLOOKUP(Survey!$K142,pipedata[ID],pipedata[104%])</f>
        <v>2565.3333333333335</v>
      </c>
      <c r="P142" s="57">
        <f t="shared" si="2"/>
        <v>1850</v>
      </c>
      <c r="Q142" s="58">
        <f>_xlfn.MAXIFS(Survey!$G$2:$G$3647,Survey!$M$2:$M$3647,Survey!$M142)-Survey!$G142</f>
        <v>67.029851572334337</v>
      </c>
      <c r="R142" s="59">
        <f>Survey!$P142+(Survey!$Q142*0.433)</f>
        <v>1879.0239257308208</v>
      </c>
    </row>
    <row r="143" spans="1:18" x14ac:dyDescent="0.25">
      <c r="A143" s="60" t="s">
        <v>17</v>
      </c>
      <c r="B143" s="61" t="s">
        <v>18</v>
      </c>
      <c r="C143" s="62" t="s">
        <v>19</v>
      </c>
      <c r="D143" s="63">
        <v>228.1814297467871</v>
      </c>
      <c r="E143" s="79">
        <v>1232529</v>
      </c>
      <c r="F143" s="80">
        <v>1205798.3333333409</v>
      </c>
      <c r="G143" s="66">
        <v>2274.1541044430696</v>
      </c>
      <c r="H143" s="67">
        <v>2</v>
      </c>
      <c r="I143" s="68" t="s">
        <v>20</v>
      </c>
      <c r="J143" s="69">
        <v>40</v>
      </c>
      <c r="K143" s="70">
        <v>2</v>
      </c>
      <c r="L143" s="68">
        <v>1</v>
      </c>
      <c r="M143" s="68">
        <f>_xlfn.XLOOKUP(Survey!$F143,sections[Start],sections[Test Section],,-1,1)</f>
        <v>1</v>
      </c>
      <c r="N143" s="55">
        <f>_xlfn.XLOOKUP(Survey!$K143,pipedata[ID],pipedata[WT])</f>
        <v>0.74</v>
      </c>
      <c r="O143" s="56">
        <f>_xlfn.XLOOKUP(Survey!$K143,pipedata[ID],pipedata[104%])</f>
        <v>2565.3333333333335</v>
      </c>
      <c r="P143" s="57">
        <f t="shared" si="2"/>
        <v>1850</v>
      </c>
      <c r="Q143" s="58">
        <f>_xlfn.MAXIFS(Survey!$G$2:$G$3647,Survey!$M$2:$M$3647,Survey!$M143)-Survey!$G143</f>
        <v>79.995983144695856</v>
      </c>
      <c r="R143" s="59">
        <f>Survey!$P143+(Survey!$Q143*0.433)</f>
        <v>1884.6382607016533</v>
      </c>
    </row>
    <row r="144" spans="1:18" x14ac:dyDescent="0.25">
      <c r="A144" s="71" t="s">
        <v>17</v>
      </c>
      <c r="B144" s="72" t="s">
        <v>18</v>
      </c>
      <c r="C144" s="73" t="s">
        <v>19</v>
      </c>
      <c r="D144" s="74">
        <v>228.18868479203445</v>
      </c>
      <c r="E144" s="81">
        <v>1232569</v>
      </c>
      <c r="F144" s="82">
        <v>1205835.8666666744</v>
      </c>
      <c r="G144" s="75">
        <v>2267.5214814341816</v>
      </c>
      <c r="H144" s="76">
        <v>2</v>
      </c>
      <c r="I144" s="54" t="s">
        <v>20</v>
      </c>
      <c r="J144" s="77">
        <v>40</v>
      </c>
      <c r="K144" s="78">
        <v>2</v>
      </c>
      <c r="L144" s="54">
        <v>1</v>
      </c>
      <c r="M144" s="54">
        <f>_xlfn.XLOOKUP(Survey!$F144,sections[Start],sections[Test Section],,-1,1)</f>
        <v>1</v>
      </c>
      <c r="N144" s="55">
        <f>_xlfn.XLOOKUP(Survey!$K144,pipedata[ID],pipedata[WT])</f>
        <v>0.74</v>
      </c>
      <c r="O144" s="56">
        <f>_xlfn.XLOOKUP(Survey!$K144,pipedata[ID],pipedata[104%])</f>
        <v>2565.3333333333335</v>
      </c>
      <c r="P144" s="57">
        <f t="shared" si="2"/>
        <v>1850</v>
      </c>
      <c r="Q144" s="58">
        <f>_xlfn.MAXIFS(Survey!$G$2:$G$3647,Survey!$M$2:$M$3647,Survey!$M144)-Survey!$G144</f>
        <v>86.62860615358386</v>
      </c>
      <c r="R144" s="59">
        <f>Survey!$P144+(Survey!$Q144*0.433)</f>
        <v>1887.5101864645019</v>
      </c>
    </row>
    <row r="145" spans="1:18" x14ac:dyDescent="0.25">
      <c r="A145" s="60" t="s">
        <v>17</v>
      </c>
      <c r="B145" s="61" t="s">
        <v>18</v>
      </c>
      <c r="C145" s="62" t="s">
        <v>19</v>
      </c>
      <c r="D145" s="63">
        <v>228.19593983728078</v>
      </c>
      <c r="E145" s="79">
        <v>1232609</v>
      </c>
      <c r="F145" s="80">
        <v>1205873.4000000078</v>
      </c>
      <c r="G145" s="66">
        <v>2260.8043963337691</v>
      </c>
      <c r="H145" s="67">
        <v>2</v>
      </c>
      <c r="I145" s="68" t="s">
        <v>20</v>
      </c>
      <c r="J145" s="69">
        <v>40</v>
      </c>
      <c r="K145" s="70">
        <v>2</v>
      </c>
      <c r="L145" s="68">
        <v>1</v>
      </c>
      <c r="M145" s="68">
        <f>_xlfn.XLOOKUP(Survey!$F145,sections[Start],sections[Test Section],,-1,1)</f>
        <v>1</v>
      </c>
      <c r="N145" s="55">
        <f>_xlfn.XLOOKUP(Survey!$K145,pipedata[ID],pipedata[WT])</f>
        <v>0.74</v>
      </c>
      <c r="O145" s="56">
        <f>_xlfn.XLOOKUP(Survey!$K145,pipedata[ID],pipedata[104%])</f>
        <v>2565.3333333333335</v>
      </c>
      <c r="P145" s="57">
        <f t="shared" si="2"/>
        <v>1850</v>
      </c>
      <c r="Q145" s="58">
        <f>_xlfn.MAXIFS(Survey!$G$2:$G$3647,Survey!$M$2:$M$3647,Survey!$M145)-Survey!$G145</f>
        <v>93.345691253996392</v>
      </c>
      <c r="R145" s="59">
        <f>Survey!$P145+(Survey!$Q145*0.433)</f>
        <v>1890.4186843129805</v>
      </c>
    </row>
    <row r="146" spans="1:18" x14ac:dyDescent="0.25">
      <c r="A146" s="71" t="s">
        <v>17</v>
      </c>
      <c r="B146" s="72" t="s">
        <v>18</v>
      </c>
      <c r="C146" s="73" t="s">
        <v>19</v>
      </c>
      <c r="D146" s="74">
        <v>228.20363386637743</v>
      </c>
      <c r="E146" s="81">
        <v>1232649</v>
      </c>
      <c r="F146" s="82">
        <v>1205910.9333333413</v>
      </c>
      <c r="G146" s="75">
        <v>2253.2541701738755</v>
      </c>
      <c r="H146" s="76">
        <v>2</v>
      </c>
      <c r="I146" s="54" t="s">
        <v>20</v>
      </c>
      <c r="J146" s="77">
        <v>40</v>
      </c>
      <c r="K146" s="78">
        <v>2</v>
      </c>
      <c r="L146" s="54">
        <v>1</v>
      </c>
      <c r="M146" s="54">
        <f>_xlfn.XLOOKUP(Survey!$F146,sections[Start],sections[Test Section],,-1,1)</f>
        <v>1</v>
      </c>
      <c r="N146" s="55">
        <f>_xlfn.XLOOKUP(Survey!$K146,pipedata[ID],pipedata[WT])</f>
        <v>0.74</v>
      </c>
      <c r="O146" s="56">
        <f>_xlfn.XLOOKUP(Survey!$K146,pipedata[ID],pipedata[104%])</f>
        <v>2565.3333333333335</v>
      </c>
      <c r="P146" s="57">
        <f t="shared" si="2"/>
        <v>1850</v>
      </c>
      <c r="Q146" s="58">
        <f>_xlfn.MAXIFS(Survey!$G$2:$G$3647,Survey!$M$2:$M$3647,Survey!$M146)-Survey!$G146</f>
        <v>100.89591741388995</v>
      </c>
      <c r="R146" s="59">
        <f>Survey!$P146+(Survey!$Q146*0.433)</f>
        <v>1893.6879322402144</v>
      </c>
    </row>
    <row r="147" spans="1:18" x14ac:dyDescent="0.25">
      <c r="A147" s="60" t="s">
        <v>17</v>
      </c>
      <c r="B147" s="61" t="s">
        <v>18</v>
      </c>
      <c r="C147" s="62" t="s">
        <v>19</v>
      </c>
      <c r="D147" s="63">
        <v>228.21044992777641</v>
      </c>
      <c r="E147" s="79">
        <v>1232689</v>
      </c>
      <c r="F147" s="80">
        <v>1205948.4666666747</v>
      </c>
      <c r="G147" s="66">
        <v>2245.8150464428049</v>
      </c>
      <c r="H147" s="67">
        <v>2</v>
      </c>
      <c r="I147" s="68" t="s">
        <v>20</v>
      </c>
      <c r="J147" s="69">
        <v>40</v>
      </c>
      <c r="K147" s="70">
        <v>2</v>
      </c>
      <c r="L147" s="68">
        <v>1</v>
      </c>
      <c r="M147" s="68">
        <f>_xlfn.XLOOKUP(Survey!$F147,sections[Start],sections[Test Section],,-1,1)</f>
        <v>1</v>
      </c>
      <c r="N147" s="55">
        <f>_xlfn.XLOOKUP(Survey!$K147,pipedata[ID],pipedata[WT])</f>
        <v>0.74</v>
      </c>
      <c r="O147" s="56">
        <f>_xlfn.XLOOKUP(Survey!$K147,pipedata[ID],pipedata[104%])</f>
        <v>2565.3333333333335</v>
      </c>
      <c r="P147" s="57">
        <f t="shared" si="2"/>
        <v>1850</v>
      </c>
      <c r="Q147" s="58">
        <f>_xlfn.MAXIFS(Survey!$G$2:$G$3647,Survey!$M$2:$M$3647,Survey!$M147)-Survey!$G147</f>
        <v>108.33504114496054</v>
      </c>
      <c r="R147" s="59">
        <f>Survey!$P147+(Survey!$Q147*0.433)</f>
        <v>1896.909072815768</v>
      </c>
    </row>
    <row r="148" spans="1:18" x14ac:dyDescent="0.25">
      <c r="A148" s="71" t="s">
        <v>17</v>
      </c>
      <c r="B148" s="72" t="s">
        <v>18</v>
      </c>
      <c r="C148" s="73" t="s">
        <v>19</v>
      </c>
      <c r="D148" s="74">
        <v>228.21817957878392</v>
      </c>
      <c r="E148" s="81">
        <v>1232729</v>
      </c>
      <c r="F148" s="82">
        <v>1205986.0000000081</v>
      </c>
      <c r="G148" s="75">
        <v>2236.4713103562258</v>
      </c>
      <c r="H148" s="76">
        <v>2</v>
      </c>
      <c r="I148" s="54" t="s">
        <v>20</v>
      </c>
      <c r="J148" s="77">
        <v>40</v>
      </c>
      <c r="K148" s="78">
        <v>2</v>
      </c>
      <c r="L148" s="54">
        <v>1</v>
      </c>
      <c r="M148" s="54">
        <f>_xlfn.XLOOKUP(Survey!$F148,sections[Start],sections[Test Section],,-1,1)</f>
        <v>1</v>
      </c>
      <c r="N148" s="55">
        <f>_xlfn.XLOOKUP(Survey!$K148,pipedata[ID],pipedata[WT])</f>
        <v>0.74</v>
      </c>
      <c r="O148" s="56">
        <f>_xlfn.XLOOKUP(Survey!$K148,pipedata[ID],pipedata[104%])</f>
        <v>2565.3333333333335</v>
      </c>
      <c r="P148" s="57">
        <f t="shared" si="2"/>
        <v>1850</v>
      </c>
      <c r="Q148" s="58">
        <f>_xlfn.MAXIFS(Survey!$G$2:$G$3647,Survey!$M$2:$M$3647,Survey!$M148)-Survey!$G148</f>
        <v>117.6787772315397</v>
      </c>
      <c r="R148" s="59">
        <f>Survey!$P148+(Survey!$Q148*0.433)</f>
        <v>1900.9549105412566</v>
      </c>
    </row>
    <row r="149" spans="1:18" x14ac:dyDescent="0.25">
      <c r="A149" s="60" t="s">
        <v>17</v>
      </c>
      <c r="B149" s="61" t="s">
        <v>18</v>
      </c>
      <c r="C149" s="62" t="s">
        <v>19</v>
      </c>
      <c r="D149" s="63">
        <v>228.22597547135709</v>
      </c>
      <c r="E149" s="79">
        <v>1232769</v>
      </c>
      <c r="F149" s="80">
        <v>1206023.5333333416</v>
      </c>
      <c r="G149" s="66">
        <v>2230.9325390829122</v>
      </c>
      <c r="H149" s="67">
        <v>2</v>
      </c>
      <c r="I149" s="68" t="s">
        <v>20</v>
      </c>
      <c r="J149" s="69">
        <v>40</v>
      </c>
      <c r="K149" s="70">
        <v>2</v>
      </c>
      <c r="L149" s="68">
        <v>1</v>
      </c>
      <c r="M149" s="68">
        <f>_xlfn.XLOOKUP(Survey!$F149,sections[Start],sections[Test Section],,-1,1)</f>
        <v>1</v>
      </c>
      <c r="N149" s="55">
        <f>_xlfn.XLOOKUP(Survey!$K149,pipedata[ID],pipedata[WT])</f>
        <v>0.74</v>
      </c>
      <c r="O149" s="56">
        <f>_xlfn.XLOOKUP(Survey!$K149,pipedata[ID],pipedata[104%])</f>
        <v>2565.3333333333335</v>
      </c>
      <c r="P149" s="57">
        <f t="shared" si="2"/>
        <v>1850</v>
      </c>
      <c r="Q149" s="58">
        <f>_xlfn.MAXIFS(Survey!$G$2:$G$3647,Survey!$M$2:$M$3647,Survey!$M149)-Survey!$G149</f>
        <v>123.21754850485331</v>
      </c>
      <c r="R149" s="59">
        <f>Survey!$P149+(Survey!$Q149*0.433)</f>
        <v>1903.3531985026016</v>
      </c>
    </row>
    <row r="150" spans="1:18" x14ac:dyDescent="0.25">
      <c r="A150" s="71" t="s">
        <v>17</v>
      </c>
      <c r="B150" s="72" t="s">
        <v>18</v>
      </c>
      <c r="C150" s="73" t="s">
        <v>19</v>
      </c>
      <c r="D150" s="74">
        <v>228.23294281293946</v>
      </c>
      <c r="E150" s="81">
        <v>1232809</v>
      </c>
      <c r="F150" s="82">
        <v>1206061.066666675</v>
      </c>
      <c r="G150" s="75">
        <v>2224.4526750150071</v>
      </c>
      <c r="H150" s="76">
        <v>2</v>
      </c>
      <c r="I150" s="54" t="s">
        <v>20</v>
      </c>
      <c r="J150" s="77">
        <v>40</v>
      </c>
      <c r="K150" s="78">
        <v>2</v>
      </c>
      <c r="L150" s="54">
        <v>1</v>
      </c>
      <c r="M150" s="54">
        <f>_xlfn.XLOOKUP(Survey!$F150,sections[Start],sections[Test Section],,-1,1)</f>
        <v>1</v>
      </c>
      <c r="N150" s="55">
        <f>_xlfn.XLOOKUP(Survey!$K150,pipedata[ID],pipedata[WT])</f>
        <v>0.74</v>
      </c>
      <c r="O150" s="56">
        <f>_xlfn.XLOOKUP(Survey!$K150,pipedata[ID],pipedata[104%])</f>
        <v>2565.3333333333335</v>
      </c>
      <c r="P150" s="57">
        <f t="shared" si="2"/>
        <v>1850</v>
      </c>
      <c r="Q150" s="58">
        <f>_xlfn.MAXIFS(Survey!$G$2:$G$3647,Survey!$M$2:$M$3647,Survey!$M150)-Survey!$G150</f>
        <v>129.69741257275837</v>
      </c>
      <c r="R150" s="59">
        <f>Survey!$P150+(Survey!$Q150*0.433)</f>
        <v>1906.1589796440044</v>
      </c>
    </row>
    <row r="151" spans="1:18" x14ac:dyDescent="0.25">
      <c r="A151" s="60" t="s">
        <v>17</v>
      </c>
      <c r="B151" s="61" t="s">
        <v>18</v>
      </c>
      <c r="C151" s="62" t="s">
        <v>19</v>
      </c>
      <c r="D151" s="63">
        <v>228.24100054774627</v>
      </c>
      <c r="E151" s="79">
        <v>1232849</v>
      </c>
      <c r="F151" s="80">
        <v>1206098.6000000085</v>
      </c>
      <c r="G151" s="66">
        <v>2217.3746488072716</v>
      </c>
      <c r="H151" s="67">
        <v>2</v>
      </c>
      <c r="I151" s="68" t="s">
        <v>20</v>
      </c>
      <c r="J151" s="69">
        <v>40</v>
      </c>
      <c r="K151" s="70">
        <v>2</v>
      </c>
      <c r="L151" s="68">
        <v>1</v>
      </c>
      <c r="M151" s="68">
        <f>_xlfn.XLOOKUP(Survey!$F151,sections[Start],sections[Test Section],,-1,1)</f>
        <v>1</v>
      </c>
      <c r="N151" s="55">
        <f>_xlfn.XLOOKUP(Survey!$K151,pipedata[ID],pipedata[WT])</f>
        <v>0.74</v>
      </c>
      <c r="O151" s="56">
        <f>_xlfn.XLOOKUP(Survey!$K151,pipedata[ID],pipedata[104%])</f>
        <v>2565.3333333333335</v>
      </c>
      <c r="P151" s="57">
        <f t="shared" si="2"/>
        <v>1850</v>
      </c>
      <c r="Q151" s="58">
        <f>_xlfn.MAXIFS(Survey!$G$2:$G$3647,Survey!$M$2:$M$3647,Survey!$M151)-Survey!$G151</f>
        <v>136.77543878049391</v>
      </c>
      <c r="R151" s="59">
        <f>Survey!$P151+(Survey!$Q151*0.433)</f>
        <v>1909.2237649919539</v>
      </c>
    </row>
    <row r="152" spans="1:18" x14ac:dyDescent="0.25">
      <c r="A152" s="71" t="s">
        <v>17</v>
      </c>
      <c r="B152" s="72" t="s">
        <v>18</v>
      </c>
      <c r="C152" s="73" t="s">
        <v>19</v>
      </c>
      <c r="D152" s="74">
        <v>228.24811427408491</v>
      </c>
      <c r="E152" s="81">
        <v>1232889</v>
      </c>
      <c r="F152" s="82">
        <v>1206136.1333333419</v>
      </c>
      <c r="G152" s="75">
        <v>2212.2476610155891</v>
      </c>
      <c r="H152" s="76">
        <v>2</v>
      </c>
      <c r="I152" s="54" t="s">
        <v>20</v>
      </c>
      <c r="J152" s="77">
        <v>40</v>
      </c>
      <c r="K152" s="78">
        <v>2</v>
      </c>
      <c r="L152" s="54">
        <v>1</v>
      </c>
      <c r="M152" s="54">
        <f>_xlfn.XLOOKUP(Survey!$F152,sections[Start],sections[Test Section],,-1,1)</f>
        <v>1</v>
      </c>
      <c r="N152" s="55">
        <f>_xlfn.XLOOKUP(Survey!$K152,pipedata[ID],pipedata[WT])</f>
        <v>0.74</v>
      </c>
      <c r="O152" s="56">
        <f>_xlfn.XLOOKUP(Survey!$K152,pipedata[ID],pipedata[104%])</f>
        <v>2565.3333333333335</v>
      </c>
      <c r="P152" s="57">
        <f t="shared" si="2"/>
        <v>1850</v>
      </c>
      <c r="Q152" s="58">
        <f>_xlfn.MAXIFS(Survey!$G$2:$G$3647,Survey!$M$2:$M$3647,Survey!$M152)-Survey!$G152</f>
        <v>141.90242657217641</v>
      </c>
      <c r="R152" s="59">
        <f>Survey!$P152+(Survey!$Q152*0.433)</f>
        <v>1911.4437507057523</v>
      </c>
    </row>
    <row r="153" spans="1:18" x14ac:dyDescent="0.25">
      <c r="A153" s="60" t="s">
        <v>17</v>
      </c>
      <c r="B153" s="61" t="s">
        <v>18</v>
      </c>
      <c r="C153" s="62" t="s">
        <v>19</v>
      </c>
      <c r="D153" s="63">
        <v>228.25505970510972</v>
      </c>
      <c r="E153" s="79">
        <v>1232929</v>
      </c>
      <c r="F153" s="80">
        <v>1206173.6666666754</v>
      </c>
      <c r="G153" s="66">
        <v>2207.4899254465549</v>
      </c>
      <c r="H153" s="67">
        <v>2</v>
      </c>
      <c r="I153" s="68" t="s">
        <v>20</v>
      </c>
      <c r="J153" s="69">
        <v>40</v>
      </c>
      <c r="K153" s="70">
        <v>2</v>
      </c>
      <c r="L153" s="68">
        <v>1</v>
      </c>
      <c r="M153" s="68">
        <f>_xlfn.XLOOKUP(Survey!$F153,sections[Start],sections[Test Section],,-1,1)</f>
        <v>1</v>
      </c>
      <c r="N153" s="55">
        <f>_xlfn.XLOOKUP(Survey!$K153,pipedata[ID],pipedata[WT])</f>
        <v>0.74</v>
      </c>
      <c r="O153" s="56">
        <f>_xlfn.XLOOKUP(Survey!$K153,pipedata[ID],pipedata[104%])</f>
        <v>2565.3333333333335</v>
      </c>
      <c r="P153" s="57">
        <f t="shared" si="2"/>
        <v>1850</v>
      </c>
      <c r="Q153" s="58">
        <f>_xlfn.MAXIFS(Survey!$G$2:$G$3647,Survey!$M$2:$M$3647,Survey!$M153)-Survey!$G153</f>
        <v>146.66016214121055</v>
      </c>
      <c r="R153" s="59">
        <f>Survey!$P153+(Survey!$Q153*0.433)</f>
        <v>1913.5038502071441</v>
      </c>
    </row>
    <row r="154" spans="1:18" x14ac:dyDescent="0.25">
      <c r="A154" s="71" t="s">
        <v>17</v>
      </c>
      <c r="B154" s="72" t="s">
        <v>18</v>
      </c>
      <c r="C154" s="73" t="s">
        <v>19</v>
      </c>
      <c r="D154" s="74">
        <v>228.2620051361346</v>
      </c>
      <c r="E154" s="81">
        <v>1232969</v>
      </c>
      <c r="F154" s="82">
        <v>1206211.2000000088</v>
      </c>
      <c r="G154" s="75">
        <v>2199.7015612909572</v>
      </c>
      <c r="H154" s="76">
        <v>2</v>
      </c>
      <c r="I154" s="54" t="s">
        <v>20</v>
      </c>
      <c r="J154" s="77">
        <v>40</v>
      </c>
      <c r="K154" s="78">
        <v>2</v>
      </c>
      <c r="L154" s="54">
        <v>1</v>
      </c>
      <c r="M154" s="54">
        <f>_xlfn.XLOOKUP(Survey!$F154,sections[Start],sections[Test Section],,-1,1)</f>
        <v>1</v>
      </c>
      <c r="N154" s="55">
        <f>_xlfn.XLOOKUP(Survey!$K154,pipedata[ID],pipedata[WT])</f>
        <v>0.74</v>
      </c>
      <c r="O154" s="56">
        <f>_xlfn.XLOOKUP(Survey!$K154,pipedata[ID],pipedata[104%])</f>
        <v>2565.3333333333335</v>
      </c>
      <c r="P154" s="57">
        <f t="shared" si="2"/>
        <v>1850</v>
      </c>
      <c r="Q154" s="58">
        <f>_xlfn.MAXIFS(Survey!$G$2:$G$3647,Survey!$M$2:$M$3647,Survey!$M154)-Survey!$G154</f>
        <v>154.44852629680827</v>
      </c>
      <c r="R154" s="59">
        <f>Survey!$P154+(Survey!$Q154*0.433)</f>
        <v>1916.8762118865179</v>
      </c>
    </row>
    <row r="155" spans="1:18" x14ac:dyDescent="0.25">
      <c r="A155" s="60" t="s">
        <v>17</v>
      </c>
      <c r="B155" s="61" t="s">
        <v>18</v>
      </c>
      <c r="C155" s="62" t="s">
        <v>19</v>
      </c>
      <c r="D155" s="63">
        <v>228.26895056715949</v>
      </c>
      <c r="E155" s="79">
        <v>1233009</v>
      </c>
      <c r="F155" s="80">
        <v>1206248.7333333422</v>
      </c>
      <c r="G155" s="66">
        <v>2185.5216190378492</v>
      </c>
      <c r="H155" s="67">
        <v>2</v>
      </c>
      <c r="I155" s="68" t="s">
        <v>20</v>
      </c>
      <c r="J155" s="69">
        <v>40</v>
      </c>
      <c r="K155" s="70">
        <v>2</v>
      </c>
      <c r="L155" s="68">
        <v>1</v>
      </c>
      <c r="M155" s="68">
        <f>_xlfn.XLOOKUP(Survey!$F155,sections[Start],sections[Test Section],,-1,1)</f>
        <v>1</v>
      </c>
      <c r="N155" s="55">
        <f>_xlfn.XLOOKUP(Survey!$K155,pipedata[ID],pipedata[WT])</f>
        <v>0.74</v>
      </c>
      <c r="O155" s="56">
        <f>_xlfn.XLOOKUP(Survey!$K155,pipedata[ID],pipedata[104%])</f>
        <v>2565.3333333333335</v>
      </c>
      <c r="P155" s="57">
        <f t="shared" si="2"/>
        <v>1850</v>
      </c>
      <c r="Q155" s="58">
        <f>_xlfn.MAXIFS(Survey!$G$2:$G$3647,Survey!$M$2:$M$3647,Survey!$M155)-Survey!$G155</f>
        <v>168.62846854991631</v>
      </c>
      <c r="R155" s="59">
        <f>Survey!$P155+(Survey!$Q155*0.433)</f>
        <v>1923.0161268821137</v>
      </c>
    </row>
    <row r="156" spans="1:18" x14ac:dyDescent="0.25">
      <c r="A156" s="71" t="s">
        <v>17</v>
      </c>
      <c r="B156" s="72" t="s">
        <v>18</v>
      </c>
      <c r="C156" s="73" t="s">
        <v>19</v>
      </c>
      <c r="D156" s="74">
        <v>228.27707085985952</v>
      </c>
      <c r="E156" s="81">
        <v>1233049</v>
      </c>
      <c r="F156" s="82">
        <v>1206286.2666666757</v>
      </c>
      <c r="G156" s="75">
        <v>2171.7037455482428</v>
      </c>
      <c r="H156" s="76">
        <v>2</v>
      </c>
      <c r="I156" s="54" t="s">
        <v>20</v>
      </c>
      <c r="J156" s="77">
        <v>40</v>
      </c>
      <c r="K156" s="78">
        <v>2</v>
      </c>
      <c r="L156" s="54">
        <v>1</v>
      </c>
      <c r="M156" s="54">
        <f>_xlfn.XLOOKUP(Survey!$F156,sections[Start],sections[Test Section],,-1,1)</f>
        <v>1</v>
      </c>
      <c r="N156" s="55">
        <f>_xlfn.XLOOKUP(Survey!$K156,pipedata[ID],pipedata[WT])</f>
        <v>0.74</v>
      </c>
      <c r="O156" s="56">
        <f>_xlfn.XLOOKUP(Survey!$K156,pipedata[ID],pipedata[104%])</f>
        <v>2565.3333333333335</v>
      </c>
      <c r="P156" s="57">
        <f t="shared" si="2"/>
        <v>1850</v>
      </c>
      <c r="Q156" s="58">
        <f>_xlfn.MAXIFS(Survey!$G$2:$G$3647,Survey!$M$2:$M$3647,Survey!$M156)-Survey!$G156</f>
        <v>182.44634203952273</v>
      </c>
      <c r="R156" s="59">
        <f>Survey!$P156+(Survey!$Q156*0.433)</f>
        <v>1928.9992661031133</v>
      </c>
    </row>
    <row r="157" spans="1:18" x14ac:dyDescent="0.25">
      <c r="A157" s="60" t="s">
        <v>17</v>
      </c>
      <c r="B157" s="61" t="s">
        <v>18</v>
      </c>
      <c r="C157" s="62" t="s">
        <v>19</v>
      </c>
      <c r="D157" s="63">
        <v>228.28266436083703</v>
      </c>
      <c r="E157" s="79">
        <v>1233089</v>
      </c>
      <c r="F157" s="80">
        <v>1206323.8000000091</v>
      </c>
      <c r="G157" s="66">
        <v>2155.579247601233</v>
      </c>
      <c r="H157" s="67">
        <v>2</v>
      </c>
      <c r="I157" s="68" t="s">
        <v>20</v>
      </c>
      <c r="J157" s="69">
        <v>40</v>
      </c>
      <c r="K157" s="70">
        <v>2</v>
      </c>
      <c r="L157" s="68">
        <v>1</v>
      </c>
      <c r="M157" s="68">
        <f>_xlfn.XLOOKUP(Survey!$F157,sections[Start],sections[Test Section],,-1,1)</f>
        <v>1</v>
      </c>
      <c r="N157" s="55">
        <f>_xlfn.XLOOKUP(Survey!$K157,pipedata[ID],pipedata[WT])</f>
        <v>0.74</v>
      </c>
      <c r="O157" s="56">
        <f>_xlfn.XLOOKUP(Survey!$K157,pipedata[ID],pipedata[104%])</f>
        <v>2565.3333333333335</v>
      </c>
      <c r="P157" s="57">
        <f t="shared" si="2"/>
        <v>1850</v>
      </c>
      <c r="Q157" s="58">
        <f>_xlfn.MAXIFS(Survey!$G$2:$G$3647,Survey!$M$2:$M$3647,Survey!$M157)-Survey!$G157</f>
        <v>198.57083998653252</v>
      </c>
      <c r="R157" s="59">
        <f>Survey!$P157+(Survey!$Q157*0.433)</f>
        <v>1935.9811737141686</v>
      </c>
    </row>
    <row r="158" spans="1:18" x14ac:dyDescent="0.25">
      <c r="A158" s="71" t="s">
        <v>17</v>
      </c>
      <c r="B158" s="72" t="s">
        <v>18</v>
      </c>
      <c r="C158" s="73" t="s">
        <v>19</v>
      </c>
      <c r="D158" s="74">
        <v>228.28939667317414</v>
      </c>
      <c r="E158" s="81">
        <v>1233129</v>
      </c>
      <c r="F158" s="82">
        <v>1206361.3333333426</v>
      </c>
      <c r="G158" s="75">
        <v>2139.1240813106897</v>
      </c>
      <c r="H158" s="76">
        <v>2</v>
      </c>
      <c r="I158" s="54" t="s">
        <v>20</v>
      </c>
      <c r="J158" s="77">
        <v>40</v>
      </c>
      <c r="K158" s="78">
        <v>2</v>
      </c>
      <c r="L158" s="54">
        <v>1</v>
      </c>
      <c r="M158" s="54">
        <f>_xlfn.XLOOKUP(Survey!$F158,sections[Start],sections[Test Section],,-1,1)</f>
        <v>1</v>
      </c>
      <c r="N158" s="55">
        <f>_xlfn.XLOOKUP(Survey!$K158,pipedata[ID],pipedata[WT])</f>
        <v>0.74</v>
      </c>
      <c r="O158" s="56">
        <f>_xlfn.XLOOKUP(Survey!$K158,pipedata[ID],pipedata[104%])</f>
        <v>2565.3333333333335</v>
      </c>
      <c r="P158" s="57">
        <f t="shared" si="2"/>
        <v>1850</v>
      </c>
      <c r="Q158" s="58">
        <f>_xlfn.MAXIFS(Survey!$G$2:$G$3647,Survey!$M$2:$M$3647,Survey!$M158)-Survey!$G158</f>
        <v>215.02600627707579</v>
      </c>
      <c r="R158" s="59">
        <f>Survey!$P158+(Survey!$Q158*0.433)</f>
        <v>1943.1062607179738</v>
      </c>
    </row>
    <row r="159" spans="1:18" x14ac:dyDescent="0.25">
      <c r="A159" s="60" t="s">
        <v>17</v>
      </c>
      <c r="B159" s="61" t="s">
        <v>18</v>
      </c>
      <c r="C159" s="62" t="s">
        <v>19</v>
      </c>
      <c r="D159" s="63">
        <v>228.29612898551142</v>
      </c>
      <c r="E159" s="79">
        <v>1233169</v>
      </c>
      <c r="F159" s="80">
        <v>1206398.866666676</v>
      </c>
      <c r="G159" s="66">
        <v>2122.4169551590994</v>
      </c>
      <c r="H159" s="67">
        <v>2</v>
      </c>
      <c r="I159" s="68" t="s">
        <v>20</v>
      </c>
      <c r="J159" s="69">
        <v>40</v>
      </c>
      <c r="K159" s="70">
        <v>2</v>
      </c>
      <c r="L159" s="68">
        <v>1</v>
      </c>
      <c r="M159" s="68">
        <f>_xlfn.XLOOKUP(Survey!$F159,sections[Start],sections[Test Section],,-1,1)</f>
        <v>1</v>
      </c>
      <c r="N159" s="55">
        <f>_xlfn.XLOOKUP(Survey!$K159,pipedata[ID],pipedata[WT])</f>
        <v>0.74</v>
      </c>
      <c r="O159" s="56">
        <f>_xlfn.XLOOKUP(Survey!$K159,pipedata[ID],pipedata[104%])</f>
        <v>2565.3333333333335</v>
      </c>
      <c r="P159" s="57">
        <f t="shared" si="2"/>
        <v>1850</v>
      </c>
      <c r="Q159" s="58">
        <f>_xlfn.MAXIFS(Survey!$G$2:$G$3647,Survey!$M$2:$M$3647,Survey!$M159)-Survey!$G159</f>
        <v>231.73313242866607</v>
      </c>
      <c r="R159" s="59">
        <f>Survey!$P159+(Survey!$Q159*0.433)</f>
        <v>1950.3404463416125</v>
      </c>
    </row>
    <row r="160" spans="1:18" x14ac:dyDescent="0.25">
      <c r="A160" s="71" t="s">
        <v>17</v>
      </c>
      <c r="B160" s="72" t="s">
        <v>18</v>
      </c>
      <c r="C160" s="73" t="s">
        <v>19</v>
      </c>
      <c r="D160" s="74">
        <v>228.30510540196116</v>
      </c>
      <c r="E160" s="81">
        <v>1233209</v>
      </c>
      <c r="F160" s="82">
        <v>1206436.4000000095</v>
      </c>
      <c r="G160" s="75">
        <v>2108.6738203339164</v>
      </c>
      <c r="H160" s="76">
        <v>2</v>
      </c>
      <c r="I160" s="54" t="s">
        <v>20</v>
      </c>
      <c r="J160" s="77">
        <v>40</v>
      </c>
      <c r="K160" s="78">
        <v>2</v>
      </c>
      <c r="L160" s="54">
        <v>1</v>
      </c>
      <c r="M160" s="54">
        <f>_xlfn.XLOOKUP(Survey!$F160,sections[Start],sections[Test Section],,-1,1)</f>
        <v>1</v>
      </c>
      <c r="N160" s="55">
        <f>_xlfn.XLOOKUP(Survey!$K160,pipedata[ID],pipedata[WT])</f>
        <v>0.74</v>
      </c>
      <c r="O160" s="56">
        <f>_xlfn.XLOOKUP(Survey!$K160,pipedata[ID],pipedata[104%])</f>
        <v>2565.3333333333335</v>
      </c>
      <c r="P160" s="57">
        <f t="shared" si="2"/>
        <v>1850</v>
      </c>
      <c r="Q160" s="58">
        <f>_xlfn.MAXIFS(Survey!$G$2:$G$3647,Survey!$M$2:$M$3647,Survey!$M160)-Survey!$G160</f>
        <v>245.47626725384907</v>
      </c>
      <c r="R160" s="59">
        <f>Survey!$P160+(Survey!$Q160*0.433)</f>
        <v>1956.2912237209166</v>
      </c>
    </row>
    <row r="161" spans="1:18" x14ac:dyDescent="0.25">
      <c r="A161" s="60" t="s">
        <v>17</v>
      </c>
      <c r="B161" s="61" t="s">
        <v>18</v>
      </c>
      <c r="C161" s="62" t="s">
        <v>19</v>
      </c>
      <c r="D161" s="63">
        <v>228.31183771429835</v>
      </c>
      <c r="E161" s="79">
        <v>1233249</v>
      </c>
      <c r="F161" s="80">
        <v>1206473.9333333429</v>
      </c>
      <c r="G161" s="66">
        <v>2094.1094914842265</v>
      </c>
      <c r="H161" s="67">
        <v>2</v>
      </c>
      <c r="I161" s="68" t="s">
        <v>20</v>
      </c>
      <c r="J161" s="69">
        <v>40</v>
      </c>
      <c r="K161" s="70">
        <v>2</v>
      </c>
      <c r="L161" s="68">
        <v>1</v>
      </c>
      <c r="M161" s="68">
        <f>_xlfn.XLOOKUP(Survey!$F161,sections[Start],sections[Test Section],,-1,1)</f>
        <v>1</v>
      </c>
      <c r="N161" s="55">
        <f>_xlfn.XLOOKUP(Survey!$K161,pipedata[ID],pipedata[WT])</f>
        <v>0.74</v>
      </c>
      <c r="O161" s="56">
        <f>_xlfn.XLOOKUP(Survey!$K161,pipedata[ID],pipedata[104%])</f>
        <v>2565.3333333333335</v>
      </c>
      <c r="P161" s="57">
        <f t="shared" si="2"/>
        <v>1850</v>
      </c>
      <c r="Q161" s="58">
        <f>_xlfn.MAXIFS(Survey!$G$2:$G$3647,Survey!$M$2:$M$3647,Survey!$M161)-Survey!$G161</f>
        <v>260.04059610353897</v>
      </c>
      <c r="R161" s="59">
        <f>Survey!$P161+(Survey!$Q161*0.433)</f>
        <v>1962.5975781128325</v>
      </c>
    </row>
    <row r="162" spans="1:18" x14ac:dyDescent="0.25">
      <c r="A162" s="71" t="s">
        <v>17</v>
      </c>
      <c r="B162" s="72" t="s">
        <v>18</v>
      </c>
      <c r="C162" s="73" t="s">
        <v>19</v>
      </c>
      <c r="D162" s="74">
        <v>228.31857002663551</v>
      </c>
      <c r="E162" s="81">
        <v>1233289</v>
      </c>
      <c r="F162" s="82">
        <v>1206511.4666666763</v>
      </c>
      <c r="G162" s="75">
        <v>2079.8689469621922</v>
      </c>
      <c r="H162" s="76">
        <v>2</v>
      </c>
      <c r="I162" s="54" t="s">
        <v>20</v>
      </c>
      <c r="J162" s="77">
        <v>40</v>
      </c>
      <c r="K162" s="78">
        <v>2</v>
      </c>
      <c r="L162" s="54">
        <v>1</v>
      </c>
      <c r="M162" s="54">
        <f>_xlfn.XLOOKUP(Survey!$F162,sections[Start],sections[Test Section],,-1,1)</f>
        <v>1</v>
      </c>
      <c r="N162" s="55">
        <f>_xlfn.XLOOKUP(Survey!$K162,pipedata[ID],pipedata[WT])</f>
        <v>0.74</v>
      </c>
      <c r="O162" s="56">
        <f>_xlfn.XLOOKUP(Survey!$K162,pipedata[ID],pipedata[104%])</f>
        <v>2565.3333333333335</v>
      </c>
      <c r="P162" s="57">
        <f t="shared" si="2"/>
        <v>1850</v>
      </c>
      <c r="Q162" s="58">
        <f>_xlfn.MAXIFS(Survey!$G$2:$G$3647,Survey!$M$2:$M$3647,Survey!$M162)-Survey!$G162</f>
        <v>274.28114062557324</v>
      </c>
      <c r="R162" s="59">
        <f>Survey!$P162+(Survey!$Q162*0.433)</f>
        <v>1968.7637338908733</v>
      </c>
    </row>
    <row r="163" spans="1:18" x14ac:dyDescent="0.25">
      <c r="A163" s="60" t="s">
        <v>17</v>
      </c>
      <c r="B163" s="61" t="s">
        <v>18</v>
      </c>
      <c r="C163" s="62" t="s">
        <v>19</v>
      </c>
      <c r="D163" s="63">
        <v>228.32530233897273</v>
      </c>
      <c r="E163" s="79">
        <v>1233329</v>
      </c>
      <c r="F163" s="80">
        <v>1206549.0000000098</v>
      </c>
      <c r="G163" s="66">
        <v>2066.4483623169808</v>
      </c>
      <c r="H163" s="67">
        <v>2</v>
      </c>
      <c r="I163" s="68" t="s">
        <v>20</v>
      </c>
      <c r="J163" s="69">
        <v>40</v>
      </c>
      <c r="K163" s="70">
        <v>2</v>
      </c>
      <c r="L163" s="68">
        <v>1</v>
      </c>
      <c r="M163" s="68">
        <f>_xlfn.XLOOKUP(Survey!$F163,sections[Start],sections[Test Section],,-1,1)</f>
        <v>1</v>
      </c>
      <c r="N163" s="55">
        <f>_xlfn.XLOOKUP(Survey!$K163,pipedata[ID],pipedata[WT])</f>
        <v>0.74</v>
      </c>
      <c r="O163" s="56">
        <f>_xlfn.XLOOKUP(Survey!$K163,pipedata[ID],pipedata[104%])</f>
        <v>2565.3333333333335</v>
      </c>
      <c r="P163" s="57">
        <f t="shared" si="2"/>
        <v>1850</v>
      </c>
      <c r="Q163" s="58">
        <f>_xlfn.MAXIFS(Survey!$G$2:$G$3647,Survey!$M$2:$M$3647,Survey!$M163)-Survey!$G163</f>
        <v>287.70172527078466</v>
      </c>
      <c r="R163" s="59">
        <f>Survey!$P163+(Survey!$Q163*0.433)</f>
        <v>1974.5748470422498</v>
      </c>
    </row>
    <row r="164" spans="1:18" x14ac:dyDescent="0.25">
      <c r="A164" s="71" t="s">
        <v>17</v>
      </c>
      <c r="B164" s="72" t="s">
        <v>18</v>
      </c>
      <c r="C164" s="73" t="s">
        <v>19</v>
      </c>
      <c r="D164" s="74">
        <v>228.33203465130998</v>
      </c>
      <c r="E164" s="81">
        <v>1233369</v>
      </c>
      <c r="F164" s="82">
        <v>1206586.5333333432</v>
      </c>
      <c r="G164" s="75">
        <v>2049.1933144052737</v>
      </c>
      <c r="H164" s="76">
        <v>2</v>
      </c>
      <c r="I164" s="54" t="s">
        <v>20</v>
      </c>
      <c r="J164" s="77">
        <v>40</v>
      </c>
      <c r="K164" s="78">
        <v>2</v>
      </c>
      <c r="L164" s="54">
        <v>1</v>
      </c>
      <c r="M164" s="54">
        <f>_xlfn.XLOOKUP(Survey!$F164,sections[Start],sections[Test Section],,-1,1)</f>
        <v>1</v>
      </c>
      <c r="N164" s="55">
        <f>_xlfn.XLOOKUP(Survey!$K164,pipedata[ID],pipedata[WT])</f>
        <v>0.74</v>
      </c>
      <c r="O164" s="56">
        <f>_xlfn.XLOOKUP(Survey!$K164,pipedata[ID],pipedata[104%])</f>
        <v>2565.3333333333335</v>
      </c>
      <c r="P164" s="57">
        <f t="shared" si="2"/>
        <v>1850</v>
      </c>
      <c r="Q164" s="58">
        <f>_xlfn.MAXIFS(Survey!$G$2:$G$3647,Survey!$M$2:$M$3647,Survey!$M164)-Survey!$G164</f>
        <v>304.95677318249182</v>
      </c>
      <c r="R164" s="59">
        <f>Survey!$P164+(Survey!$Q164*0.433)</f>
        <v>1982.046282788019</v>
      </c>
    </row>
    <row r="165" spans="1:18" x14ac:dyDescent="0.25">
      <c r="A165" s="60" t="s">
        <v>17</v>
      </c>
      <c r="B165" s="61" t="s">
        <v>18</v>
      </c>
      <c r="C165" s="62" t="s">
        <v>19</v>
      </c>
      <c r="D165" s="63">
        <v>228.3387669636472</v>
      </c>
      <c r="E165" s="64">
        <v>1233409</v>
      </c>
      <c r="F165" s="65">
        <v>1206624.0666666767</v>
      </c>
      <c r="G165" s="66">
        <v>2034.2632807901089</v>
      </c>
      <c r="H165" s="67">
        <v>2</v>
      </c>
      <c r="I165" s="68" t="s">
        <v>20</v>
      </c>
      <c r="J165" s="69">
        <v>40</v>
      </c>
      <c r="K165" s="70">
        <v>2</v>
      </c>
      <c r="L165" s="68">
        <v>1</v>
      </c>
      <c r="M165" s="68">
        <f>_xlfn.XLOOKUP(Survey!$F165,sections[Start],sections[Test Section],,-1,1)</f>
        <v>1</v>
      </c>
      <c r="N165" s="55">
        <f>_xlfn.XLOOKUP(Survey!$K165,pipedata[ID],pipedata[WT])</f>
        <v>0.74</v>
      </c>
      <c r="O165" s="56">
        <f>_xlfn.XLOOKUP(Survey!$K165,pipedata[ID],pipedata[104%])</f>
        <v>2565.3333333333335</v>
      </c>
      <c r="P165" s="57">
        <f t="shared" si="2"/>
        <v>1850</v>
      </c>
      <c r="Q165" s="58">
        <f>_xlfn.MAXIFS(Survey!$G$2:$G$3647,Survey!$M$2:$M$3647,Survey!$M165)-Survey!$G165</f>
        <v>319.88680679765662</v>
      </c>
      <c r="R165" s="59">
        <f>Survey!$P165+(Survey!$Q165*0.433)</f>
        <v>1988.5109873433853</v>
      </c>
    </row>
    <row r="166" spans="1:18" x14ac:dyDescent="0.25">
      <c r="A166" s="71" t="s">
        <v>17</v>
      </c>
      <c r="B166" s="72" t="s">
        <v>18</v>
      </c>
      <c r="C166" s="73" t="s">
        <v>19</v>
      </c>
      <c r="D166" s="74">
        <v>228.34755390229142</v>
      </c>
      <c r="E166" s="81">
        <v>1233449</v>
      </c>
      <c r="F166" s="82">
        <v>1206661.6000000101</v>
      </c>
      <c r="G166" s="75">
        <v>2020.6878430610261</v>
      </c>
      <c r="H166" s="76">
        <v>2</v>
      </c>
      <c r="I166" s="54" t="s">
        <v>20</v>
      </c>
      <c r="J166" s="77">
        <v>40</v>
      </c>
      <c r="K166" s="78">
        <v>2</v>
      </c>
      <c r="L166" s="54">
        <v>1</v>
      </c>
      <c r="M166" s="54">
        <f>_xlfn.XLOOKUP(Survey!$F166,sections[Start],sections[Test Section],,-1,1)</f>
        <v>1</v>
      </c>
      <c r="N166" s="55">
        <f>_xlfn.XLOOKUP(Survey!$K166,pipedata[ID],pipedata[WT])</f>
        <v>0.74</v>
      </c>
      <c r="O166" s="56">
        <f>_xlfn.XLOOKUP(Survey!$K166,pipedata[ID],pipedata[104%])</f>
        <v>2565.3333333333335</v>
      </c>
      <c r="P166" s="57">
        <f t="shared" si="2"/>
        <v>1850</v>
      </c>
      <c r="Q166" s="58">
        <f>_xlfn.MAXIFS(Survey!$G$2:$G$3647,Survey!$M$2:$M$3647,Survey!$M166)-Survey!$G166</f>
        <v>333.46224452673937</v>
      </c>
      <c r="R166" s="59">
        <f>Survey!$P166+(Survey!$Q166*0.433)</f>
        <v>1994.3891518800781</v>
      </c>
    </row>
    <row r="167" spans="1:18" x14ac:dyDescent="0.25">
      <c r="A167" s="60" t="s">
        <v>17</v>
      </c>
      <c r="B167" s="61" t="s">
        <v>18</v>
      </c>
      <c r="C167" s="62" t="s">
        <v>19</v>
      </c>
      <c r="D167" s="63">
        <v>228.35447569243425</v>
      </c>
      <c r="E167" s="79">
        <v>1233489</v>
      </c>
      <c r="F167" s="80">
        <v>1206699.1333333435</v>
      </c>
      <c r="G167" s="66">
        <v>2008.0140315443202</v>
      </c>
      <c r="H167" s="67">
        <v>2</v>
      </c>
      <c r="I167" s="68" t="s">
        <v>20</v>
      </c>
      <c r="J167" s="69">
        <v>40</v>
      </c>
      <c r="K167" s="70">
        <v>2</v>
      </c>
      <c r="L167" s="68">
        <v>1</v>
      </c>
      <c r="M167" s="68">
        <f>_xlfn.XLOOKUP(Survey!$F167,sections[Start],sections[Test Section],,-1,1)</f>
        <v>1</v>
      </c>
      <c r="N167" s="55">
        <f>_xlfn.XLOOKUP(Survey!$K167,pipedata[ID],pipedata[WT])</f>
        <v>0.74</v>
      </c>
      <c r="O167" s="56">
        <f>_xlfn.XLOOKUP(Survey!$K167,pipedata[ID],pipedata[104%])</f>
        <v>2565.3333333333335</v>
      </c>
      <c r="P167" s="57">
        <f t="shared" si="2"/>
        <v>1850</v>
      </c>
      <c r="Q167" s="58">
        <f>_xlfn.MAXIFS(Survey!$G$2:$G$3647,Survey!$M$2:$M$3647,Survey!$M167)-Survey!$G167</f>
        <v>346.13605604344525</v>
      </c>
      <c r="R167" s="59">
        <f>Survey!$P167+(Survey!$Q167*0.433)</f>
        <v>1999.8769122668118</v>
      </c>
    </row>
    <row r="168" spans="1:18" x14ac:dyDescent="0.25">
      <c r="A168" s="71" t="s">
        <v>17</v>
      </c>
      <c r="B168" s="72" t="s">
        <v>18</v>
      </c>
      <c r="C168" s="73" t="s">
        <v>19</v>
      </c>
      <c r="D168" s="74">
        <v>228.36120800477158</v>
      </c>
      <c r="E168" s="81">
        <v>1233529</v>
      </c>
      <c r="F168" s="82">
        <v>1206736.666666677</v>
      </c>
      <c r="G168" s="75">
        <v>1995.4853543382687</v>
      </c>
      <c r="H168" s="76">
        <v>2</v>
      </c>
      <c r="I168" s="54" t="s">
        <v>20</v>
      </c>
      <c r="J168" s="77">
        <v>40</v>
      </c>
      <c r="K168" s="78">
        <v>2</v>
      </c>
      <c r="L168" s="54">
        <v>1</v>
      </c>
      <c r="M168" s="54">
        <f>_xlfn.XLOOKUP(Survey!$F168,sections[Start],sections[Test Section],,-1,1)</f>
        <v>1</v>
      </c>
      <c r="N168" s="55">
        <f>_xlfn.XLOOKUP(Survey!$K168,pipedata[ID],pipedata[WT])</f>
        <v>0.74</v>
      </c>
      <c r="O168" s="56">
        <f>_xlfn.XLOOKUP(Survey!$K168,pipedata[ID],pipedata[104%])</f>
        <v>2565.3333333333335</v>
      </c>
      <c r="P168" s="57">
        <f t="shared" si="2"/>
        <v>1850</v>
      </c>
      <c r="Q168" s="58">
        <f>_xlfn.MAXIFS(Survey!$G$2:$G$3647,Survey!$M$2:$M$3647,Survey!$M168)-Survey!$G168</f>
        <v>358.66473324949675</v>
      </c>
      <c r="R168" s="59">
        <f>Survey!$P168+(Survey!$Q168*0.433)</f>
        <v>2005.301829497032</v>
      </c>
    </row>
    <row r="169" spans="1:18" x14ac:dyDescent="0.25">
      <c r="A169" s="60" t="s">
        <v>17</v>
      </c>
      <c r="B169" s="61" t="s">
        <v>18</v>
      </c>
      <c r="C169" s="62" t="s">
        <v>19</v>
      </c>
      <c r="D169" s="63">
        <v>228.36794031710889</v>
      </c>
      <c r="E169" s="79">
        <v>1233569</v>
      </c>
      <c r="F169" s="80">
        <v>1206774.2000000104</v>
      </c>
      <c r="G169" s="66">
        <v>1983.4425137425587</v>
      </c>
      <c r="H169" s="67">
        <v>2</v>
      </c>
      <c r="I169" s="68" t="s">
        <v>20</v>
      </c>
      <c r="J169" s="69">
        <v>40</v>
      </c>
      <c r="K169" s="70">
        <v>2</v>
      </c>
      <c r="L169" s="68">
        <v>1</v>
      </c>
      <c r="M169" s="68">
        <f>_xlfn.XLOOKUP(Survey!$F169,sections[Start],sections[Test Section],,-1,1)</f>
        <v>1</v>
      </c>
      <c r="N169" s="55">
        <f>_xlfn.XLOOKUP(Survey!$K169,pipedata[ID],pipedata[WT])</f>
        <v>0.74</v>
      </c>
      <c r="O169" s="56">
        <f>_xlfn.XLOOKUP(Survey!$K169,pipedata[ID],pipedata[104%])</f>
        <v>2565.3333333333335</v>
      </c>
      <c r="P169" s="57">
        <f t="shared" si="2"/>
        <v>1850</v>
      </c>
      <c r="Q169" s="58">
        <f>_xlfn.MAXIFS(Survey!$G$2:$G$3647,Survey!$M$2:$M$3647,Survey!$M169)-Survey!$G169</f>
        <v>370.70757384520675</v>
      </c>
      <c r="R169" s="59">
        <f>Survey!$P169+(Survey!$Q169*0.433)</f>
        <v>2010.5163794749744</v>
      </c>
    </row>
    <row r="170" spans="1:18" x14ac:dyDescent="0.25">
      <c r="A170" s="71" t="s">
        <v>17</v>
      </c>
      <c r="B170" s="72" t="s">
        <v>18</v>
      </c>
      <c r="C170" s="73" t="s">
        <v>19</v>
      </c>
      <c r="D170" s="74">
        <v>228.37609856783402</v>
      </c>
      <c r="E170" s="81">
        <v>1233609</v>
      </c>
      <c r="F170" s="82">
        <v>1206811.7333333439</v>
      </c>
      <c r="G170" s="75">
        <v>1971.0932646993315</v>
      </c>
      <c r="H170" s="76">
        <v>2</v>
      </c>
      <c r="I170" s="54" t="s">
        <v>20</v>
      </c>
      <c r="J170" s="77">
        <v>40</v>
      </c>
      <c r="K170" s="78">
        <v>2</v>
      </c>
      <c r="L170" s="54">
        <v>1</v>
      </c>
      <c r="M170" s="54">
        <f>_xlfn.XLOOKUP(Survey!$F170,sections[Start],sections[Test Section],,-1,1)</f>
        <v>1</v>
      </c>
      <c r="N170" s="55">
        <f>_xlfn.XLOOKUP(Survey!$K170,pipedata[ID],pipedata[WT])</f>
        <v>0.74</v>
      </c>
      <c r="O170" s="56">
        <f>_xlfn.XLOOKUP(Survey!$K170,pipedata[ID],pipedata[104%])</f>
        <v>2565.3333333333335</v>
      </c>
      <c r="P170" s="57">
        <f t="shared" si="2"/>
        <v>1850</v>
      </c>
      <c r="Q170" s="58">
        <f>_xlfn.MAXIFS(Survey!$G$2:$G$3647,Survey!$M$2:$M$3647,Survey!$M170)-Survey!$G170</f>
        <v>383.056822888434</v>
      </c>
      <c r="R170" s="59">
        <f>Survey!$P170+(Survey!$Q170*0.433)</f>
        <v>2015.8636043106919</v>
      </c>
    </row>
    <row r="171" spans="1:18" x14ac:dyDescent="0.25">
      <c r="A171" s="60" t="s">
        <v>17</v>
      </c>
      <c r="B171" s="61" t="s">
        <v>18</v>
      </c>
      <c r="C171" s="62" t="s">
        <v>19</v>
      </c>
      <c r="D171" s="63">
        <v>228.38316020428962</v>
      </c>
      <c r="E171" s="79">
        <v>1233649</v>
      </c>
      <c r="F171" s="80">
        <v>1206849.2666666773</v>
      </c>
      <c r="G171" s="66">
        <v>1955.6871589647624</v>
      </c>
      <c r="H171" s="67">
        <v>2</v>
      </c>
      <c r="I171" s="68" t="s">
        <v>20</v>
      </c>
      <c r="J171" s="69">
        <v>40</v>
      </c>
      <c r="K171" s="70">
        <v>2</v>
      </c>
      <c r="L171" s="68">
        <v>1</v>
      </c>
      <c r="M171" s="68">
        <f>_xlfn.XLOOKUP(Survey!$F171,sections[Start],sections[Test Section],,-1,1)</f>
        <v>1</v>
      </c>
      <c r="N171" s="55">
        <f>_xlfn.XLOOKUP(Survey!$K171,pipedata[ID],pipedata[WT])</f>
        <v>0.74</v>
      </c>
      <c r="O171" s="56">
        <f>_xlfn.XLOOKUP(Survey!$K171,pipedata[ID],pipedata[104%])</f>
        <v>2565.3333333333335</v>
      </c>
      <c r="P171" s="57">
        <f t="shared" si="2"/>
        <v>1850</v>
      </c>
      <c r="Q171" s="58">
        <f>_xlfn.MAXIFS(Survey!$G$2:$G$3647,Survey!$M$2:$M$3647,Survey!$M171)-Survey!$G171</f>
        <v>398.46292862300311</v>
      </c>
      <c r="R171" s="59">
        <f>Survey!$P171+(Survey!$Q171*0.433)</f>
        <v>2022.5344480937604</v>
      </c>
    </row>
    <row r="172" spans="1:18" x14ac:dyDescent="0.25">
      <c r="A172" s="71" t="s">
        <v>17</v>
      </c>
      <c r="B172" s="72" t="s">
        <v>18</v>
      </c>
      <c r="C172" s="73" t="s">
        <v>19</v>
      </c>
      <c r="D172" s="74">
        <v>228.39065956599137</v>
      </c>
      <c r="E172" s="81">
        <v>1233689</v>
      </c>
      <c r="F172" s="82">
        <v>1206886.8000000108</v>
      </c>
      <c r="G172" s="75">
        <v>1944.3895375840445</v>
      </c>
      <c r="H172" s="76">
        <v>2</v>
      </c>
      <c r="I172" s="54" t="s">
        <v>20</v>
      </c>
      <c r="J172" s="77">
        <v>40</v>
      </c>
      <c r="K172" s="78">
        <v>2</v>
      </c>
      <c r="L172" s="54">
        <v>1</v>
      </c>
      <c r="M172" s="54">
        <f>_xlfn.XLOOKUP(Survey!$F172,sections[Start],sections[Test Section],,-1,1)</f>
        <v>1</v>
      </c>
      <c r="N172" s="55">
        <f>_xlfn.XLOOKUP(Survey!$K172,pipedata[ID],pipedata[WT])</f>
        <v>0.74</v>
      </c>
      <c r="O172" s="56">
        <f>_xlfn.XLOOKUP(Survey!$K172,pipedata[ID],pipedata[104%])</f>
        <v>2565.3333333333335</v>
      </c>
      <c r="P172" s="57">
        <f t="shared" si="2"/>
        <v>1850</v>
      </c>
      <c r="Q172" s="58">
        <f>_xlfn.MAXIFS(Survey!$G$2:$G$3647,Survey!$M$2:$M$3647,Survey!$M172)-Survey!$G172</f>
        <v>409.76055000372094</v>
      </c>
      <c r="R172" s="59">
        <f>Survey!$P172+(Survey!$Q172*0.433)</f>
        <v>2027.4263181516112</v>
      </c>
    </row>
    <row r="173" spans="1:18" x14ac:dyDescent="0.25">
      <c r="A173" s="60" t="s">
        <v>17</v>
      </c>
      <c r="B173" s="61" t="s">
        <v>18</v>
      </c>
      <c r="C173" s="62" t="s">
        <v>19</v>
      </c>
      <c r="D173" s="63">
        <v>228.39728347720137</v>
      </c>
      <c r="E173" s="79">
        <v>1233729</v>
      </c>
      <c r="F173" s="80">
        <v>1206924.3333333442</v>
      </c>
      <c r="G173" s="66">
        <v>1934.3242186418602</v>
      </c>
      <c r="H173" s="67">
        <v>2</v>
      </c>
      <c r="I173" s="68" t="s">
        <v>20</v>
      </c>
      <c r="J173" s="69">
        <v>40</v>
      </c>
      <c r="K173" s="70">
        <v>2</v>
      </c>
      <c r="L173" s="68">
        <v>1</v>
      </c>
      <c r="M173" s="68">
        <f>_xlfn.XLOOKUP(Survey!$F173,sections[Start],sections[Test Section],,-1,1)</f>
        <v>1</v>
      </c>
      <c r="N173" s="55">
        <f>_xlfn.XLOOKUP(Survey!$K173,pipedata[ID],pipedata[WT])</f>
        <v>0.74</v>
      </c>
      <c r="O173" s="56">
        <f>_xlfn.XLOOKUP(Survey!$K173,pipedata[ID],pipedata[104%])</f>
        <v>2565.3333333333335</v>
      </c>
      <c r="P173" s="57">
        <f t="shared" si="2"/>
        <v>1850</v>
      </c>
      <c r="Q173" s="58">
        <f>_xlfn.MAXIFS(Survey!$G$2:$G$3647,Survey!$M$2:$M$3647,Survey!$M173)-Survey!$G173</f>
        <v>419.82586894590531</v>
      </c>
      <c r="R173" s="59">
        <f>Survey!$P173+(Survey!$Q173*0.433)</f>
        <v>2031.784601253577</v>
      </c>
    </row>
    <row r="174" spans="1:18" x14ac:dyDescent="0.25">
      <c r="A174" s="71" t="s">
        <v>17</v>
      </c>
      <c r="B174" s="72" t="s">
        <v>18</v>
      </c>
      <c r="C174" s="73" t="s">
        <v>19</v>
      </c>
      <c r="D174" s="74">
        <v>228.40434511365748</v>
      </c>
      <c r="E174" s="81">
        <v>1233769</v>
      </c>
      <c r="F174" s="82">
        <v>1206961.8666666776</v>
      </c>
      <c r="G174" s="75">
        <v>1923.4032833122408</v>
      </c>
      <c r="H174" s="76">
        <v>2</v>
      </c>
      <c r="I174" s="54" t="s">
        <v>20</v>
      </c>
      <c r="J174" s="77">
        <v>40</v>
      </c>
      <c r="K174" s="78">
        <v>2</v>
      </c>
      <c r="L174" s="54">
        <v>1</v>
      </c>
      <c r="M174" s="54">
        <f>_xlfn.XLOOKUP(Survey!$F174,sections[Start],sections[Test Section],,-1,1)</f>
        <v>1</v>
      </c>
      <c r="N174" s="55">
        <f>_xlfn.XLOOKUP(Survey!$K174,pipedata[ID],pipedata[WT])</f>
        <v>0.74</v>
      </c>
      <c r="O174" s="56">
        <f>_xlfn.XLOOKUP(Survey!$K174,pipedata[ID],pipedata[104%])</f>
        <v>2565.3333333333335</v>
      </c>
      <c r="P174" s="57">
        <f t="shared" si="2"/>
        <v>1850</v>
      </c>
      <c r="Q174" s="58">
        <f>_xlfn.MAXIFS(Survey!$G$2:$G$3647,Survey!$M$2:$M$3647,Survey!$M174)-Survey!$G174</f>
        <v>430.74680427552471</v>
      </c>
      <c r="R174" s="59">
        <f>Survey!$P174+(Survey!$Q174*0.433)</f>
        <v>2036.5133662513022</v>
      </c>
    </row>
    <row r="175" spans="1:18" x14ac:dyDescent="0.25">
      <c r="A175" s="60" t="s">
        <v>17</v>
      </c>
      <c r="B175" s="61" t="s">
        <v>18</v>
      </c>
      <c r="C175" s="62" t="s">
        <v>19</v>
      </c>
      <c r="D175" s="63">
        <v>228.41140675011346</v>
      </c>
      <c r="E175" s="79">
        <v>1233809</v>
      </c>
      <c r="F175" s="80">
        <v>1206999.4000000111</v>
      </c>
      <c r="G175" s="66">
        <v>1912.0387171407858</v>
      </c>
      <c r="H175" s="67">
        <v>2</v>
      </c>
      <c r="I175" s="68" t="s">
        <v>20</v>
      </c>
      <c r="J175" s="69">
        <v>40</v>
      </c>
      <c r="K175" s="70">
        <v>2</v>
      </c>
      <c r="L175" s="68">
        <v>1</v>
      </c>
      <c r="M175" s="68">
        <f>_xlfn.XLOOKUP(Survey!$F175,sections[Start],sections[Test Section],,-1,1)</f>
        <v>1</v>
      </c>
      <c r="N175" s="55">
        <f>_xlfn.XLOOKUP(Survey!$K175,pipedata[ID],pipedata[WT])</f>
        <v>0.74</v>
      </c>
      <c r="O175" s="56">
        <f>_xlfn.XLOOKUP(Survey!$K175,pipedata[ID],pipedata[104%])</f>
        <v>2565.3333333333335</v>
      </c>
      <c r="P175" s="57">
        <f t="shared" si="2"/>
        <v>1850</v>
      </c>
      <c r="Q175" s="58">
        <f>_xlfn.MAXIFS(Survey!$G$2:$G$3647,Survey!$M$2:$M$3647,Survey!$M175)-Survey!$G175</f>
        <v>442.11137044697966</v>
      </c>
      <c r="R175" s="59">
        <f>Survey!$P175+(Survey!$Q175*0.433)</f>
        <v>2041.4342234035421</v>
      </c>
    </row>
    <row r="176" spans="1:18" x14ac:dyDescent="0.25">
      <c r="A176" s="71" t="s">
        <v>17</v>
      </c>
      <c r="B176" s="72" t="s">
        <v>18</v>
      </c>
      <c r="C176" s="73" t="s">
        <v>19</v>
      </c>
      <c r="D176" s="74">
        <v>228.41846838656912</v>
      </c>
      <c r="E176" s="64">
        <v>1233849</v>
      </c>
      <c r="F176" s="65">
        <v>1207036.9333333445</v>
      </c>
      <c r="G176" s="75">
        <v>1899.1418925072028</v>
      </c>
      <c r="H176" s="76">
        <v>2</v>
      </c>
      <c r="I176" s="54" t="s">
        <v>20</v>
      </c>
      <c r="J176" s="77">
        <v>40</v>
      </c>
      <c r="K176" s="78">
        <v>2</v>
      </c>
      <c r="L176" s="54">
        <v>1</v>
      </c>
      <c r="M176" s="54">
        <f>_xlfn.XLOOKUP(Survey!$F176,sections[Start],sections[Test Section],,-1,1)</f>
        <v>1</v>
      </c>
      <c r="N176" s="55">
        <f>_xlfn.XLOOKUP(Survey!$K176,pipedata[ID],pipedata[WT])</f>
        <v>0.74</v>
      </c>
      <c r="O176" s="56">
        <f>_xlfn.XLOOKUP(Survey!$K176,pipedata[ID],pipedata[104%])</f>
        <v>2565.3333333333335</v>
      </c>
      <c r="P176" s="57">
        <f t="shared" si="2"/>
        <v>1850</v>
      </c>
      <c r="Q176" s="58">
        <f>_xlfn.MAXIFS(Survey!$G$2:$G$3647,Survey!$M$2:$M$3647,Survey!$M176)-Survey!$G176</f>
        <v>455.0081950805627</v>
      </c>
      <c r="R176" s="59">
        <f>Survey!$P176+(Survey!$Q176*0.433)</f>
        <v>2047.0185484698836</v>
      </c>
    </row>
    <row r="177" spans="1:18" x14ac:dyDescent="0.25">
      <c r="A177" s="60" t="s">
        <v>17</v>
      </c>
      <c r="B177" s="61" t="s">
        <v>18</v>
      </c>
      <c r="C177" s="62" t="s">
        <v>19</v>
      </c>
      <c r="D177" s="63">
        <v>228.42628702403181</v>
      </c>
      <c r="E177" s="79">
        <v>1233889</v>
      </c>
      <c r="F177" s="80">
        <v>1207074.466666678</v>
      </c>
      <c r="G177" s="66">
        <v>1880.0927252180136</v>
      </c>
      <c r="H177" s="67">
        <v>2</v>
      </c>
      <c r="I177" s="68" t="s">
        <v>20</v>
      </c>
      <c r="J177" s="69">
        <v>40</v>
      </c>
      <c r="K177" s="70">
        <v>2</v>
      </c>
      <c r="L177" s="68">
        <v>1</v>
      </c>
      <c r="M177" s="68">
        <f>_xlfn.XLOOKUP(Survey!$F177,sections[Start],sections[Test Section],,-1,1)</f>
        <v>1</v>
      </c>
      <c r="N177" s="55">
        <f>_xlfn.XLOOKUP(Survey!$K177,pipedata[ID],pipedata[WT])</f>
        <v>0.74</v>
      </c>
      <c r="O177" s="56">
        <f>_xlfn.XLOOKUP(Survey!$K177,pipedata[ID],pipedata[104%])</f>
        <v>2565.3333333333335</v>
      </c>
      <c r="P177" s="57">
        <f t="shared" si="2"/>
        <v>1850</v>
      </c>
      <c r="Q177" s="58">
        <f>_xlfn.MAXIFS(Survey!$G$2:$G$3647,Survey!$M$2:$M$3647,Survey!$M177)-Survey!$G177</f>
        <v>474.0573623697519</v>
      </c>
      <c r="R177" s="59">
        <f>Survey!$P177+(Survey!$Q177*0.433)</f>
        <v>2055.2668379061024</v>
      </c>
    </row>
    <row r="178" spans="1:18" x14ac:dyDescent="0.25">
      <c r="A178" s="71" t="s">
        <v>17</v>
      </c>
      <c r="B178" s="72" t="s">
        <v>18</v>
      </c>
      <c r="C178" s="73" t="s">
        <v>19</v>
      </c>
      <c r="D178" s="74">
        <v>228.43376522968848</v>
      </c>
      <c r="E178" s="81">
        <v>1233929</v>
      </c>
      <c r="F178" s="82">
        <v>1207112.0000000114</v>
      </c>
      <c r="G178" s="75">
        <v>1871.527537114172</v>
      </c>
      <c r="H178" s="76">
        <v>2</v>
      </c>
      <c r="I178" s="54" t="s">
        <v>20</v>
      </c>
      <c r="J178" s="77">
        <v>40</v>
      </c>
      <c r="K178" s="78">
        <v>2</v>
      </c>
      <c r="L178" s="54">
        <v>1</v>
      </c>
      <c r="M178" s="54">
        <f>_xlfn.XLOOKUP(Survey!$F178,sections[Start],sections[Test Section],,-1,1)</f>
        <v>1</v>
      </c>
      <c r="N178" s="55">
        <f>_xlfn.XLOOKUP(Survey!$K178,pipedata[ID],pipedata[WT])</f>
        <v>0.74</v>
      </c>
      <c r="O178" s="56">
        <f>_xlfn.XLOOKUP(Survey!$K178,pipedata[ID],pipedata[104%])</f>
        <v>2565.3333333333335</v>
      </c>
      <c r="P178" s="57">
        <f t="shared" si="2"/>
        <v>1850</v>
      </c>
      <c r="Q178" s="58">
        <f>_xlfn.MAXIFS(Survey!$G$2:$G$3647,Survey!$M$2:$M$3647,Survey!$M178)-Survey!$G178</f>
        <v>482.62255047359349</v>
      </c>
      <c r="R178" s="59">
        <f>Survey!$P178+(Survey!$Q178*0.433)</f>
        <v>2058.9755643550661</v>
      </c>
    </row>
    <row r="179" spans="1:18" x14ac:dyDescent="0.25">
      <c r="A179" s="60" t="s">
        <v>17</v>
      </c>
      <c r="B179" s="61" t="s">
        <v>18</v>
      </c>
      <c r="C179" s="62" t="s">
        <v>19</v>
      </c>
      <c r="D179" s="63">
        <v>228.43992318164499</v>
      </c>
      <c r="E179" s="79">
        <v>1233969</v>
      </c>
      <c r="F179" s="80">
        <v>1207149.5333333449</v>
      </c>
      <c r="G179" s="66">
        <v>1864.4935849140302</v>
      </c>
      <c r="H179" s="67">
        <v>2</v>
      </c>
      <c r="I179" s="68" t="s">
        <v>20</v>
      </c>
      <c r="J179" s="69">
        <v>40</v>
      </c>
      <c r="K179" s="70">
        <v>2</v>
      </c>
      <c r="L179" s="68">
        <v>1</v>
      </c>
      <c r="M179" s="68">
        <f>_xlfn.XLOOKUP(Survey!$F179,sections[Start],sections[Test Section],,-1,1)</f>
        <v>1</v>
      </c>
      <c r="N179" s="55">
        <f>_xlfn.XLOOKUP(Survey!$K179,pipedata[ID],pipedata[WT])</f>
        <v>0.74</v>
      </c>
      <c r="O179" s="56">
        <f>_xlfn.XLOOKUP(Survey!$K179,pipedata[ID],pipedata[104%])</f>
        <v>2565.3333333333335</v>
      </c>
      <c r="P179" s="57">
        <f t="shared" si="2"/>
        <v>1850</v>
      </c>
      <c r="Q179" s="58">
        <f>_xlfn.MAXIFS(Survey!$G$2:$G$3647,Survey!$M$2:$M$3647,Survey!$M179)-Survey!$G179</f>
        <v>489.6565026737353</v>
      </c>
      <c r="R179" s="59">
        <f>Survey!$P179+(Survey!$Q179*0.433)</f>
        <v>2062.0212656577273</v>
      </c>
    </row>
    <row r="180" spans="1:18" x14ac:dyDescent="0.25">
      <c r="A180" s="71" t="s">
        <v>17</v>
      </c>
      <c r="B180" s="72" t="s">
        <v>18</v>
      </c>
      <c r="C180" s="73" t="s">
        <v>19</v>
      </c>
      <c r="D180" s="74">
        <v>228.44872806515585</v>
      </c>
      <c r="E180" s="64">
        <v>1234009</v>
      </c>
      <c r="F180" s="65">
        <v>1207187.0666666783</v>
      </c>
      <c r="G180" s="75">
        <v>1858.5463382232019</v>
      </c>
      <c r="H180" s="76">
        <v>2</v>
      </c>
      <c r="I180" s="54" t="s">
        <v>20</v>
      </c>
      <c r="J180" s="77">
        <v>40</v>
      </c>
      <c r="K180" s="78">
        <v>2</v>
      </c>
      <c r="L180" s="54">
        <v>1</v>
      </c>
      <c r="M180" s="54">
        <f>_xlfn.XLOOKUP(Survey!$F180,sections[Start],sections[Test Section],,-1,1)</f>
        <v>1</v>
      </c>
      <c r="N180" s="55">
        <f>_xlfn.XLOOKUP(Survey!$K180,pipedata[ID],pipedata[WT])</f>
        <v>0.74</v>
      </c>
      <c r="O180" s="56">
        <f>_xlfn.XLOOKUP(Survey!$K180,pipedata[ID],pipedata[104%])</f>
        <v>2565.3333333333335</v>
      </c>
      <c r="P180" s="57">
        <f t="shared" si="2"/>
        <v>1850</v>
      </c>
      <c r="Q180" s="58">
        <f>_xlfn.MAXIFS(Survey!$G$2:$G$3647,Survey!$M$2:$M$3647,Survey!$M180)-Survey!$G180</f>
        <v>495.60374936456355</v>
      </c>
      <c r="R180" s="59">
        <f>Survey!$P180+(Survey!$Q180*0.433)</f>
        <v>2064.5964234748562</v>
      </c>
    </row>
    <row r="181" spans="1:18" x14ac:dyDescent="0.25">
      <c r="A181" s="60" t="s">
        <v>17</v>
      </c>
      <c r="B181" s="61" t="s">
        <v>18</v>
      </c>
      <c r="C181" s="62" t="s">
        <v>19</v>
      </c>
      <c r="D181" s="63">
        <v>228.45546037749318</v>
      </c>
      <c r="E181" s="79">
        <v>1234049</v>
      </c>
      <c r="F181" s="80">
        <v>1207224.6000000117</v>
      </c>
      <c r="G181" s="66">
        <v>1855.2698860044591</v>
      </c>
      <c r="H181" s="67">
        <v>2</v>
      </c>
      <c r="I181" s="68" t="s">
        <v>20</v>
      </c>
      <c r="J181" s="69">
        <v>40</v>
      </c>
      <c r="K181" s="70">
        <v>2</v>
      </c>
      <c r="L181" s="68">
        <v>1</v>
      </c>
      <c r="M181" s="68">
        <f>_xlfn.XLOOKUP(Survey!$F181,sections[Start],sections[Test Section],,-1,1)</f>
        <v>1</v>
      </c>
      <c r="N181" s="55">
        <f>_xlfn.XLOOKUP(Survey!$K181,pipedata[ID],pipedata[WT])</f>
        <v>0.74</v>
      </c>
      <c r="O181" s="56">
        <f>_xlfn.XLOOKUP(Survey!$K181,pipedata[ID],pipedata[104%])</f>
        <v>2565.3333333333335</v>
      </c>
      <c r="P181" s="57">
        <f t="shared" si="2"/>
        <v>1850</v>
      </c>
      <c r="Q181" s="58">
        <f>_xlfn.MAXIFS(Survey!$G$2:$G$3647,Survey!$M$2:$M$3647,Survey!$M181)-Survey!$G181</f>
        <v>498.88020158330642</v>
      </c>
      <c r="R181" s="59">
        <f>Survey!$P181+(Survey!$Q181*0.433)</f>
        <v>2066.0151272855719</v>
      </c>
    </row>
    <row r="182" spans="1:18" x14ac:dyDescent="0.25">
      <c r="A182" s="71" t="s">
        <v>17</v>
      </c>
      <c r="B182" s="72" t="s">
        <v>18</v>
      </c>
      <c r="C182" s="73" t="s">
        <v>19</v>
      </c>
      <c r="D182" s="74">
        <v>228.46312689106796</v>
      </c>
      <c r="E182" s="81">
        <v>1234089</v>
      </c>
      <c r="F182" s="82">
        <v>1207262.1333333452</v>
      </c>
      <c r="G182" s="75">
        <v>1852.7807800547034</v>
      </c>
      <c r="H182" s="76">
        <v>2</v>
      </c>
      <c r="I182" s="54" t="s">
        <v>20</v>
      </c>
      <c r="J182" s="77">
        <v>40</v>
      </c>
      <c r="K182" s="78">
        <v>2</v>
      </c>
      <c r="L182" s="54">
        <v>1</v>
      </c>
      <c r="M182" s="54">
        <f>_xlfn.XLOOKUP(Survey!$F182,sections[Start],sections[Test Section],,-1,1)</f>
        <v>1</v>
      </c>
      <c r="N182" s="55">
        <f>_xlfn.XLOOKUP(Survey!$K182,pipedata[ID],pipedata[WT])</f>
        <v>0.74</v>
      </c>
      <c r="O182" s="56">
        <f>_xlfn.XLOOKUP(Survey!$K182,pipedata[ID],pipedata[104%])</f>
        <v>2565.3333333333335</v>
      </c>
      <c r="P182" s="57">
        <f t="shared" si="2"/>
        <v>1850</v>
      </c>
      <c r="Q182" s="58">
        <f>_xlfn.MAXIFS(Survey!$G$2:$G$3647,Survey!$M$2:$M$3647,Survey!$M182)-Survey!$G182</f>
        <v>501.36930753306206</v>
      </c>
      <c r="R182" s="59">
        <f>Survey!$P182+(Survey!$Q182*0.433)</f>
        <v>2067.0929101618158</v>
      </c>
    </row>
    <row r="183" spans="1:18" x14ac:dyDescent="0.25">
      <c r="A183" s="60" t="s">
        <v>17</v>
      </c>
      <c r="B183" s="61" t="s">
        <v>18</v>
      </c>
      <c r="C183" s="62" t="s">
        <v>19</v>
      </c>
      <c r="D183" s="63">
        <v>228.47087092893054</v>
      </c>
      <c r="E183" s="79">
        <v>1234129</v>
      </c>
      <c r="F183" s="80">
        <v>1207299.6666666786</v>
      </c>
      <c r="G183" s="66">
        <v>1851.5444251745441</v>
      </c>
      <c r="H183" s="67">
        <v>2</v>
      </c>
      <c r="I183" s="68" t="s">
        <v>20</v>
      </c>
      <c r="J183" s="69">
        <v>40</v>
      </c>
      <c r="K183" s="70">
        <v>2</v>
      </c>
      <c r="L183" s="68">
        <v>1</v>
      </c>
      <c r="M183" s="68">
        <f>_xlfn.XLOOKUP(Survey!$F183,sections[Start],sections[Test Section],,-1,1)</f>
        <v>1</v>
      </c>
      <c r="N183" s="55">
        <f>_xlfn.XLOOKUP(Survey!$K183,pipedata[ID],pipedata[WT])</f>
        <v>0.74</v>
      </c>
      <c r="O183" s="56">
        <f>_xlfn.XLOOKUP(Survey!$K183,pipedata[ID],pipedata[104%])</f>
        <v>2565.3333333333335</v>
      </c>
      <c r="P183" s="57">
        <f t="shared" si="2"/>
        <v>1850</v>
      </c>
      <c r="Q183" s="58">
        <f>_xlfn.MAXIFS(Survey!$G$2:$G$3647,Survey!$M$2:$M$3647,Survey!$M183)-Survey!$G183</f>
        <v>502.60566241322135</v>
      </c>
      <c r="R183" s="59">
        <f>Survey!$P183+(Survey!$Q183*0.433)</f>
        <v>2067.628251824925</v>
      </c>
    </row>
    <row r="184" spans="1:18" x14ac:dyDescent="0.25">
      <c r="A184" s="71" t="s">
        <v>17</v>
      </c>
      <c r="B184" s="72" t="s">
        <v>18</v>
      </c>
      <c r="C184" s="73" t="s">
        <v>19</v>
      </c>
      <c r="D184" s="74">
        <v>228.4786149667934</v>
      </c>
      <c r="E184" s="81">
        <v>1234169</v>
      </c>
      <c r="F184" s="82">
        <v>1207337.2000000121</v>
      </c>
      <c r="G184" s="75">
        <v>1847.8298046259692</v>
      </c>
      <c r="H184" s="76">
        <v>2</v>
      </c>
      <c r="I184" s="54" t="s">
        <v>20</v>
      </c>
      <c r="J184" s="77">
        <v>40</v>
      </c>
      <c r="K184" s="78">
        <v>2</v>
      </c>
      <c r="L184" s="54">
        <v>1</v>
      </c>
      <c r="M184" s="54">
        <f>_xlfn.XLOOKUP(Survey!$F184,sections[Start],sections[Test Section],,-1,1)</f>
        <v>1</v>
      </c>
      <c r="N184" s="55">
        <f>_xlfn.XLOOKUP(Survey!$K184,pipedata[ID],pipedata[WT])</f>
        <v>0.74</v>
      </c>
      <c r="O184" s="56">
        <f>_xlfn.XLOOKUP(Survey!$K184,pipedata[ID],pipedata[104%])</f>
        <v>2565.3333333333335</v>
      </c>
      <c r="P184" s="57">
        <f t="shared" si="2"/>
        <v>1850</v>
      </c>
      <c r="Q184" s="58">
        <f>_xlfn.MAXIFS(Survey!$G$2:$G$3647,Survey!$M$2:$M$3647,Survey!$M184)-Survey!$G184</f>
        <v>506.32028296179624</v>
      </c>
      <c r="R184" s="59">
        <f>Survey!$P184+(Survey!$Q184*0.433)</f>
        <v>2069.2366825224576</v>
      </c>
    </row>
    <row r="185" spans="1:18" x14ac:dyDescent="0.25">
      <c r="A185" s="60" t="s">
        <v>17</v>
      </c>
      <c r="B185" s="61" t="s">
        <v>18</v>
      </c>
      <c r="C185" s="62" t="s">
        <v>19</v>
      </c>
      <c r="D185" s="63">
        <v>228.48641648809942</v>
      </c>
      <c r="E185" s="79">
        <v>1234209</v>
      </c>
      <c r="F185" s="80">
        <v>1207374.7333333455</v>
      </c>
      <c r="G185" s="66">
        <v>1840.3637253714987</v>
      </c>
      <c r="H185" s="67">
        <v>2</v>
      </c>
      <c r="I185" s="68" t="s">
        <v>20</v>
      </c>
      <c r="J185" s="69">
        <v>40</v>
      </c>
      <c r="K185" s="70">
        <v>2</v>
      </c>
      <c r="L185" s="68">
        <v>1</v>
      </c>
      <c r="M185" s="68">
        <f>_xlfn.XLOOKUP(Survey!$F185,sections[Start],sections[Test Section],,-1,1)</f>
        <v>1</v>
      </c>
      <c r="N185" s="55">
        <f>_xlfn.XLOOKUP(Survey!$K185,pipedata[ID],pipedata[WT])</f>
        <v>0.74</v>
      </c>
      <c r="O185" s="56">
        <f>_xlfn.XLOOKUP(Survey!$K185,pipedata[ID],pipedata[104%])</f>
        <v>2565.3333333333335</v>
      </c>
      <c r="P185" s="57">
        <f t="shared" si="2"/>
        <v>1850</v>
      </c>
      <c r="Q185" s="58">
        <f>_xlfn.MAXIFS(Survey!$G$2:$G$3647,Survey!$M$2:$M$3647,Survey!$M185)-Survey!$G185</f>
        <v>513.78636221626675</v>
      </c>
      <c r="R185" s="59">
        <f>Survey!$P185+(Survey!$Q185*0.433)</f>
        <v>2072.4694948396436</v>
      </c>
    </row>
    <row r="186" spans="1:18" x14ac:dyDescent="0.25">
      <c r="A186" s="71" t="s">
        <v>17</v>
      </c>
      <c r="B186" s="72" t="s">
        <v>18</v>
      </c>
      <c r="C186" s="73" t="s">
        <v>19</v>
      </c>
      <c r="D186" s="74">
        <v>228.49280626404382</v>
      </c>
      <c r="E186" s="81">
        <v>1234249</v>
      </c>
      <c r="F186" s="82">
        <v>1207412.2666666789</v>
      </c>
      <c r="G186" s="75">
        <v>1833.7135810282316</v>
      </c>
      <c r="H186" s="76">
        <v>2</v>
      </c>
      <c r="I186" s="54" t="s">
        <v>20</v>
      </c>
      <c r="J186" s="77">
        <v>40</v>
      </c>
      <c r="K186" s="78">
        <v>2</v>
      </c>
      <c r="L186" s="54">
        <v>1</v>
      </c>
      <c r="M186" s="54">
        <f>_xlfn.XLOOKUP(Survey!$F186,sections[Start],sections[Test Section],,-1,1)</f>
        <v>1</v>
      </c>
      <c r="N186" s="55">
        <f>_xlfn.XLOOKUP(Survey!$K186,pipedata[ID],pipedata[WT])</f>
        <v>0.74</v>
      </c>
      <c r="O186" s="56">
        <f>_xlfn.XLOOKUP(Survey!$K186,pipedata[ID],pipedata[104%])</f>
        <v>2565.3333333333335</v>
      </c>
      <c r="P186" s="57">
        <f t="shared" si="2"/>
        <v>1850</v>
      </c>
      <c r="Q186" s="58">
        <f>_xlfn.MAXIFS(Survey!$G$2:$G$3647,Survey!$M$2:$M$3647,Survey!$M186)-Survey!$G186</f>
        <v>520.43650655953388</v>
      </c>
      <c r="R186" s="59">
        <f>Survey!$P186+(Survey!$Q186*0.433)</f>
        <v>2075.3490073402781</v>
      </c>
    </row>
    <row r="187" spans="1:18" x14ac:dyDescent="0.25">
      <c r="A187" s="60" t="s">
        <v>17</v>
      </c>
      <c r="B187" s="61" t="s">
        <v>18</v>
      </c>
      <c r="C187" s="62" t="s">
        <v>19</v>
      </c>
      <c r="D187" s="63">
        <v>228.50079348397412</v>
      </c>
      <c r="E187" s="79">
        <v>1234289</v>
      </c>
      <c r="F187" s="80">
        <v>1207449.8000000124</v>
      </c>
      <c r="G187" s="66">
        <v>1824.9470957144565</v>
      </c>
      <c r="H187" s="67">
        <v>2</v>
      </c>
      <c r="I187" s="68" t="s">
        <v>20</v>
      </c>
      <c r="J187" s="69">
        <v>40</v>
      </c>
      <c r="K187" s="70">
        <v>2</v>
      </c>
      <c r="L187" s="68">
        <v>1</v>
      </c>
      <c r="M187" s="68">
        <f>_xlfn.XLOOKUP(Survey!$F187,sections[Start],sections[Test Section],,-1,1)</f>
        <v>1</v>
      </c>
      <c r="N187" s="55">
        <f>_xlfn.XLOOKUP(Survey!$K187,pipedata[ID],pipedata[WT])</f>
        <v>0.74</v>
      </c>
      <c r="O187" s="56">
        <f>_xlfn.XLOOKUP(Survey!$K187,pipedata[ID],pipedata[104%])</f>
        <v>2565.3333333333335</v>
      </c>
      <c r="P187" s="57">
        <f t="shared" si="2"/>
        <v>1850</v>
      </c>
      <c r="Q187" s="58">
        <f>_xlfn.MAXIFS(Survey!$G$2:$G$3647,Survey!$M$2:$M$3647,Survey!$M187)-Survey!$G187</f>
        <v>529.20299187330897</v>
      </c>
      <c r="R187" s="59">
        <f>Survey!$P187+(Survey!$Q187*0.433)</f>
        <v>2079.1448954811426</v>
      </c>
    </row>
    <row r="188" spans="1:18" x14ac:dyDescent="0.25">
      <c r="A188" s="71" t="s">
        <v>17</v>
      </c>
      <c r="B188" s="72" t="s">
        <v>18</v>
      </c>
      <c r="C188" s="73" t="s">
        <v>19</v>
      </c>
      <c r="D188" s="74">
        <v>228.50765510877864</v>
      </c>
      <c r="E188" s="81">
        <v>1234329</v>
      </c>
      <c r="F188" s="82">
        <v>1207487.3333333458</v>
      </c>
      <c r="G188" s="75">
        <v>1816.5852390610241</v>
      </c>
      <c r="H188" s="76">
        <v>2</v>
      </c>
      <c r="I188" s="54" t="s">
        <v>20</v>
      </c>
      <c r="J188" s="77">
        <v>40</v>
      </c>
      <c r="K188" s="78">
        <v>2</v>
      </c>
      <c r="L188" s="54">
        <v>1</v>
      </c>
      <c r="M188" s="54">
        <f>_xlfn.XLOOKUP(Survey!$F188,sections[Start],sections[Test Section],,-1,1)</f>
        <v>1</v>
      </c>
      <c r="N188" s="55">
        <f>_xlfn.XLOOKUP(Survey!$K188,pipedata[ID],pipedata[WT])</f>
        <v>0.74</v>
      </c>
      <c r="O188" s="56">
        <f>_xlfn.XLOOKUP(Survey!$K188,pipedata[ID],pipedata[104%])</f>
        <v>2565.3333333333335</v>
      </c>
      <c r="P188" s="57">
        <f t="shared" si="2"/>
        <v>1850</v>
      </c>
      <c r="Q188" s="58">
        <f>_xlfn.MAXIFS(Survey!$G$2:$G$3647,Survey!$M$2:$M$3647,Survey!$M188)-Survey!$G188</f>
        <v>537.56484852674134</v>
      </c>
      <c r="R188" s="59">
        <f>Survey!$P188+(Survey!$Q188*0.433)</f>
        <v>2082.7655794120792</v>
      </c>
    </row>
    <row r="189" spans="1:18" x14ac:dyDescent="0.25">
      <c r="A189" s="60" t="s">
        <v>17</v>
      </c>
      <c r="B189" s="61" t="s">
        <v>18</v>
      </c>
      <c r="C189" s="62" t="s">
        <v>19</v>
      </c>
      <c r="D189" s="63">
        <v>228.51539914664141</v>
      </c>
      <c r="E189" s="79">
        <v>1234369</v>
      </c>
      <c r="F189" s="80">
        <v>1207524.8666666793</v>
      </c>
      <c r="G189" s="66">
        <v>1810.0524418210348</v>
      </c>
      <c r="H189" s="67">
        <v>2</v>
      </c>
      <c r="I189" s="68" t="s">
        <v>20</v>
      </c>
      <c r="J189" s="69">
        <v>40</v>
      </c>
      <c r="K189" s="70">
        <v>2</v>
      </c>
      <c r="L189" s="68">
        <v>1</v>
      </c>
      <c r="M189" s="68">
        <f>_xlfn.XLOOKUP(Survey!$F189,sections[Start],sections[Test Section],,-1,1)</f>
        <v>1</v>
      </c>
      <c r="N189" s="55">
        <f>_xlfn.XLOOKUP(Survey!$K189,pipedata[ID],pipedata[WT])</f>
        <v>0.74</v>
      </c>
      <c r="O189" s="56">
        <f>_xlfn.XLOOKUP(Survey!$K189,pipedata[ID],pipedata[104%])</f>
        <v>2565.3333333333335</v>
      </c>
      <c r="P189" s="57">
        <f t="shared" si="2"/>
        <v>1850</v>
      </c>
      <c r="Q189" s="58">
        <f>_xlfn.MAXIFS(Survey!$G$2:$G$3647,Survey!$M$2:$M$3647,Survey!$M189)-Survey!$G189</f>
        <v>544.09764576673069</v>
      </c>
      <c r="R189" s="59">
        <f>Survey!$P189+(Survey!$Q189*0.433)</f>
        <v>2085.5942806169942</v>
      </c>
    </row>
    <row r="190" spans="1:18" x14ac:dyDescent="0.25">
      <c r="A190" s="71" t="s">
        <v>17</v>
      </c>
      <c r="B190" s="72" t="s">
        <v>18</v>
      </c>
      <c r="C190" s="73" t="s">
        <v>19</v>
      </c>
      <c r="D190" s="74">
        <v>228.52322618679375</v>
      </c>
      <c r="E190" s="81">
        <v>1234409</v>
      </c>
      <c r="F190" s="82">
        <v>1207562.4000000127</v>
      </c>
      <c r="G190" s="75">
        <v>1800.9991238512248</v>
      </c>
      <c r="H190" s="76">
        <v>2</v>
      </c>
      <c r="I190" s="54" t="s">
        <v>20</v>
      </c>
      <c r="J190" s="77">
        <v>40</v>
      </c>
      <c r="K190" s="78">
        <v>2</v>
      </c>
      <c r="L190" s="54">
        <v>1</v>
      </c>
      <c r="M190" s="54">
        <f>_xlfn.XLOOKUP(Survey!$F190,sections[Start],sections[Test Section],,-1,1)</f>
        <v>1</v>
      </c>
      <c r="N190" s="55">
        <f>_xlfn.XLOOKUP(Survey!$K190,pipedata[ID],pipedata[WT])</f>
        <v>0.74</v>
      </c>
      <c r="O190" s="56">
        <f>_xlfn.XLOOKUP(Survey!$K190,pipedata[ID],pipedata[104%])</f>
        <v>2565.3333333333335</v>
      </c>
      <c r="P190" s="57">
        <f t="shared" si="2"/>
        <v>1850</v>
      </c>
      <c r="Q190" s="58">
        <f>_xlfn.MAXIFS(Survey!$G$2:$G$3647,Survey!$M$2:$M$3647,Survey!$M190)-Survey!$G190</f>
        <v>553.15096373654069</v>
      </c>
      <c r="R190" s="59">
        <f>Survey!$P190+(Survey!$Q190*0.433)</f>
        <v>2089.514367297922</v>
      </c>
    </row>
    <row r="191" spans="1:18" x14ac:dyDescent="0.25">
      <c r="A191" s="60" t="s">
        <v>17</v>
      </c>
      <c r="B191" s="61" t="s">
        <v>18</v>
      </c>
      <c r="C191" s="62" t="s">
        <v>19</v>
      </c>
      <c r="D191" s="63">
        <v>228.52954747572375</v>
      </c>
      <c r="E191" s="79">
        <v>1234449</v>
      </c>
      <c r="F191" s="80">
        <v>1207599.9333333462</v>
      </c>
      <c r="G191" s="66">
        <v>1789.6690102777779</v>
      </c>
      <c r="H191" s="67">
        <v>2</v>
      </c>
      <c r="I191" s="68" t="s">
        <v>20</v>
      </c>
      <c r="J191" s="69">
        <v>34</v>
      </c>
      <c r="K191" s="70">
        <v>2</v>
      </c>
      <c r="L191" s="68">
        <v>1</v>
      </c>
      <c r="M191" s="68">
        <f>_xlfn.XLOOKUP(Survey!$F191,sections[Start],sections[Test Section],,-1,1)</f>
        <v>1</v>
      </c>
      <c r="N191" s="55">
        <f>_xlfn.XLOOKUP(Survey!$K191,pipedata[ID],pipedata[WT])</f>
        <v>0.74</v>
      </c>
      <c r="O191" s="56">
        <f>_xlfn.XLOOKUP(Survey!$K191,pipedata[ID],pipedata[104%])</f>
        <v>2565.3333333333335</v>
      </c>
      <c r="P191" s="57">
        <f t="shared" si="2"/>
        <v>1850</v>
      </c>
      <c r="Q191" s="58">
        <f>_xlfn.MAXIFS(Survey!$G$2:$G$3647,Survey!$M$2:$M$3647,Survey!$M191)-Survey!$G191</f>
        <v>564.48107730998754</v>
      </c>
      <c r="R191" s="59">
        <f>Survey!$P191+(Survey!$Q191*0.433)</f>
        <v>2094.4203064752246</v>
      </c>
    </row>
    <row r="192" spans="1:18" x14ac:dyDescent="0.25">
      <c r="A192" s="71" t="s">
        <v>17</v>
      </c>
      <c r="B192" s="72" t="s">
        <v>18</v>
      </c>
      <c r="C192" s="73" t="s">
        <v>19</v>
      </c>
      <c r="D192" s="74">
        <v>228.53753469565413</v>
      </c>
      <c r="E192" s="81">
        <v>1234483</v>
      </c>
      <c r="F192" s="82">
        <v>1207675</v>
      </c>
      <c r="G192" s="75">
        <v>1765.7426100042762</v>
      </c>
      <c r="H192" s="76">
        <v>2</v>
      </c>
      <c r="I192" s="54" t="s">
        <v>21</v>
      </c>
      <c r="J192" s="77">
        <v>40</v>
      </c>
      <c r="K192" s="78">
        <v>4</v>
      </c>
      <c r="L192" s="54">
        <v>1</v>
      </c>
      <c r="M192" s="54">
        <f>_xlfn.XLOOKUP(Survey!$F192,sections[Start],sections[Test Section],,-1,1)</f>
        <v>1</v>
      </c>
      <c r="N192" s="55">
        <f>_xlfn.XLOOKUP(Survey!$K192,pipedata[ID],pipedata[WT])</f>
        <v>0.74</v>
      </c>
      <c r="O192" s="56">
        <f>_xlfn.XLOOKUP(Survey!$K192,pipedata[ID],pipedata[104%])</f>
        <v>2565.3333333333335</v>
      </c>
      <c r="P192" s="57">
        <f t="shared" si="2"/>
        <v>1850</v>
      </c>
      <c r="Q192" s="58">
        <f>_xlfn.MAXIFS(Survey!$G$2:$G$3647,Survey!$M$2:$M$3647,Survey!$M192)-Survey!$G192</f>
        <v>588.40747758348925</v>
      </c>
      <c r="R192" s="59">
        <f>Survey!$P192+(Survey!$Q192*0.433)</f>
        <v>2104.7804377936509</v>
      </c>
    </row>
    <row r="193" spans="1:18" x14ac:dyDescent="0.25">
      <c r="A193" s="60" t="s">
        <v>17</v>
      </c>
      <c r="B193" s="61" t="s">
        <v>18</v>
      </c>
      <c r="C193" s="62" t="s">
        <v>19</v>
      </c>
      <c r="D193" s="63">
        <v>228.54443928862668</v>
      </c>
      <c r="E193" s="79">
        <v>1234523</v>
      </c>
      <c r="F193" s="80">
        <v>1207715</v>
      </c>
      <c r="G193" s="66">
        <v>1764.8336105644555</v>
      </c>
      <c r="H193" s="67">
        <v>2</v>
      </c>
      <c r="I193" s="68" t="s">
        <v>20</v>
      </c>
      <c r="J193" s="69">
        <v>46</v>
      </c>
      <c r="K193" s="70">
        <v>2</v>
      </c>
      <c r="L193" s="68">
        <v>1</v>
      </c>
      <c r="M193" s="68">
        <f>_xlfn.XLOOKUP(Survey!$F193,sections[Start],sections[Test Section],,-1,1)</f>
        <v>1</v>
      </c>
      <c r="N193" s="55">
        <f>_xlfn.XLOOKUP(Survey!$K193,pipedata[ID],pipedata[WT])</f>
        <v>0.74</v>
      </c>
      <c r="O193" s="56">
        <f>_xlfn.XLOOKUP(Survey!$K193,pipedata[ID],pipedata[104%])</f>
        <v>2565.3333333333335</v>
      </c>
      <c r="P193" s="57">
        <f t="shared" si="2"/>
        <v>1850</v>
      </c>
      <c r="Q193" s="58">
        <f>_xlfn.MAXIFS(Survey!$G$2:$G$3647,Survey!$M$2:$M$3647,Survey!$M193)-Survey!$G193</f>
        <v>589.31647702330997</v>
      </c>
      <c r="R193" s="59">
        <f>Survey!$P193+(Survey!$Q193*0.433)</f>
        <v>2105.1740345510934</v>
      </c>
    </row>
    <row r="194" spans="1:18" x14ac:dyDescent="0.25">
      <c r="A194" s="71" t="s">
        <v>17</v>
      </c>
      <c r="B194" s="72" t="s">
        <v>18</v>
      </c>
      <c r="C194" s="73" t="s">
        <v>19</v>
      </c>
      <c r="D194" s="74">
        <v>228.55173249980021</v>
      </c>
      <c r="E194" s="81">
        <v>1234569</v>
      </c>
      <c r="F194" s="82">
        <v>1207753.375</v>
      </c>
      <c r="G194" s="75">
        <v>1776.8436573666679</v>
      </c>
      <c r="H194" s="76">
        <v>2</v>
      </c>
      <c r="I194" s="54" t="s">
        <v>20</v>
      </c>
      <c r="J194" s="77">
        <v>40</v>
      </c>
      <c r="K194" s="78">
        <v>2</v>
      </c>
      <c r="L194" s="54">
        <v>1</v>
      </c>
      <c r="M194" s="54">
        <f>_xlfn.XLOOKUP(Survey!$F194,sections[Start],sections[Test Section],,-1,1)</f>
        <v>1</v>
      </c>
      <c r="N194" s="55">
        <f>_xlfn.XLOOKUP(Survey!$K194,pipedata[ID],pipedata[WT])</f>
        <v>0.74</v>
      </c>
      <c r="O194" s="56">
        <f>_xlfn.XLOOKUP(Survey!$K194,pipedata[ID],pipedata[104%])</f>
        <v>2565.3333333333335</v>
      </c>
      <c r="P194" s="57">
        <f t="shared" ref="P194:P257" si="3">IF(L194=1,1850,IF(L194=2,1850,2220))</f>
        <v>1850</v>
      </c>
      <c r="Q194" s="58">
        <f>_xlfn.MAXIFS(Survey!$G$2:$G$3647,Survey!$M$2:$M$3647,Survey!$M194)-Survey!$G194</f>
        <v>577.30643022109757</v>
      </c>
      <c r="R194" s="59">
        <f>Survey!$P194+(Survey!$Q194*0.433)</f>
        <v>2099.9736842857351</v>
      </c>
    </row>
    <row r="195" spans="1:18" x14ac:dyDescent="0.25">
      <c r="A195" s="60" t="s">
        <v>17</v>
      </c>
      <c r="B195" s="61" t="s">
        <v>18</v>
      </c>
      <c r="C195" s="62" t="s">
        <v>19</v>
      </c>
      <c r="D195" s="63">
        <v>228.559288687856</v>
      </c>
      <c r="E195" s="79">
        <v>1234609</v>
      </c>
      <c r="F195" s="80">
        <v>1207791.75</v>
      </c>
      <c r="G195" s="66">
        <v>1784.5592867157334</v>
      </c>
      <c r="H195" s="67">
        <v>2</v>
      </c>
      <c r="I195" s="68" t="s">
        <v>20</v>
      </c>
      <c r="J195" s="69">
        <v>40</v>
      </c>
      <c r="K195" s="70">
        <v>2</v>
      </c>
      <c r="L195" s="68">
        <v>1</v>
      </c>
      <c r="M195" s="68">
        <f>_xlfn.XLOOKUP(Survey!$F195,sections[Start],sections[Test Section],,-1,1)</f>
        <v>1</v>
      </c>
      <c r="N195" s="55">
        <f>_xlfn.XLOOKUP(Survey!$K195,pipedata[ID],pipedata[WT])</f>
        <v>0.74</v>
      </c>
      <c r="O195" s="56">
        <f>_xlfn.XLOOKUP(Survey!$K195,pipedata[ID],pipedata[104%])</f>
        <v>2565.3333333333335</v>
      </c>
      <c r="P195" s="57">
        <f t="shared" si="3"/>
        <v>1850</v>
      </c>
      <c r="Q195" s="58">
        <f>_xlfn.MAXIFS(Survey!$G$2:$G$3647,Survey!$M$2:$M$3647,Survey!$M195)-Survey!$G195</f>
        <v>569.5908008720321</v>
      </c>
      <c r="R195" s="59">
        <f>Survey!$P195+(Survey!$Q195*0.433)</f>
        <v>2096.6328167775901</v>
      </c>
    </row>
    <row r="196" spans="1:18" x14ac:dyDescent="0.25">
      <c r="A196" s="71" t="s">
        <v>17</v>
      </c>
      <c r="B196" s="72" t="s">
        <v>18</v>
      </c>
      <c r="C196" s="73" t="s">
        <v>19</v>
      </c>
      <c r="D196" s="74">
        <v>228.56684001005905</v>
      </c>
      <c r="E196" s="81">
        <v>1234649</v>
      </c>
      <c r="F196" s="82">
        <v>1207830.125</v>
      </c>
      <c r="G196" s="75">
        <v>1789.7329031712561</v>
      </c>
      <c r="H196" s="76">
        <v>2</v>
      </c>
      <c r="I196" s="54" t="s">
        <v>20</v>
      </c>
      <c r="J196" s="77">
        <v>40</v>
      </c>
      <c r="K196" s="78">
        <v>2</v>
      </c>
      <c r="L196" s="54">
        <v>1</v>
      </c>
      <c r="M196" s="54">
        <f>_xlfn.XLOOKUP(Survey!$F196,sections[Start],sections[Test Section],,-1,1)</f>
        <v>1</v>
      </c>
      <c r="N196" s="55">
        <f>_xlfn.XLOOKUP(Survey!$K196,pipedata[ID],pipedata[WT])</f>
        <v>0.74</v>
      </c>
      <c r="O196" s="56">
        <f>_xlfn.XLOOKUP(Survey!$K196,pipedata[ID],pipedata[104%])</f>
        <v>2565.3333333333335</v>
      </c>
      <c r="P196" s="57">
        <f t="shared" si="3"/>
        <v>1850</v>
      </c>
      <c r="Q196" s="58">
        <f>_xlfn.MAXIFS(Survey!$G$2:$G$3647,Survey!$M$2:$M$3647,Survey!$M196)-Survey!$G196</f>
        <v>564.41718441650937</v>
      </c>
      <c r="R196" s="59">
        <f>Survey!$P196+(Survey!$Q196*0.433)</f>
        <v>2094.3926408523484</v>
      </c>
    </row>
    <row r="197" spans="1:18" x14ac:dyDescent="0.25">
      <c r="A197" s="60" t="s">
        <v>17</v>
      </c>
      <c r="B197" s="61" t="s">
        <v>18</v>
      </c>
      <c r="C197" s="62" t="s">
        <v>19</v>
      </c>
      <c r="D197" s="63">
        <v>228.57388018457155</v>
      </c>
      <c r="E197" s="79">
        <v>1234689</v>
      </c>
      <c r="F197" s="80">
        <v>1207868.5</v>
      </c>
      <c r="G197" s="66">
        <v>1795.9923256048992</v>
      </c>
      <c r="H197" s="67">
        <v>2</v>
      </c>
      <c r="I197" s="68" t="s">
        <v>20</v>
      </c>
      <c r="J197" s="69">
        <v>40</v>
      </c>
      <c r="K197" s="70">
        <v>2</v>
      </c>
      <c r="L197" s="68">
        <v>1</v>
      </c>
      <c r="M197" s="68">
        <f>_xlfn.XLOOKUP(Survey!$F197,sections[Start],sections[Test Section],,-1,1)</f>
        <v>1</v>
      </c>
      <c r="N197" s="55">
        <f>_xlfn.XLOOKUP(Survey!$K197,pipedata[ID],pipedata[WT])</f>
        <v>0.74</v>
      </c>
      <c r="O197" s="56">
        <f>_xlfn.XLOOKUP(Survey!$K197,pipedata[ID],pipedata[104%])</f>
        <v>2565.3333333333335</v>
      </c>
      <c r="P197" s="57">
        <f t="shared" si="3"/>
        <v>1850</v>
      </c>
      <c r="Q197" s="58">
        <f>_xlfn.MAXIFS(Survey!$G$2:$G$3647,Survey!$M$2:$M$3647,Survey!$M197)-Survey!$G197</f>
        <v>558.1577619828663</v>
      </c>
      <c r="R197" s="59">
        <f>Survey!$P197+(Survey!$Q197*0.433)</f>
        <v>2091.6823109385809</v>
      </c>
    </row>
    <row r="198" spans="1:18" x14ac:dyDescent="0.25">
      <c r="A198" s="71" t="s">
        <v>17</v>
      </c>
      <c r="B198" s="72" t="s">
        <v>18</v>
      </c>
      <c r="C198" s="73" t="s">
        <v>19</v>
      </c>
      <c r="D198" s="74">
        <v>228.5817882294869</v>
      </c>
      <c r="E198" s="81">
        <v>1234729</v>
      </c>
      <c r="F198" s="82">
        <v>1207906.875</v>
      </c>
      <c r="G198" s="75">
        <v>1799.3698066593111</v>
      </c>
      <c r="H198" s="76">
        <v>2</v>
      </c>
      <c r="I198" s="54" t="s">
        <v>20</v>
      </c>
      <c r="J198" s="77">
        <v>40</v>
      </c>
      <c r="K198" s="78">
        <v>2</v>
      </c>
      <c r="L198" s="54">
        <v>1</v>
      </c>
      <c r="M198" s="54">
        <f>_xlfn.XLOOKUP(Survey!$F198,sections[Start],sections[Test Section],,-1,1)</f>
        <v>1</v>
      </c>
      <c r="N198" s="55">
        <f>_xlfn.XLOOKUP(Survey!$K198,pipedata[ID],pipedata[WT])</f>
        <v>0.74</v>
      </c>
      <c r="O198" s="56">
        <f>_xlfn.XLOOKUP(Survey!$K198,pipedata[ID],pipedata[104%])</f>
        <v>2565.3333333333335</v>
      </c>
      <c r="P198" s="57">
        <f t="shared" si="3"/>
        <v>1850</v>
      </c>
      <c r="Q198" s="58">
        <f>_xlfn.MAXIFS(Survey!$G$2:$G$3647,Survey!$M$2:$M$3647,Survey!$M198)-Survey!$G198</f>
        <v>554.78028092845443</v>
      </c>
      <c r="R198" s="59">
        <f>Survey!$P198+(Survey!$Q198*0.433)</f>
        <v>2090.219861642021</v>
      </c>
    </row>
    <row r="199" spans="1:18" x14ac:dyDescent="0.25">
      <c r="A199" s="60" t="s">
        <v>17</v>
      </c>
      <c r="B199" s="61" t="s">
        <v>18</v>
      </c>
      <c r="C199" s="62" t="s">
        <v>19</v>
      </c>
      <c r="D199" s="63">
        <v>228.58936826029708</v>
      </c>
      <c r="E199" s="79">
        <v>1234769</v>
      </c>
      <c r="F199" s="80">
        <v>1207945.25</v>
      </c>
      <c r="G199" s="66">
        <v>1802.0809977439794</v>
      </c>
      <c r="H199" s="67">
        <v>2</v>
      </c>
      <c r="I199" s="68" t="s">
        <v>20</v>
      </c>
      <c r="J199" s="69">
        <v>40</v>
      </c>
      <c r="K199" s="70">
        <v>2</v>
      </c>
      <c r="L199" s="68">
        <v>1</v>
      </c>
      <c r="M199" s="68">
        <f>_xlfn.XLOOKUP(Survey!$F199,sections[Start],sections[Test Section],,-1,1)</f>
        <v>1</v>
      </c>
      <c r="N199" s="55">
        <f>_xlfn.XLOOKUP(Survey!$K199,pipedata[ID],pipedata[WT])</f>
        <v>0.74</v>
      </c>
      <c r="O199" s="56">
        <f>_xlfn.XLOOKUP(Survey!$K199,pipedata[ID],pipedata[104%])</f>
        <v>2565.3333333333335</v>
      </c>
      <c r="P199" s="57">
        <f t="shared" si="3"/>
        <v>1850</v>
      </c>
      <c r="Q199" s="58">
        <f>_xlfn.MAXIFS(Survey!$G$2:$G$3647,Survey!$M$2:$M$3647,Survey!$M199)-Survey!$G199</f>
        <v>552.06908984378606</v>
      </c>
      <c r="R199" s="59">
        <f>Survey!$P199+(Survey!$Q199*0.433)</f>
        <v>2089.0459159023594</v>
      </c>
    </row>
    <row r="200" spans="1:18" x14ac:dyDescent="0.25">
      <c r="A200" s="71" t="s">
        <v>17</v>
      </c>
      <c r="B200" s="72" t="s">
        <v>18</v>
      </c>
      <c r="C200" s="73" t="s">
        <v>19</v>
      </c>
      <c r="D200" s="74">
        <v>228.5971122981598</v>
      </c>
      <c r="E200" s="81">
        <v>1234809</v>
      </c>
      <c r="F200" s="82">
        <v>1207983.625</v>
      </c>
      <c r="G200" s="75">
        <v>1802.3402505558061</v>
      </c>
      <c r="H200" s="76">
        <v>2</v>
      </c>
      <c r="I200" s="54" t="s">
        <v>20</v>
      </c>
      <c r="J200" s="77">
        <v>40</v>
      </c>
      <c r="K200" s="78">
        <v>2</v>
      </c>
      <c r="L200" s="54">
        <v>1</v>
      </c>
      <c r="M200" s="54">
        <f>_xlfn.XLOOKUP(Survey!$F200,sections[Start],sections[Test Section],,-1,1)</f>
        <v>1</v>
      </c>
      <c r="N200" s="55">
        <f>_xlfn.XLOOKUP(Survey!$K200,pipedata[ID],pipedata[WT])</f>
        <v>0.74</v>
      </c>
      <c r="O200" s="56">
        <f>_xlfn.XLOOKUP(Survey!$K200,pipedata[ID],pipedata[104%])</f>
        <v>2565.3333333333335</v>
      </c>
      <c r="P200" s="57">
        <f t="shared" si="3"/>
        <v>1850</v>
      </c>
      <c r="Q200" s="58">
        <f>_xlfn.MAXIFS(Survey!$G$2:$G$3647,Survey!$M$2:$M$3647,Survey!$M200)-Survey!$G200</f>
        <v>551.80983703195943</v>
      </c>
      <c r="R200" s="59">
        <f>Survey!$P200+(Survey!$Q200*0.433)</f>
        <v>2088.9336594348383</v>
      </c>
    </row>
    <row r="201" spans="1:18" x14ac:dyDescent="0.25">
      <c r="A201" s="60" t="s">
        <v>17</v>
      </c>
      <c r="B201" s="61" t="s">
        <v>18</v>
      </c>
      <c r="C201" s="62" t="s">
        <v>19</v>
      </c>
      <c r="D201" s="63">
        <v>228.60401711946645</v>
      </c>
      <c r="E201" s="79">
        <v>1234849</v>
      </c>
      <c r="F201" s="80">
        <v>1208022</v>
      </c>
      <c r="G201" s="66">
        <v>1802.2877000847459</v>
      </c>
      <c r="H201" s="67">
        <v>2</v>
      </c>
      <c r="I201" s="68" t="s">
        <v>20</v>
      </c>
      <c r="J201" s="69">
        <v>40</v>
      </c>
      <c r="K201" s="70">
        <v>2</v>
      </c>
      <c r="L201" s="68">
        <v>1</v>
      </c>
      <c r="M201" s="68">
        <f>_xlfn.XLOOKUP(Survey!$F201,sections[Start],sections[Test Section],,-1,1)</f>
        <v>1</v>
      </c>
      <c r="N201" s="55">
        <f>_xlfn.XLOOKUP(Survey!$K201,pipedata[ID],pipedata[WT])</f>
        <v>0.74</v>
      </c>
      <c r="O201" s="56">
        <f>_xlfn.XLOOKUP(Survey!$K201,pipedata[ID],pipedata[104%])</f>
        <v>2565.3333333333335</v>
      </c>
      <c r="P201" s="57">
        <f t="shared" si="3"/>
        <v>1850</v>
      </c>
      <c r="Q201" s="58">
        <f>_xlfn.MAXIFS(Survey!$G$2:$G$3647,Survey!$M$2:$M$3647,Survey!$M201)-Survey!$G201</f>
        <v>551.86238750301959</v>
      </c>
      <c r="R201" s="59">
        <f>Survey!$P201+(Survey!$Q201*0.433)</f>
        <v>2088.9564137888074</v>
      </c>
    </row>
    <row r="202" spans="1:18" x14ac:dyDescent="0.25">
      <c r="A202" s="71" t="s">
        <v>17</v>
      </c>
      <c r="B202" s="72" t="s">
        <v>18</v>
      </c>
      <c r="C202" s="73" t="s">
        <v>19</v>
      </c>
      <c r="D202" s="74">
        <v>228.61106032196147</v>
      </c>
      <c r="E202" s="81">
        <v>1234889</v>
      </c>
      <c r="F202" s="82">
        <v>1208060.375</v>
      </c>
      <c r="G202" s="75">
        <v>1801.9949939957419</v>
      </c>
      <c r="H202" s="76">
        <v>2</v>
      </c>
      <c r="I202" s="54" t="s">
        <v>20</v>
      </c>
      <c r="J202" s="77">
        <v>40</v>
      </c>
      <c r="K202" s="78">
        <v>2</v>
      </c>
      <c r="L202" s="54">
        <v>1</v>
      </c>
      <c r="M202" s="54">
        <f>_xlfn.XLOOKUP(Survey!$F202,sections[Start],sections[Test Section],,-1,1)</f>
        <v>1</v>
      </c>
      <c r="N202" s="55">
        <f>_xlfn.XLOOKUP(Survey!$K202,pipedata[ID],pipedata[WT])</f>
        <v>0.74</v>
      </c>
      <c r="O202" s="56">
        <f>_xlfn.XLOOKUP(Survey!$K202,pipedata[ID],pipedata[104%])</f>
        <v>2565.3333333333335</v>
      </c>
      <c r="P202" s="57">
        <f t="shared" si="3"/>
        <v>1850</v>
      </c>
      <c r="Q202" s="58">
        <f>_xlfn.MAXIFS(Survey!$G$2:$G$3647,Survey!$M$2:$M$3647,Survey!$M202)-Survey!$G202</f>
        <v>552.1550935920236</v>
      </c>
      <c r="R202" s="59">
        <f>Survey!$P202+(Survey!$Q202*0.433)</f>
        <v>2089.0831555253462</v>
      </c>
    </row>
    <row r="203" spans="1:18" x14ac:dyDescent="0.25">
      <c r="A203" s="60" t="s">
        <v>17</v>
      </c>
      <c r="B203" s="61" t="s">
        <v>18</v>
      </c>
      <c r="C203" s="62" t="s">
        <v>19</v>
      </c>
      <c r="D203" s="63">
        <v>228.61840840228245</v>
      </c>
      <c r="E203" s="79">
        <v>1234929</v>
      </c>
      <c r="F203" s="80">
        <v>1208098.75</v>
      </c>
      <c r="G203" s="66">
        <v>1801.394536297159</v>
      </c>
      <c r="H203" s="67">
        <v>2</v>
      </c>
      <c r="I203" s="68" t="s">
        <v>20</v>
      </c>
      <c r="J203" s="69">
        <v>40</v>
      </c>
      <c r="K203" s="70">
        <v>2</v>
      </c>
      <c r="L203" s="68">
        <v>1</v>
      </c>
      <c r="M203" s="68">
        <f>_xlfn.XLOOKUP(Survey!$F203,sections[Start],sections[Test Section],,-1,1)</f>
        <v>1</v>
      </c>
      <c r="N203" s="55">
        <f>_xlfn.XLOOKUP(Survey!$K203,pipedata[ID],pipedata[WT])</f>
        <v>0.74</v>
      </c>
      <c r="O203" s="56">
        <f>_xlfn.XLOOKUP(Survey!$K203,pipedata[ID],pipedata[104%])</f>
        <v>2565.3333333333335</v>
      </c>
      <c r="P203" s="57">
        <f t="shared" si="3"/>
        <v>1850</v>
      </c>
      <c r="Q203" s="58">
        <f>_xlfn.MAXIFS(Survey!$G$2:$G$3647,Survey!$M$2:$M$3647,Survey!$M203)-Survey!$G203</f>
        <v>552.75555129060649</v>
      </c>
      <c r="R203" s="59">
        <f>Survey!$P203+(Survey!$Q203*0.433)</f>
        <v>2089.3431537088327</v>
      </c>
    </row>
    <row r="204" spans="1:18" x14ac:dyDescent="0.25">
      <c r="A204" s="71" t="s">
        <v>17</v>
      </c>
      <c r="B204" s="72" t="s">
        <v>18</v>
      </c>
      <c r="C204" s="73" t="s">
        <v>19</v>
      </c>
      <c r="D204" s="74">
        <v>228.6263813352715</v>
      </c>
      <c r="E204" s="81">
        <v>1234969</v>
      </c>
      <c r="F204" s="82">
        <v>1208137.125</v>
      </c>
      <c r="G204" s="75">
        <v>1800.3720800549986</v>
      </c>
      <c r="H204" s="76">
        <v>2</v>
      </c>
      <c r="I204" s="54" t="s">
        <v>20</v>
      </c>
      <c r="J204" s="77">
        <v>40</v>
      </c>
      <c r="K204" s="78">
        <v>2</v>
      </c>
      <c r="L204" s="54">
        <v>1</v>
      </c>
      <c r="M204" s="54">
        <f>_xlfn.XLOOKUP(Survey!$F204,sections[Start],sections[Test Section],,-1,1)</f>
        <v>1</v>
      </c>
      <c r="N204" s="55">
        <f>_xlfn.XLOOKUP(Survey!$K204,pipedata[ID],pipedata[WT])</f>
        <v>0.74</v>
      </c>
      <c r="O204" s="56">
        <f>_xlfn.XLOOKUP(Survey!$K204,pipedata[ID],pipedata[104%])</f>
        <v>2565.3333333333335</v>
      </c>
      <c r="P204" s="57">
        <f t="shared" si="3"/>
        <v>1850</v>
      </c>
      <c r="Q204" s="58">
        <f>_xlfn.MAXIFS(Survey!$G$2:$G$3647,Survey!$M$2:$M$3647,Survey!$M204)-Survey!$G204</f>
        <v>553.77800753276688</v>
      </c>
      <c r="R204" s="59">
        <f>Survey!$P204+(Survey!$Q204*0.433)</f>
        <v>2089.7858772616883</v>
      </c>
    </row>
    <row r="205" spans="1:18" x14ac:dyDescent="0.25">
      <c r="A205" s="60" t="s">
        <v>17</v>
      </c>
      <c r="B205" s="61" t="s">
        <v>18</v>
      </c>
      <c r="C205" s="62" t="s">
        <v>19</v>
      </c>
      <c r="D205" s="63">
        <v>228.63436855520158</v>
      </c>
      <c r="E205" s="79">
        <v>1235009</v>
      </c>
      <c r="F205" s="80">
        <v>1208175.5</v>
      </c>
      <c r="G205" s="66">
        <v>1798.4382969098056</v>
      </c>
      <c r="H205" s="67">
        <v>2</v>
      </c>
      <c r="I205" s="68" t="s">
        <v>20</v>
      </c>
      <c r="J205" s="69">
        <v>40</v>
      </c>
      <c r="K205" s="70">
        <v>2</v>
      </c>
      <c r="L205" s="68">
        <v>1</v>
      </c>
      <c r="M205" s="68">
        <f>_xlfn.XLOOKUP(Survey!$F205,sections[Start],sections[Test Section],,-1,1)</f>
        <v>1</v>
      </c>
      <c r="N205" s="55">
        <f>_xlfn.XLOOKUP(Survey!$K205,pipedata[ID],pipedata[WT])</f>
        <v>0.74</v>
      </c>
      <c r="O205" s="56">
        <f>_xlfn.XLOOKUP(Survey!$K205,pipedata[ID],pipedata[104%])</f>
        <v>2565.3333333333335</v>
      </c>
      <c r="P205" s="57">
        <f t="shared" si="3"/>
        <v>1850</v>
      </c>
      <c r="Q205" s="58">
        <f>_xlfn.MAXIFS(Survey!$G$2:$G$3647,Survey!$M$2:$M$3647,Survey!$M205)-Survey!$G205</f>
        <v>555.71179067795993</v>
      </c>
      <c r="R205" s="59">
        <f>Survey!$P205+(Survey!$Q205*0.433)</f>
        <v>2090.6232053635567</v>
      </c>
    </row>
    <row r="206" spans="1:18" x14ac:dyDescent="0.25">
      <c r="A206" s="71" t="s">
        <v>17</v>
      </c>
      <c r="B206" s="72" t="s">
        <v>18</v>
      </c>
      <c r="C206" s="73" t="s">
        <v>19</v>
      </c>
      <c r="D206" s="74">
        <v>228.64163908342326</v>
      </c>
      <c r="E206" s="81">
        <v>1235049</v>
      </c>
      <c r="F206" s="82">
        <v>1208213.875</v>
      </c>
      <c r="G206" s="75">
        <v>1796.1644172688109</v>
      </c>
      <c r="H206" s="76">
        <v>2</v>
      </c>
      <c r="I206" s="54" t="s">
        <v>20</v>
      </c>
      <c r="J206" s="77">
        <v>40</v>
      </c>
      <c r="K206" s="78">
        <v>2</v>
      </c>
      <c r="L206" s="54">
        <v>1</v>
      </c>
      <c r="M206" s="54">
        <f>_xlfn.XLOOKUP(Survey!$F206,sections[Start],sections[Test Section],,-1,1)</f>
        <v>1</v>
      </c>
      <c r="N206" s="55">
        <f>_xlfn.XLOOKUP(Survey!$K206,pipedata[ID],pipedata[WT])</f>
        <v>0.74</v>
      </c>
      <c r="O206" s="56">
        <f>_xlfn.XLOOKUP(Survey!$K206,pipedata[ID],pipedata[104%])</f>
        <v>2565.3333333333335</v>
      </c>
      <c r="P206" s="57">
        <f t="shared" si="3"/>
        <v>1850</v>
      </c>
      <c r="Q206" s="58">
        <f>_xlfn.MAXIFS(Survey!$G$2:$G$3647,Survey!$M$2:$M$3647,Survey!$M206)-Survey!$G206</f>
        <v>557.98567031895459</v>
      </c>
      <c r="R206" s="59">
        <f>Survey!$P206+(Survey!$Q206*0.433)</f>
        <v>2091.6077952481073</v>
      </c>
    </row>
    <row r="207" spans="1:18" x14ac:dyDescent="0.25">
      <c r="A207" s="60" t="s">
        <v>17</v>
      </c>
      <c r="B207" s="61" t="s">
        <v>18</v>
      </c>
      <c r="C207" s="62" t="s">
        <v>19</v>
      </c>
      <c r="D207" s="63">
        <v>228.64937418616165</v>
      </c>
      <c r="E207" s="79">
        <v>1235089</v>
      </c>
      <c r="F207" s="80">
        <v>1208252.25</v>
      </c>
      <c r="G207" s="66">
        <v>1791.7625757476073</v>
      </c>
      <c r="H207" s="67">
        <v>2</v>
      </c>
      <c r="I207" s="68" t="s">
        <v>20</v>
      </c>
      <c r="J207" s="69">
        <v>40</v>
      </c>
      <c r="K207" s="70">
        <v>2</v>
      </c>
      <c r="L207" s="68">
        <v>1</v>
      </c>
      <c r="M207" s="68">
        <f>_xlfn.XLOOKUP(Survey!$F207,sections[Start],sections[Test Section],,-1,1)</f>
        <v>1</v>
      </c>
      <c r="N207" s="55">
        <f>_xlfn.XLOOKUP(Survey!$K207,pipedata[ID],pipedata[WT])</f>
        <v>0.74</v>
      </c>
      <c r="O207" s="56">
        <f>_xlfn.XLOOKUP(Survey!$K207,pipedata[ID],pipedata[104%])</f>
        <v>2565.3333333333335</v>
      </c>
      <c r="P207" s="57">
        <f t="shared" si="3"/>
        <v>1850</v>
      </c>
      <c r="Q207" s="58">
        <f>_xlfn.MAXIFS(Survey!$G$2:$G$3647,Survey!$M$2:$M$3647,Survey!$M207)-Survey!$G207</f>
        <v>562.38751184015814</v>
      </c>
      <c r="R207" s="59">
        <f>Survey!$P207+(Survey!$Q207*0.433)</f>
        <v>2093.5137926267885</v>
      </c>
    </row>
    <row r="208" spans="1:18" x14ac:dyDescent="0.25">
      <c r="A208" s="71" t="s">
        <v>17</v>
      </c>
      <c r="B208" s="72" t="s">
        <v>18</v>
      </c>
      <c r="C208" s="73" t="s">
        <v>19</v>
      </c>
      <c r="D208" s="74">
        <v>228.65710928890027</v>
      </c>
      <c r="E208" s="81">
        <v>1235129</v>
      </c>
      <c r="F208" s="82">
        <v>1208290.625</v>
      </c>
      <c r="G208" s="75">
        <v>1785.9127906429953</v>
      </c>
      <c r="H208" s="76">
        <v>2</v>
      </c>
      <c r="I208" s="54" t="s">
        <v>20</v>
      </c>
      <c r="J208" s="77">
        <v>40</v>
      </c>
      <c r="K208" s="78">
        <v>2</v>
      </c>
      <c r="L208" s="54">
        <v>1</v>
      </c>
      <c r="M208" s="54">
        <f>_xlfn.XLOOKUP(Survey!$F208,sections[Start],sections[Test Section],,-1,1)</f>
        <v>1</v>
      </c>
      <c r="N208" s="55">
        <f>_xlfn.XLOOKUP(Survey!$K208,pipedata[ID],pipedata[WT])</f>
        <v>0.74</v>
      </c>
      <c r="O208" s="56">
        <f>_xlfn.XLOOKUP(Survey!$K208,pipedata[ID],pipedata[104%])</f>
        <v>2565.3333333333335</v>
      </c>
      <c r="P208" s="57">
        <f t="shared" si="3"/>
        <v>1850</v>
      </c>
      <c r="Q208" s="58">
        <f>_xlfn.MAXIFS(Survey!$G$2:$G$3647,Survey!$M$2:$M$3647,Survey!$M208)-Survey!$G208</f>
        <v>568.23729694477015</v>
      </c>
      <c r="R208" s="59">
        <f>Survey!$P208+(Survey!$Q208*0.433)</f>
        <v>2096.0467495770854</v>
      </c>
    </row>
    <row r="209" spans="1:18" x14ac:dyDescent="0.25">
      <c r="A209" s="60" t="s">
        <v>17</v>
      </c>
      <c r="B209" s="61" t="s">
        <v>18</v>
      </c>
      <c r="C209" s="62" t="s">
        <v>19</v>
      </c>
      <c r="D209" s="63">
        <v>228.66306217299254</v>
      </c>
      <c r="E209" s="79">
        <v>1235169</v>
      </c>
      <c r="F209" s="80">
        <v>1208329</v>
      </c>
      <c r="G209" s="66">
        <v>1776.6843085396811</v>
      </c>
      <c r="H209" s="67">
        <v>2</v>
      </c>
      <c r="I209" s="68" t="s">
        <v>20</v>
      </c>
      <c r="J209" s="69">
        <v>40</v>
      </c>
      <c r="K209" s="70">
        <v>2</v>
      </c>
      <c r="L209" s="68">
        <v>1</v>
      </c>
      <c r="M209" s="68">
        <f>_xlfn.XLOOKUP(Survey!$F209,sections[Start],sections[Test Section],,-1,1)</f>
        <v>1</v>
      </c>
      <c r="N209" s="55">
        <f>_xlfn.XLOOKUP(Survey!$K209,pipedata[ID],pipedata[WT])</f>
        <v>0.74</v>
      </c>
      <c r="O209" s="56">
        <f>_xlfn.XLOOKUP(Survey!$K209,pipedata[ID],pipedata[104%])</f>
        <v>2565.3333333333335</v>
      </c>
      <c r="P209" s="57">
        <f t="shared" si="3"/>
        <v>1850</v>
      </c>
      <c r="Q209" s="58">
        <f>_xlfn.MAXIFS(Survey!$G$2:$G$3647,Survey!$M$2:$M$3647,Survey!$M209)-Survey!$G209</f>
        <v>577.46577904808441</v>
      </c>
      <c r="R209" s="59">
        <f>Survey!$P209+(Survey!$Q209*0.433)</f>
        <v>2100.0426823278203</v>
      </c>
    </row>
    <row r="210" spans="1:18" x14ac:dyDescent="0.25">
      <c r="A210" s="71" t="s">
        <v>17</v>
      </c>
      <c r="B210" s="72" t="s">
        <v>18</v>
      </c>
      <c r="C210" s="73" t="s">
        <v>19</v>
      </c>
      <c r="D210" s="74">
        <v>228.6706457186923</v>
      </c>
      <c r="E210" s="81">
        <v>1235209</v>
      </c>
      <c r="F210" s="82">
        <v>1208367.375</v>
      </c>
      <c r="G210" s="75">
        <v>1766.8221945288781</v>
      </c>
      <c r="H210" s="76">
        <v>2</v>
      </c>
      <c r="I210" s="54" t="s">
        <v>20</v>
      </c>
      <c r="J210" s="77">
        <v>40</v>
      </c>
      <c r="K210" s="78">
        <v>2</v>
      </c>
      <c r="L210" s="54">
        <v>1</v>
      </c>
      <c r="M210" s="54">
        <f>_xlfn.XLOOKUP(Survey!$F210,sections[Start],sections[Test Section],,-1,1)</f>
        <v>1</v>
      </c>
      <c r="N210" s="55">
        <f>_xlfn.XLOOKUP(Survey!$K210,pipedata[ID],pipedata[WT])</f>
        <v>0.74</v>
      </c>
      <c r="O210" s="56">
        <f>_xlfn.XLOOKUP(Survey!$K210,pipedata[ID],pipedata[104%])</f>
        <v>2565.3333333333335</v>
      </c>
      <c r="P210" s="57">
        <f t="shared" si="3"/>
        <v>1850</v>
      </c>
      <c r="Q210" s="58">
        <f>_xlfn.MAXIFS(Survey!$G$2:$G$3647,Survey!$M$2:$M$3647,Survey!$M210)-Survey!$G210</f>
        <v>587.32789305888741</v>
      </c>
      <c r="R210" s="59">
        <f>Survey!$P210+(Survey!$Q210*0.433)</f>
        <v>2104.3129776944984</v>
      </c>
    </row>
    <row r="211" spans="1:18" x14ac:dyDescent="0.25">
      <c r="A211" s="60" t="s">
        <v>17</v>
      </c>
      <c r="B211" s="61" t="s">
        <v>18</v>
      </c>
      <c r="C211" s="62" t="s">
        <v>19</v>
      </c>
      <c r="D211" s="63">
        <v>228.67838082143069</v>
      </c>
      <c r="E211" s="79">
        <v>1235249</v>
      </c>
      <c r="F211" s="80">
        <v>1208405.75</v>
      </c>
      <c r="G211" s="66">
        <v>1753.0896810981385</v>
      </c>
      <c r="H211" s="67">
        <v>2</v>
      </c>
      <c r="I211" s="68" t="s">
        <v>20</v>
      </c>
      <c r="J211" s="69">
        <v>40</v>
      </c>
      <c r="K211" s="70">
        <v>2</v>
      </c>
      <c r="L211" s="68">
        <v>1</v>
      </c>
      <c r="M211" s="68">
        <f>_xlfn.XLOOKUP(Survey!$F211,sections[Start],sections[Test Section],,-1,1)</f>
        <v>1</v>
      </c>
      <c r="N211" s="55">
        <f>_xlfn.XLOOKUP(Survey!$K211,pipedata[ID],pipedata[WT])</f>
        <v>0.74</v>
      </c>
      <c r="O211" s="56">
        <f>_xlfn.XLOOKUP(Survey!$K211,pipedata[ID],pipedata[104%])</f>
        <v>2565.3333333333335</v>
      </c>
      <c r="P211" s="57">
        <f t="shared" si="3"/>
        <v>1850</v>
      </c>
      <c r="Q211" s="58">
        <f>_xlfn.MAXIFS(Survey!$G$2:$G$3647,Survey!$M$2:$M$3647,Survey!$M211)-Survey!$G211</f>
        <v>601.06040648962698</v>
      </c>
      <c r="R211" s="59">
        <f>Survey!$P211+(Survey!$Q211*0.433)</f>
        <v>2110.2591560100086</v>
      </c>
    </row>
    <row r="212" spans="1:18" x14ac:dyDescent="0.25">
      <c r="A212" s="71" t="s">
        <v>17</v>
      </c>
      <c r="B212" s="72" t="s">
        <v>18</v>
      </c>
      <c r="C212" s="73" t="s">
        <v>19</v>
      </c>
      <c r="D212" s="74">
        <v>228.68479555008454</v>
      </c>
      <c r="E212" s="81">
        <v>1235289</v>
      </c>
      <c r="F212" s="82">
        <v>1208444.125</v>
      </c>
      <c r="G212" s="75">
        <v>1735.1171619922109</v>
      </c>
      <c r="H212" s="76">
        <v>2</v>
      </c>
      <c r="I212" s="54" t="s">
        <v>20</v>
      </c>
      <c r="J212" s="77">
        <v>40</v>
      </c>
      <c r="K212" s="78">
        <v>2</v>
      </c>
      <c r="L212" s="54">
        <v>1</v>
      </c>
      <c r="M212" s="54">
        <f>_xlfn.XLOOKUP(Survey!$F212,sections[Start],sections[Test Section],,-1,1)</f>
        <v>1</v>
      </c>
      <c r="N212" s="55">
        <f>_xlfn.XLOOKUP(Survey!$K212,pipedata[ID],pipedata[WT])</f>
        <v>0.74</v>
      </c>
      <c r="O212" s="56">
        <f>_xlfn.XLOOKUP(Survey!$K212,pipedata[ID],pipedata[104%])</f>
        <v>2565.3333333333335</v>
      </c>
      <c r="P212" s="57">
        <f t="shared" si="3"/>
        <v>1850</v>
      </c>
      <c r="Q212" s="58">
        <f>_xlfn.MAXIFS(Survey!$G$2:$G$3647,Survey!$M$2:$M$3647,Survey!$M212)-Survey!$G212</f>
        <v>619.03292559555462</v>
      </c>
      <c r="R212" s="59">
        <f>Survey!$P212+(Survey!$Q212*0.433)</f>
        <v>2118.0412567828753</v>
      </c>
    </row>
    <row r="213" spans="1:18" x14ac:dyDescent="0.25">
      <c r="A213" s="60" t="s">
        <v>17</v>
      </c>
      <c r="B213" s="61" t="s">
        <v>18</v>
      </c>
      <c r="C213" s="62" t="s">
        <v>19</v>
      </c>
      <c r="D213" s="63">
        <v>228.69210364937538</v>
      </c>
      <c r="E213" s="79">
        <v>1235329</v>
      </c>
      <c r="F213" s="80">
        <v>1208482.5</v>
      </c>
      <c r="G213" s="66">
        <v>1720.6609275234864</v>
      </c>
      <c r="H213" s="67">
        <v>2</v>
      </c>
      <c r="I213" s="68" t="s">
        <v>20</v>
      </c>
      <c r="J213" s="69">
        <v>40</v>
      </c>
      <c r="K213" s="70">
        <v>2</v>
      </c>
      <c r="L213" s="68">
        <v>1</v>
      </c>
      <c r="M213" s="68">
        <f>_xlfn.XLOOKUP(Survey!$F213,sections[Start],sections[Test Section],,-1,1)</f>
        <v>1</v>
      </c>
      <c r="N213" s="55">
        <f>_xlfn.XLOOKUP(Survey!$K213,pipedata[ID],pipedata[WT])</f>
        <v>0.74</v>
      </c>
      <c r="O213" s="56">
        <f>_xlfn.XLOOKUP(Survey!$K213,pipedata[ID],pipedata[104%])</f>
        <v>2565.3333333333335</v>
      </c>
      <c r="P213" s="57">
        <f t="shared" si="3"/>
        <v>1850</v>
      </c>
      <c r="Q213" s="58">
        <f>_xlfn.MAXIFS(Survey!$G$2:$G$3647,Survey!$M$2:$M$3647,Survey!$M213)-Survey!$G213</f>
        <v>633.48916006427908</v>
      </c>
      <c r="R213" s="59">
        <f>Survey!$P213+(Survey!$Q213*0.433)</f>
        <v>2124.3008063078328</v>
      </c>
    </row>
    <row r="214" spans="1:18" x14ac:dyDescent="0.25">
      <c r="A214" s="71" t="s">
        <v>17</v>
      </c>
      <c r="B214" s="72" t="s">
        <v>18</v>
      </c>
      <c r="C214" s="73" t="s">
        <v>19</v>
      </c>
      <c r="D214" s="74">
        <v>228.69965235396134</v>
      </c>
      <c r="E214" s="81">
        <v>1235369</v>
      </c>
      <c r="F214" s="82">
        <v>1208520.875</v>
      </c>
      <c r="G214" s="75">
        <v>1705.4444774414972</v>
      </c>
      <c r="H214" s="76">
        <v>2</v>
      </c>
      <c r="I214" s="54" t="s">
        <v>20</v>
      </c>
      <c r="J214" s="77">
        <v>40</v>
      </c>
      <c r="K214" s="78">
        <v>2</v>
      </c>
      <c r="L214" s="54">
        <v>1</v>
      </c>
      <c r="M214" s="54">
        <f>_xlfn.XLOOKUP(Survey!$F214,sections[Start],sections[Test Section],,-1,1)</f>
        <v>1</v>
      </c>
      <c r="N214" s="55">
        <f>_xlfn.XLOOKUP(Survey!$K214,pipedata[ID],pipedata[WT])</f>
        <v>0.74</v>
      </c>
      <c r="O214" s="56">
        <f>_xlfn.XLOOKUP(Survey!$K214,pipedata[ID],pipedata[104%])</f>
        <v>2565.3333333333335</v>
      </c>
      <c r="P214" s="57">
        <f t="shared" si="3"/>
        <v>1850</v>
      </c>
      <c r="Q214" s="58">
        <f>_xlfn.MAXIFS(Survey!$G$2:$G$3647,Survey!$M$2:$M$3647,Survey!$M214)-Survey!$G214</f>
        <v>648.70561014626833</v>
      </c>
      <c r="R214" s="59">
        <f>Survey!$P214+(Survey!$Q214*0.433)</f>
        <v>2130.8895291933341</v>
      </c>
    </row>
    <row r="215" spans="1:18" x14ac:dyDescent="0.25">
      <c r="A215" s="60" t="s">
        <v>17</v>
      </c>
      <c r="B215" s="61" t="s">
        <v>18</v>
      </c>
      <c r="C215" s="62" t="s">
        <v>19</v>
      </c>
      <c r="D215" s="63">
        <v>228.7067198479574</v>
      </c>
      <c r="E215" s="79">
        <v>1235409</v>
      </c>
      <c r="F215" s="80">
        <v>1208559.25</v>
      </c>
      <c r="G215" s="66">
        <v>1693.0379796467219</v>
      </c>
      <c r="H215" s="67">
        <v>2</v>
      </c>
      <c r="I215" s="68" t="s">
        <v>20</v>
      </c>
      <c r="J215" s="69">
        <v>60</v>
      </c>
      <c r="K215" s="70">
        <v>2</v>
      </c>
      <c r="L215" s="68">
        <v>1</v>
      </c>
      <c r="M215" s="68">
        <f>_xlfn.XLOOKUP(Survey!$F215,sections[Start],sections[Test Section],,-1,1)</f>
        <v>1</v>
      </c>
      <c r="N215" s="55">
        <f>_xlfn.XLOOKUP(Survey!$K215,pipedata[ID],pipedata[WT])</f>
        <v>0.74</v>
      </c>
      <c r="O215" s="56">
        <f>_xlfn.XLOOKUP(Survey!$K215,pipedata[ID],pipedata[104%])</f>
        <v>2565.3333333333335</v>
      </c>
      <c r="P215" s="57">
        <f t="shared" si="3"/>
        <v>1850</v>
      </c>
      <c r="Q215" s="58">
        <f>_xlfn.MAXIFS(Survey!$G$2:$G$3647,Survey!$M$2:$M$3647,Survey!$M215)-Survey!$G215</f>
        <v>661.11210794104363</v>
      </c>
      <c r="R215" s="59">
        <f>Survey!$P215+(Survey!$Q215*0.433)</f>
        <v>2136.2615427384717</v>
      </c>
    </row>
    <row r="216" spans="1:18" x14ac:dyDescent="0.25">
      <c r="A216" s="71" t="s">
        <v>17</v>
      </c>
      <c r="B216" s="72" t="s">
        <v>18</v>
      </c>
      <c r="C216" s="73" t="s">
        <v>19</v>
      </c>
      <c r="D216" s="74">
        <v>228.71402794724858</v>
      </c>
      <c r="E216" s="81">
        <v>1235469</v>
      </c>
      <c r="F216" s="82">
        <v>1208636</v>
      </c>
      <c r="G216" s="75">
        <v>1670.8460159597098</v>
      </c>
      <c r="H216" s="76">
        <v>2</v>
      </c>
      <c r="I216" s="54" t="s">
        <v>21</v>
      </c>
      <c r="J216" s="77">
        <v>40</v>
      </c>
      <c r="K216" s="78">
        <v>4</v>
      </c>
      <c r="L216" s="54">
        <v>2</v>
      </c>
      <c r="M216" s="54">
        <f>_xlfn.XLOOKUP(Survey!$F216,sections[Start],sections[Test Section],,-1,1)</f>
        <v>1</v>
      </c>
      <c r="N216" s="55">
        <f>_xlfn.XLOOKUP(Survey!$K216,pipedata[ID],pipedata[WT])</f>
        <v>0.74</v>
      </c>
      <c r="O216" s="56">
        <f>_xlfn.XLOOKUP(Survey!$K216,pipedata[ID],pipedata[104%])</f>
        <v>2565.3333333333335</v>
      </c>
      <c r="P216" s="57">
        <f t="shared" si="3"/>
        <v>1850</v>
      </c>
      <c r="Q216" s="58">
        <f>_xlfn.MAXIFS(Survey!$G$2:$G$3647,Survey!$M$2:$M$3647,Survey!$M216)-Survey!$G216</f>
        <v>683.30407162805568</v>
      </c>
      <c r="R216" s="59">
        <f>Survey!$P216+(Survey!$Q216*0.433)</f>
        <v>2145.8706630149481</v>
      </c>
    </row>
    <row r="217" spans="1:18" x14ac:dyDescent="0.25">
      <c r="A217" s="60" t="s">
        <v>17</v>
      </c>
      <c r="B217" s="61" t="s">
        <v>18</v>
      </c>
      <c r="C217" s="62" t="s">
        <v>19</v>
      </c>
      <c r="D217" s="63">
        <v>228.72133604653942</v>
      </c>
      <c r="E217" s="79">
        <v>1235509</v>
      </c>
      <c r="F217" s="80">
        <v>1208676</v>
      </c>
      <c r="G217" s="66">
        <v>1662.5050551372208</v>
      </c>
      <c r="H217" s="67">
        <v>2</v>
      </c>
      <c r="I217" s="68" t="s">
        <v>20</v>
      </c>
      <c r="J217" s="69">
        <v>20</v>
      </c>
      <c r="K217" s="70">
        <v>2</v>
      </c>
      <c r="L217" s="68">
        <v>2</v>
      </c>
      <c r="M217" s="68">
        <f>_xlfn.XLOOKUP(Survey!$F217,sections[Start],sections[Test Section],,-1,1)</f>
        <v>1</v>
      </c>
      <c r="N217" s="55">
        <f>_xlfn.XLOOKUP(Survey!$K217,pipedata[ID],pipedata[WT])</f>
        <v>0.74</v>
      </c>
      <c r="O217" s="56">
        <f>_xlfn.XLOOKUP(Survey!$K217,pipedata[ID],pipedata[104%])</f>
        <v>2565.3333333333335</v>
      </c>
      <c r="P217" s="57">
        <f t="shared" si="3"/>
        <v>1850</v>
      </c>
      <c r="Q217" s="58">
        <f>_xlfn.MAXIFS(Survey!$G$2:$G$3647,Survey!$M$2:$M$3647,Survey!$M217)-Survey!$G217</f>
        <v>691.6450324505447</v>
      </c>
      <c r="R217" s="59">
        <f>Survey!$P217+(Survey!$Q217*0.433)</f>
        <v>2149.4822990510856</v>
      </c>
    </row>
    <row r="218" spans="1:18" x14ac:dyDescent="0.25">
      <c r="A218" s="71" t="s">
        <v>17</v>
      </c>
      <c r="B218" s="72" t="s">
        <v>18</v>
      </c>
      <c r="C218" s="73" t="s">
        <v>19</v>
      </c>
      <c r="D218" s="74">
        <v>228.72871613882586</v>
      </c>
      <c r="E218" s="81">
        <v>1235529</v>
      </c>
      <c r="F218" s="82">
        <v>1208713.0322580645</v>
      </c>
      <c r="G218" s="75">
        <v>1660.2842515294524</v>
      </c>
      <c r="H218" s="76">
        <v>2</v>
      </c>
      <c r="I218" s="54" t="s">
        <v>20</v>
      </c>
      <c r="J218" s="77">
        <v>40</v>
      </c>
      <c r="K218" s="78">
        <v>2</v>
      </c>
      <c r="L218" s="54">
        <v>2</v>
      </c>
      <c r="M218" s="54">
        <f>_xlfn.XLOOKUP(Survey!$F218,sections[Start],sections[Test Section],,-1,1)</f>
        <v>1</v>
      </c>
      <c r="N218" s="55">
        <f>_xlfn.XLOOKUP(Survey!$K218,pipedata[ID],pipedata[WT])</f>
        <v>0.74</v>
      </c>
      <c r="O218" s="56">
        <f>_xlfn.XLOOKUP(Survey!$K218,pipedata[ID],pipedata[104%])</f>
        <v>2565.3333333333335</v>
      </c>
      <c r="P218" s="57">
        <f t="shared" si="3"/>
        <v>1850</v>
      </c>
      <c r="Q218" s="58">
        <f>_xlfn.MAXIFS(Survey!$G$2:$G$3647,Survey!$M$2:$M$3647,Survey!$M218)-Survey!$G218</f>
        <v>693.86583605831311</v>
      </c>
      <c r="R218" s="59">
        <f>Survey!$P218+(Survey!$Q218*0.433)</f>
        <v>2150.4439070132494</v>
      </c>
    </row>
    <row r="219" spans="1:18" x14ac:dyDescent="0.25">
      <c r="A219" s="60" t="s">
        <v>17</v>
      </c>
      <c r="B219" s="61" t="s">
        <v>18</v>
      </c>
      <c r="C219" s="62" t="s">
        <v>19</v>
      </c>
      <c r="D219" s="63">
        <v>228.73639409196912</v>
      </c>
      <c r="E219" s="79">
        <v>1235569</v>
      </c>
      <c r="F219" s="80">
        <v>1208750.064516129</v>
      </c>
      <c r="G219" s="66">
        <v>1657.0353338299863</v>
      </c>
      <c r="H219" s="67">
        <v>2</v>
      </c>
      <c r="I219" s="68" t="s">
        <v>20</v>
      </c>
      <c r="J219" s="69">
        <v>40</v>
      </c>
      <c r="K219" s="70">
        <v>2</v>
      </c>
      <c r="L219" s="68">
        <v>2</v>
      </c>
      <c r="M219" s="68">
        <f>_xlfn.XLOOKUP(Survey!$F219,sections[Start],sections[Test Section],,-1,1)</f>
        <v>1</v>
      </c>
      <c r="N219" s="55">
        <f>_xlfn.XLOOKUP(Survey!$K219,pipedata[ID],pipedata[WT])</f>
        <v>0.74</v>
      </c>
      <c r="O219" s="56">
        <f>_xlfn.XLOOKUP(Survey!$K219,pipedata[ID],pipedata[104%])</f>
        <v>2565.3333333333335</v>
      </c>
      <c r="P219" s="57">
        <f t="shared" si="3"/>
        <v>1850</v>
      </c>
      <c r="Q219" s="58">
        <f>_xlfn.MAXIFS(Survey!$G$2:$G$3647,Survey!$M$2:$M$3647,Survey!$M219)-Survey!$G219</f>
        <v>697.11475375777923</v>
      </c>
      <c r="R219" s="59">
        <f>Survey!$P219+(Survey!$Q219*0.433)</f>
        <v>2151.8506883771183</v>
      </c>
    </row>
    <row r="220" spans="1:18" x14ac:dyDescent="0.25">
      <c r="A220" s="71" t="s">
        <v>17</v>
      </c>
      <c r="B220" s="72" t="s">
        <v>18</v>
      </c>
      <c r="C220" s="73" t="s">
        <v>19</v>
      </c>
      <c r="D220" s="74">
        <v>228.7441291947074</v>
      </c>
      <c r="E220" s="81">
        <v>1235609</v>
      </c>
      <c r="F220" s="82">
        <v>1208787.0967741935</v>
      </c>
      <c r="G220" s="75">
        <v>1655.4061215838603</v>
      </c>
      <c r="H220" s="76">
        <v>2</v>
      </c>
      <c r="I220" s="54" t="s">
        <v>20</v>
      </c>
      <c r="J220" s="77">
        <v>40</v>
      </c>
      <c r="K220" s="78">
        <v>2</v>
      </c>
      <c r="L220" s="54">
        <v>2</v>
      </c>
      <c r="M220" s="54">
        <f>_xlfn.XLOOKUP(Survey!$F220,sections[Start],sections[Test Section],,-1,1)</f>
        <v>1</v>
      </c>
      <c r="N220" s="55">
        <f>_xlfn.XLOOKUP(Survey!$K220,pipedata[ID],pipedata[WT])</f>
        <v>0.74</v>
      </c>
      <c r="O220" s="56">
        <f>_xlfn.XLOOKUP(Survey!$K220,pipedata[ID],pipedata[104%])</f>
        <v>2565.3333333333335</v>
      </c>
      <c r="P220" s="57">
        <f t="shared" si="3"/>
        <v>1850</v>
      </c>
      <c r="Q220" s="58">
        <f>_xlfn.MAXIFS(Survey!$G$2:$G$3647,Survey!$M$2:$M$3647,Survey!$M220)-Survey!$G220</f>
        <v>698.74396600390514</v>
      </c>
      <c r="R220" s="59">
        <f>Survey!$P220+(Survey!$Q220*0.433)</f>
        <v>2152.556137279691</v>
      </c>
    </row>
    <row r="221" spans="1:18" x14ac:dyDescent="0.25">
      <c r="A221" s="60" t="s">
        <v>17</v>
      </c>
      <c r="B221" s="61" t="s">
        <v>18</v>
      </c>
      <c r="C221" s="62" t="s">
        <v>19</v>
      </c>
      <c r="D221" s="63">
        <v>228.75186429744579</v>
      </c>
      <c r="E221" s="79">
        <v>1235649</v>
      </c>
      <c r="F221" s="80">
        <v>1208824.1290322579</v>
      </c>
      <c r="G221" s="66">
        <v>1657.9873727065371</v>
      </c>
      <c r="H221" s="67">
        <v>2</v>
      </c>
      <c r="I221" s="68" t="s">
        <v>20</v>
      </c>
      <c r="J221" s="69">
        <v>40</v>
      </c>
      <c r="K221" s="70">
        <v>2</v>
      </c>
      <c r="L221" s="68">
        <v>2</v>
      </c>
      <c r="M221" s="68">
        <f>_xlfn.XLOOKUP(Survey!$F221,sections[Start],sections[Test Section],,-1,1)</f>
        <v>1</v>
      </c>
      <c r="N221" s="55">
        <f>_xlfn.XLOOKUP(Survey!$K221,pipedata[ID],pipedata[WT])</f>
        <v>0.74</v>
      </c>
      <c r="O221" s="56">
        <f>_xlfn.XLOOKUP(Survey!$K221,pipedata[ID],pipedata[104%])</f>
        <v>2565.3333333333335</v>
      </c>
      <c r="P221" s="57">
        <f t="shared" si="3"/>
        <v>1850</v>
      </c>
      <c r="Q221" s="58">
        <f>_xlfn.MAXIFS(Survey!$G$2:$G$3647,Survey!$M$2:$M$3647,Survey!$M221)-Survey!$G221</f>
        <v>696.16271488122834</v>
      </c>
      <c r="R221" s="59">
        <f>Survey!$P221+(Survey!$Q221*0.433)</f>
        <v>2151.4384555435718</v>
      </c>
    </row>
    <row r="222" spans="1:18" x14ac:dyDescent="0.25">
      <c r="A222" s="71" t="s">
        <v>17</v>
      </c>
      <c r="B222" s="72" t="s">
        <v>18</v>
      </c>
      <c r="C222" s="73" t="s">
        <v>19</v>
      </c>
      <c r="D222" s="74">
        <v>228.75787654299251</v>
      </c>
      <c r="E222" s="81">
        <v>1235689</v>
      </c>
      <c r="F222" s="82">
        <v>1208861.1612903224</v>
      </c>
      <c r="G222" s="75">
        <v>1658.4679366666358</v>
      </c>
      <c r="H222" s="76">
        <v>2</v>
      </c>
      <c r="I222" s="54" t="s">
        <v>20</v>
      </c>
      <c r="J222" s="77">
        <v>40</v>
      </c>
      <c r="K222" s="78">
        <v>2</v>
      </c>
      <c r="L222" s="54">
        <v>2</v>
      </c>
      <c r="M222" s="54">
        <f>_xlfn.XLOOKUP(Survey!$F222,sections[Start],sections[Test Section],,-1,1)</f>
        <v>1</v>
      </c>
      <c r="N222" s="55">
        <f>_xlfn.XLOOKUP(Survey!$K222,pipedata[ID],pipedata[WT])</f>
        <v>0.74</v>
      </c>
      <c r="O222" s="56">
        <f>_xlfn.XLOOKUP(Survey!$K222,pipedata[ID],pipedata[104%])</f>
        <v>2565.3333333333335</v>
      </c>
      <c r="P222" s="57">
        <f t="shared" si="3"/>
        <v>1850</v>
      </c>
      <c r="Q222" s="58">
        <f>_xlfn.MAXIFS(Survey!$G$2:$G$3647,Survey!$M$2:$M$3647,Survey!$M222)-Survey!$G222</f>
        <v>695.68215092112973</v>
      </c>
      <c r="R222" s="59">
        <f>Survey!$P222+(Survey!$Q222*0.433)</f>
        <v>2151.2303713488491</v>
      </c>
    </row>
    <row r="223" spans="1:18" x14ac:dyDescent="0.25">
      <c r="A223" s="60" t="s">
        <v>17</v>
      </c>
      <c r="B223" s="61" t="s">
        <v>18</v>
      </c>
      <c r="C223" s="62" t="s">
        <v>19</v>
      </c>
      <c r="D223" s="63">
        <v>228.76623269073136</v>
      </c>
      <c r="E223" s="79">
        <v>1235729</v>
      </c>
      <c r="F223" s="80">
        <v>1208898.1935483869</v>
      </c>
      <c r="G223" s="66">
        <v>1653.3715157187462</v>
      </c>
      <c r="H223" s="67">
        <v>2</v>
      </c>
      <c r="I223" s="68" t="s">
        <v>20</v>
      </c>
      <c r="J223" s="69">
        <v>40</v>
      </c>
      <c r="K223" s="70">
        <v>2</v>
      </c>
      <c r="L223" s="68">
        <v>2</v>
      </c>
      <c r="M223" s="68">
        <f>_xlfn.XLOOKUP(Survey!$F223,sections[Start],sections[Test Section],,-1,1)</f>
        <v>1</v>
      </c>
      <c r="N223" s="55">
        <f>_xlfn.XLOOKUP(Survey!$K223,pipedata[ID],pipedata[WT])</f>
        <v>0.74</v>
      </c>
      <c r="O223" s="56">
        <f>_xlfn.XLOOKUP(Survey!$K223,pipedata[ID],pipedata[104%])</f>
        <v>2565.3333333333335</v>
      </c>
      <c r="P223" s="57">
        <f t="shared" si="3"/>
        <v>1850</v>
      </c>
      <c r="Q223" s="58">
        <f>_xlfn.MAXIFS(Survey!$G$2:$G$3647,Survey!$M$2:$M$3647,Survey!$M223)-Survey!$G223</f>
        <v>700.77857186901929</v>
      </c>
      <c r="R223" s="59">
        <f>Survey!$P223+(Survey!$Q223*0.433)</f>
        <v>2153.4371216192853</v>
      </c>
    </row>
    <row r="224" spans="1:18" x14ac:dyDescent="0.25">
      <c r="A224" s="71" t="s">
        <v>17</v>
      </c>
      <c r="B224" s="72" t="s">
        <v>18</v>
      </c>
      <c r="C224" s="73" t="s">
        <v>19</v>
      </c>
      <c r="D224" s="74">
        <v>228.77313582997644</v>
      </c>
      <c r="E224" s="81">
        <v>1235769</v>
      </c>
      <c r="F224" s="82">
        <v>1208935.2258064514</v>
      </c>
      <c r="G224" s="75">
        <v>1648.0306677539795</v>
      </c>
      <c r="H224" s="76">
        <v>2</v>
      </c>
      <c r="I224" s="54" t="s">
        <v>20</v>
      </c>
      <c r="J224" s="77">
        <v>40</v>
      </c>
      <c r="K224" s="78">
        <v>2</v>
      </c>
      <c r="L224" s="54">
        <v>2</v>
      </c>
      <c r="M224" s="54">
        <f>_xlfn.XLOOKUP(Survey!$F224,sections[Start],sections[Test Section],,-1,1)</f>
        <v>1</v>
      </c>
      <c r="N224" s="55">
        <f>_xlfn.XLOOKUP(Survey!$K224,pipedata[ID],pipedata[WT])</f>
        <v>0.74</v>
      </c>
      <c r="O224" s="56">
        <f>_xlfn.XLOOKUP(Survey!$K224,pipedata[ID],pipedata[104%])</f>
        <v>2565.3333333333335</v>
      </c>
      <c r="P224" s="57">
        <f t="shared" si="3"/>
        <v>1850</v>
      </c>
      <c r="Q224" s="58">
        <f>_xlfn.MAXIFS(Survey!$G$2:$G$3647,Survey!$M$2:$M$3647,Survey!$M224)-Survey!$G224</f>
        <v>706.11941983378597</v>
      </c>
      <c r="R224" s="59">
        <f>Survey!$P224+(Survey!$Q224*0.433)</f>
        <v>2155.7497087880292</v>
      </c>
    </row>
    <row r="225" spans="1:18" x14ac:dyDescent="0.25">
      <c r="A225" s="60" t="s">
        <v>17</v>
      </c>
      <c r="B225" s="61" t="s">
        <v>18</v>
      </c>
      <c r="C225" s="62" t="s">
        <v>19</v>
      </c>
      <c r="D225" s="63">
        <v>228.78087093271478</v>
      </c>
      <c r="E225" s="79">
        <v>1235809</v>
      </c>
      <c r="F225" s="80">
        <v>1208972.2580645159</v>
      </c>
      <c r="G225" s="66">
        <v>1643.8665114055163</v>
      </c>
      <c r="H225" s="67">
        <v>2</v>
      </c>
      <c r="I225" s="68" t="s">
        <v>20</v>
      </c>
      <c r="J225" s="69">
        <v>40</v>
      </c>
      <c r="K225" s="70">
        <v>2</v>
      </c>
      <c r="L225" s="68">
        <v>2</v>
      </c>
      <c r="M225" s="68">
        <f>_xlfn.XLOOKUP(Survey!$F225,sections[Start],sections[Test Section],,-1,1)</f>
        <v>1</v>
      </c>
      <c r="N225" s="55">
        <f>_xlfn.XLOOKUP(Survey!$K225,pipedata[ID],pipedata[WT])</f>
        <v>0.74</v>
      </c>
      <c r="O225" s="56">
        <f>_xlfn.XLOOKUP(Survey!$K225,pipedata[ID],pipedata[104%])</f>
        <v>2565.3333333333335</v>
      </c>
      <c r="P225" s="57">
        <f t="shared" si="3"/>
        <v>1850</v>
      </c>
      <c r="Q225" s="58">
        <f>_xlfn.MAXIFS(Survey!$G$2:$G$3647,Survey!$M$2:$M$3647,Survey!$M225)-Survey!$G225</f>
        <v>710.28357618224913</v>
      </c>
      <c r="R225" s="59">
        <f>Survey!$P225+(Survey!$Q225*0.433)</f>
        <v>2157.5527884869139</v>
      </c>
    </row>
    <row r="226" spans="1:18" x14ac:dyDescent="0.25">
      <c r="A226" s="71" t="s">
        <v>17</v>
      </c>
      <c r="B226" s="72" t="s">
        <v>18</v>
      </c>
      <c r="C226" s="73" t="s">
        <v>19</v>
      </c>
      <c r="D226" s="74">
        <v>228.7895449732525</v>
      </c>
      <c r="E226" s="81">
        <v>1235849</v>
      </c>
      <c r="F226" s="82">
        <v>1209009.2903225804</v>
      </c>
      <c r="G226" s="75">
        <v>1642.1628779295743</v>
      </c>
      <c r="H226" s="76">
        <v>2</v>
      </c>
      <c r="I226" s="54" t="s">
        <v>20</v>
      </c>
      <c r="J226" s="77">
        <v>40</v>
      </c>
      <c r="K226" s="78">
        <v>2</v>
      </c>
      <c r="L226" s="54">
        <v>2</v>
      </c>
      <c r="M226" s="54">
        <f>_xlfn.XLOOKUP(Survey!$F226,sections[Start],sections[Test Section],,-1,1)</f>
        <v>1</v>
      </c>
      <c r="N226" s="55">
        <f>_xlfn.XLOOKUP(Survey!$K226,pipedata[ID],pipedata[WT])</f>
        <v>0.74</v>
      </c>
      <c r="O226" s="56">
        <f>_xlfn.XLOOKUP(Survey!$K226,pipedata[ID],pipedata[104%])</f>
        <v>2565.3333333333335</v>
      </c>
      <c r="P226" s="57">
        <f t="shared" si="3"/>
        <v>1850</v>
      </c>
      <c r="Q226" s="58">
        <f>_xlfn.MAXIFS(Survey!$G$2:$G$3647,Survey!$M$2:$M$3647,Survey!$M226)-Survey!$G226</f>
        <v>711.9872096581912</v>
      </c>
      <c r="R226" s="59">
        <f>Survey!$P226+(Survey!$Q226*0.433)</f>
        <v>2158.2904617819968</v>
      </c>
    </row>
    <row r="227" spans="1:18" x14ac:dyDescent="0.25">
      <c r="A227" s="60" t="s">
        <v>17</v>
      </c>
      <c r="B227" s="61" t="s">
        <v>18</v>
      </c>
      <c r="C227" s="62" t="s">
        <v>19</v>
      </c>
      <c r="D227" s="63">
        <v>228.79685307254275</v>
      </c>
      <c r="E227" s="79">
        <v>1235889</v>
      </c>
      <c r="F227" s="80">
        <v>1209046.3225806449</v>
      </c>
      <c r="G227" s="66">
        <v>1639.6113427888215</v>
      </c>
      <c r="H227" s="67">
        <v>2</v>
      </c>
      <c r="I227" s="68" t="s">
        <v>20</v>
      </c>
      <c r="J227" s="69">
        <v>40</v>
      </c>
      <c r="K227" s="70">
        <v>2</v>
      </c>
      <c r="L227" s="68">
        <v>2</v>
      </c>
      <c r="M227" s="68">
        <f>_xlfn.XLOOKUP(Survey!$F227,sections[Start],sections[Test Section],,-1,1)</f>
        <v>1</v>
      </c>
      <c r="N227" s="55">
        <f>_xlfn.XLOOKUP(Survey!$K227,pipedata[ID],pipedata[WT])</f>
        <v>0.74</v>
      </c>
      <c r="O227" s="56">
        <f>_xlfn.XLOOKUP(Survey!$K227,pipedata[ID],pipedata[104%])</f>
        <v>2565.3333333333335</v>
      </c>
      <c r="P227" s="57">
        <f t="shared" si="3"/>
        <v>1850</v>
      </c>
      <c r="Q227" s="58">
        <f>_xlfn.MAXIFS(Survey!$G$2:$G$3647,Survey!$M$2:$M$3647,Survey!$M227)-Survey!$G227</f>
        <v>714.53874479894398</v>
      </c>
      <c r="R227" s="59">
        <f>Survey!$P227+(Survey!$Q227*0.433)</f>
        <v>2159.3952764979426</v>
      </c>
    </row>
    <row r="228" spans="1:18" x14ac:dyDescent="0.25">
      <c r="A228" s="71" t="s">
        <v>17</v>
      </c>
      <c r="B228" s="72" t="s">
        <v>18</v>
      </c>
      <c r="C228" s="73" t="s">
        <v>19</v>
      </c>
      <c r="D228" s="74">
        <v>228.80416117183393</v>
      </c>
      <c r="E228" s="81">
        <v>1235929</v>
      </c>
      <c r="F228" s="82">
        <v>1209083.3548387093</v>
      </c>
      <c r="G228" s="75">
        <v>1637.8466921213269</v>
      </c>
      <c r="H228" s="76">
        <v>2</v>
      </c>
      <c r="I228" s="54" t="s">
        <v>20</v>
      </c>
      <c r="J228" s="77">
        <v>40</v>
      </c>
      <c r="K228" s="78">
        <v>2</v>
      </c>
      <c r="L228" s="54">
        <v>2</v>
      </c>
      <c r="M228" s="54">
        <f>_xlfn.XLOOKUP(Survey!$F228,sections[Start],sections[Test Section],,-1,1)</f>
        <v>1</v>
      </c>
      <c r="N228" s="55">
        <f>_xlfn.XLOOKUP(Survey!$K228,pipedata[ID],pipedata[WT])</f>
        <v>0.74</v>
      </c>
      <c r="O228" s="56">
        <f>_xlfn.XLOOKUP(Survey!$K228,pipedata[ID],pipedata[104%])</f>
        <v>2565.3333333333335</v>
      </c>
      <c r="P228" s="57">
        <f t="shared" si="3"/>
        <v>1850</v>
      </c>
      <c r="Q228" s="58">
        <f>_xlfn.MAXIFS(Survey!$G$2:$G$3647,Survey!$M$2:$M$3647,Survey!$M228)-Survey!$G228</f>
        <v>716.30339546643859</v>
      </c>
      <c r="R228" s="59">
        <f>Survey!$P228+(Survey!$Q228*0.433)</f>
        <v>2160.1593702369678</v>
      </c>
    </row>
    <row r="229" spans="1:18" x14ac:dyDescent="0.25">
      <c r="A229" s="60" t="s">
        <v>17</v>
      </c>
      <c r="B229" s="61" t="s">
        <v>18</v>
      </c>
      <c r="C229" s="62" t="s">
        <v>19</v>
      </c>
      <c r="D229" s="63">
        <v>228.81181134366858</v>
      </c>
      <c r="E229" s="79">
        <v>1235969</v>
      </c>
      <c r="F229" s="80">
        <v>1209120.3870967738</v>
      </c>
      <c r="G229" s="66">
        <v>1635.7057820502464</v>
      </c>
      <c r="H229" s="67">
        <v>2</v>
      </c>
      <c r="I229" s="68" t="s">
        <v>20</v>
      </c>
      <c r="J229" s="69">
        <v>40</v>
      </c>
      <c r="K229" s="70">
        <v>2</v>
      </c>
      <c r="L229" s="68">
        <v>2</v>
      </c>
      <c r="M229" s="68">
        <f>_xlfn.XLOOKUP(Survey!$F229,sections[Start],sections[Test Section],,-1,1)</f>
        <v>1</v>
      </c>
      <c r="N229" s="55">
        <f>_xlfn.XLOOKUP(Survey!$K229,pipedata[ID],pipedata[WT])</f>
        <v>0.74</v>
      </c>
      <c r="O229" s="56">
        <f>_xlfn.XLOOKUP(Survey!$K229,pipedata[ID],pipedata[104%])</f>
        <v>2565.3333333333335</v>
      </c>
      <c r="P229" s="57">
        <f t="shared" si="3"/>
        <v>1850</v>
      </c>
      <c r="Q229" s="58">
        <f>_xlfn.MAXIFS(Survey!$G$2:$G$3647,Survey!$M$2:$M$3647,Survey!$M229)-Survey!$G229</f>
        <v>718.44430553751909</v>
      </c>
      <c r="R229" s="59">
        <f>Survey!$P229+(Survey!$Q229*0.433)</f>
        <v>2161.086384297746</v>
      </c>
    </row>
    <row r="230" spans="1:18" x14ac:dyDescent="0.25">
      <c r="A230" s="71" t="s">
        <v>17</v>
      </c>
      <c r="B230" s="72" t="s">
        <v>18</v>
      </c>
      <c r="C230" s="73" t="s">
        <v>19</v>
      </c>
      <c r="D230" s="74">
        <v>228.81954644640717</v>
      </c>
      <c r="E230" s="81">
        <v>1236009</v>
      </c>
      <c r="F230" s="82">
        <v>1209157.4193548383</v>
      </c>
      <c r="G230" s="75">
        <v>1632.5782254311189</v>
      </c>
      <c r="H230" s="76">
        <v>2</v>
      </c>
      <c r="I230" s="54" t="s">
        <v>20</v>
      </c>
      <c r="J230" s="77">
        <v>40</v>
      </c>
      <c r="K230" s="78">
        <v>2</v>
      </c>
      <c r="L230" s="54">
        <v>2</v>
      </c>
      <c r="M230" s="54">
        <f>_xlfn.XLOOKUP(Survey!$F230,sections[Start],sections[Test Section],,-1,1)</f>
        <v>1</v>
      </c>
      <c r="N230" s="55">
        <f>_xlfn.XLOOKUP(Survey!$K230,pipedata[ID],pipedata[WT])</f>
        <v>0.74</v>
      </c>
      <c r="O230" s="56">
        <f>_xlfn.XLOOKUP(Survey!$K230,pipedata[ID],pipedata[104%])</f>
        <v>2565.3333333333335</v>
      </c>
      <c r="P230" s="57">
        <f t="shared" si="3"/>
        <v>1850</v>
      </c>
      <c r="Q230" s="58">
        <f>_xlfn.MAXIFS(Survey!$G$2:$G$3647,Survey!$M$2:$M$3647,Survey!$M230)-Survey!$G230</f>
        <v>721.5718621566466</v>
      </c>
      <c r="R230" s="59">
        <f>Survey!$P230+(Survey!$Q230*0.433)</f>
        <v>2162.4406163138278</v>
      </c>
    </row>
    <row r="231" spans="1:18" x14ac:dyDescent="0.25">
      <c r="A231" s="60" t="s">
        <v>17</v>
      </c>
      <c r="B231" s="61" t="s">
        <v>18</v>
      </c>
      <c r="C231" s="62" t="s">
        <v>19</v>
      </c>
      <c r="D231" s="63">
        <v>228.82720370886651</v>
      </c>
      <c r="E231" s="79">
        <v>1236049</v>
      </c>
      <c r="F231" s="80">
        <v>1209194.4516129028</v>
      </c>
      <c r="G231" s="66">
        <v>1628.2400140000393</v>
      </c>
      <c r="H231" s="67">
        <v>2</v>
      </c>
      <c r="I231" s="68" t="s">
        <v>20</v>
      </c>
      <c r="J231" s="69">
        <v>40</v>
      </c>
      <c r="K231" s="70">
        <v>2</v>
      </c>
      <c r="L231" s="68">
        <v>2</v>
      </c>
      <c r="M231" s="68">
        <f>_xlfn.XLOOKUP(Survey!$F231,sections[Start],sections[Test Section],,-1,1)</f>
        <v>1</v>
      </c>
      <c r="N231" s="55">
        <f>_xlfn.XLOOKUP(Survey!$K231,pipedata[ID],pipedata[WT])</f>
        <v>0.74</v>
      </c>
      <c r="O231" s="56">
        <f>_xlfn.XLOOKUP(Survey!$K231,pipedata[ID],pipedata[104%])</f>
        <v>2565.3333333333335</v>
      </c>
      <c r="P231" s="57">
        <f t="shared" si="3"/>
        <v>1850</v>
      </c>
      <c r="Q231" s="58">
        <f>_xlfn.MAXIFS(Survey!$G$2:$G$3647,Survey!$M$2:$M$3647,Survey!$M231)-Survey!$G231</f>
        <v>725.91007358772617</v>
      </c>
      <c r="R231" s="59">
        <f>Survey!$P231+(Survey!$Q231*0.433)</f>
        <v>2164.3190618634853</v>
      </c>
    </row>
    <row r="232" spans="1:18" x14ac:dyDescent="0.25">
      <c r="A232" s="71" t="s">
        <v>17</v>
      </c>
      <c r="B232" s="72" t="s">
        <v>18</v>
      </c>
      <c r="C232" s="73" t="s">
        <v>19</v>
      </c>
      <c r="D232" s="74">
        <v>228.83479357365604</v>
      </c>
      <c r="E232" s="81">
        <v>1236089</v>
      </c>
      <c r="F232" s="82">
        <v>1209231.4838709673</v>
      </c>
      <c r="G232" s="75">
        <v>1623.821234155964</v>
      </c>
      <c r="H232" s="76">
        <v>2</v>
      </c>
      <c r="I232" s="54" t="s">
        <v>20</v>
      </c>
      <c r="J232" s="77">
        <v>40</v>
      </c>
      <c r="K232" s="78">
        <v>2</v>
      </c>
      <c r="L232" s="54">
        <v>2</v>
      </c>
      <c r="M232" s="54">
        <f>_xlfn.XLOOKUP(Survey!$F232,sections[Start],sections[Test Section],,-1,1)</f>
        <v>1</v>
      </c>
      <c r="N232" s="55">
        <f>_xlfn.XLOOKUP(Survey!$K232,pipedata[ID],pipedata[WT])</f>
        <v>0.74</v>
      </c>
      <c r="O232" s="56">
        <f>_xlfn.XLOOKUP(Survey!$K232,pipedata[ID],pipedata[104%])</f>
        <v>2565.3333333333335</v>
      </c>
      <c r="P232" s="57">
        <f t="shared" si="3"/>
        <v>1850</v>
      </c>
      <c r="Q232" s="58">
        <f>_xlfn.MAXIFS(Survey!$G$2:$G$3647,Survey!$M$2:$M$3647,Survey!$M232)-Survey!$G232</f>
        <v>730.32885343180146</v>
      </c>
      <c r="R232" s="59">
        <f>Survey!$P232+(Survey!$Q232*0.433)</f>
        <v>2166.23239353597</v>
      </c>
    </row>
    <row r="233" spans="1:18" x14ac:dyDescent="0.25">
      <c r="A233" s="60" t="s">
        <v>17</v>
      </c>
      <c r="B233" s="61" t="s">
        <v>18</v>
      </c>
      <c r="C233" s="62" t="s">
        <v>19</v>
      </c>
      <c r="D233" s="63">
        <v>228.84174956767797</v>
      </c>
      <c r="E233" s="79">
        <v>1236129</v>
      </c>
      <c r="F233" s="80">
        <v>1209268.5161290318</v>
      </c>
      <c r="G233" s="66">
        <v>1617.4413566180319</v>
      </c>
      <c r="H233" s="67">
        <v>2</v>
      </c>
      <c r="I233" s="68" t="s">
        <v>20</v>
      </c>
      <c r="J233" s="69">
        <v>40</v>
      </c>
      <c r="K233" s="70">
        <v>2</v>
      </c>
      <c r="L233" s="68">
        <v>2</v>
      </c>
      <c r="M233" s="68">
        <f>_xlfn.XLOOKUP(Survey!$F233,sections[Start],sections[Test Section],,-1,1)</f>
        <v>1</v>
      </c>
      <c r="N233" s="55">
        <f>_xlfn.XLOOKUP(Survey!$K233,pipedata[ID],pipedata[WT])</f>
        <v>0.74</v>
      </c>
      <c r="O233" s="56">
        <f>_xlfn.XLOOKUP(Survey!$K233,pipedata[ID],pipedata[104%])</f>
        <v>2565.3333333333335</v>
      </c>
      <c r="P233" s="57">
        <f t="shared" si="3"/>
        <v>1850</v>
      </c>
      <c r="Q233" s="58">
        <f>_xlfn.MAXIFS(Survey!$G$2:$G$3647,Survey!$M$2:$M$3647,Survey!$M233)-Survey!$G233</f>
        <v>736.70873096973355</v>
      </c>
      <c r="R233" s="59">
        <f>Survey!$P233+(Survey!$Q233*0.433)</f>
        <v>2168.9948805098948</v>
      </c>
    </row>
    <row r="234" spans="1:18" x14ac:dyDescent="0.25">
      <c r="A234" s="71" t="s">
        <v>17</v>
      </c>
      <c r="B234" s="72" t="s">
        <v>18</v>
      </c>
      <c r="C234" s="73" t="s">
        <v>19</v>
      </c>
      <c r="D234" s="74">
        <v>228.84807583703721</v>
      </c>
      <c r="E234" s="81">
        <v>1236169</v>
      </c>
      <c r="F234" s="82">
        <v>1209305.5483870963</v>
      </c>
      <c r="G234" s="75">
        <v>1611.4683928840607</v>
      </c>
      <c r="H234" s="76">
        <v>2</v>
      </c>
      <c r="I234" s="54" t="s">
        <v>20</v>
      </c>
      <c r="J234" s="77">
        <v>40</v>
      </c>
      <c r="K234" s="78">
        <v>2</v>
      </c>
      <c r="L234" s="54">
        <v>2</v>
      </c>
      <c r="M234" s="54">
        <f>_xlfn.XLOOKUP(Survey!$F234,sections[Start],sections[Test Section],,-1,1)</f>
        <v>1</v>
      </c>
      <c r="N234" s="55">
        <f>_xlfn.XLOOKUP(Survey!$K234,pipedata[ID],pipedata[WT])</f>
        <v>0.74</v>
      </c>
      <c r="O234" s="56">
        <f>_xlfn.XLOOKUP(Survey!$K234,pipedata[ID],pipedata[104%])</f>
        <v>2565.3333333333335</v>
      </c>
      <c r="P234" s="57">
        <f t="shared" si="3"/>
        <v>1850</v>
      </c>
      <c r="Q234" s="58">
        <f>_xlfn.MAXIFS(Survey!$G$2:$G$3647,Survey!$M$2:$M$3647,Survey!$M234)-Survey!$G234</f>
        <v>742.68169470370481</v>
      </c>
      <c r="R234" s="59">
        <f>Survey!$P234+(Survey!$Q234*0.433)</f>
        <v>2171.5811738067041</v>
      </c>
    </row>
    <row r="235" spans="1:18" x14ac:dyDescent="0.25">
      <c r="A235" s="60" t="s">
        <v>17</v>
      </c>
      <c r="B235" s="61" t="s">
        <v>18</v>
      </c>
      <c r="C235" s="62" t="s">
        <v>19</v>
      </c>
      <c r="D235" s="63">
        <v>228.85732143083018</v>
      </c>
      <c r="E235" s="79">
        <v>1236209</v>
      </c>
      <c r="F235" s="80">
        <v>1209342.5806451607</v>
      </c>
      <c r="G235" s="66">
        <v>1607.648193904329</v>
      </c>
      <c r="H235" s="67">
        <v>2</v>
      </c>
      <c r="I235" s="68" t="s">
        <v>20</v>
      </c>
      <c r="J235" s="69">
        <v>40</v>
      </c>
      <c r="K235" s="70">
        <v>2</v>
      </c>
      <c r="L235" s="68">
        <v>2</v>
      </c>
      <c r="M235" s="68">
        <f>_xlfn.XLOOKUP(Survey!$F235,sections[Start],sections[Test Section],,-1,1)</f>
        <v>1</v>
      </c>
      <c r="N235" s="55">
        <f>_xlfn.XLOOKUP(Survey!$K235,pipedata[ID],pipedata[WT])</f>
        <v>0.74</v>
      </c>
      <c r="O235" s="56">
        <f>_xlfn.XLOOKUP(Survey!$K235,pipedata[ID],pipedata[104%])</f>
        <v>2565.3333333333335</v>
      </c>
      <c r="P235" s="57">
        <f t="shared" si="3"/>
        <v>1850</v>
      </c>
      <c r="Q235" s="58">
        <f>_xlfn.MAXIFS(Survey!$G$2:$G$3647,Survey!$M$2:$M$3647,Survey!$M235)-Survey!$G235</f>
        <v>746.50189368343649</v>
      </c>
      <c r="R235" s="59">
        <f>Survey!$P235+(Survey!$Q235*0.433)</f>
        <v>2173.2353199649278</v>
      </c>
    </row>
    <row r="236" spans="1:18" x14ac:dyDescent="0.25">
      <c r="A236" s="71" t="s">
        <v>17</v>
      </c>
      <c r="B236" s="72" t="s">
        <v>18</v>
      </c>
      <c r="C236" s="73" t="s">
        <v>19</v>
      </c>
      <c r="D236" s="74">
        <v>228.86430680361826</v>
      </c>
      <c r="E236" s="81">
        <v>1236249</v>
      </c>
      <c r="F236" s="82">
        <v>1209379.6129032252</v>
      </c>
      <c r="G236" s="75">
        <v>1603.4126975844622</v>
      </c>
      <c r="H236" s="76">
        <v>2</v>
      </c>
      <c r="I236" s="54" t="s">
        <v>20</v>
      </c>
      <c r="J236" s="77">
        <v>40</v>
      </c>
      <c r="K236" s="78">
        <v>2</v>
      </c>
      <c r="L236" s="54">
        <v>2</v>
      </c>
      <c r="M236" s="54">
        <f>_xlfn.XLOOKUP(Survey!$F236,sections[Start],sections[Test Section],,-1,1)</f>
        <v>1</v>
      </c>
      <c r="N236" s="55">
        <f>_xlfn.XLOOKUP(Survey!$K236,pipedata[ID],pipedata[WT])</f>
        <v>0.74</v>
      </c>
      <c r="O236" s="56">
        <f>_xlfn.XLOOKUP(Survey!$K236,pipedata[ID],pipedata[104%])</f>
        <v>2565.3333333333335</v>
      </c>
      <c r="P236" s="57">
        <f t="shared" si="3"/>
        <v>1850</v>
      </c>
      <c r="Q236" s="58">
        <f>_xlfn.MAXIFS(Survey!$G$2:$G$3647,Survey!$M$2:$M$3647,Survey!$M236)-Survey!$G236</f>
        <v>750.73739000330329</v>
      </c>
      <c r="R236" s="59">
        <f>Survey!$P236+(Survey!$Q236*0.433)</f>
        <v>2175.0692898714306</v>
      </c>
    </row>
    <row r="237" spans="1:18" x14ac:dyDescent="0.25">
      <c r="A237" s="60" t="s">
        <v>17</v>
      </c>
      <c r="B237" s="61" t="s">
        <v>18</v>
      </c>
      <c r="C237" s="62" t="s">
        <v>19</v>
      </c>
      <c r="D237" s="63">
        <v>228.87158989696866</v>
      </c>
      <c r="E237" s="79">
        <v>1236289</v>
      </c>
      <c r="F237" s="80">
        <v>1209416.6451612897</v>
      </c>
      <c r="G237" s="66">
        <v>1598.8452212654054</v>
      </c>
      <c r="H237" s="67">
        <v>2</v>
      </c>
      <c r="I237" s="68" t="s">
        <v>20</v>
      </c>
      <c r="J237" s="69">
        <v>40</v>
      </c>
      <c r="K237" s="70">
        <v>2</v>
      </c>
      <c r="L237" s="68">
        <v>2</v>
      </c>
      <c r="M237" s="68">
        <f>_xlfn.XLOOKUP(Survey!$F237,sections[Start],sections[Test Section],,-1,1)</f>
        <v>1</v>
      </c>
      <c r="N237" s="55">
        <f>_xlfn.XLOOKUP(Survey!$K237,pipedata[ID],pipedata[WT])</f>
        <v>0.74</v>
      </c>
      <c r="O237" s="56">
        <f>_xlfn.XLOOKUP(Survey!$K237,pipedata[ID],pipedata[104%])</f>
        <v>2565.3333333333335</v>
      </c>
      <c r="P237" s="57">
        <f t="shared" si="3"/>
        <v>1850</v>
      </c>
      <c r="Q237" s="58">
        <f>_xlfn.MAXIFS(Survey!$G$2:$G$3647,Survey!$M$2:$M$3647,Survey!$M237)-Survey!$G237</f>
        <v>755.30486632236011</v>
      </c>
      <c r="R237" s="59">
        <f>Survey!$P237+(Survey!$Q237*0.433)</f>
        <v>2177.0470071175819</v>
      </c>
    </row>
    <row r="238" spans="1:18" x14ac:dyDescent="0.25">
      <c r="A238" s="71" t="s">
        <v>17</v>
      </c>
      <c r="B238" s="72" t="s">
        <v>18</v>
      </c>
      <c r="C238" s="73" t="s">
        <v>19</v>
      </c>
      <c r="D238" s="74">
        <v>228.87972833676764</v>
      </c>
      <c r="E238" s="81">
        <v>1236329</v>
      </c>
      <c r="F238" s="82">
        <v>1209453.6774193542</v>
      </c>
      <c r="G238" s="75">
        <v>1592.4986897211375</v>
      </c>
      <c r="H238" s="76">
        <v>2</v>
      </c>
      <c r="I238" s="54" t="s">
        <v>20</v>
      </c>
      <c r="J238" s="77">
        <v>40</v>
      </c>
      <c r="K238" s="78">
        <v>2</v>
      </c>
      <c r="L238" s="54">
        <v>2</v>
      </c>
      <c r="M238" s="54">
        <f>_xlfn.XLOOKUP(Survey!$F238,sections[Start],sections[Test Section],,-1,1)</f>
        <v>1</v>
      </c>
      <c r="N238" s="55">
        <f>_xlfn.XLOOKUP(Survey!$K238,pipedata[ID],pipedata[WT])</f>
        <v>0.74</v>
      </c>
      <c r="O238" s="56">
        <f>_xlfn.XLOOKUP(Survey!$K238,pipedata[ID],pipedata[104%])</f>
        <v>2565.3333333333335</v>
      </c>
      <c r="P238" s="57">
        <f t="shared" si="3"/>
        <v>1850</v>
      </c>
      <c r="Q238" s="58">
        <f>_xlfn.MAXIFS(Survey!$G$2:$G$3647,Survey!$M$2:$M$3647,Survey!$M238)-Survey!$G238</f>
        <v>761.65139786662803</v>
      </c>
      <c r="R238" s="59">
        <f>Survey!$P238+(Survey!$Q238*0.433)</f>
        <v>2179.79505527625</v>
      </c>
    </row>
    <row r="239" spans="1:18" x14ac:dyDescent="0.25">
      <c r="A239" s="60" t="s">
        <v>17</v>
      </c>
      <c r="B239" s="61" t="s">
        <v>18</v>
      </c>
      <c r="C239" s="62" t="s">
        <v>19</v>
      </c>
      <c r="D239" s="63">
        <v>228.88561852324699</v>
      </c>
      <c r="E239" s="79">
        <v>1236369</v>
      </c>
      <c r="F239" s="80">
        <v>1209490.7096774187</v>
      </c>
      <c r="G239" s="66">
        <v>1588.1851870117523</v>
      </c>
      <c r="H239" s="67">
        <v>2</v>
      </c>
      <c r="I239" s="68" t="s">
        <v>20</v>
      </c>
      <c r="J239" s="69">
        <v>40</v>
      </c>
      <c r="K239" s="70">
        <v>2</v>
      </c>
      <c r="L239" s="68">
        <v>2</v>
      </c>
      <c r="M239" s="68">
        <f>_xlfn.XLOOKUP(Survey!$F239,sections[Start],sections[Test Section],,-1,1)</f>
        <v>1</v>
      </c>
      <c r="N239" s="55">
        <f>_xlfn.XLOOKUP(Survey!$K239,pipedata[ID],pipedata[WT])</f>
        <v>0.74</v>
      </c>
      <c r="O239" s="56">
        <f>_xlfn.XLOOKUP(Survey!$K239,pipedata[ID],pipedata[104%])</f>
        <v>2565.3333333333335</v>
      </c>
      <c r="P239" s="57">
        <f t="shared" si="3"/>
        <v>1850</v>
      </c>
      <c r="Q239" s="58">
        <f>_xlfn.MAXIFS(Survey!$G$2:$G$3647,Survey!$M$2:$M$3647,Survey!$M239)-Survey!$G239</f>
        <v>765.96490057601318</v>
      </c>
      <c r="R239" s="59">
        <f>Survey!$P239+(Survey!$Q239*0.433)</f>
        <v>2181.6628019494137</v>
      </c>
    </row>
    <row r="240" spans="1:18" x14ac:dyDescent="0.25">
      <c r="A240" s="71" t="s">
        <v>17</v>
      </c>
      <c r="B240" s="72" t="s">
        <v>18</v>
      </c>
      <c r="C240" s="73" t="s">
        <v>19</v>
      </c>
      <c r="D240" s="74">
        <v>228.894752117374</v>
      </c>
      <c r="E240" s="81">
        <v>1236409</v>
      </c>
      <c r="F240" s="82">
        <v>1209527.7419354832</v>
      </c>
      <c r="G240" s="75">
        <v>1584.2602025434121</v>
      </c>
      <c r="H240" s="76">
        <v>2</v>
      </c>
      <c r="I240" s="54" t="s">
        <v>20</v>
      </c>
      <c r="J240" s="77">
        <v>40</v>
      </c>
      <c r="K240" s="78">
        <v>2</v>
      </c>
      <c r="L240" s="54">
        <v>2</v>
      </c>
      <c r="M240" s="54">
        <f>_xlfn.XLOOKUP(Survey!$F240,sections[Start],sections[Test Section],,-1,1)</f>
        <v>1</v>
      </c>
      <c r="N240" s="55">
        <f>_xlfn.XLOOKUP(Survey!$K240,pipedata[ID],pipedata[WT])</f>
        <v>0.74</v>
      </c>
      <c r="O240" s="56">
        <f>_xlfn.XLOOKUP(Survey!$K240,pipedata[ID],pipedata[104%])</f>
        <v>2565.3333333333335</v>
      </c>
      <c r="P240" s="57">
        <f t="shared" si="3"/>
        <v>1850</v>
      </c>
      <c r="Q240" s="58">
        <f>_xlfn.MAXIFS(Survey!$G$2:$G$3647,Survey!$M$2:$M$3647,Survey!$M240)-Survey!$G240</f>
        <v>769.88988504435338</v>
      </c>
      <c r="R240" s="59">
        <f>Survey!$P240+(Survey!$Q240*0.433)</f>
        <v>2183.3623202242052</v>
      </c>
    </row>
    <row r="241" spans="1:18" x14ac:dyDescent="0.25">
      <c r="A241" s="60" t="s">
        <v>17</v>
      </c>
      <c r="B241" s="61" t="s">
        <v>18</v>
      </c>
      <c r="C241" s="62" t="s">
        <v>19</v>
      </c>
      <c r="D241" s="63">
        <v>228.90148141542903</v>
      </c>
      <c r="E241" s="79">
        <v>1236449</v>
      </c>
      <c r="F241" s="80">
        <v>1209564.7741935477</v>
      </c>
      <c r="G241" s="66">
        <v>1583.3412818095219</v>
      </c>
      <c r="H241" s="67">
        <v>2</v>
      </c>
      <c r="I241" s="68" t="s">
        <v>20</v>
      </c>
      <c r="J241" s="69">
        <v>40</v>
      </c>
      <c r="K241" s="70">
        <v>2</v>
      </c>
      <c r="L241" s="68">
        <v>2</v>
      </c>
      <c r="M241" s="68">
        <f>_xlfn.XLOOKUP(Survey!$F241,sections[Start],sections[Test Section],,-1,1)</f>
        <v>1</v>
      </c>
      <c r="N241" s="55">
        <f>_xlfn.XLOOKUP(Survey!$K241,pipedata[ID],pipedata[WT])</f>
        <v>0.74</v>
      </c>
      <c r="O241" s="56">
        <f>_xlfn.XLOOKUP(Survey!$K241,pipedata[ID],pipedata[104%])</f>
        <v>2565.3333333333335</v>
      </c>
      <c r="P241" s="57">
        <f t="shared" si="3"/>
        <v>1850</v>
      </c>
      <c r="Q241" s="58">
        <f>_xlfn.MAXIFS(Survey!$G$2:$G$3647,Survey!$M$2:$M$3647,Survey!$M241)-Survey!$G241</f>
        <v>770.8088057782436</v>
      </c>
      <c r="R241" s="59">
        <f>Survey!$P241+(Survey!$Q241*0.433)</f>
        <v>2183.7602129019797</v>
      </c>
    </row>
    <row r="242" spans="1:18" x14ac:dyDescent="0.25">
      <c r="A242" s="71" t="s">
        <v>17</v>
      </c>
      <c r="B242" s="72" t="s">
        <v>18</v>
      </c>
      <c r="C242" s="73" t="s">
        <v>19</v>
      </c>
      <c r="D242" s="74">
        <v>228.90963393010153</v>
      </c>
      <c r="E242" s="81">
        <v>1236489</v>
      </c>
      <c r="F242" s="82">
        <v>1209601.8064516122</v>
      </c>
      <c r="G242" s="75">
        <v>1583.2098886478207</v>
      </c>
      <c r="H242" s="76">
        <v>2</v>
      </c>
      <c r="I242" s="54" t="s">
        <v>20</v>
      </c>
      <c r="J242" s="77">
        <v>40</v>
      </c>
      <c r="K242" s="78">
        <v>2</v>
      </c>
      <c r="L242" s="54">
        <v>2</v>
      </c>
      <c r="M242" s="54">
        <f>_xlfn.XLOOKUP(Survey!$F242,sections[Start],sections[Test Section],,-1,1)</f>
        <v>1</v>
      </c>
      <c r="N242" s="55">
        <f>_xlfn.XLOOKUP(Survey!$K242,pipedata[ID],pipedata[WT])</f>
        <v>0.74</v>
      </c>
      <c r="O242" s="56">
        <f>_xlfn.XLOOKUP(Survey!$K242,pipedata[ID],pipedata[104%])</f>
        <v>2565.3333333333335</v>
      </c>
      <c r="P242" s="57">
        <f t="shared" si="3"/>
        <v>1850</v>
      </c>
      <c r="Q242" s="58">
        <f>_xlfn.MAXIFS(Survey!$G$2:$G$3647,Survey!$M$2:$M$3647,Survey!$M242)-Survey!$G242</f>
        <v>770.94019893994482</v>
      </c>
      <c r="R242" s="59">
        <f>Survey!$P242+(Survey!$Q242*0.433)</f>
        <v>2183.8171061409962</v>
      </c>
    </row>
    <row r="243" spans="1:18" x14ac:dyDescent="0.25">
      <c r="A243" s="60" t="s">
        <v>17</v>
      </c>
      <c r="B243" s="61" t="s">
        <v>18</v>
      </c>
      <c r="C243" s="62" t="s">
        <v>19</v>
      </c>
      <c r="D243" s="63">
        <v>228.91686158610199</v>
      </c>
      <c r="E243" s="79">
        <v>1236529</v>
      </c>
      <c r="F243" s="80">
        <v>1209638.8387096766</v>
      </c>
      <c r="G243" s="66">
        <v>1581.2879556781857</v>
      </c>
      <c r="H243" s="67">
        <v>2</v>
      </c>
      <c r="I243" s="68" t="s">
        <v>20</v>
      </c>
      <c r="J243" s="69">
        <v>40</v>
      </c>
      <c r="K243" s="70">
        <v>2</v>
      </c>
      <c r="L243" s="68">
        <v>2</v>
      </c>
      <c r="M243" s="68">
        <f>_xlfn.XLOOKUP(Survey!$F243,sections[Start],sections[Test Section],,-1,1)</f>
        <v>1</v>
      </c>
      <c r="N243" s="55">
        <f>_xlfn.XLOOKUP(Survey!$K243,pipedata[ID],pipedata[WT])</f>
        <v>0.74</v>
      </c>
      <c r="O243" s="56">
        <f>_xlfn.XLOOKUP(Survey!$K243,pipedata[ID],pipedata[104%])</f>
        <v>2565.3333333333335</v>
      </c>
      <c r="P243" s="57">
        <f t="shared" si="3"/>
        <v>1850</v>
      </c>
      <c r="Q243" s="58">
        <f>_xlfn.MAXIFS(Survey!$G$2:$G$3647,Survey!$M$2:$M$3647,Survey!$M243)-Survey!$G243</f>
        <v>772.86213190957983</v>
      </c>
      <c r="R243" s="59">
        <f>Survey!$P243+(Survey!$Q243*0.433)</f>
        <v>2184.6493031168479</v>
      </c>
    </row>
    <row r="244" spans="1:18" x14ac:dyDescent="0.25">
      <c r="A244" s="71" t="s">
        <v>17</v>
      </c>
      <c r="B244" s="72" t="s">
        <v>18</v>
      </c>
      <c r="C244" s="73" t="s">
        <v>19</v>
      </c>
      <c r="D244" s="74">
        <v>228.92448633155382</v>
      </c>
      <c r="E244" s="81">
        <v>1236569</v>
      </c>
      <c r="F244" s="82">
        <v>1209675.8709677411</v>
      </c>
      <c r="G244" s="75">
        <v>1578.6538272088233</v>
      </c>
      <c r="H244" s="76">
        <v>2</v>
      </c>
      <c r="I244" s="54" t="s">
        <v>20</v>
      </c>
      <c r="J244" s="77">
        <v>40</v>
      </c>
      <c r="K244" s="78">
        <v>2</v>
      </c>
      <c r="L244" s="54">
        <v>2</v>
      </c>
      <c r="M244" s="54">
        <f>_xlfn.XLOOKUP(Survey!$F244,sections[Start],sections[Test Section],,-1,1)</f>
        <v>1</v>
      </c>
      <c r="N244" s="55">
        <f>_xlfn.XLOOKUP(Survey!$K244,pipedata[ID],pipedata[WT])</f>
        <v>0.74</v>
      </c>
      <c r="O244" s="56">
        <f>_xlfn.XLOOKUP(Survey!$K244,pipedata[ID],pipedata[104%])</f>
        <v>2565.3333333333335</v>
      </c>
      <c r="P244" s="57">
        <f t="shared" si="3"/>
        <v>1850</v>
      </c>
      <c r="Q244" s="58">
        <f>_xlfn.MAXIFS(Survey!$G$2:$G$3647,Survey!$M$2:$M$3647,Survey!$M244)-Survey!$G244</f>
        <v>775.49626037894222</v>
      </c>
      <c r="R244" s="59">
        <f>Survey!$P244+(Survey!$Q244*0.433)</f>
        <v>2185.789880744082</v>
      </c>
    </row>
    <row r="245" spans="1:18" x14ac:dyDescent="0.25">
      <c r="A245" s="60" t="s">
        <v>17</v>
      </c>
      <c r="B245" s="61" t="s">
        <v>18</v>
      </c>
      <c r="C245" s="62" t="s">
        <v>19</v>
      </c>
      <c r="D245" s="63">
        <v>228.93223597648873</v>
      </c>
      <c r="E245" s="79">
        <v>1236609</v>
      </c>
      <c r="F245" s="80">
        <v>1209712.9032258056</v>
      </c>
      <c r="G245" s="66">
        <v>1574.0635518662893</v>
      </c>
      <c r="H245" s="67">
        <v>2</v>
      </c>
      <c r="I245" s="68" t="s">
        <v>20</v>
      </c>
      <c r="J245" s="69">
        <v>40</v>
      </c>
      <c r="K245" s="70">
        <v>2</v>
      </c>
      <c r="L245" s="68">
        <v>2</v>
      </c>
      <c r="M245" s="68">
        <f>_xlfn.XLOOKUP(Survey!$F245,sections[Start],sections[Test Section],,-1,1)</f>
        <v>1</v>
      </c>
      <c r="N245" s="55">
        <f>_xlfn.XLOOKUP(Survey!$K245,pipedata[ID],pipedata[WT])</f>
        <v>0.74</v>
      </c>
      <c r="O245" s="56">
        <f>_xlfn.XLOOKUP(Survey!$K245,pipedata[ID],pipedata[104%])</f>
        <v>2565.3333333333335</v>
      </c>
      <c r="P245" s="57">
        <f t="shared" si="3"/>
        <v>1850</v>
      </c>
      <c r="Q245" s="58">
        <f>_xlfn.MAXIFS(Survey!$G$2:$G$3647,Survey!$M$2:$M$3647,Survey!$M245)-Survey!$G245</f>
        <v>780.08653572147614</v>
      </c>
      <c r="R245" s="59">
        <f>Survey!$P245+(Survey!$Q245*0.433)</f>
        <v>2187.7774699673992</v>
      </c>
    </row>
    <row r="246" spans="1:18" x14ac:dyDescent="0.25">
      <c r="A246" s="71" t="s">
        <v>17</v>
      </c>
      <c r="B246" s="72" t="s">
        <v>18</v>
      </c>
      <c r="C246" s="73" t="s">
        <v>19</v>
      </c>
      <c r="D246" s="74">
        <v>228.93812359280997</v>
      </c>
      <c r="E246" s="81">
        <v>1236649</v>
      </c>
      <c r="F246" s="82">
        <v>1209749.9354838701</v>
      </c>
      <c r="G246" s="75">
        <v>1566.8683640000277</v>
      </c>
      <c r="H246" s="76">
        <v>2</v>
      </c>
      <c r="I246" s="54" t="s">
        <v>20</v>
      </c>
      <c r="J246" s="77">
        <v>25</v>
      </c>
      <c r="K246" s="78">
        <v>2</v>
      </c>
      <c r="L246" s="54">
        <v>2</v>
      </c>
      <c r="M246" s="54">
        <f>_xlfn.XLOOKUP(Survey!$F246,sections[Start],sections[Test Section],,-1,1)</f>
        <v>1</v>
      </c>
      <c r="N246" s="55">
        <f>_xlfn.XLOOKUP(Survey!$K246,pipedata[ID],pipedata[WT])</f>
        <v>0.74</v>
      </c>
      <c r="O246" s="56">
        <f>_xlfn.XLOOKUP(Survey!$K246,pipedata[ID],pipedata[104%])</f>
        <v>2565.3333333333335</v>
      </c>
      <c r="P246" s="57">
        <f t="shared" si="3"/>
        <v>1850</v>
      </c>
      <c r="Q246" s="58">
        <f>_xlfn.MAXIFS(Survey!$G$2:$G$3647,Survey!$M$2:$M$3647,Survey!$M246)-Survey!$G246</f>
        <v>787.28172358773782</v>
      </c>
      <c r="R246" s="59">
        <f>Survey!$P246+(Survey!$Q246*0.433)</f>
        <v>2190.8929863134904</v>
      </c>
    </row>
    <row r="247" spans="1:18" x14ac:dyDescent="0.25">
      <c r="A247" s="60" t="s">
        <v>17</v>
      </c>
      <c r="B247" s="61" t="s">
        <v>18</v>
      </c>
      <c r="C247" s="62" t="s">
        <v>19</v>
      </c>
      <c r="D247" s="63">
        <v>228.94565898552227</v>
      </c>
      <c r="E247" s="79">
        <v>1236674</v>
      </c>
      <c r="F247" s="80">
        <v>1209824</v>
      </c>
      <c r="G247" s="66">
        <v>1533.563580146184</v>
      </c>
      <c r="H247" s="67">
        <v>2</v>
      </c>
      <c r="I247" s="68" t="s">
        <v>21</v>
      </c>
      <c r="J247" s="69">
        <v>40</v>
      </c>
      <c r="K247" s="70">
        <v>4</v>
      </c>
      <c r="L247" s="68">
        <v>2</v>
      </c>
      <c r="M247" s="68">
        <f>_xlfn.XLOOKUP(Survey!$F247,sections[Start],sections[Test Section],,-1,1)</f>
        <v>1</v>
      </c>
      <c r="N247" s="55">
        <f>_xlfn.XLOOKUP(Survey!$K247,pipedata[ID],pipedata[WT])</f>
        <v>0.74</v>
      </c>
      <c r="O247" s="56">
        <f>_xlfn.XLOOKUP(Survey!$K247,pipedata[ID],pipedata[104%])</f>
        <v>2565.3333333333335</v>
      </c>
      <c r="P247" s="57">
        <f t="shared" si="3"/>
        <v>1850</v>
      </c>
      <c r="Q247" s="58">
        <f>_xlfn.MAXIFS(Survey!$G$2:$G$3647,Survey!$M$2:$M$3647,Survey!$M247)-Survey!$G247</f>
        <v>820.58650744158149</v>
      </c>
      <c r="R247" s="59">
        <f>Survey!$P247+(Survey!$Q247*0.433)</f>
        <v>2205.3139577222046</v>
      </c>
    </row>
    <row r="248" spans="1:18" x14ac:dyDescent="0.25">
      <c r="A248" s="71" t="s">
        <v>17</v>
      </c>
      <c r="B248" s="72" t="s">
        <v>18</v>
      </c>
      <c r="C248" s="73" t="s">
        <v>19</v>
      </c>
      <c r="D248" s="74">
        <v>228.95186136422552</v>
      </c>
      <c r="E248" s="81">
        <v>1236714</v>
      </c>
      <c r="F248" s="82">
        <v>1209864</v>
      </c>
      <c r="G248" s="75">
        <v>1529.5128424547986</v>
      </c>
      <c r="H248" s="76">
        <v>2</v>
      </c>
      <c r="I248" s="54" t="s">
        <v>20</v>
      </c>
      <c r="J248" s="77">
        <v>55</v>
      </c>
      <c r="K248" s="78">
        <v>2</v>
      </c>
      <c r="L248" s="54">
        <v>2</v>
      </c>
      <c r="M248" s="54">
        <f>_xlfn.XLOOKUP(Survey!$F248,sections[Start],sections[Test Section],,-1,1)</f>
        <v>1</v>
      </c>
      <c r="N248" s="55">
        <f>_xlfn.XLOOKUP(Survey!$K248,pipedata[ID],pipedata[WT])</f>
        <v>0.74</v>
      </c>
      <c r="O248" s="56">
        <f>_xlfn.XLOOKUP(Survey!$K248,pipedata[ID],pipedata[104%])</f>
        <v>2565.3333333333335</v>
      </c>
      <c r="P248" s="57">
        <f t="shared" si="3"/>
        <v>1850</v>
      </c>
      <c r="Q248" s="58">
        <f>_xlfn.MAXIFS(Survey!$G$2:$G$3647,Survey!$M$2:$M$3647,Survey!$M248)-Survey!$G248</f>
        <v>824.63724513296688</v>
      </c>
      <c r="R248" s="59">
        <f>Survey!$P248+(Survey!$Q248*0.433)</f>
        <v>2207.0679271425747</v>
      </c>
    </row>
    <row r="249" spans="1:18" x14ac:dyDescent="0.25">
      <c r="A249" s="60" t="s">
        <v>17</v>
      </c>
      <c r="B249" s="61" t="s">
        <v>18</v>
      </c>
      <c r="C249" s="62" t="s">
        <v>19</v>
      </c>
      <c r="D249" s="63">
        <v>228.95971151932008</v>
      </c>
      <c r="E249" s="79">
        <v>1236769</v>
      </c>
      <c r="F249" s="80">
        <v>1209898.125</v>
      </c>
      <c r="G249" s="66">
        <v>1531.5432328921361</v>
      </c>
      <c r="H249" s="67">
        <v>2</v>
      </c>
      <c r="I249" s="68" t="s">
        <v>20</v>
      </c>
      <c r="J249" s="69">
        <v>40</v>
      </c>
      <c r="K249" s="70">
        <v>2</v>
      </c>
      <c r="L249" s="68">
        <v>2</v>
      </c>
      <c r="M249" s="68">
        <f>_xlfn.XLOOKUP(Survey!$F249,sections[Start],sections[Test Section],,-1,1)</f>
        <v>1</v>
      </c>
      <c r="N249" s="55">
        <f>_xlfn.XLOOKUP(Survey!$K249,pipedata[ID],pipedata[WT])</f>
        <v>0.74</v>
      </c>
      <c r="O249" s="56">
        <f>_xlfn.XLOOKUP(Survey!$K249,pipedata[ID],pipedata[104%])</f>
        <v>2565.3333333333335</v>
      </c>
      <c r="P249" s="57">
        <f t="shared" si="3"/>
        <v>1850</v>
      </c>
      <c r="Q249" s="58">
        <f>_xlfn.MAXIFS(Survey!$G$2:$G$3647,Survey!$M$2:$M$3647,Survey!$M249)-Survey!$G249</f>
        <v>822.60685469562941</v>
      </c>
      <c r="R249" s="59">
        <f>Survey!$P249+(Survey!$Q249*0.433)</f>
        <v>2206.1887680832074</v>
      </c>
    </row>
    <row r="250" spans="1:18" x14ac:dyDescent="0.25">
      <c r="A250" s="71" t="s">
        <v>17</v>
      </c>
      <c r="B250" s="72" t="s">
        <v>18</v>
      </c>
      <c r="C250" s="73" t="s">
        <v>19</v>
      </c>
      <c r="D250" s="74">
        <v>228.96756167441472</v>
      </c>
      <c r="E250" s="81">
        <v>1236809</v>
      </c>
      <c r="F250" s="82">
        <v>1209932.25</v>
      </c>
      <c r="G250" s="75">
        <v>1528.9453446756504</v>
      </c>
      <c r="H250" s="76">
        <v>2</v>
      </c>
      <c r="I250" s="54" t="s">
        <v>20</v>
      </c>
      <c r="J250" s="77">
        <v>40</v>
      </c>
      <c r="K250" s="78">
        <v>2</v>
      </c>
      <c r="L250" s="54">
        <v>2</v>
      </c>
      <c r="M250" s="54">
        <f>_xlfn.XLOOKUP(Survey!$F250,sections[Start],sections[Test Section],,-1,1)</f>
        <v>1</v>
      </c>
      <c r="N250" s="55">
        <f>_xlfn.XLOOKUP(Survey!$K250,pipedata[ID],pipedata[WT])</f>
        <v>0.74</v>
      </c>
      <c r="O250" s="56">
        <f>_xlfn.XLOOKUP(Survey!$K250,pipedata[ID],pipedata[104%])</f>
        <v>2565.3333333333335</v>
      </c>
      <c r="P250" s="57">
        <f t="shared" si="3"/>
        <v>1850</v>
      </c>
      <c r="Q250" s="58">
        <f>_xlfn.MAXIFS(Survey!$G$2:$G$3647,Survey!$M$2:$M$3647,Survey!$M250)-Survey!$G250</f>
        <v>825.20474291211508</v>
      </c>
      <c r="R250" s="59">
        <f>Survey!$P250+(Survey!$Q250*0.433)</f>
        <v>2207.3136536809457</v>
      </c>
    </row>
    <row r="251" spans="1:18" x14ac:dyDescent="0.25">
      <c r="A251" s="60" t="s">
        <v>17</v>
      </c>
      <c r="B251" s="61" t="s">
        <v>18</v>
      </c>
      <c r="C251" s="62" t="s">
        <v>19</v>
      </c>
      <c r="D251" s="63">
        <v>228.97541182950954</v>
      </c>
      <c r="E251" s="79">
        <v>1236849</v>
      </c>
      <c r="F251" s="80">
        <v>1209966.375</v>
      </c>
      <c r="G251" s="66">
        <v>1524.958313429702</v>
      </c>
      <c r="H251" s="67">
        <v>2</v>
      </c>
      <c r="I251" s="68" t="s">
        <v>20</v>
      </c>
      <c r="J251" s="69">
        <v>40</v>
      </c>
      <c r="K251" s="70">
        <v>2</v>
      </c>
      <c r="L251" s="68">
        <v>2</v>
      </c>
      <c r="M251" s="68">
        <f>_xlfn.XLOOKUP(Survey!$F251,sections[Start],sections[Test Section],,-1,1)</f>
        <v>1</v>
      </c>
      <c r="N251" s="55">
        <f>_xlfn.XLOOKUP(Survey!$K251,pipedata[ID],pipedata[WT])</f>
        <v>0.74</v>
      </c>
      <c r="O251" s="56">
        <f>_xlfn.XLOOKUP(Survey!$K251,pipedata[ID],pipedata[104%])</f>
        <v>2565.3333333333335</v>
      </c>
      <c r="P251" s="57">
        <f t="shared" si="3"/>
        <v>1850</v>
      </c>
      <c r="Q251" s="58">
        <f>_xlfn.MAXIFS(Survey!$G$2:$G$3647,Survey!$M$2:$M$3647,Survey!$M251)-Survey!$G251</f>
        <v>829.19177415806348</v>
      </c>
      <c r="R251" s="59">
        <f>Survey!$P251+(Survey!$Q251*0.433)</f>
        <v>2209.0400382104417</v>
      </c>
    </row>
    <row r="252" spans="1:18" x14ac:dyDescent="0.25">
      <c r="A252" s="71" t="s">
        <v>17</v>
      </c>
      <c r="B252" s="72" t="s">
        <v>18</v>
      </c>
      <c r="C252" s="73" t="s">
        <v>19</v>
      </c>
      <c r="D252" s="74">
        <v>228.98326198460401</v>
      </c>
      <c r="E252" s="81">
        <v>1236889</v>
      </c>
      <c r="F252" s="82">
        <v>1210000.5</v>
      </c>
      <c r="G252" s="75">
        <v>1522.8505247882977</v>
      </c>
      <c r="H252" s="76">
        <v>2</v>
      </c>
      <c r="I252" s="54" t="s">
        <v>20</v>
      </c>
      <c r="J252" s="77">
        <v>40</v>
      </c>
      <c r="K252" s="78">
        <v>2</v>
      </c>
      <c r="L252" s="54">
        <v>2</v>
      </c>
      <c r="M252" s="54">
        <f>_xlfn.XLOOKUP(Survey!$F252,sections[Start],sections[Test Section],,-1,1)</f>
        <v>1</v>
      </c>
      <c r="N252" s="55">
        <f>_xlfn.XLOOKUP(Survey!$K252,pipedata[ID],pipedata[WT])</f>
        <v>0.74</v>
      </c>
      <c r="O252" s="56">
        <f>_xlfn.XLOOKUP(Survey!$K252,pipedata[ID],pipedata[104%])</f>
        <v>2565.3333333333335</v>
      </c>
      <c r="P252" s="57">
        <f t="shared" si="3"/>
        <v>1850</v>
      </c>
      <c r="Q252" s="58">
        <f>_xlfn.MAXIFS(Survey!$G$2:$G$3647,Survey!$M$2:$M$3647,Survey!$M252)-Survey!$G252</f>
        <v>831.29956279946782</v>
      </c>
      <c r="R252" s="59">
        <f>Survey!$P252+(Survey!$Q252*0.433)</f>
        <v>2209.9527106921696</v>
      </c>
    </row>
    <row r="253" spans="1:18" x14ac:dyDescent="0.25">
      <c r="A253" s="60" t="s">
        <v>17</v>
      </c>
      <c r="B253" s="61" t="s">
        <v>18</v>
      </c>
      <c r="C253" s="62" t="s">
        <v>19</v>
      </c>
      <c r="D253" s="63">
        <v>228.99041736292727</v>
      </c>
      <c r="E253" s="79">
        <v>1236929</v>
      </c>
      <c r="F253" s="80">
        <v>1210034.625</v>
      </c>
      <c r="G253" s="66">
        <v>1523.9716306084022</v>
      </c>
      <c r="H253" s="67">
        <v>2</v>
      </c>
      <c r="I253" s="68" t="s">
        <v>20</v>
      </c>
      <c r="J253" s="69">
        <v>40</v>
      </c>
      <c r="K253" s="70">
        <v>2</v>
      </c>
      <c r="L253" s="68">
        <v>2</v>
      </c>
      <c r="M253" s="68">
        <f>_xlfn.XLOOKUP(Survey!$F253,sections[Start],sections[Test Section],,-1,1)</f>
        <v>1</v>
      </c>
      <c r="N253" s="55">
        <f>_xlfn.XLOOKUP(Survey!$K253,pipedata[ID],pipedata[WT])</f>
        <v>0.74</v>
      </c>
      <c r="O253" s="56">
        <f>_xlfn.XLOOKUP(Survey!$K253,pipedata[ID],pipedata[104%])</f>
        <v>2565.3333333333335</v>
      </c>
      <c r="P253" s="57">
        <f t="shared" si="3"/>
        <v>1850</v>
      </c>
      <c r="Q253" s="58">
        <f>_xlfn.MAXIFS(Survey!$G$2:$G$3647,Survey!$M$2:$M$3647,Survey!$M253)-Survey!$G253</f>
        <v>830.17845697936332</v>
      </c>
      <c r="R253" s="59">
        <f>Survey!$P253+(Survey!$Q253*0.433)</f>
        <v>2209.4672718720644</v>
      </c>
    </row>
    <row r="254" spans="1:18" x14ac:dyDescent="0.25">
      <c r="A254" s="71" t="s">
        <v>17</v>
      </c>
      <c r="B254" s="72" t="s">
        <v>18</v>
      </c>
      <c r="C254" s="73" t="s">
        <v>19</v>
      </c>
      <c r="D254" s="74">
        <v>228.99699975601962</v>
      </c>
      <c r="E254" s="81">
        <v>1236969</v>
      </c>
      <c r="F254" s="82">
        <v>1210068.75</v>
      </c>
      <c r="G254" s="75">
        <v>1523.7240316167799</v>
      </c>
      <c r="H254" s="76">
        <v>2</v>
      </c>
      <c r="I254" s="54" t="s">
        <v>20</v>
      </c>
      <c r="J254" s="77">
        <v>26</v>
      </c>
      <c r="K254" s="78">
        <v>2</v>
      </c>
      <c r="L254" s="54">
        <v>2</v>
      </c>
      <c r="M254" s="54">
        <f>_xlfn.XLOOKUP(Survey!$F254,sections[Start],sections[Test Section],,-1,1)</f>
        <v>1</v>
      </c>
      <c r="N254" s="55">
        <f>_xlfn.XLOOKUP(Survey!$K254,pipedata[ID],pipedata[WT])</f>
        <v>0.74</v>
      </c>
      <c r="O254" s="56">
        <f>_xlfn.XLOOKUP(Survey!$K254,pipedata[ID],pipedata[104%])</f>
        <v>2565.3333333333335</v>
      </c>
      <c r="P254" s="57">
        <f t="shared" si="3"/>
        <v>1850</v>
      </c>
      <c r="Q254" s="58">
        <f>_xlfn.MAXIFS(Survey!$G$2:$G$3647,Survey!$M$2:$M$3647,Survey!$M254)-Survey!$G254</f>
        <v>830.42605597098554</v>
      </c>
      <c r="R254" s="59">
        <f>Survey!$P254+(Survey!$Q254*0.433)</f>
        <v>2209.5744822354368</v>
      </c>
    </row>
    <row r="255" spans="1:18" x14ac:dyDescent="0.25">
      <c r="A255" s="60" t="s">
        <v>17</v>
      </c>
      <c r="B255" s="61" t="s">
        <v>18</v>
      </c>
      <c r="C255" s="62" t="s">
        <v>19</v>
      </c>
      <c r="D255" s="63">
        <v>229.00484991111426</v>
      </c>
      <c r="E255" s="79">
        <v>1236995</v>
      </c>
      <c r="F255" s="80">
        <v>1210137</v>
      </c>
      <c r="G255" s="66">
        <v>1499.297612556413</v>
      </c>
      <c r="H255" s="67">
        <v>2</v>
      </c>
      <c r="I255" s="68" t="s">
        <v>21</v>
      </c>
      <c r="J255" s="69">
        <v>40</v>
      </c>
      <c r="K255" s="70">
        <v>4</v>
      </c>
      <c r="L255" s="68">
        <v>2</v>
      </c>
      <c r="M255" s="68">
        <f>_xlfn.XLOOKUP(Survey!$F255,sections[Start],sections[Test Section],,-1,1)</f>
        <v>1</v>
      </c>
      <c r="N255" s="55">
        <f>_xlfn.XLOOKUP(Survey!$K255,pipedata[ID],pipedata[WT])</f>
        <v>0.74</v>
      </c>
      <c r="O255" s="56">
        <f>_xlfn.XLOOKUP(Survey!$K255,pipedata[ID],pipedata[104%])</f>
        <v>2565.3333333333335</v>
      </c>
      <c r="P255" s="57">
        <f t="shared" si="3"/>
        <v>1850</v>
      </c>
      <c r="Q255" s="58">
        <f>_xlfn.MAXIFS(Survey!$G$2:$G$3647,Survey!$M$2:$M$3647,Survey!$M255)-Survey!$G255</f>
        <v>854.85247503135247</v>
      </c>
      <c r="R255" s="59">
        <f>Survey!$P255+(Survey!$Q255*0.433)</f>
        <v>2220.1511216885756</v>
      </c>
    </row>
    <row r="256" spans="1:18" x14ac:dyDescent="0.25">
      <c r="A256" s="71" t="s">
        <v>17</v>
      </c>
      <c r="B256" s="72" t="s">
        <v>18</v>
      </c>
      <c r="C256" s="73" t="s">
        <v>19</v>
      </c>
      <c r="D256" s="74">
        <v>229.0120248554677</v>
      </c>
      <c r="E256" s="81">
        <v>1237035</v>
      </c>
      <c r="F256" s="82">
        <v>1210177</v>
      </c>
      <c r="G256" s="75">
        <v>1496.0257319451266</v>
      </c>
      <c r="H256" s="76">
        <v>2</v>
      </c>
      <c r="I256" s="54" t="s">
        <v>20</v>
      </c>
      <c r="J256" s="77">
        <v>54</v>
      </c>
      <c r="K256" s="78">
        <v>2</v>
      </c>
      <c r="L256" s="54">
        <v>2</v>
      </c>
      <c r="M256" s="54">
        <f>_xlfn.XLOOKUP(Survey!$F256,sections[Start],sections[Test Section],,-1,1)</f>
        <v>1</v>
      </c>
      <c r="N256" s="55">
        <f>_xlfn.XLOOKUP(Survey!$K256,pipedata[ID],pipedata[WT])</f>
        <v>0.74</v>
      </c>
      <c r="O256" s="56">
        <f>_xlfn.XLOOKUP(Survey!$K256,pipedata[ID],pipedata[104%])</f>
        <v>2565.3333333333335</v>
      </c>
      <c r="P256" s="57">
        <f t="shared" si="3"/>
        <v>1850</v>
      </c>
      <c r="Q256" s="58">
        <f>_xlfn.MAXIFS(Survey!$G$2:$G$3647,Survey!$M$2:$M$3647,Survey!$M256)-Survey!$G256</f>
        <v>858.12435564263887</v>
      </c>
      <c r="R256" s="59">
        <f>Survey!$P256+(Survey!$Q256*0.433)</f>
        <v>2221.5678459932624</v>
      </c>
    </row>
    <row r="257" spans="1:18" x14ac:dyDescent="0.25">
      <c r="A257" s="60" t="s">
        <v>17</v>
      </c>
      <c r="B257" s="61" t="s">
        <v>18</v>
      </c>
      <c r="C257" s="62" t="s">
        <v>19</v>
      </c>
      <c r="D257" s="63">
        <v>229.01974181708925</v>
      </c>
      <c r="E257" s="79">
        <v>1237089</v>
      </c>
      <c r="F257" s="80">
        <v>1210214.8235294118</v>
      </c>
      <c r="G257" s="66">
        <v>1501.2163205401878</v>
      </c>
      <c r="H257" s="67">
        <v>2</v>
      </c>
      <c r="I257" s="68" t="s">
        <v>20</v>
      </c>
      <c r="J257" s="69">
        <v>40</v>
      </c>
      <c r="K257" s="70">
        <v>2</v>
      </c>
      <c r="L257" s="68">
        <v>2</v>
      </c>
      <c r="M257" s="68">
        <f>_xlfn.XLOOKUP(Survey!$F257,sections[Start],sections[Test Section],,-1,1)</f>
        <v>1</v>
      </c>
      <c r="N257" s="55">
        <f>_xlfn.XLOOKUP(Survey!$K257,pipedata[ID],pipedata[WT])</f>
        <v>0.74</v>
      </c>
      <c r="O257" s="56">
        <f>_xlfn.XLOOKUP(Survey!$K257,pipedata[ID],pipedata[104%])</f>
        <v>2565.3333333333335</v>
      </c>
      <c r="P257" s="57">
        <f t="shared" si="3"/>
        <v>1850</v>
      </c>
      <c r="Q257" s="58">
        <f>_xlfn.MAXIFS(Survey!$G$2:$G$3647,Survey!$M$2:$M$3647,Survey!$M257)-Survey!$G257</f>
        <v>852.9337670475777</v>
      </c>
      <c r="R257" s="59">
        <f>Survey!$P257+(Survey!$Q257*0.433)</f>
        <v>2219.3203211316013</v>
      </c>
    </row>
    <row r="258" spans="1:18" x14ac:dyDescent="0.25">
      <c r="A258" s="71" t="s">
        <v>17</v>
      </c>
      <c r="B258" s="72" t="s">
        <v>18</v>
      </c>
      <c r="C258" s="73" t="s">
        <v>19</v>
      </c>
      <c r="D258" s="74">
        <v>229.02637136240944</v>
      </c>
      <c r="E258" s="81">
        <v>1237129</v>
      </c>
      <c r="F258" s="82">
        <v>1210252.6470588236</v>
      </c>
      <c r="G258" s="75">
        <v>1509.1092021560275</v>
      </c>
      <c r="H258" s="76">
        <v>2</v>
      </c>
      <c r="I258" s="54" t="s">
        <v>20</v>
      </c>
      <c r="J258" s="77">
        <v>40</v>
      </c>
      <c r="K258" s="78">
        <v>2</v>
      </c>
      <c r="L258" s="54">
        <v>2</v>
      </c>
      <c r="M258" s="54">
        <f>_xlfn.XLOOKUP(Survey!$F258,sections[Start],sections[Test Section],,-1,1)</f>
        <v>1</v>
      </c>
      <c r="N258" s="55">
        <f>_xlfn.XLOOKUP(Survey!$K258,pipedata[ID],pipedata[WT])</f>
        <v>0.74</v>
      </c>
      <c r="O258" s="56">
        <f>_xlfn.XLOOKUP(Survey!$K258,pipedata[ID],pipedata[104%])</f>
        <v>2565.3333333333335</v>
      </c>
      <c r="P258" s="57">
        <f t="shared" ref="P258:P321" si="4">IF(L258=1,1850,IF(L258=2,1850,2220))</f>
        <v>1850</v>
      </c>
      <c r="Q258" s="58">
        <f>_xlfn.MAXIFS(Survey!$G$2:$G$3647,Survey!$M$2:$M$3647,Survey!$M258)-Survey!$G258</f>
        <v>845.04088543173793</v>
      </c>
      <c r="R258" s="59">
        <f>Survey!$P258+(Survey!$Q258*0.433)</f>
        <v>2215.9027033919424</v>
      </c>
    </row>
    <row r="259" spans="1:18" x14ac:dyDescent="0.25">
      <c r="A259" s="60" t="s">
        <v>17</v>
      </c>
      <c r="B259" s="61" t="s">
        <v>18</v>
      </c>
      <c r="C259" s="62" t="s">
        <v>19</v>
      </c>
      <c r="D259" s="63">
        <v>229.03489753049004</v>
      </c>
      <c r="E259" s="79">
        <v>1237169</v>
      </c>
      <c r="F259" s="80">
        <v>1210290.4705882354</v>
      </c>
      <c r="G259" s="66">
        <v>1514.4626246545854</v>
      </c>
      <c r="H259" s="67">
        <v>2</v>
      </c>
      <c r="I259" s="68" t="s">
        <v>20</v>
      </c>
      <c r="J259" s="69">
        <v>40</v>
      </c>
      <c r="K259" s="70">
        <v>2</v>
      </c>
      <c r="L259" s="68">
        <v>2</v>
      </c>
      <c r="M259" s="68">
        <f>_xlfn.XLOOKUP(Survey!$F259,sections[Start],sections[Test Section],,-1,1)</f>
        <v>1</v>
      </c>
      <c r="N259" s="55">
        <f>_xlfn.XLOOKUP(Survey!$K259,pipedata[ID],pipedata[WT])</f>
        <v>0.74</v>
      </c>
      <c r="O259" s="56">
        <f>_xlfn.XLOOKUP(Survey!$K259,pipedata[ID],pipedata[104%])</f>
        <v>2565.3333333333335</v>
      </c>
      <c r="P259" s="57">
        <f t="shared" si="4"/>
        <v>1850</v>
      </c>
      <c r="Q259" s="58">
        <f>_xlfn.MAXIFS(Survey!$G$2:$G$3647,Survey!$M$2:$M$3647,Survey!$M259)-Survey!$G259</f>
        <v>839.68746293318009</v>
      </c>
      <c r="R259" s="59">
        <f>Survey!$P259+(Survey!$Q259*0.433)</f>
        <v>2213.5846714500672</v>
      </c>
    </row>
    <row r="260" spans="1:18" x14ac:dyDescent="0.25">
      <c r="A260" s="71" t="s">
        <v>17</v>
      </c>
      <c r="B260" s="72" t="s">
        <v>18</v>
      </c>
      <c r="C260" s="73" t="s">
        <v>19</v>
      </c>
      <c r="D260" s="74">
        <v>229.04191085983078</v>
      </c>
      <c r="E260" s="81">
        <v>1237209</v>
      </c>
      <c r="F260" s="82">
        <v>1210328.2941176472</v>
      </c>
      <c r="G260" s="75">
        <v>1515.2573262371588</v>
      </c>
      <c r="H260" s="76">
        <v>2</v>
      </c>
      <c r="I260" s="54" t="s">
        <v>20</v>
      </c>
      <c r="J260" s="77">
        <v>40</v>
      </c>
      <c r="K260" s="78">
        <v>2</v>
      </c>
      <c r="L260" s="54">
        <v>2</v>
      </c>
      <c r="M260" s="54">
        <f>_xlfn.XLOOKUP(Survey!$F260,sections[Start],sections[Test Section],,-1,1)</f>
        <v>1</v>
      </c>
      <c r="N260" s="55">
        <f>_xlfn.XLOOKUP(Survey!$K260,pipedata[ID],pipedata[WT])</f>
        <v>0.74</v>
      </c>
      <c r="O260" s="56">
        <f>_xlfn.XLOOKUP(Survey!$K260,pipedata[ID],pipedata[104%])</f>
        <v>2565.3333333333335</v>
      </c>
      <c r="P260" s="57">
        <f t="shared" si="4"/>
        <v>1850</v>
      </c>
      <c r="Q260" s="58">
        <f>_xlfn.MAXIFS(Survey!$G$2:$G$3647,Survey!$M$2:$M$3647,Survey!$M260)-Survey!$G260</f>
        <v>838.89276135060663</v>
      </c>
      <c r="R260" s="59">
        <f>Survey!$P260+(Survey!$Q260*0.433)</f>
        <v>2213.2405656648125</v>
      </c>
    </row>
    <row r="261" spans="1:18" x14ac:dyDescent="0.25">
      <c r="A261" s="60" t="s">
        <v>17</v>
      </c>
      <c r="B261" s="61" t="s">
        <v>18</v>
      </c>
      <c r="C261" s="62" t="s">
        <v>19</v>
      </c>
      <c r="D261" s="63">
        <v>229.04917867268946</v>
      </c>
      <c r="E261" s="79">
        <v>1237249</v>
      </c>
      <c r="F261" s="80">
        <v>1210366.117647059</v>
      </c>
      <c r="G261" s="66">
        <v>1514.9836849174387</v>
      </c>
      <c r="H261" s="67">
        <v>2</v>
      </c>
      <c r="I261" s="68" t="s">
        <v>20</v>
      </c>
      <c r="J261" s="69">
        <v>40</v>
      </c>
      <c r="K261" s="70">
        <v>2</v>
      </c>
      <c r="L261" s="68">
        <v>2</v>
      </c>
      <c r="M261" s="68">
        <f>_xlfn.XLOOKUP(Survey!$F261,sections[Start],sections[Test Section],,-1,1)</f>
        <v>1</v>
      </c>
      <c r="N261" s="55">
        <f>_xlfn.XLOOKUP(Survey!$K261,pipedata[ID],pipedata[WT])</f>
        <v>0.74</v>
      </c>
      <c r="O261" s="56">
        <f>_xlfn.XLOOKUP(Survey!$K261,pipedata[ID],pipedata[104%])</f>
        <v>2565.3333333333335</v>
      </c>
      <c r="P261" s="57">
        <f t="shared" si="4"/>
        <v>1850</v>
      </c>
      <c r="Q261" s="58">
        <f>_xlfn.MAXIFS(Survey!$G$2:$G$3647,Survey!$M$2:$M$3647,Survey!$M261)-Survey!$G261</f>
        <v>839.16640267032676</v>
      </c>
      <c r="R261" s="59">
        <f>Survey!$P261+(Survey!$Q261*0.433)</f>
        <v>2213.3590523562516</v>
      </c>
    </row>
    <row r="262" spans="1:18" x14ac:dyDescent="0.25">
      <c r="A262" s="71" t="s">
        <v>17</v>
      </c>
      <c r="B262" s="72" t="s">
        <v>18</v>
      </c>
      <c r="C262" s="73" t="s">
        <v>19</v>
      </c>
      <c r="D262" s="74">
        <v>229.05769085084785</v>
      </c>
      <c r="E262" s="81">
        <v>1237289</v>
      </c>
      <c r="F262" s="82">
        <v>1210403.9411764708</v>
      </c>
      <c r="G262" s="75">
        <v>1514.4306439719483</v>
      </c>
      <c r="H262" s="76">
        <v>2</v>
      </c>
      <c r="I262" s="54" t="s">
        <v>20</v>
      </c>
      <c r="J262" s="77">
        <v>40</v>
      </c>
      <c r="K262" s="78">
        <v>2</v>
      </c>
      <c r="L262" s="54">
        <v>2</v>
      </c>
      <c r="M262" s="54">
        <f>_xlfn.XLOOKUP(Survey!$F262,sections[Start],sections[Test Section],,-1,1)</f>
        <v>1</v>
      </c>
      <c r="N262" s="55">
        <f>_xlfn.XLOOKUP(Survey!$K262,pipedata[ID],pipedata[WT])</f>
        <v>0.74</v>
      </c>
      <c r="O262" s="56">
        <f>_xlfn.XLOOKUP(Survey!$K262,pipedata[ID],pipedata[104%])</f>
        <v>2565.3333333333335</v>
      </c>
      <c r="P262" s="57">
        <f t="shared" si="4"/>
        <v>1850</v>
      </c>
      <c r="Q262" s="58">
        <f>_xlfn.MAXIFS(Survey!$G$2:$G$3647,Survey!$M$2:$M$3647,Survey!$M262)-Survey!$G262</f>
        <v>839.71944361581723</v>
      </c>
      <c r="R262" s="59">
        <f>Survey!$P262+(Survey!$Q262*0.433)</f>
        <v>2213.5985190856491</v>
      </c>
    </row>
    <row r="263" spans="1:18" x14ac:dyDescent="0.25">
      <c r="A263" s="60" t="s">
        <v>17</v>
      </c>
      <c r="B263" s="61" t="s">
        <v>18</v>
      </c>
      <c r="C263" s="62" t="s">
        <v>19</v>
      </c>
      <c r="D263" s="63">
        <v>229.0647041801887</v>
      </c>
      <c r="E263" s="79">
        <v>1237329</v>
      </c>
      <c r="F263" s="80">
        <v>1210441.7647058826</v>
      </c>
      <c r="G263" s="66">
        <v>1512.7992306477079</v>
      </c>
      <c r="H263" s="67">
        <v>2</v>
      </c>
      <c r="I263" s="68" t="s">
        <v>20</v>
      </c>
      <c r="J263" s="69">
        <v>40</v>
      </c>
      <c r="K263" s="70">
        <v>2</v>
      </c>
      <c r="L263" s="68">
        <v>2</v>
      </c>
      <c r="M263" s="68">
        <f>_xlfn.XLOOKUP(Survey!$F263,sections[Start],sections[Test Section],,-1,1)</f>
        <v>1</v>
      </c>
      <c r="N263" s="55">
        <f>_xlfn.XLOOKUP(Survey!$K263,pipedata[ID],pipedata[WT])</f>
        <v>0.74</v>
      </c>
      <c r="O263" s="56">
        <f>_xlfn.XLOOKUP(Survey!$K263,pipedata[ID],pipedata[104%])</f>
        <v>2565.3333333333335</v>
      </c>
      <c r="P263" s="57">
        <f t="shared" si="4"/>
        <v>1850</v>
      </c>
      <c r="Q263" s="58">
        <f>_xlfn.MAXIFS(Survey!$G$2:$G$3647,Survey!$M$2:$M$3647,Survey!$M263)-Survey!$G263</f>
        <v>841.35085694005761</v>
      </c>
      <c r="R263" s="59">
        <f>Survey!$P263+(Survey!$Q263*0.433)</f>
        <v>2214.3049210550448</v>
      </c>
    </row>
    <row r="264" spans="1:18" x14ac:dyDescent="0.25">
      <c r="A264" s="71" t="s">
        <v>17</v>
      </c>
      <c r="B264" s="72" t="s">
        <v>18</v>
      </c>
      <c r="C264" s="73" t="s">
        <v>19</v>
      </c>
      <c r="D264" s="74">
        <v>229.07266202965826</v>
      </c>
      <c r="E264" s="81">
        <v>1237369</v>
      </c>
      <c r="F264" s="82">
        <v>1210479.5882352944</v>
      </c>
      <c r="G264" s="75">
        <v>1509.8402139021084</v>
      </c>
      <c r="H264" s="76">
        <v>2</v>
      </c>
      <c r="I264" s="54" t="s">
        <v>20</v>
      </c>
      <c r="J264" s="77">
        <v>40</v>
      </c>
      <c r="K264" s="78">
        <v>2</v>
      </c>
      <c r="L264" s="54">
        <v>2</v>
      </c>
      <c r="M264" s="54">
        <f>_xlfn.XLOOKUP(Survey!$F264,sections[Start],sections[Test Section],,-1,1)</f>
        <v>1</v>
      </c>
      <c r="N264" s="55">
        <f>_xlfn.XLOOKUP(Survey!$K264,pipedata[ID],pipedata[WT])</f>
        <v>0.74</v>
      </c>
      <c r="O264" s="56">
        <f>_xlfn.XLOOKUP(Survey!$K264,pipedata[ID],pipedata[104%])</f>
        <v>2565.3333333333335</v>
      </c>
      <c r="P264" s="57">
        <f t="shared" si="4"/>
        <v>1850</v>
      </c>
      <c r="Q264" s="58">
        <f>_xlfn.MAXIFS(Survey!$G$2:$G$3647,Survey!$M$2:$M$3647,Survey!$M264)-Survey!$G264</f>
        <v>844.30987368565707</v>
      </c>
      <c r="R264" s="59">
        <f>Survey!$P264+(Survey!$Q264*0.433)</f>
        <v>2215.5861753058894</v>
      </c>
    </row>
    <row r="265" spans="1:18" x14ac:dyDescent="0.25">
      <c r="A265" s="60" t="s">
        <v>17</v>
      </c>
      <c r="B265" s="61" t="s">
        <v>18</v>
      </c>
      <c r="C265" s="62" t="s">
        <v>19</v>
      </c>
      <c r="D265" s="63">
        <v>229.07951517507524</v>
      </c>
      <c r="E265" s="79">
        <v>1237409</v>
      </c>
      <c r="F265" s="80">
        <v>1210517.4117647063</v>
      </c>
      <c r="G265" s="66">
        <v>1505.5235900000437</v>
      </c>
      <c r="H265" s="67">
        <v>2</v>
      </c>
      <c r="I265" s="68" t="s">
        <v>20</v>
      </c>
      <c r="J265" s="69">
        <v>40</v>
      </c>
      <c r="K265" s="70">
        <v>2</v>
      </c>
      <c r="L265" s="68">
        <v>2</v>
      </c>
      <c r="M265" s="68">
        <f>_xlfn.XLOOKUP(Survey!$F265,sections[Start],sections[Test Section],,-1,1)</f>
        <v>1</v>
      </c>
      <c r="N265" s="55">
        <f>_xlfn.XLOOKUP(Survey!$K265,pipedata[ID],pipedata[WT])</f>
        <v>0.74</v>
      </c>
      <c r="O265" s="56">
        <f>_xlfn.XLOOKUP(Survey!$K265,pipedata[ID],pipedata[104%])</f>
        <v>2565.3333333333335</v>
      </c>
      <c r="P265" s="57">
        <f t="shared" si="4"/>
        <v>1850</v>
      </c>
      <c r="Q265" s="58">
        <f>_xlfn.MAXIFS(Survey!$G$2:$G$3647,Survey!$M$2:$M$3647,Survey!$M265)-Survey!$G265</f>
        <v>848.62649758772181</v>
      </c>
      <c r="R265" s="59">
        <f>Survey!$P265+(Survey!$Q265*0.433)</f>
        <v>2217.4552734554836</v>
      </c>
    </row>
    <row r="266" spans="1:18" x14ac:dyDescent="0.25">
      <c r="A266" s="71" t="s">
        <v>17</v>
      </c>
      <c r="B266" s="72" t="s">
        <v>18</v>
      </c>
      <c r="C266" s="73" t="s">
        <v>19</v>
      </c>
      <c r="D266" s="74">
        <v>229.08729017649372</v>
      </c>
      <c r="E266" s="81">
        <v>1237449</v>
      </c>
      <c r="F266" s="82">
        <v>1210555.2352941181</v>
      </c>
      <c r="G266" s="75">
        <v>1499.9310277454313</v>
      </c>
      <c r="H266" s="76">
        <v>2</v>
      </c>
      <c r="I266" s="54" t="s">
        <v>20</v>
      </c>
      <c r="J266" s="77">
        <v>40</v>
      </c>
      <c r="K266" s="78">
        <v>2</v>
      </c>
      <c r="L266" s="54">
        <v>2</v>
      </c>
      <c r="M266" s="54">
        <f>_xlfn.XLOOKUP(Survey!$F266,sections[Start],sections[Test Section],,-1,1)</f>
        <v>1</v>
      </c>
      <c r="N266" s="55">
        <f>_xlfn.XLOOKUP(Survey!$K266,pipedata[ID],pipedata[WT])</f>
        <v>0.74</v>
      </c>
      <c r="O266" s="56">
        <f>_xlfn.XLOOKUP(Survey!$K266,pipedata[ID],pipedata[104%])</f>
        <v>2565.3333333333335</v>
      </c>
      <c r="P266" s="57">
        <f t="shared" si="4"/>
        <v>1850</v>
      </c>
      <c r="Q266" s="58">
        <f>_xlfn.MAXIFS(Survey!$G$2:$G$3647,Survey!$M$2:$M$3647,Survey!$M266)-Survey!$G266</f>
        <v>854.21905984233422</v>
      </c>
      <c r="R266" s="59">
        <f>Survey!$P266+(Survey!$Q266*0.433)</f>
        <v>2219.8768529117306</v>
      </c>
    </row>
    <row r="267" spans="1:18" x14ac:dyDescent="0.25">
      <c r="A267" s="60" t="s">
        <v>17</v>
      </c>
      <c r="B267" s="61" t="s">
        <v>18</v>
      </c>
      <c r="C267" s="62" t="s">
        <v>19</v>
      </c>
      <c r="D267" s="63">
        <v>229.09506517791223</v>
      </c>
      <c r="E267" s="79">
        <v>1237489</v>
      </c>
      <c r="F267" s="80">
        <v>1210593.0588235299</v>
      </c>
      <c r="G267" s="66">
        <v>1494.4783949742932</v>
      </c>
      <c r="H267" s="67">
        <v>2</v>
      </c>
      <c r="I267" s="68" t="s">
        <v>20</v>
      </c>
      <c r="J267" s="69">
        <v>40</v>
      </c>
      <c r="K267" s="70">
        <v>2</v>
      </c>
      <c r="L267" s="68">
        <v>2</v>
      </c>
      <c r="M267" s="68">
        <f>_xlfn.XLOOKUP(Survey!$F267,sections[Start],sections[Test Section],,-1,1)</f>
        <v>1</v>
      </c>
      <c r="N267" s="55">
        <f>_xlfn.XLOOKUP(Survey!$K267,pipedata[ID],pipedata[WT])</f>
        <v>0.74</v>
      </c>
      <c r="O267" s="56">
        <f>_xlfn.XLOOKUP(Survey!$K267,pipedata[ID],pipedata[104%])</f>
        <v>2565.3333333333335</v>
      </c>
      <c r="P267" s="57">
        <f t="shared" si="4"/>
        <v>1850</v>
      </c>
      <c r="Q267" s="58">
        <f>_xlfn.MAXIFS(Survey!$G$2:$G$3647,Survey!$M$2:$M$3647,Survey!$M267)-Survey!$G267</f>
        <v>859.67169261347226</v>
      </c>
      <c r="R267" s="59">
        <f>Survey!$P267+(Survey!$Q267*0.433)</f>
        <v>2222.2378429016335</v>
      </c>
    </row>
    <row r="268" spans="1:18" x14ac:dyDescent="0.25">
      <c r="A268" s="71" t="s">
        <v>17</v>
      </c>
      <c r="B268" s="72" t="s">
        <v>18</v>
      </c>
      <c r="C268" s="73" t="s">
        <v>19</v>
      </c>
      <c r="D268" s="74">
        <v>229.10173363723902</v>
      </c>
      <c r="E268" s="81">
        <v>1237529</v>
      </c>
      <c r="F268" s="82">
        <v>1210630.8823529417</v>
      </c>
      <c r="G268" s="75">
        <v>1489.0900103683211</v>
      </c>
      <c r="H268" s="76">
        <v>2</v>
      </c>
      <c r="I268" s="54" t="s">
        <v>20</v>
      </c>
      <c r="J268" s="77">
        <v>40</v>
      </c>
      <c r="K268" s="78">
        <v>2</v>
      </c>
      <c r="L268" s="54">
        <v>2</v>
      </c>
      <c r="M268" s="54">
        <f>_xlfn.XLOOKUP(Survey!$F268,sections[Start],sections[Test Section],,-1,1)</f>
        <v>1</v>
      </c>
      <c r="N268" s="55">
        <f>_xlfn.XLOOKUP(Survey!$K268,pipedata[ID],pipedata[WT])</f>
        <v>0.74</v>
      </c>
      <c r="O268" s="56">
        <f>_xlfn.XLOOKUP(Survey!$K268,pipedata[ID],pipedata[104%])</f>
        <v>2565.3333333333335</v>
      </c>
      <c r="P268" s="57">
        <f t="shared" si="4"/>
        <v>1850</v>
      </c>
      <c r="Q268" s="58">
        <f>_xlfn.MAXIFS(Survey!$G$2:$G$3647,Survey!$M$2:$M$3647,Survey!$M268)-Survey!$G268</f>
        <v>865.06007721944434</v>
      </c>
      <c r="R268" s="59">
        <f>Survey!$P268+(Survey!$Q268*0.433)</f>
        <v>2224.5710134360193</v>
      </c>
    </row>
    <row r="269" spans="1:18" x14ac:dyDescent="0.25">
      <c r="A269" s="60" t="s">
        <v>17</v>
      </c>
      <c r="B269" s="61" t="s">
        <v>18</v>
      </c>
      <c r="C269" s="62" t="s">
        <v>19</v>
      </c>
      <c r="D269" s="63">
        <v>229.10921620792308</v>
      </c>
      <c r="E269" s="79">
        <v>1237569</v>
      </c>
      <c r="F269" s="80">
        <v>1210668.7058823535</v>
      </c>
      <c r="G269" s="66">
        <v>1485.0480813646957</v>
      </c>
      <c r="H269" s="67">
        <v>2</v>
      </c>
      <c r="I269" s="68" t="s">
        <v>20</v>
      </c>
      <c r="J269" s="69">
        <v>40</v>
      </c>
      <c r="K269" s="70">
        <v>2</v>
      </c>
      <c r="L269" s="68">
        <v>2</v>
      </c>
      <c r="M269" s="68">
        <f>_xlfn.XLOOKUP(Survey!$F269,sections[Start],sections[Test Section],,-1,1)</f>
        <v>1</v>
      </c>
      <c r="N269" s="55">
        <f>_xlfn.XLOOKUP(Survey!$K269,pipedata[ID],pipedata[WT])</f>
        <v>0.74</v>
      </c>
      <c r="O269" s="56">
        <f>_xlfn.XLOOKUP(Survey!$K269,pipedata[ID],pipedata[104%])</f>
        <v>2565.3333333333335</v>
      </c>
      <c r="P269" s="57">
        <f t="shared" si="4"/>
        <v>1850</v>
      </c>
      <c r="Q269" s="58">
        <f>_xlfn.MAXIFS(Survey!$G$2:$G$3647,Survey!$M$2:$M$3647,Survey!$M269)-Survey!$G269</f>
        <v>869.10200622306979</v>
      </c>
      <c r="R269" s="59">
        <f>Survey!$P269+(Survey!$Q269*0.433)</f>
        <v>2226.3211686945892</v>
      </c>
    </row>
    <row r="270" spans="1:18" x14ac:dyDescent="0.25">
      <c r="A270" s="71" t="s">
        <v>17</v>
      </c>
      <c r="B270" s="72" t="s">
        <v>18</v>
      </c>
      <c r="C270" s="73" t="s">
        <v>19</v>
      </c>
      <c r="D270" s="74">
        <v>229.11707303719717</v>
      </c>
      <c r="E270" s="81">
        <v>1237609</v>
      </c>
      <c r="F270" s="82">
        <v>1210706.5294117653</v>
      </c>
      <c r="G270" s="75">
        <v>1478.797088728141</v>
      </c>
      <c r="H270" s="76">
        <v>2</v>
      </c>
      <c r="I270" s="54" t="s">
        <v>20</v>
      </c>
      <c r="J270" s="77">
        <v>40</v>
      </c>
      <c r="K270" s="78">
        <v>2</v>
      </c>
      <c r="L270" s="54">
        <v>2</v>
      </c>
      <c r="M270" s="54">
        <f>_xlfn.XLOOKUP(Survey!$F270,sections[Start],sections[Test Section],,-1,1)</f>
        <v>1</v>
      </c>
      <c r="N270" s="55">
        <f>_xlfn.XLOOKUP(Survey!$K270,pipedata[ID],pipedata[WT])</f>
        <v>0.74</v>
      </c>
      <c r="O270" s="56">
        <f>_xlfn.XLOOKUP(Survey!$K270,pipedata[ID],pipedata[104%])</f>
        <v>2565.3333333333335</v>
      </c>
      <c r="P270" s="57">
        <f t="shared" si="4"/>
        <v>1850</v>
      </c>
      <c r="Q270" s="58">
        <f>_xlfn.MAXIFS(Survey!$G$2:$G$3647,Survey!$M$2:$M$3647,Survey!$M270)-Survey!$G270</f>
        <v>875.35299885962445</v>
      </c>
      <c r="R270" s="59">
        <f>Survey!$P270+(Survey!$Q270*0.433)</f>
        <v>2229.0278485062172</v>
      </c>
    </row>
    <row r="271" spans="1:18" x14ac:dyDescent="0.25">
      <c r="A271" s="60" t="s">
        <v>17</v>
      </c>
      <c r="B271" s="61" t="s">
        <v>18</v>
      </c>
      <c r="C271" s="62" t="s">
        <v>19</v>
      </c>
      <c r="D271" s="63">
        <v>229.12494376962093</v>
      </c>
      <c r="E271" s="79">
        <v>1237649</v>
      </c>
      <c r="F271" s="80">
        <v>1210744.3529411771</v>
      </c>
      <c r="G271" s="66">
        <v>1473.7773722002958</v>
      </c>
      <c r="H271" s="67">
        <v>2</v>
      </c>
      <c r="I271" s="68" t="s">
        <v>20</v>
      </c>
      <c r="J271" s="69">
        <v>39</v>
      </c>
      <c r="K271" s="70">
        <v>2</v>
      </c>
      <c r="L271" s="68">
        <v>2</v>
      </c>
      <c r="M271" s="68">
        <f>_xlfn.XLOOKUP(Survey!$F271,sections[Start],sections[Test Section],,-1,1)</f>
        <v>1</v>
      </c>
      <c r="N271" s="55">
        <f>_xlfn.XLOOKUP(Survey!$K271,pipedata[ID],pipedata[WT])</f>
        <v>0.74</v>
      </c>
      <c r="O271" s="56">
        <f>_xlfn.XLOOKUP(Survey!$K271,pipedata[ID],pipedata[104%])</f>
        <v>2565.3333333333335</v>
      </c>
      <c r="P271" s="57">
        <f t="shared" si="4"/>
        <v>1850</v>
      </c>
      <c r="Q271" s="58">
        <f>_xlfn.MAXIFS(Survey!$G$2:$G$3647,Survey!$M$2:$M$3647,Survey!$M271)-Survey!$G271</f>
        <v>880.37271538746973</v>
      </c>
      <c r="R271" s="59">
        <f>Survey!$P271+(Survey!$Q271*0.433)</f>
        <v>2231.2013857627744</v>
      </c>
    </row>
    <row r="272" spans="1:18" x14ac:dyDescent="0.25">
      <c r="A272" s="71" t="s">
        <v>17</v>
      </c>
      <c r="B272" s="72" t="s">
        <v>18</v>
      </c>
      <c r="C272" s="73" t="s">
        <v>19</v>
      </c>
      <c r="D272" s="74">
        <v>229.13064773785354</v>
      </c>
      <c r="E272" s="81">
        <v>1237688</v>
      </c>
      <c r="F272" s="82">
        <v>1210820</v>
      </c>
      <c r="G272" s="75">
        <v>1448.6866561180802</v>
      </c>
      <c r="H272" s="76">
        <v>2</v>
      </c>
      <c r="I272" s="54" t="s">
        <v>21</v>
      </c>
      <c r="J272" s="77">
        <v>40</v>
      </c>
      <c r="K272" s="78">
        <v>4</v>
      </c>
      <c r="L272" s="54">
        <v>2</v>
      </c>
      <c r="M272" s="54">
        <f>_xlfn.XLOOKUP(Survey!$F272,sections[Start],sections[Test Section],,-1,1)</f>
        <v>1</v>
      </c>
      <c r="N272" s="55">
        <f>_xlfn.XLOOKUP(Survey!$K272,pipedata[ID],pipedata[WT])</f>
        <v>0.74</v>
      </c>
      <c r="O272" s="56">
        <f>_xlfn.XLOOKUP(Survey!$K272,pipedata[ID],pipedata[104%])</f>
        <v>2565.3333333333335</v>
      </c>
      <c r="P272" s="57">
        <f t="shared" si="4"/>
        <v>1850</v>
      </c>
      <c r="Q272" s="58">
        <f>_xlfn.MAXIFS(Survey!$G$2:$G$3647,Survey!$M$2:$M$3647,Survey!$M272)-Survey!$G272</f>
        <v>905.46343146968525</v>
      </c>
      <c r="R272" s="59">
        <f>Survey!$P272+(Survey!$Q272*0.433)</f>
        <v>2242.0656658263738</v>
      </c>
    </row>
    <row r="273" spans="1:18" x14ac:dyDescent="0.25">
      <c r="A273" s="60" t="s">
        <v>17</v>
      </c>
      <c r="B273" s="61" t="s">
        <v>18</v>
      </c>
      <c r="C273" s="62" t="s">
        <v>19</v>
      </c>
      <c r="D273" s="63">
        <v>229.13825302883092</v>
      </c>
      <c r="E273" s="79">
        <v>1237728</v>
      </c>
      <c r="F273" s="80">
        <v>1210860</v>
      </c>
      <c r="G273" s="66">
        <v>1447.6063836521655</v>
      </c>
      <c r="H273" s="67">
        <v>2</v>
      </c>
      <c r="I273" s="68" t="s">
        <v>20</v>
      </c>
      <c r="J273" s="69">
        <v>41</v>
      </c>
      <c r="K273" s="70">
        <v>2</v>
      </c>
      <c r="L273" s="68">
        <v>2</v>
      </c>
      <c r="M273" s="68">
        <f>_xlfn.XLOOKUP(Survey!$F273,sections[Start],sections[Test Section],,-1,1)</f>
        <v>1</v>
      </c>
      <c r="N273" s="55">
        <f>_xlfn.XLOOKUP(Survey!$K273,pipedata[ID],pipedata[WT])</f>
        <v>0.74</v>
      </c>
      <c r="O273" s="56">
        <f>_xlfn.XLOOKUP(Survey!$K273,pipedata[ID],pipedata[104%])</f>
        <v>2565.3333333333335</v>
      </c>
      <c r="P273" s="57">
        <f t="shared" si="4"/>
        <v>1850</v>
      </c>
      <c r="Q273" s="58">
        <f>_xlfn.MAXIFS(Survey!$G$2:$G$3647,Survey!$M$2:$M$3647,Survey!$M273)-Survey!$G273</f>
        <v>906.54370393559998</v>
      </c>
      <c r="R273" s="59">
        <f>Survey!$P273+(Survey!$Q273*0.433)</f>
        <v>2242.5334238041146</v>
      </c>
    </row>
    <row r="274" spans="1:18" x14ac:dyDescent="0.25">
      <c r="A274" s="71" t="s">
        <v>17</v>
      </c>
      <c r="B274" s="72" t="s">
        <v>18</v>
      </c>
      <c r="C274" s="73" t="s">
        <v>19</v>
      </c>
      <c r="D274" s="74">
        <v>229.14585831980764</v>
      </c>
      <c r="E274" s="81">
        <v>1237769</v>
      </c>
      <c r="F274" s="82">
        <v>1210899.1153846155</v>
      </c>
      <c r="G274" s="75">
        <v>1446.8516567442528</v>
      </c>
      <c r="H274" s="76">
        <v>2</v>
      </c>
      <c r="I274" s="54" t="s">
        <v>20</v>
      </c>
      <c r="J274" s="77">
        <v>40</v>
      </c>
      <c r="K274" s="78">
        <v>2</v>
      </c>
      <c r="L274" s="54">
        <v>2</v>
      </c>
      <c r="M274" s="54">
        <f>_xlfn.XLOOKUP(Survey!$F274,sections[Start],sections[Test Section],,-1,1)</f>
        <v>1</v>
      </c>
      <c r="N274" s="55">
        <f>_xlfn.XLOOKUP(Survey!$K274,pipedata[ID],pipedata[WT])</f>
        <v>0.74</v>
      </c>
      <c r="O274" s="56">
        <f>_xlfn.XLOOKUP(Survey!$K274,pipedata[ID],pipedata[104%])</f>
        <v>2565.3333333333335</v>
      </c>
      <c r="P274" s="57">
        <f t="shared" si="4"/>
        <v>1850</v>
      </c>
      <c r="Q274" s="58">
        <f>_xlfn.MAXIFS(Survey!$G$2:$G$3647,Survey!$M$2:$M$3647,Survey!$M274)-Survey!$G274</f>
        <v>907.29843084351273</v>
      </c>
      <c r="R274" s="59">
        <f>Survey!$P274+(Survey!$Q274*0.433)</f>
        <v>2242.8602205552411</v>
      </c>
    </row>
    <row r="275" spans="1:18" x14ac:dyDescent="0.25">
      <c r="A275" s="60" t="s">
        <v>17</v>
      </c>
      <c r="B275" s="61" t="s">
        <v>18</v>
      </c>
      <c r="C275" s="62" t="s">
        <v>19</v>
      </c>
      <c r="D275" s="63">
        <v>229.15354908031802</v>
      </c>
      <c r="E275" s="79">
        <v>1237809</v>
      </c>
      <c r="F275" s="80">
        <v>1210938.230769231</v>
      </c>
      <c r="G275" s="66">
        <v>1447.3571884935536</v>
      </c>
      <c r="H275" s="67">
        <v>2</v>
      </c>
      <c r="I275" s="68" t="s">
        <v>20</v>
      </c>
      <c r="J275" s="69">
        <v>40</v>
      </c>
      <c r="K275" s="70">
        <v>2</v>
      </c>
      <c r="L275" s="68">
        <v>2</v>
      </c>
      <c r="M275" s="68">
        <f>_xlfn.XLOOKUP(Survey!$F275,sections[Start],sections[Test Section],,-1,1)</f>
        <v>1</v>
      </c>
      <c r="N275" s="55">
        <f>_xlfn.XLOOKUP(Survey!$K275,pipedata[ID],pipedata[WT])</f>
        <v>0.74</v>
      </c>
      <c r="O275" s="56">
        <f>_xlfn.XLOOKUP(Survey!$K275,pipedata[ID],pipedata[104%])</f>
        <v>2565.3333333333335</v>
      </c>
      <c r="P275" s="57">
        <f t="shared" si="4"/>
        <v>1850</v>
      </c>
      <c r="Q275" s="58">
        <f>_xlfn.MAXIFS(Survey!$G$2:$G$3647,Survey!$M$2:$M$3647,Survey!$M275)-Survey!$G275</f>
        <v>906.79289909421186</v>
      </c>
      <c r="R275" s="59">
        <f>Survey!$P275+(Survey!$Q275*0.433)</f>
        <v>2242.6413253077935</v>
      </c>
    </row>
    <row r="276" spans="1:18" x14ac:dyDescent="0.25">
      <c r="A276" s="71" t="s">
        <v>17</v>
      </c>
      <c r="B276" s="72" t="s">
        <v>18</v>
      </c>
      <c r="C276" s="73" t="s">
        <v>19</v>
      </c>
      <c r="D276" s="74">
        <v>229.16135820946428</v>
      </c>
      <c r="E276" s="81">
        <v>1237849</v>
      </c>
      <c r="F276" s="82">
        <v>1210977.3461538465</v>
      </c>
      <c r="G276" s="75">
        <v>1442.41807487607</v>
      </c>
      <c r="H276" s="76">
        <v>2</v>
      </c>
      <c r="I276" s="54" t="s">
        <v>20</v>
      </c>
      <c r="J276" s="77">
        <v>40</v>
      </c>
      <c r="K276" s="78">
        <v>2</v>
      </c>
      <c r="L276" s="54">
        <v>2</v>
      </c>
      <c r="M276" s="54">
        <f>_xlfn.XLOOKUP(Survey!$F276,sections[Start],sections[Test Section],,-1,1)</f>
        <v>1</v>
      </c>
      <c r="N276" s="55">
        <f>_xlfn.XLOOKUP(Survey!$K276,pipedata[ID],pipedata[WT])</f>
        <v>0.74</v>
      </c>
      <c r="O276" s="56">
        <f>_xlfn.XLOOKUP(Survey!$K276,pipedata[ID],pipedata[104%])</f>
        <v>2565.3333333333335</v>
      </c>
      <c r="P276" s="57">
        <f t="shared" si="4"/>
        <v>1850</v>
      </c>
      <c r="Q276" s="58">
        <f>_xlfn.MAXIFS(Survey!$G$2:$G$3647,Survey!$M$2:$M$3647,Survey!$M276)-Survey!$G276</f>
        <v>911.73201271169546</v>
      </c>
      <c r="R276" s="59">
        <f>Survey!$P276+(Survey!$Q276*0.433)</f>
        <v>2244.779961504164</v>
      </c>
    </row>
    <row r="277" spans="1:18" x14ac:dyDescent="0.25">
      <c r="A277" s="60" t="s">
        <v>17</v>
      </c>
      <c r="B277" s="61" t="s">
        <v>18</v>
      </c>
      <c r="C277" s="62" t="s">
        <v>19</v>
      </c>
      <c r="D277" s="63">
        <v>229.16916733860998</v>
      </c>
      <c r="E277" s="79">
        <v>1237889</v>
      </c>
      <c r="F277" s="80">
        <v>1211016.461538462</v>
      </c>
      <c r="G277" s="66">
        <v>1440.7065335823017</v>
      </c>
      <c r="H277" s="67">
        <v>2</v>
      </c>
      <c r="I277" s="68" t="s">
        <v>20</v>
      </c>
      <c r="J277" s="69">
        <v>40</v>
      </c>
      <c r="K277" s="70">
        <v>2</v>
      </c>
      <c r="L277" s="68">
        <v>2</v>
      </c>
      <c r="M277" s="68">
        <f>_xlfn.XLOOKUP(Survey!$F277,sections[Start],sections[Test Section],,-1,1)</f>
        <v>1</v>
      </c>
      <c r="N277" s="55">
        <f>_xlfn.XLOOKUP(Survey!$K277,pipedata[ID],pipedata[WT])</f>
        <v>0.74</v>
      </c>
      <c r="O277" s="56">
        <f>_xlfn.XLOOKUP(Survey!$K277,pipedata[ID],pipedata[104%])</f>
        <v>2565.3333333333335</v>
      </c>
      <c r="P277" s="57">
        <f t="shared" si="4"/>
        <v>1850</v>
      </c>
      <c r="Q277" s="58">
        <f>_xlfn.MAXIFS(Survey!$G$2:$G$3647,Survey!$M$2:$M$3647,Survey!$M277)-Survey!$G277</f>
        <v>913.44355400546374</v>
      </c>
      <c r="R277" s="59">
        <f>Survey!$P277+(Survey!$Q277*0.433)</f>
        <v>2245.5210588843656</v>
      </c>
    </row>
    <row r="278" spans="1:18" x14ac:dyDescent="0.25">
      <c r="A278" s="71" t="s">
        <v>17</v>
      </c>
      <c r="B278" s="72" t="s">
        <v>18</v>
      </c>
      <c r="C278" s="73" t="s">
        <v>19</v>
      </c>
      <c r="D278" s="74">
        <v>229.17697646775622</v>
      </c>
      <c r="E278" s="81">
        <v>1237929</v>
      </c>
      <c r="F278" s="82">
        <v>1211055.5769230775</v>
      </c>
      <c r="G278" s="75">
        <v>1442.8416979049844</v>
      </c>
      <c r="H278" s="76">
        <v>2</v>
      </c>
      <c r="I278" s="54" t="s">
        <v>20</v>
      </c>
      <c r="J278" s="77">
        <v>40</v>
      </c>
      <c r="K278" s="78">
        <v>2</v>
      </c>
      <c r="L278" s="54">
        <v>2</v>
      </c>
      <c r="M278" s="54">
        <f>_xlfn.XLOOKUP(Survey!$F278,sections[Start],sections[Test Section],,-1,1)</f>
        <v>1</v>
      </c>
      <c r="N278" s="55">
        <f>_xlfn.XLOOKUP(Survey!$K278,pipedata[ID],pipedata[WT])</f>
        <v>0.74</v>
      </c>
      <c r="O278" s="56">
        <f>_xlfn.XLOOKUP(Survey!$K278,pipedata[ID],pipedata[104%])</f>
        <v>2565.3333333333335</v>
      </c>
      <c r="P278" s="57">
        <f t="shared" si="4"/>
        <v>1850</v>
      </c>
      <c r="Q278" s="58">
        <f>_xlfn.MAXIFS(Survey!$G$2:$G$3647,Survey!$M$2:$M$3647,Survey!$M278)-Survey!$G278</f>
        <v>911.30838968278113</v>
      </c>
      <c r="R278" s="59">
        <f>Survey!$P278+(Survey!$Q278*0.433)</f>
        <v>2244.5965327326444</v>
      </c>
    </row>
    <row r="279" spans="1:18" x14ac:dyDescent="0.25">
      <c r="A279" s="60" t="s">
        <v>17</v>
      </c>
      <c r="B279" s="61" t="s">
        <v>18</v>
      </c>
      <c r="C279" s="62" t="s">
        <v>19</v>
      </c>
      <c r="D279" s="63">
        <v>229.18478559690251</v>
      </c>
      <c r="E279" s="79">
        <v>1237969</v>
      </c>
      <c r="F279" s="80">
        <v>1211094.692307693</v>
      </c>
      <c r="G279" s="66">
        <v>1447.832039963238</v>
      </c>
      <c r="H279" s="67">
        <v>2</v>
      </c>
      <c r="I279" s="68" t="s">
        <v>20</v>
      </c>
      <c r="J279" s="69">
        <v>40</v>
      </c>
      <c r="K279" s="70">
        <v>2</v>
      </c>
      <c r="L279" s="68">
        <v>2</v>
      </c>
      <c r="M279" s="68">
        <f>_xlfn.XLOOKUP(Survey!$F279,sections[Start],sections[Test Section],,-1,1)</f>
        <v>1</v>
      </c>
      <c r="N279" s="55">
        <f>_xlfn.XLOOKUP(Survey!$K279,pipedata[ID],pipedata[WT])</f>
        <v>0.74</v>
      </c>
      <c r="O279" s="56">
        <f>_xlfn.XLOOKUP(Survey!$K279,pipedata[ID],pipedata[104%])</f>
        <v>2565.3333333333335</v>
      </c>
      <c r="P279" s="57">
        <f t="shared" si="4"/>
        <v>1850</v>
      </c>
      <c r="Q279" s="58">
        <f>_xlfn.MAXIFS(Survey!$G$2:$G$3647,Survey!$M$2:$M$3647,Survey!$M279)-Survey!$G279</f>
        <v>906.31804762452748</v>
      </c>
      <c r="R279" s="59">
        <f>Survey!$P279+(Survey!$Q279*0.433)</f>
        <v>2242.4357146214206</v>
      </c>
    </row>
    <row r="280" spans="1:18" x14ac:dyDescent="0.25">
      <c r="A280" s="71" t="s">
        <v>17</v>
      </c>
      <c r="B280" s="72" t="s">
        <v>18</v>
      </c>
      <c r="C280" s="73" t="s">
        <v>19</v>
      </c>
      <c r="D280" s="74">
        <v>229.19228612398999</v>
      </c>
      <c r="E280" s="81">
        <v>1238009</v>
      </c>
      <c r="F280" s="82">
        <v>1211133.8076923084</v>
      </c>
      <c r="G280" s="75">
        <v>1446.5729267394543</v>
      </c>
      <c r="H280" s="76">
        <v>2</v>
      </c>
      <c r="I280" s="54" t="s">
        <v>20</v>
      </c>
      <c r="J280" s="77">
        <v>40</v>
      </c>
      <c r="K280" s="78">
        <v>2</v>
      </c>
      <c r="L280" s="54">
        <v>2</v>
      </c>
      <c r="M280" s="54">
        <f>_xlfn.XLOOKUP(Survey!$F280,sections[Start],sections[Test Section],,-1,1)</f>
        <v>1</v>
      </c>
      <c r="N280" s="55">
        <f>_xlfn.XLOOKUP(Survey!$K280,pipedata[ID],pipedata[WT])</f>
        <v>0.74</v>
      </c>
      <c r="O280" s="56">
        <f>_xlfn.XLOOKUP(Survey!$K280,pipedata[ID],pipedata[104%])</f>
        <v>2565.3333333333335</v>
      </c>
      <c r="P280" s="57">
        <f t="shared" si="4"/>
        <v>1850</v>
      </c>
      <c r="Q280" s="58">
        <f>_xlfn.MAXIFS(Survey!$G$2:$G$3647,Survey!$M$2:$M$3647,Survey!$M280)-Survey!$G280</f>
        <v>907.57716084831122</v>
      </c>
      <c r="R280" s="59">
        <f>Survey!$P280+(Survey!$Q280*0.433)</f>
        <v>2242.9809106473185</v>
      </c>
    </row>
    <row r="281" spans="1:18" x14ac:dyDescent="0.25">
      <c r="A281" s="60" t="s">
        <v>17</v>
      </c>
      <c r="B281" s="61" t="s">
        <v>18</v>
      </c>
      <c r="C281" s="62" t="s">
        <v>19</v>
      </c>
      <c r="D281" s="63">
        <v>229.19990980381391</v>
      </c>
      <c r="E281" s="79">
        <v>1238049</v>
      </c>
      <c r="F281" s="80">
        <v>1211172.9230769239</v>
      </c>
      <c r="G281" s="66">
        <v>1442.9440315345573</v>
      </c>
      <c r="H281" s="67">
        <v>2</v>
      </c>
      <c r="I281" s="68" t="s">
        <v>20</v>
      </c>
      <c r="J281" s="69">
        <v>40</v>
      </c>
      <c r="K281" s="70">
        <v>2</v>
      </c>
      <c r="L281" s="68">
        <v>2</v>
      </c>
      <c r="M281" s="68">
        <f>_xlfn.XLOOKUP(Survey!$F281,sections[Start],sections[Test Section],,-1,1)</f>
        <v>1</v>
      </c>
      <c r="N281" s="55">
        <f>_xlfn.XLOOKUP(Survey!$K281,pipedata[ID],pipedata[WT])</f>
        <v>0.74</v>
      </c>
      <c r="O281" s="56">
        <f>_xlfn.XLOOKUP(Survey!$K281,pipedata[ID],pipedata[104%])</f>
        <v>2565.3333333333335</v>
      </c>
      <c r="P281" s="57">
        <f t="shared" si="4"/>
        <v>1850</v>
      </c>
      <c r="Q281" s="58">
        <f>_xlfn.MAXIFS(Survey!$G$2:$G$3647,Survey!$M$2:$M$3647,Survey!$M281)-Survey!$G281</f>
        <v>911.20605605320816</v>
      </c>
      <c r="R281" s="59">
        <f>Survey!$P281+(Survey!$Q281*0.433)</f>
        <v>2244.5522222710392</v>
      </c>
    </row>
    <row r="282" spans="1:18" x14ac:dyDescent="0.25">
      <c r="A282" s="71" t="s">
        <v>17</v>
      </c>
      <c r="B282" s="72" t="s">
        <v>18</v>
      </c>
      <c r="C282" s="73" t="s">
        <v>19</v>
      </c>
      <c r="D282" s="74">
        <v>229.20697718822467</v>
      </c>
      <c r="E282" s="81">
        <v>1238089</v>
      </c>
      <c r="F282" s="82">
        <v>1211212.0384615394</v>
      </c>
      <c r="G282" s="75">
        <v>1442.7232867111341</v>
      </c>
      <c r="H282" s="76">
        <v>2</v>
      </c>
      <c r="I282" s="54" t="s">
        <v>20</v>
      </c>
      <c r="J282" s="77">
        <v>40</v>
      </c>
      <c r="K282" s="78">
        <v>2</v>
      </c>
      <c r="L282" s="54">
        <v>2</v>
      </c>
      <c r="M282" s="54">
        <f>_xlfn.XLOOKUP(Survey!$F282,sections[Start],sections[Test Section],,-1,1)</f>
        <v>1</v>
      </c>
      <c r="N282" s="55">
        <f>_xlfn.XLOOKUP(Survey!$K282,pipedata[ID],pipedata[WT])</f>
        <v>0.74</v>
      </c>
      <c r="O282" s="56">
        <f>_xlfn.XLOOKUP(Survey!$K282,pipedata[ID],pipedata[104%])</f>
        <v>2565.3333333333335</v>
      </c>
      <c r="P282" s="57">
        <f t="shared" si="4"/>
        <v>1850</v>
      </c>
      <c r="Q282" s="58">
        <f>_xlfn.MAXIFS(Survey!$G$2:$G$3647,Survey!$M$2:$M$3647,Survey!$M282)-Survey!$G282</f>
        <v>911.42680087663143</v>
      </c>
      <c r="R282" s="59">
        <f>Survey!$P282+(Survey!$Q282*0.433)</f>
        <v>2244.6478047795813</v>
      </c>
    </row>
    <row r="283" spans="1:18" x14ac:dyDescent="0.25">
      <c r="A283" s="60" t="s">
        <v>17</v>
      </c>
      <c r="B283" s="61" t="s">
        <v>18</v>
      </c>
      <c r="C283" s="62" t="s">
        <v>19</v>
      </c>
      <c r="D283" s="63">
        <v>229.21376072196026</v>
      </c>
      <c r="E283" s="79">
        <v>1238129</v>
      </c>
      <c r="F283" s="80">
        <v>1211251.1538461549</v>
      </c>
      <c r="G283" s="66">
        <v>1450.7406710103191</v>
      </c>
      <c r="H283" s="67">
        <v>2</v>
      </c>
      <c r="I283" s="68" t="s">
        <v>20</v>
      </c>
      <c r="J283" s="69">
        <v>40</v>
      </c>
      <c r="K283" s="70">
        <v>2</v>
      </c>
      <c r="L283" s="68">
        <v>2</v>
      </c>
      <c r="M283" s="68">
        <f>_xlfn.XLOOKUP(Survey!$F283,sections[Start],sections[Test Section],,-1,1)</f>
        <v>1</v>
      </c>
      <c r="N283" s="55">
        <f>_xlfn.XLOOKUP(Survey!$K283,pipedata[ID],pipedata[WT])</f>
        <v>0.74</v>
      </c>
      <c r="O283" s="56">
        <f>_xlfn.XLOOKUP(Survey!$K283,pipedata[ID],pipedata[104%])</f>
        <v>2565.3333333333335</v>
      </c>
      <c r="P283" s="57">
        <f t="shared" si="4"/>
        <v>1850</v>
      </c>
      <c r="Q283" s="58">
        <f>_xlfn.MAXIFS(Survey!$G$2:$G$3647,Survey!$M$2:$M$3647,Survey!$M283)-Survey!$G283</f>
        <v>903.40941657744634</v>
      </c>
      <c r="R283" s="59">
        <f>Survey!$P283+(Survey!$Q283*0.433)</f>
        <v>2241.1762773780342</v>
      </c>
    </row>
    <row r="284" spans="1:18" x14ac:dyDescent="0.25">
      <c r="A284" s="71" t="s">
        <v>17</v>
      </c>
      <c r="B284" s="72" t="s">
        <v>18</v>
      </c>
      <c r="C284" s="73" t="s">
        <v>19</v>
      </c>
      <c r="D284" s="74">
        <v>229.22156966667669</v>
      </c>
      <c r="E284" s="81">
        <v>1238169</v>
      </c>
      <c r="F284" s="82">
        <v>1211290.2692307704</v>
      </c>
      <c r="G284" s="75">
        <v>1461.5019317443669</v>
      </c>
      <c r="H284" s="76">
        <v>2</v>
      </c>
      <c r="I284" s="54" t="s">
        <v>20</v>
      </c>
      <c r="J284" s="77">
        <v>40</v>
      </c>
      <c r="K284" s="78">
        <v>2</v>
      </c>
      <c r="L284" s="54">
        <v>2</v>
      </c>
      <c r="M284" s="54">
        <f>_xlfn.XLOOKUP(Survey!$F284,sections[Start],sections[Test Section],,-1,1)</f>
        <v>1</v>
      </c>
      <c r="N284" s="55">
        <f>_xlfn.XLOOKUP(Survey!$K284,pipedata[ID],pipedata[WT])</f>
        <v>0.74</v>
      </c>
      <c r="O284" s="56">
        <f>_xlfn.XLOOKUP(Survey!$K284,pipedata[ID],pipedata[104%])</f>
        <v>2565.3333333333335</v>
      </c>
      <c r="P284" s="57">
        <f t="shared" si="4"/>
        <v>1850</v>
      </c>
      <c r="Q284" s="58">
        <f>_xlfn.MAXIFS(Survey!$G$2:$G$3647,Survey!$M$2:$M$3647,Survey!$M284)-Survey!$G284</f>
        <v>892.64815584339863</v>
      </c>
      <c r="R284" s="59">
        <f>Survey!$P284+(Survey!$Q284*0.433)</f>
        <v>2236.5166514801917</v>
      </c>
    </row>
    <row r="285" spans="1:18" x14ac:dyDescent="0.25">
      <c r="A285" s="60" t="s">
        <v>17</v>
      </c>
      <c r="B285" s="61" t="s">
        <v>18</v>
      </c>
      <c r="C285" s="62" t="s">
        <v>19</v>
      </c>
      <c r="D285" s="63">
        <v>229.229378611393</v>
      </c>
      <c r="E285" s="79">
        <v>1238209</v>
      </c>
      <c r="F285" s="80">
        <v>1211329.3846153859</v>
      </c>
      <c r="G285" s="66">
        <v>1467.4611268243939</v>
      </c>
      <c r="H285" s="67">
        <v>2</v>
      </c>
      <c r="I285" s="68" t="s">
        <v>20</v>
      </c>
      <c r="J285" s="69">
        <v>40</v>
      </c>
      <c r="K285" s="70">
        <v>2</v>
      </c>
      <c r="L285" s="68">
        <v>2</v>
      </c>
      <c r="M285" s="68">
        <f>_xlfn.XLOOKUP(Survey!$F285,sections[Start],sections[Test Section],,-1,1)</f>
        <v>1</v>
      </c>
      <c r="N285" s="55">
        <f>_xlfn.XLOOKUP(Survey!$K285,pipedata[ID],pipedata[WT])</f>
        <v>0.74</v>
      </c>
      <c r="O285" s="56">
        <f>_xlfn.XLOOKUP(Survey!$K285,pipedata[ID],pipedata[104%])</f>
        <v>2565.3333333333335</v>
      </c>
      <c r="P285" s="57">
        <f t="shared" si="4"/>
        <v>1850</v>
      </c>
      <c r="Q285" s="58">
        <f>_xlfn.MAXIFS(Survey!$G$2:$G$3647,Survey!$M$2:$M$3647,Survey!$M285)-Survey!$G285</f>
        <v>886.6889607633716</v>
      </c>
      <c r="R285" s="59">
        <f>Survey!$P285+(Survey!$Q285*0.433)</f>
        <v>2233.9363200105399</v>
      </c>
    </row>
    <row r="286" spans="1:18" x14ac:dyDescent="0.25">
      <c r="A286" s="71" t="s">
        <v>17</v>
      </c>
      <c r="B286" s="72" t="s">
        <v>18</v>
      </c>
      <c r="C286" s="73" t="s">
        <v>19</v>
      </c>
      <c r="D286" s="74">
        <v>229.23718755610938</v>
      </c>
      <c r="E286" s="81">
        <v>1238249</v>
      </c>
      <c r="F286" s="82">
        <v>1211368.5000000014</v>
      </c>
      <c r="G286" s="75">
        <v>1469.4466310365167</v>
      </c>
      <c r="H286" s="76">
        <v>2</v>
      </c>
      <c r="I286" s="54" t="s">
        <v>20</v>
      </c>
      <c r="J286" s="77">
        <v>40</v>
      </c>
      <c r="K286" s="78">
        <v>2</v>
      </c>
      <c r="L286" s="54">
        <v>2</v>
      </c>
      <c r="M286" s="54">
        <f>_xlfn.XLOOKUP(Survey!$F286,sections[Start],sections[Test Section],,-1,1)</f>
        <v>1</v>
      </c>
      <c r="N286" s="55">
        <f>_xlfn.XLOOKUP(Survey!$K286,pipedata[ID],pipedata[WT])</f>
        <v>0.74</v>
      </c>
      <c r="O286" s="56">
        <f>_xlfn.XLOOKUP(Survey!$K286,pipedata[ID],pipedata[104%])</f>
        <v>2565.3333333333335</v>
      </c>
      <c r="P286" s="57">
        <f t="shared" si="4"/>
        <v>1850</v>
      </c>
      <c r="Q286" s="58">
        <f>_xlfn.MAXIFS(Survey!$G$2:$G$3647,Survey!$M$2:$M$3647,Survey!$M286)-Survey!$G286</f>
        <v>884.70345655124879</v>
      </c>
      <c r="R286" s="59">
        <f>Survey!$P286+(Survey!$Q286*0.433)</f>
        <v>2233.0765966866907</v>
      </c>
    </row>
    <row r="287" spans="1:18" x14ac:dyDescent="0.25">
      <c r="A287" s="60" t="s">
        <v>17</v>
      </c>
      <c r="B287" s="61" t="s">
        <v>18</v>
      </c>
      <c r="C287" s="62" t="s">
        <v>19</v>
      </c>
      <c r="D287" s="63">
        <v>229.24465558702434</v>
      </c>
      <c r="E287" s="79">
        <v>1238289</v>
      </c>
      <c r="F287" s="80">
        <v>1211407.6153846169</v>
      </c>
      <c r="G287" s="66">
        <v>1467.6077425926496</v>
      </c>
      <c r="H287" s="67">
        <v>2</v>
      </c>
      <c r="I287" s="68" t="s">
        <v>20</v>
      </c>
      <c r="J287" s="69">
        <v>40</v>
      </c>
      <c r="K287" s="70">
        <v>2</v>
      </c>
      <c r="L287" s="68">
        <v>2</v>
      </c>
      <c r="M287" s="68">
        <f>_xlfn.XLOOKUP(Survey!$F287,sections[Start],sections[Test Section],,-1,1)</f>
        <v>1</v>
      </c>
      <c r="N287" s="55">
        <f>_xlfn.XLOOKUP(Survey!$K287,pipedata[ID],pipedata[WT])</f>
        <v>0.74</v>
      </c>
      <c r="O287" s="56">
        <f>_xlfn.XLOOKUP(Survey!$K287,pipedata[ID],pipedata[104%])</f>
        <v>2565.3333333333335</v>
      </c>
      <c r="P287" s="57">
        <f t="shared" si="4"/>
        <v>1850</v>
      </c>
      <c r="Q287" s="58">
        <f>_xlfn.MAXIFS(Survey!$G$2:$G$3647,Survey!$M$2:$M$3647,Survey!$M287)-Survey!$G287</f>
        <v>886.54234499511585</v>
      </c>
      <c r="R287" s="59">
        <f>Survey!$P287+(Survey!$Q287*0.433)</f>
        <v>2233.8728353828851</v>
      </c>
    </row>
    <row r="288" spans="1:18" x14ac:dyDescent="0.25">
      <c r="A288" s="71" t="s">
        <v>17</v>
      </c>
      <c r="B288" s="72" t="s">
        <v>18</v>
      </c>
      <c r="C288" s="73" t="s">
        <v>19</v>
      </c>
      <c r="D288" s="74">
        <v>229.25085320936302</v>
      </c>
      <c r="E288" s="81">
        <v>1238329</v>
      </c>
      <c r="F288" s="82">
        <v>1211446.7307692324</v>
      </c>
      <c r="G288" s="75">
        <v>1462.2436686064686</v>
      </c>
      <c r="H288" s="76">
        <v>2</v>
      </c>
      <c r="I288" s="54" t="s">
        <v>20</v>
      </c>
      <c r="J288" s="77">
        <v>40</v>
      </c>
      <c r="K288" s="78">
        <v>2</v>
      </c>
      <c r="L288" s="54">
        <v>2</v>
      </c>
      <c r="M288" s="54">
        <f>_xlfn.XLOOKUP(Survey!$F288,sections[Start],sections[Test Section],,-1,1)</f>
        <v>1</v>
      </c>
      <c r="N288" s="55">
        <f>_xlfn.XLOOKUP(Survey!$K288,pipedata[ID],pipedata[WT])</f>
        <v>0.74</v>
      </c>
      <c r="O288" s="56">
        <f>_xlfn.XLOOKUP(Survey!$K288,pipedata[ID],pipedata[104%])</f>
        <v>2565.3333333333335</v>
      </c>
      <c r="P288" s="57">
        <f t="shared" si="4"/>
        <v>1850</v>
      </c>
      <c r="Q288" s="58">
        <f>_xlfn.MAXIFS(Survey!$G$2:$G$3647,Survey!$M$2:$M$3647,Survey!$M288)-Survey!$G288</f>
        <v>891.90641898129684</v>
      </c>
      <c r="R288" s="59">
        <f>Survey!$P288+(Survey!$Q288*0.433)</f>
        <v>2236.1954794189014</v>
      </c>
    </row>
    <row r="289" spans="1:18" x14ac:dyDescent="0.25">
      <c r="A289" s="60" t="s">
        <v>17</v>
      </c>
      <c r="B289" s="61" t="s">
        <v>18</v>
      </c>
      <c r="C289" s="62" t="s">
        <v>19</v>
      </c>
      <c r="D289" s="63">
        <v>229.25866215407962</v>
      </c>
      <c r="E289" s="79">
        <v>1238369</v>
      </c>
      <c r="F289" s="80">
        <v>1211485.8461538479</v>
      </c>
      <c r="G289" s="66">
        <v>1457.0327197768261</v>
      </c>
      <c r="H289" s="67">
        <v>2</v>
      </c>
      <c r="I289" s="68" t="s">
        <v>20</v>
      </c>
      <c r="J289" s="69">
        <v>40</v>
      </c>
      <c r="K289" s="70">
        <v>2</v>
      </c>
      <c r="L289" s="68">
        <v>2</v>
      </c>
      <c r="M289" s="68">
        <f>_xlfn.XLOOKUP(Survey!$F289,sections[Start],sections[Test Section],,-1,1)</f>
        <v>1</v>
      </c>
      <c r="N289" s="55">
        <f>_xlfn.XLOOKUP(Survey!$K289,pipedata[ID],pipedata[WT])</f>
        <v>0.74</v>
      </c>
      <c r="O289" s="56">
        <f>_xlfn.XLOOKUP(Survey!$K289,pipedata[ID],pipedata[104%])</f>
        <v>2565.3333333333335</v>
      </c>
      <c r="P289" s="57">
        <f t="shared" si="4"/>
        <v>1850</v>
      </c>
      <c r="Q289" s="58">
        <f>_xlfn.MAXIFS(Survey!$G$2:$G$3647,Survey!$M$2:$M$3647,Survey!$M289)-Survey!$G289</f>
        <v>897.11736781093941</v>
      </c>
      <c r="R289" s="59">
        <f>Survey!$P289+(Survey!$Q289*0.433)</f>
        <v>2238.4518202621366</v>
      </c>
    </row>
    <row r="290" spans="1:18" x14ac:dyDescent="0.25">
      <c r="A290" s="71" t="s">
        <v>17</v>
      </c>
      <c r="B290" s="72" t="s">
        <v>18</v>
      </c>
      <c r="C290" s="73" t="s">
        <v>19</v>
      </c>
      <c r="D290" s="74">
        <v>229.26647109879599</v>
      </c>
      <c r="E290" s="81">
        <v>1238409</v>
      </c>
      <c r="F290" s="82">
        <v>1211524.9615384634</v>
      </c>
      <c r="G290" s="75">
        <v>1460.9334060844517</v>
      </c>
      <c r="H290" s="76">
        <v>2</v>
      </c>
      <c r="I290" s="54" t="s">
        <v>20</v>
      </c>
      <c r="J290" s="77">
        <v>40</v>
      </c>
      <c r="K290" s="78">
        <v>2</v>
      </c>
      <c r="L290" s="54">
        <v>2</v>
      </c>
      <c r="M290" s="54">
        <f>_xlfn.XLOOKUP(Survey!$F290,sections[Start],sections[Test Section],,-1,1)</f>
        <v>1</v>
      </c>
      <c r="N290" s="55">
        <f>_xlfn.XLOOKUP(Survey!$K290,pipedata[ID],pipedata[WT])</f>
        <v>0.74</v>
      </c>
      <c r="O290" s="56">
        <f>_xlfn.XLOOKUP(Survey!$K290,pipedata[ID],pipedata[104%])</f>
        <v>2565.3333333333335</v>
      </c>
      <c r="P290" s="57">
        <f t="shared" si="4"/>
        <v>1850</v>
      </c>
      <c r="Q290" s="58">
        <f>_xlfn.MAXIFS(Survey!$G$2:$G$3647,Survey!$M$2:$M$3647,Survey!$M290)-Survey!$G290</f>
        <v>893.21668150331379</v>
      </c>
      <c r="R290" s="59">
        <f>Survey!$P290+(Survey!$Q290*0.433)</f>
        <v>2236.7628230909349</v>
      </c>
    </row>
    <row r="291" spans="1:18" x14ac:dyDescent="0.25">
      <c r="A291" s="60" t="s">
        <v>17</v>
      </c>
      <c r="B291" s="61" t="s">
        <v>18</v>
      </c>
      <c r="C291" s="62" t="s">
        <v>19</v>
      </c>
      <c r="D291" s="63">
        <v>229.27428004351236</v>
      </c>
      <c r="E291" s="79">
        <v>1238449</v>
      </c>
      <c r="F291" s="80">
        <v>1211564.0769230789</v>
      </c>
      <c r="G291" s="66">
        <v>1460.2263624858097</v>
      </c>
      <c r="H291" s="67">
        <v>2</v>
      </c>
      <c r="I291" s="68" t="s">
        <v>20</v>
      </c>
      <c r="J291" s="69">
        <v>40</v>
      </c>
      <c r="K291" s="70">
        <v>2</v>
      </c>
      <c r="L291" s="68">
        <v>2</v>
      </c>
      <c r="M291" s="68">
        <f>_xlfn.XLOOKUP(Survey!$F291,sections[Start],sections[Test Section],,-1,1)</f>
        <v>1</v>
      </c>
      <c r="N291" s="55">
        <f>_xlfn.XLOOKUP(Survey!$K291,pipedata[ID],pipedata[WT])</f>
        <v>0.74</v>
      </c>
      <c r="O291" s="56">
        <f>_xlfn.XLOOKUP(Survey!$K291,pipedata[ID],pipedata[104%])</f>
        <v>2565.3333333333335</v>
      </c>
      <c r="P291" s="57">
        <f t="shared" si="4"/>
        <v>1850</v>
      </c>
      <c r="Q291" s="58">
        <f>_xlfn.MAXIFS(Survey!$G$2:$G$3647,Survey!$M$2:$M$3647,Survey!$M291)-Survey!$G291</f>
        <v>893.92372510195582</v>
      </c>
      <c r="R291" s="59">
        <f>Survey!$P291+(Survey!$Q291*0.433)</f>
        <v>2237.0689729691467</v>
      </c>
    </row>
    <row r="292" spans="1:18" x14ac:dyDescent="0.25">
      <c r="A292" s="71" t="s">
        <v>17</v>
      </c>
      <c r="B292" s="72" t="s">
        <v>18</v>
      </c>
      <c r="C292" s="73" t="s">
        <v>19</v>
      </c>
      <c r="D292" s="74">
        <v>229.2820889882284</v>
      </c>
      <c r="E292" s="81">
        <v>1238489</v>
      </c>
      <c r="F292" s="82">
        <v>1211603.1923076943</v>
      </c>
      <c r="G292" s="75">
        <v>1450.89761620593</v>
      </c>
      <c r="H292" s="76">
        <v>2</v>
      </c>
      <c r="I292" s="54" t="s">
        <v>20</v>
      </c>
      <c r="J292" s="77">
        <v>40</v>
      </c>
      <c r="K292" s="78">
        <v>2</v>
      </c>
      <c r="L292" s="54">
        <v>2</v>
      </c>
      <c r="M292" s="54">
        <f>_xlfn.XLOOKUP(Survey!$F292,sections[Start],sections[Test Section],,-1,1)</f>
        <v>1</v>
      </c>
      <c r="N292" s="55">
        <f>_xlfn.XLOOKUP(Survey!$K292,pipedata[ID],pipedata[WT])</f>
        <v>0.74</v>
      </c>
      <c r="O292" s="56">
        <f>_xlfn.XLOOKUP(Survey!$K292,pipedata[ID],pipedata[104%])</f>
        <v>2565.3333333333335</v>
      </c>
      <c r="P292" s="57">
        <f t="shared" si="4"/>
        <v>1850</v>
      </c>
      <c r="Q292" s="58">
        <f>_xlfn.MAXIFS(Survey!$G$2:$G$3647,Survey!$M$2:$M$3647,Survey!$M292)-Survey!$G292</f>
        <v>903.25247138183545</v>
      </c>
      <c r="R292" s="59">
        <f>Survey!$P292+(Survey!$Q292*0.433)</f>
        <v>2241.1083201083347</v>
      </c>
    </row>
    <row r="293" spans="1:18" x14ac:dyDescent="0.25">
      <c r="A293" s="60" t="s">
        <v>17</v>
      </c>
      <c r="B293" s="61" t="s">
        <v>18</v>
      </c>
      <c r="C293" s="62" t="s">
        <v>19</v>
      </c>
      <c r="D293" s="63">
        <v>229.28864194053642</v>
      </c>
      <c r="E293" s="79">
        <v>1238529</v>
      </c>
      <c r="F293" s="80">
        <v>1211642.3076923098</v>
      </c>
      <c r="G293" s="66">
        <v>1438.6978540000703</v>
      </c>
      <c r="H293" s="67">
        <v>2</v>
      </c>
      <c r="I293" s="68" t="s">
        <v>20</v>
      </c>
      <c r="J293" s="69">
        <v>40</v>
      </c>
      <c r="K293" s="70">
        <v>2</v>
      </c>
      <c r="L293" s="68">
        <v>2</v>
      </c>
      <c r="M293" s="68">
        <f>_xlfn.XLOOKUP(Survey!$F293,sections[Start],sections[Test Section],,-1,1)</f>
        <v>1</v>
      </c>
      <c r="N293" s="55">
        <f>_xlfn.XLOOKUP(Survey!$K293,pipedata[ID],pipedata[WT])</f>
        <v>0.74</v>
      </c>
      <c r="O293" s="56">
        <f>_xlfn.XLOOKUP(Survey!$K293,pipedata[ID],pipedata[104%])</f>
        <v>2565.3333333333335</v>
      </c>
      <c r="P293" s="57">
        <f t="shared" si="4"/>
        <v>1850</v>
      </c>
      <c r="Q293" s="58">
        <f>_xlfn.MAXIFS(Survey!$G$2:$G$3647,Survey!$M$2:$M$3647,Survey!$M293)-Survey!$G293</f>
        <v>915.45223358769522</v>
      </c>
      <c r="R293" s="59">
        <f>Survey!$P293+(Survey!$Q293*0.433)</f>
        <v>2246.3908171434718</v>
      </c>
    </row>
    <row r="294" spans="1:18" x14ac:dyDescent="0.25">
      <c r="A294" s="71" t="s">
        <v>17</v>
      </c>
      <c r="B294" s="72" t="s">
        <v>18</v>
      </c>
      <c r="C294" s="73" t="s">
        <v>19</v>
      </c>
      <c r="D294" s="74">
        <v>229.29615953593222</v>
      </c>
      <c r="E294" s="81">
        <v>1238569</v>
      </c>
      <c r="F294" s="82">
        <v>1211681.4230769253</v>
      </c>
      <c r="G294" s="75">
        <v>1425.4992512871167</v>
      </c>
      <c r="H294" s="76">
        <v>2</v>
      </c>
      <c r="I294" s="54" t="s">
        <v>20</v>
      </c>
      <c r="J294" s="77">
        <v>40</v>
      </c>
      <c r="K294" s="78">
        <v>2</v>
      </c>
      <c r="L294" s="54">
        <v>2</v>
      </c>
      <c r="M294" s="54">
        <f>_xlfn.XLOOKUP(Survey!$F294,sections[Start],sections[Test Section],,-1,1)</f>
        <v>1</v>
      </c>
      <c r="N294" s="55">
        <f>_xlfn.XLOOKUP(Survey!$K294,pipedata[ID],pipedata[WT])</f>
        <v>0.74</v>
      </c>
      <c r="O294" s="56">
        <f>_xlfn.XLOOKUP(Survey!$K294,pipedata[ID],pipedata[104%])</f>
        <v>2565.3333333333335</v>
      </c>
      <c r="P294" s="57">
        <f t="shared" si="4"/>
        <v>1850</v>
      </c>
      <c r="Q294" s="58">
        <f>_xlfn.MAXIFS(Survey!$G$2:$G$3647,Survey!$M$2:$M$3647,Survey!$M294)-Survey!$G294</f>
        <v>928.65083630064873</v>
      </c>
      <c r="R294" s="59">
        <f>Survey!$P294+(Survey!$Q294*0.433)</f>
        <v>2252.1058121181809</v>
      </c>
    </row>
    <row r="295" spans="1:18" x14ac:dyDescent="0.25">
      <c r="A295" s="60" t="s">
        <v>17</v>
      </c>
      <c r="B295" s="61" t="s">
        <v>18</v>
      </c>
      <c r="C295" s="62" t="s">
        <v>19</v>
      </c>
      <c r="D295" s="63">
        <v>229.30367713132759</v>
      </c>
      <c r="E295" s="79">
        <v>1238609</v>
      </c>
      <c r="F295" s="80">
        <v>1211720.5384615408</v>
      </c>
      <c r="G295" s="66">
        <v>1429.3223302374315</v>
      </c>
      <c r="H295" s="67">
        <v>2</v>
      </c>
      <c r="I295" s="68" t="s">
        <v>20</v>
      </c>
      <c r="J295" s="69">
        <v>40</v>
      </c>
      <c r="K295" s="70">
        <v>2</v>
      </c>
      <c r="L295" s="68">
        <v>2</v>
      </c>
      <c r="M295" s="68">
        <f>_xlfn.XLOOKUP(Survey!$F295,sections[Start],sections[Test Section],,-1,1)</f>
        <v>1</v>
      </c>
      <c r="N295" s="55">
        <f>_xlfn.XLOOKUP(Survey!$K295,pipedata[ID],pipedata[WT])</f>
        <v>0.74</v>
      </c>
      <c r="O295" s="56">
        <f>_xlfn.XLOOKUP(Survey!$K295,pipedata[ID],pipedata[104%])</f>
        <v>2565.3333333333335</v>
      </c>
      <c r="P295" s="57">
        <f t="shared" si="4"/>
        <v>1850</v>
      </c>
      <c r="Q295" s="58">
        <f>_xlfn.MAXIFS(Survey!$G$2:$G$3647,Survey!$M$2:$M$3647,Survey!$M295)-Survey!$G295</f>
        <v>924.82775735033397</v>
      </c>
      <c r="R295" s="59">
        <f>Survey!$P295+(Survey!$Q295*0.433)</f>
        <v>2250.4504189326944</v>
      </c>
    </row>
    <row r="296" spans="1:18" x14ac:dyDescent="0.25">
      <c r="A296" s="71" t="s">
        <v>17</v>
      </c>
      <c r="B296" s="72" t="s">
        <v>18</v>
      </c>
      <c r="C296" s="73" t="s">
        <v>19</v>
      </c>
      <c r="D296" s="74">
        <v>229.31081758549672</v>
      </c>
      <c r="E296" s="81">
        <v>1238649</v>
      </c>
      <c r="F296" s="82">
        <v>1211759.6538461563</v>
      </c>
      <c r="G296" s="75">
        <v>1434.897159672573</v>
      </c>
      <c r="H296" s="76">
        <v>2</v>
      </c>
      <c r="I296" s="54" t="s">
        <v>20</v>
      </c>
      <c r="J296" s="77">
        <v>40</v>
      </c>
      <c r="K296" s="78">
        <v>2</v>
      </c>
      <c r="L296" s="54">
        <v>2</v>
      </c>
      <c r="M296" s="54">
        <f>_xlfn.XLOOKUP(Survey!$F296,sections[Start],sections[Test Section],,-1,1)</f>
        <v>1</v>
      </c>
      <c r="N296" s="55">
        <f>_xlfn.XLOOKUP(Survey!$K296,pipedata[ID],pipedata[WT])</f>
        <v>0.74</v>
      </c>
      <c r="O296" s="56">
        <f>_xlfn.XLOOKUP(Survey!$K296,pipedata[ID],pipedata[104%])</f>
        <v>2565.3333333333335</v>
      </c>
      <c r="P296" s="57">
        <f t="shared" si="4"/>
        <v>1850</v>
      </c>
      <c r="Q296" s="58">
        <f>_xlfn.MAXIFS(Survey!$G$2:$G$3647,Survey!$M$2:$M$3647,Survey!$M296)-Survey!$G296</f>
        <v>919.25292791519246</v>
      </c>
      <c r="R296" s="59">
        <f>Survey!$P296+(Survey!$Q296*0.433)</f>
        <v>2248.0365177872782</v>
      </c>
    </row>
    <row r="297" spans="1:18" x14ac:dyDescent="0.25">
      <c r="A297" s="60" t="s">
        <v>17</v>
      </c>
      <c r="B297" s="61" t="s">
        <v>18</v>
      </c>
      <c r="C297" s="62" t="s">
        <v>19</v>
      </c>
      <c r="D297" s="63">
        <v>229.31863217714761</v>
      </c>
      <c r="E297" s="79">
        <v>1238689</v>
      </c>
      <c r="F297" s="80">
        <v>1211798.7692307718</v>
      </c>
      <c r="G297" s="66">
        <v>1441.1985216029734</v>
      </c>
      <c r="H297" s="67">
        <v>2</v>
      </c>
      <c r="I297" s="68" t="s">
        <v>20</v>
      </c>
      <c r="J297" s="69">
        <v>69</v>
      </c>
      <c r="K297" s="70">
        <v>2</v>
      </c>
      <c r="L297" s="68">
        <v>2</v>
      </c>
      <c r="M297" s="68">
        <f>_xlfn.XLOOKUP(Survey!$F297,sections[Start],sections[Test Section],,-1,1)</f>
        <v>1</v>
      </c>
      <c r="N297" s="55">
        <f>_xlfn.XLOOKUP(Survey!$K297,pipedata[ID],pipedata[WT])</f>
        <v>0.74</v>
      </c>
      <c r="O297" s="56">
        <f>_xlfn.XLOOKUP(Survey!$K297,pipedata[ID],pipedata[104%])</f>
        <v>2565.3333333333335</v>
      </c>
      <c r="P297" s="57">
        <f t="shared" si="4"/>
        <v>1850</v>
      </c>
      <c r="Q297" s="58">
        <f>_xlfn.MAXIFS(Survey!$G$2:$G$3647,Survey!$M$2:$M$3647,Survey!$M297)-Survey!$G297</f>
        <v>912.95156598479207</v>
      </c>
      <c r="R297" s="59">
        <f>Survey!$P297+(Survey!$Q297*0.433)</f>
        <v>2245.3080280714148</v>
      </c>
    </row>
    <row r="298" spans="1:18" x14ac:dyDescent="0.25">
      <c r="A298" s="71" t="s">
        <v>17</v>
      </c>
      <c r="B298" s="72" t="s">
        <v>18</v>
      </c>
      <c r="C298" s="73" t="s">
        <v>19</v>
      </c>
      <c r="D298" s="74">
        <v>229.32613146834655</v>
      </c>
      <c r="E298" s="81">
        <v>1238758</v>
      </c>
      <c r="F298" s="82">
        <v>1211877</v>
      </c>
      <c r="G298" s="75">
        <v>1445.9266874057055</v>
      </c>
      <c r="H298" s="76">
        <v>3</v>
      </c>
      <c r="I298" s="54" t="s">
        <v>21</v>
      </c>
      <c r="J298" s="77">
        <v>11</v>
      </c>
      <c r="K298" s="78">
        <v>5</v>
      </c>
      <c r="L298" s="54">
        <v>2</v>
      </c>
      <c r="M298" s="54">
        <f>_xlfn.XLOOKUP(Survey!$F298,sections[Start],sections[Test Section],,-1,1)</f>
        <v>1</v>
      </c>
      <c r="N298" s="55">
        <f>_xlfn.XLOOKUP(Survey!$K298,pipedata[ID],pipedata[WT])</f>
        <v>0.88800000000000001</v>
      </c>
      <c r="O298" s="56">
        <f>_xlfn.XLOOKUP(Survey!$K298,pipedata[ID],pipedata[104%])</f>
        <v>3078.4</v>
      </c>
      <c r="P298" s="57">
        <f t="shared" si="4"/>
        <v>1850</v>
      </c>
      <c r="Q298" s="58">
        <f>_xlfn.MAXIFS(Survey!$G$2:$G$3647,Survey!$M$2:$M$3647,Survey!$M298)-Survey!$G298</f>
        <v>908.22340018206</v>
      </c>
      <c r="R298" s="59">
        <f>Survey!$P298+(Survey!$Q298*0.433)</f>
        <v>2243.2607322788322</v>
      </c>
    </row>
    <row r="299" spans="1:18" x14ac:dyDescent="0.25">
      <c r="A299" s="60" t="s">
        <v>17</v>
      </c>
      <c r="B299" s="61" t="s">
        <v>18</v>
      </c>
      <c r="C299" s="62" t="s">
        <v>19</v>
      </c>
      <c r="D299" s="63">
        <v>229.3337884097715</v>
      </c>
      <c r="E299" s="79">
        <v>1238769</v>
      </c>
      <c r="F299" s="80">
        <v>1211917</v>
      </c>
      <c r="G299" s="66">
        <v>1441.822770918222</v>
      </c>
      <c r="H299" s="67">
        <v>3</v>
      </c>
      <c r="I299" s="68" t="s">
        <v>21</v>
      </c>
      <c r="J299" s="69">
        <v>69</v>
      </c>
      <c r="K299" s="70">
        <v>5</v>
      </c>
      <c r="L299" s="68">
        <v>2</v>
      </c>
      <c r="M299" s="68">
        <f>_xlfn.XLOOKUP(Survey!$F299,sections[Start],sections[Test Section],,-1,1)</f>
        <v>1</v>
      </c>
      <c r="N299" s="55">
        <f>_xlfn.XLOOKUP(Survey!$K299,pipedata[ID],pipedata[WT])</f>
        <v>0.88800000000000001</v>
      </c>
      <c r="O299" s="56">
        <f>_xlfn.XLOOKUP(Survey!$K299,pipedata[ID],pipedata[104%])</f>
        <v>3078.4</v>
      </c>
      <c r="P299" s="57">
        <f t="shared" si="4"/>
        <v>1850</v>
      </c>
      <c r="Q299" s="58">
        <f>_xlfn.MAXIFS(Survey!$G$2:$G$3647,Survey!$M$2:$M$3647,Survey!$M299)-Survey!$G299</f>
        <v>912.32731666954351</v>
      </c>
      <c r="R299" s="59">
        <f>Survey!$P299+(Survey!$Q299*0.433)</f>
        <v>2245.0377281179121</v>
      </c>
    </row>
    <row r="300" spans="1:18" x14ac:dyDescent="0.25">
      <c r="A300" s="71" t="s">
        <v>17</v>
      </c>
      <c r="B300" s="72" t="s">
        <v>18</v>
      </c>
      <c r="C300" s="73" t="s">
        <v>19</v>
      </c>
      <c r="D300" s="74">
        <v>229.34144535119646</v>
      </c>
      <c r="E300" s="81">
        <v>1238838</v>
      </c>
      <c r="F300" s="82">
        <v>1211957</v>
      </c>
      <c r="G300" s="75">
        <v>1437.4226538567455</v>
      </c>
      <c r="H300" s="76">
        <v>2</v>
      </c>
      <c r="I300" s="54" t="s">
        <v>20</v>
      </c>
      <c r="J300" s="77">
        <v>11</v>
      </c>
      <c r="K300" s="78">
        <v>2</v>
      </c>
      <c r="L300" s="54">
        <v>2</v>
      </c>
      <c r="M300" s="54">
        <f>_xlfn.XLOOKUP(Survey!$F300,sections[Start],sections[Test Section],,-1,1)</f>
        <v>1</v>
      </c>
      <c r="N300" s="55">
        <f>_xlfn.XLOOKUP(Survey!$K300,pipedata[ID],pipedata[WT])</f>
        <v>0.74</v>
      </c>
      <c r="O300" s="56">
        <f>_xlfn.XLOOKUP(Survey!$K300,pipedata[ID],pipedata[104%])</f>
        <v>2565.3333333333335</v>
      </c>
      <c r="P300" s="57">
        <f t="shared" si="4"/>
        <v>1850</v>
      </c>
      <c r="Q300" s="58">
        <f>_xlfn.MAXIFS(Survey!$G$2:$G$3647,Survey!$M$2:$M$3647,Survey!$M300)-Survey!$G300</f>
        <v>916.72743373102003</v>
      </c>
      <c r="R300" s="59">
        <f>Survey!$P300+(Survey!$Q300*0.433)</f>
        <v>2246.9429788055318</v>
      </c>
    </row>
    <row r="301" spans="1:18" x14ac:dyDescent="0.25">
      <c r="A301" s="60" t="s">
        <v>17</v>
      </c>
      <c r="B301" s="61" t="s">
        <v>18</v>
      </c>
      <c r="C301" s="62" t="s">
        <v>19</v>
      </c>
      <c r="D301" s="63">
        <v>229.34910229262155</v>
      </c>
      <c r="E301" s="79">
        <v>1238849</v>
      </c>
      <c r="F301" s="80">
        <v>1211996.2727272727</v>
      </c>
      <c r="G301" s="66">
        <v>1432.0163779911045</v>
      </c>
      <c r="H301" s="67">
        <v>2</v>
      </c>
      <c r="I301" s="68" t="s">
        <v>20</v>
      </c>
      <c r="J301" s="69">
        <v>40</v>
      </c>
      <c r="K301" s="70">
        <v>2</v>
      </c>
      <c r="L301" s="68">
        <v>2</v>
      </c>
      <c r="M301" s="68">
        <f>_xlfn.XLOOKUP(Survey!$F301,sections[Start],sections[Test Section],,-1,1)</f>
        <v>1</v>
      </c>
      <c r="N301" s="55">
        <f>_xlfn.XLOOKUP(Survey!$K301,pipedata[ID],pipedata[WT])</f>
        <v>0.74</v>
      </c>
      <c r="O301" s="56">
        <f>_xlfn.XLOOKUP(Survey!$K301,pipedata[ID],pipedata[104%])</f>
        <v>2565.3333333333335</v>
      </c>
      <c r="P301" s="57">
        <f t="shared" si="4"/>
        <v>1850</v>
      </c>
      <c r="Q301" s="58">
        <f>_xlfn.MAXIFS(Survey!$G$2:$G$3647,Survey!$M$2:$M$3647,Survey!$M301)-Survey!$G301</f>
        <v>922.13370959666099</v>
      </c>
      <c r="R301" s="59">
        <f>Survey!$P301+(Survey!$Q301*0.433)</f>
        <v>2249.2838962553542</v>
      </c>
    </row>
    <row r="302" spans="1:18" x14ac:dyDescent="0.25">
      <c r="A302" s="71" t="s">
        <v>17</v>
      </c>
      <c r="B302" s="72" t="s">
        <v>18</v>
      </c>
      <c r="C302" s="73" t="s">
        <v>19</v>
      </c>
      <c r="D302" s="74">
        <v>229.35668004624858</v>
      </c>
      <c r="E302" s="81">
        <v>1238889</v>
      </c>
      <c r="F302" s="82">
        <v>1212035.5454545454</v>
      </c>
      <c r="G302" s="75">
        <v>1424.584718692397</v>
      </c>
      <c r="H302" s="76">
        <v>2</v>
      </c>
      <c r="I302" s="54" t="s">
        <v>20</v>
      </c>
      <c r="J302" s="77">
        <v>40</v>
      </c>
      <c r="K302" s="78">
        <v>2</v>
      </c>
      <c r="L302" s="54">
        <v>2</v>
      </c>
      <c r="M302" s="54">
        <f>_xlfn.XLOOKUP(Survey!$F302,sections[Start],sections[Test Section],,-1,1)</f>
        <v>1</v>
      </c>
      <c r="N302" s="55">
        <f>_xlfn.XLOOKUP(Survey!$K302,pipedata[ID],pipedata[WT])</f>
        <v>0.74</v>
      </c>
      <c r="O302" s="56">
        <f>_xlfn.XLOOKUP(Survey!$K302,pipedata[ID],pipedata[104%])</f>
        <v>2565.3333333333335</v>
      </c>
      <c r="P302" s="57">
        <f t="shared" si="4"/>
        <v>1850</v>
      </c>
      <c r="Q302" s="58">
        <f>_xlfn.MAXIFS(Survey!$G$2:$G$3647,Survey!$M$2:$M$3647,Survey!$M302)-Survey!$G302</f>
        <v>929.56536889536847</v>
      </c>
      <c r="R302" s="59">
        <f>Survey!$P302+(Survey!$Q302*0.433)</f>
        <v>2252.5018047316944</v>
      </c>
    </row>
    <row r="303" spans="1:18" x14ac:dyDescent="0.25">
      <c r="A303" s="60" t="s">
        <v>17</v>
      </c>
      <c r="B303" s="61" t="s">
        <v>18</v>
      </c>
      <c r="C303" s="62" t="s">
        <v>19</v>
      </c>
      <c r="D303" s="63">
        <v>229.36402134640781</v>
      </c>
      <c r="E303" s="79">
        <v>1238929</v>
      </c>
      <c r="F303" s="80">
        <v>1212074.8181818181</v>
      </c>
      <c r="G303" s="66">
        <v>1416.2929847356211</v>
      </c>
      <c r="H303" s="67">
        <v>2</v>
      </c>
      <c r="I303" s="68" t="s">
        <v>20</v>
      </c>
      <c r="J303" s="69">
        <v>40</v>
      </c>
      <c r="K303" s="70">
        <v>2</v>
      </c>
      <c r="L303" s="68">
        <v>2</v>
      </c>
      <c r="M303" s="68">
        <f>_xlfn.XLOOKUP(Survey!$F303,sections[Start],sections[Test Section],,-1,1)</f>
        <v>1</v>
      </c>
      <c r="N303" s="55">
        <f>_xlfn.XLOOKUP(Survey!$K303,pipedata[ID],pipedata[WT])</f>
        <v>0.74</v>
      </c>
      <c r="O303" s="56">
        <f>_xlfn.XLOOKUP(Survey!$K303,pipedata[ID],pipedata[104%])</f>
        <v>2565.3333333333335</v>
      </c>
      <c r="P303" s="57">
        <f t="shared" si="4"/>
        <v>1850</v>
      </c>
      <c r="Q303" s="58">
        <f>_xlfn.MAXIFS(Survey!$G$2:$G$3647,Survey!$M$2:$M$3647,Survey!$M303)-Survey!$G303</f>
        <v>937.85710285214441</v>
      </c>
      <c r="R303" s="59">
        <f>Survey!$P303+(Survey!$Q303*0.433)</f>
        <v>2256.0921255349785</v>
      </c>
    </row>
    <row r="304" spans="1:18" x14ac:dyDescent="0.25">
      <c r="A304" s="71" t="s">
        <v>17</v>
      </c>
      <c r="B304" s="72" t="s">
        <v>18</v>
      </c>
      <c r="C304" s="73" t="s">
        <v>19</v>
      </c>
      <c r="D304" s="74">
        <v>229.37039896358786</v>
      </c>
      <c r="E304" s="81">
        <v>1238969</v>
      </c>
      <c r="F304" s="82">
        <v>1212114.0909090908</v>
      </c>
      <c r="G304" s="75">
        <v>1415.5542530523037</v>
      </c>
      <c r="H304" s="76">
        <v>2</v>
      </c>
      <c r="I304" s="54" t="s">
        <v>20</v>
      </c>
      <c r="J304" s="77">
        <v>40</v>
      </c>
      <c r="K304" s="78">
        <v>2</v>
      </c>
      <c r="L304" s="54">
        <v>2</v>
      </c>
      <c r="M304" s="54">
        <f>_xlfn.XLOOKUP(Survey!$F304,sections[Start],sections[Test Section],,-1,1)</f>
        <v>1</v>
      </c>
      <c r="N304" s="55">
        <f>_xlfn.XLOOKUP(Survey!$K304,pipedata[ID],pipedata[WT])</f>
        <v>0.74</v>
      </c>
      <c r="O304" s="56">
        <f>_xlfn.XLOOKUP(Survey!$K304,pipedata[ID],pipedata[104%])</f>
        <v>2565.3333333333335</v>
      </c>
      <c r="P304" s="57">
        <f t="shared" si="4"/>
        <v>1850</v>
      </c>
      <c r="Q304" s="58">
        <f>_xlfn.MAXIFS(Survey!$G$2:$G$3647,Survey!$M$2:$M$3647,Survey!$M304)-Survey!$G304</f>
        <v>938.59583453546179</v>
      </c>
      <c r="R304" s="59">
        <f>Survey!$P304+(Survey!$Q304*0.433)</f>
        <v>2256.4119963538551</v>
      </c>
    </row>
    <row r="305" spans="1:18" x14ac:dyDescent="0.25">
      <c r="A305" s="60" t="s">
        <v>17</v>
      </c>
      <c r="B305" s="61" t="s">
        <v>18</v>
      </c>
      <c r="C305" s="62" t="s">
        <v>19</v>
      </c>
      <c r="D305" s="63">
        <v>229.37825712079757</v>
      </c>
      <c r="E305" s="79">
        <v>1239009</v>
      </c>
      <c r="F305" s="80">
        <v>1212153.3636363635</v>
      </c>
      <c r="G305" s="66">
        <v>1414.3726707882822</v>
      </c>
      <c r="H305" s="67">
        <v>2</v>
      </c>
      <c r="I305" s="68" t="s">
        <v>20</v>
      </c>
      <c r="J305" s="69">
        <v>40</v>
      </c>
      <c r="K305" s="70">
        <v>2</v>
      </c>
      <c r="L305" s="68">
        <v>2</v>
      </c>
      <c r="M305" s="68">
        <f>_xlfn.XLOOKUP(Survey!$F305,sections[Start],sections[Test Section],,-1,1)</f>
        <v>1</v>
      </c>
      <c r="N305" s="55">
        <f>_xlfn.XLOOKUP(Survey!$K305,pipedata[ID],pipedata[WT])</f>
        <v>0.74</v>
      </c>
      <c r="O305" s="56">
        <f>_xlfn.XLOOKUP(Survey!$K305,pipedata[ID],pipedata[104%])</f>
        <v>2565.3333333333335</v>
      </c>
      <c r="P305" s="57">
        <f t="shared" si="4"/>
        <v>1850</v>
      </c>
      <c r="Q305" s="58">
        <f>_xlfn.MAXIFS(Survey!$G$2:$G$3647,Survey!$M$2:$M$3647,Survey!$M305)-Survey!$G305</f>
        <v>939.77741679948326</v>
      </c>
      <c r="R305" s="59">
        <f>Survey!$P305+(Survey!$Q305*0.433)</f>
        <v>2256.9236214741763</v>
      </c>
    </row>
    <row r="306" spans="1:18" x14ac:dyDescent="0.25">
      <c r="A306" s="71" t="s">
        <v>17</v>
      </c>
      <c r="B306" s="72" t="s">
        <v>18</v>
      </c>
      <c r="C306" s="73" t="s">
        <v>19</v>
      </c>
      <c r="D306" s="74">
        <v>229.38611527800728</v>
      </c>
      <c r="E306" s="81">
        <v>1239049</v>
      </c>
      <c r="F306" s="82">
        <v>1212192.6363636362</v>
      </c>
      <c r="G306" s="75">
        <v>1413.1905221111699</v>
      </c>
      <c r="H306" s="76">
        <v>2</v>
      </c>
      <c r="I306" s="54" t="s">
        <v>20</v>
      </c>
      <c r="J306" s="77">
        <v>40</v>
      </c>
      <c r="K306" s="78">
        <v>2</v>
      </c>
      <c r="L306" s="54">
        <v>2</v>
      </c>
      <c r="M306" s="54">
        <f>_xlfn.XLOOKUP(Survey!$F306,sections[Start],sections[Test Section],,-1,1)</f>
        <v>1</v>
      </c>
      <c r="N306" s="55">
        <f>_xlfn.XLOOKUP(Survey!$K306,pipedata[ID],pipedata[WT])</f>
        <v>0.74</v>
      </c>
      <c r="O306" s="56">
        <f>_xlfn.XLOOKUP(Survey!$K306,pipedata[ID],pipedata[104%])</f>
        <v>2565.3333333333335</v>
      </c>
      <c r="P306" s="57">
        <f t="shared" si="4"/>
        <v>1850</v>
      </c>
      <c r="Q306" s="58">
        <f>_xlfn.MAXIFS(Survey!$G$2:$G$3647,Survey!$M$2:$M$3647,Survey!$M306)-Survey!$G306</f>
        <v>940.95956547659557</v>
      </c>
      <c r="R306" s="59">
        <f>Survey!$P306+(Survey!$Q306*0.433)</f>
        <v>2257.4354918513659</v>
      </c>
    </row>
    <row r="307" spans="1:18" x14ac:dyDescent="0.25">
      <c r="A307" s="60" t="s">
        <v>17</v>
      </c>
      <c r="B307" s="61" t="s">
        <v>18</v>
      </c>
      <c r="C307" s="62" t="s">
        <v>19</v>
      </c>
      <c r="D307" s="63">
        <v>229.39429287050493</v>
      </c>
      <c r="E307" s="79">
        <v>1239089</v>
      </c>
      <c r="F307" s="80">
        <v>1212231.9090909089</v>
      </c>
      <c r="G307" s="66">
        <v>1412.5716364782452</v>
      </c>
      <c r="H307" s="67">
        <v>2</v>
      </c>
      <c r="I307" s="68" t="s">
        <v>20</v>
      </c>
      <c r="J307" s="69">
        <v>40</v>
      </c>
      <c r="K307" s="70">
        <v>2</v>
      </c>
      <c r="L307" s="68">
        <v>2</v>
      </c>
      <c r="M307" s="68">
        <f>_xlfn.XLOOKUP(Survey!$F307,sections[Start],sections[Test Section],,-1,1)</f>
        <v>1</v>
      </c>
      <c r="N307" s="55">
        <f>_xlfn.XLOOKUP(Survey!$K307,pipedata[ID],pipedata[WT])</f>
        <v>0.74</v>
      </c>
      <c r="O307" s="56">
        <f>_xlfn.XLOOKUP(Survey!$K307,pipedata[ID],pipedata[104%])</f>
        <v>2565.3333333333335</v>
      </c>
      <c r="P307" s="57">
        <f t="shared" si="4"/>
        <v>1850</v>
      </c>
      <c r="Q307" s="58">
        <f>_xlfn.MAXIFS(Survey!$G$2:$G$3647,Survey!$M$2:$M$3647,Survey!$M307)-Survey!$G307</f>
        <v>941.5784511095203</v>
      </c>
      <c r="R307" s="59">
        <f>Survey!$P307+(Survey!$Q307*0.433)</f>
        <v>2257.7034693304222</v>
      </c>
    </row>
    <row r="308" spans="1:18" x14ac:dyDescent="0.25">
      <c r="A308" s="71" t="s">
        <v>17</v>
      </c>
      <c r="B308" s="72" t="s">
        <v>18</v>
      </c>
      <c r="C308" s="73" t="s">
        <v>19</v>
      </c>
      <c r="D308" s="74">
        <v>229.40183159242653</v>
      </c>
      <c r="E308" s="81">
        <v>1239129</v>
      </c>
      <c r="F308" s="82">
        <v>1212271.1818181816</v>
      </c>
      <c r="G308" s="75">
        <v>1410.8995849295109</v>
      </c>
      <c r="H308" s="76">
        <v>2</v>
      </c>
      <c r="I308" s="54" t="s">
        <v>20</v>
      </c>
      <c r="J308" s="77">
        <v>40</v>
      </c>
      <c r="K308" s="78">
        <v>2</v>
      </c>
      <c r="L308" s="54">
        <v>2</v>
      </c>
      <c r="M308" s="54">
        <f>_xlfn.XLOOKUP(Survey!$F308,sections[Start],sections[Test Section],,-1,1)</f>
        <v>1</v>
      </c>
      <c r="N308" s="55">
        <f>_xlfn.XLOOKUP(Survey!$K308,pipedata[ID],pipedata[WT])</f>
        <v>0.74</v>
      </c>
      <c r="O308" s="56">
        <f>_xlfn.XLOOKUP(Survey!$K308,pipedata[ID],pipedata[104%])</f>
        <v>2565.3333333333335</v>
      </c>
      <c r="P308" s="57">
        <f t="shared" si="4"/>
        <v>1850</v>
      </c>
      <c r="Q308" s="58">
        <f>_xlfn.MAXIFS(Survey!$G$2:$G$3647,Survey!$M$2:$M$3647,Survey!$M308)-Survey!$G308</f>
        <v>943.25050265825462</v>
      </c>
      <c r="R308" s="59">
        <f>Survey!$P308+(Survey!$Q308*0.433)</f>
        <v>2258.427467651024</v>
      </c>
    </row>
    <row r="309" spans="1:18" x14ac:dyDescent="0.25">
      <c r="A309" s="60" t="s">
        <v>17</v>
      </c>
      <c r="B309" s="61" t="s">
        <v>18</v>
      </c>
      <c r="C309" s="62" t="s">
        <v>19</v>
      </c>
      <c r="D309" s="63">
        <v>229.40855047858375</v>
      </c>
      <c r="E309" s="79">
        <v>1239169</v>
      </c>
      <c r="F309" s="80">
        <v>1212310.4545454544</v>
      </c>
      <c r="G309" s="66">
        <v>1409.4913593564386</v>
      </c>
      <c r="H309" s="67">
        <v>2</v>
      </c>
      <c r="I309" s="68" t="s">
        <v>20</v>
      </c>
      <c r="J309" s="69">
        <v>40</v>
      </c>
      <c r="K309" s="70">
        <v>2</v>
      </c>
      <c r="L309" s="68">
        <v>2</v>
      </c>
      <c r="M309" s="68">
        <f>_xlfn.XLOOKUP(Survey!$F309,sections[Start],sections[Test Section],,-1,1)</f>
        <v>1</v>
      </c>
      <c r="N309" s="55">
        <f>_xlfn.XLOOKUP(Survey!$K309,pipedata[ID],pipedata[WT])</f>
        <v>0.74</v>
      </c>
      <c r="O309" s="56">
        <f>_xlfn.XLOOKUP(Survey!$K309,pipedata[ID],pipedata[104%])</f>
        <v>2565.3333333333335</v>
      </c>
      <c r="P309" s="57">
        <f t="shared" si="4"/>
        <v>1850</v>
      </c>
      <c r="Q309" s="58">
        <f>_xlfn.MAXIFS(Survey!$G$2:$G$3647,Survey!$M$2:$M$3647,Survey!$M309)-Survey!$G309</f>
        <v>944.6587282313269</v>
      </c>
      <c r="R309" s="59">
        <f>Survey!$P309+(Survey!$Q309*0.433)</f>
        <v>2259.0372293241644</v>
      </c>
    </row>
    <row r="310" spans="1:18" x14ac:dyDescent="0.25">
      <c r="A310" s="71" t="s">
        <v>17</v>
      </c>
      <c r="B310" s="72" t="s">
        <v>18</v>
      </c>
      <c r="C310" s="73" t="s">
        <v>19</v>
      </c>
      <c r="D310" s="74">
        <v>229.41567928262313</v>
      </c>
      <c r="E310" s="81">
        <v>1239209</v>
      </c>
      <c r="F310" s="82">
        <v>1212349.7272727271</v>
      </c>
      <c r="G310" s="75">
        <v>1407.337539007372</v>
      </c>
      <c r="H310" s="76">
        <v>2</v>
      </c>
      <c r="I310" s="54" t="s">
        <v>20</v>
      </c>
      <c r="J310" s="77">
        <v>40</v>
      </c>
      <c r="K310" s="78">
        <v>2</v>
      </c>
      <c r="L310" s="54">
        <v>2</v>
      </c>
      <c r="M310" s="54">
        <f>_xlfn.XLOOKUP(Survey!$F310,sections[Start],sections[Test Section],,-1,1)</f>
        <v>1</v>
      </c>
      <c r="N310" s="55">
        <f>_xlfn.XLOOKUP(Survey!$K310,pipedata[ID],pipedata[WT])</f>
        <v>0.74</v>
      </c>
      <c r="O310" s="56">
        <f>_xlfn.XLOOKUP(Survey!$K310,pipedata[ID],pipedata[104%])</f>
        <v>2565.3333333333335</v>
      </c>
      <c r="P310" s="57">
        <f t="shared" si="4"/>
        <v>1850</v>
      </c>
      <c r="Q310" s="58">
        <f>_xlfn.MAXIFS(Survey!$G$2:$G$3647,Survey!$M$2:$M$3647,Survey!$M310)-Survey!$G310</f>
        <v>946.81254858039347</v>
      </c>
      <c r="R310" s="59">
        <f>Survey!$P310+(Survey!$Q310*0.433)</f>
        <v>2259.9698335353105</v>
      </c>
    </row>
    <row r="311" spans="1:18" x14ac:dyDescent="0.25">
      <c r="A311" s="60" t="s">
        <v>17</v>
      </c>
      <c r="B311" s="61" t="s">
        <v>18</v>
      </c>
      <c r="C311" s="62" t="s">
        <v>19</v>
      </c>
      <c r="D311" s="63">
        <v>229.42368249110322</v>
      </c>
      <c r="E311" s="79">
        <v>1239249</v>
      </c>
      <c r="F311" s="80">
        <v>1212388.9999999998</v>
      </c>
      <c r="G311" s="66">
        <v>1405.5995929739736</v>
      </c>
      <c r="H311" s="67">
        <v>2</v>
      </c>
      <c r="I311" s="68" t="s">
        <v>20</v>
      </c>
      <c r="J311" s="69">
        <v>40</v>
      </c>
      <c r="K311" s="70">
        <v>2</v>
      </c>
      <c r="L311" s="68">
        <v>2</v>
      </c>
      <c r="M311" s="68">
        <f>_xlfn.XLOOKUP(Survey!$F311,sections[Start],sections[Test Section],,-1,1)</f>
        <v>1</v>
      </c>
      <c r="N311" s="55">
        <f>_xlfn.XLOOKUP(Survey!$K311,pipedata[ID],pipedata[WT])</f>
        <v>0.74</v>
      </c>
      <c r="O311" s="56">
        <f>_xlfn.XLOOKUP(Survey!$K311,pipedata[ID],pipedata[104%])</f>
        <v>2565.3333333333335</v>
      </c>
      <c r="P311" s="57">
        <f t="shared" si="4"/>
        <v>1850</v>
      </c>
      <c r="Q311" s="58">
        <f>_xlfn.MAXIFS(Survey!$G$2:$G$3647,Survey!$M$2:$M$3647,Survey!$M311)-Survey!$G311</f>
        <v>948.5504946137919</v>
      </c>
      <c r="R311" s="59">
        <f>Survey!$P311+(Survey!$Q311*0.433)</f>
        <v>2260.722364167772</v>
      </c>
    </row>
    <row r="312" spans="1:18" x14ac:dyDescent="0.25">
      <c r="A312" s="71" t="s">
        <v>17</v>
      </c>
      <c r="B312" s="72" t="s">
        <v>18</v>
      </c>
      <c r="C312" s="73" t="s">
        <v>19</v>
      </c>
      <c r="D312" s="74">
        <v>229.43181810174357</v>
      </c>
      <c r="E312" s="81">
        <v>1239289</v>
      </c>
      <c r="F312" s="82">
        <v>1212428.2727272725</v>
      </c>
      <c r="G312" s="75">
        <v>1403.8594530940877</v>
      </c>
      <c r="H312" s="76">
        <v>2</v>
      </c>
      <c r="I312" s="54" t="s">
        <v>20</v>
      </c>
      <c r="J312" s="77">
        <v>40</v>
      </c>
      <c r="K312" s="78">
        <v>2</v>
      </c>
      <c r="L312" s="54">
        <v>2</v>
      </c>
      <c r="M312" s="54">
        <f>_xlfn.XLOOKUP(Survey!$F312,sections[Start],sections[Test Section],,-1,1)</f>
        <v>1</v>
      </c>
      <c r="N312" s="55">
        <f>_xlfn.XLOOKUP(Survey!$K312,pipedata[ID],pipedata[WT])</f>
        <v>0.74</v>
      </c>
      <c r="O312" s="56">
        <f>_xlfn.XLOOKUP(Survey!$K312,pipedata[ID],pipedata[104%])</f>
        <v>2565.3333333333335</v>
      </c>
      <c r="P312" s="57">
        <f t="shared" si="4"/>
        <v>1850</v>
      </c>
      <c r="Q312" s="58">
        <f>_xlfn.MAXIFS(Survey!$G$2:$G$3647,Survey!$M$2:$M$3647,Survey!$M312)-Survey!$G312</f>
        <v>950.29063449367777</v>
      </c>
      <c r="R312" s="59">
        <f>Survey!$P312+(Survey!$Q312*0.433)</f>
        <v>2261.4758447357626</v>
      </c>
    </row>
    <row r="313" spans="1:18" x14ac:dyDescent="0.25">
      <c r="A313" s="60" t="s">
        <v>17</v>
      </c>
      <c r="B313" s="61" t="s">
        <v>18</v>
      </c>
      <c r="C313" s="62" t="s">
        <v>19</v>
      </c>
      <c r="D313" s="63">
        <v>229.4391578391724</v>
      </c>
      <c r="E313" s="79">
        <v>1239329</v>
      </c>
      <c r="F313" s="80">
        <v>1212467.5454545452</v>
      </c>
      <c r="G313" s="66">
        <v>1402.0076835074649</v>
      </c>
      <c r="H313" s="67">
        <v>2</v>
      </c>
      <c r="I313" s="68" t="s">
        <v>20</v>
      </c>
      <c r="J313" s="69">
        <v>40</v>
      </c>
      <c r="K313" s="70">
        <v>2</v>
      </c>
      <c r="L313" s="68">
        <v>2</v>
      </c>
      <c r="M313" s="68">
        <f>_xlfn.XLOOKUP(Survey!$F313,sections[Start],sections[Test Section],,-1,1)</f>
        <v>1</v>
      </c>
      <c r="N313" s="55">
        <f>_xlfn.XLOOKUP(Survey!$K313,pipedata[ID],pipedata[WT])</f>
        <v>0.74</v>
      </c>
      <c r="O313" s="56">
        <f>_xlfn.XLOOKUP(Survey!$K313,pipedata[ID],pipedata[104%])</f>
        <v>2565.3333333333335</v>
      </c>
      <c r="P313" s="57">
        <f t="shared" si="4"/>
        <v>1850</v>
      </c>
      <c r="Q313" s="58">
        <f>_xlfn.MAXIFS(Survey!$G$2:$G$3647,Survey!$M$2:$M$3647,Survey!$M313)-Survey!$G313</f>
        <v>952.14240408030059</v>
      </c>
      <c r="R313" s="59">
        <f>Survey!$P313+(Survey!$Q313*0.433)</f>
        <v>2262.2776609667703</v>
      </c>
    </row>
    <row r="314" spans="1:18" x14ac:dyDescent="0.25">
      <c r="A314" s="71" t="s">
        <v>17</v>
      </c>
      <c r="B314" s="72" t="s">
        <v>18</v>
      </c>
      <c r="C314" s="73" t="s">
        <v>19</v>
      </c>
      <c r="D314" s="74">
        <v>229.44701599638211</v>
      </c>
      <c r="E314" s="81">
        <v>1239369</v>
      </c>
      <c r="F314" s="82">
        <v>1212506.8181818179</v>
      </c>
      <c r="G314" s="75">
        <v>1401.009902794309</v>
      </c>
      <c r="H314" s="76">
        <v>2</v>
      </c>
      <c r="I314" s="54" t="s">
        <v>20</v>
      </c>
      <c r="J314" s="77">
        <v>40</v>
      </c>
      <c r="K314" s="78">
        <v>2</v>
      </c>
      <c r="L314" s="54">
        <v>2</v>
      </c>
      <c r="M314" s="54">
        <f>_xlfn.XLOOKUP(Survey!$F314,sections[Start],sections[Test Section],,-1,1)</f>
        <v>1</v>
      </c>
      <c r="N314" s="55">
        <f>_xlfn.XLOOKUP(Survey!$K314,pipedata[ID],pipedata[WT])</f>
        <v>0.74</v>
      </c>
      <c r="O314" s="56">
        <f>_xlfn.XLOOKUP(Survey!$K314,pipedata[ID],pipedata[104%])</f>
        <v>2565.3333333333335</v>
      </c>
      <c r="P314" s="57">
        <f t="shared" si="4"/>
        <v>1850</v>
      </c>
      <c r="Q314" s="58">
        <f>_xlfn.MAXIFS(Survey!$G$2:$G$3647,Survey!$M$2:$M$3647,Survey!$M314)-Survey!$G314</f>
        <v>953.14018479345646</v>
      </c>
      <c r="R314" s="59">
        <f>Survey!$P314+(Survey!$Q314*0.433)</f>
        <v>2262.7097000155668</v>
      </c>
    </row>
    <row r="315" spans="1:18" x14ac:dyDescent="0.25">
      <c r="A315" s="60" t="s">
        <v>17</v>
      </c>
      <c r="B315" s="61" t="s">
        <v>18</v>
      </c>
      <c r="C315" s="62" t="s">
        <v>19</v>
      </c>
      <c r="D315" s="63">
        <v>229.45487415359199</v>
      </c>
      <c r="E315" s="79">
        <v>1239409</v>
      </c>
      <c r="F315" s="80">
        <v>1212546.0909090906</v>
      </c>
      <c r="G315" s="66">
        <v>1400.3492131309583</v>
      </c>
      <c r="H315" s="67">
        <v>2</v>
      </c>
      <c r="I315" s="68" t="s">
        <v>20</v>
      </c>
      <c r="J315" s="69">
        <v>40</v>
      </c>
      <c r="K315" s="70">
        <v>2</v>
      </c>
      <c r="L315" s="68">
        <v>2</v>
      </c>
      <c r="M315" s="68">
        <f>_xlfn.XLOOKUP(Survey!$F315,sections[Start],sections[Test Section],,-1,1)</f>
        <v>1</v>
      </c>
      <c r="N315" s="55">
        <f>_xlfn.XLOOKUP(Survey!$K315,pipedata[ID],pipedata[WT])</f>
        <v>0.74</v>
      </c>
      <c r="O315" s="56">
        <f>_xlfn.XLOOKUP(Survey!$K315,pipedata[ID],pipedata[104%])</f>
        <v>2565.3333333333335</v>
      </c>
      <c r="P315" s="57">
        <f t="shared" si="4"/>
        <v>1850</v>
      </c>
      <c r="Q315" s="58">
        <f>_xlfn.MAXIFS(Survey!$G$2:$G$3647,Survey!$M$2:$M$3647,Survey!$M315)-Survey!$G315</f>
        <v>953.80087445680715</v>
      </c>
      <c r="R315" s="59">
        <f>Survey!$P315+(Survey!$Q315*0.433)</f>
        <v>2262.9957786397977</v>
      </c>
    </row>
    <row r="316" spans="1:18" x14ac:dyDescent="0.25">
      <c r="A316" s="71" t="s">
        <v>17</v>
      </c>
      <c r="B316" s="72" t="s">
        <v>18</v>
      </c>
      <c r="C316" s="73" t="s">
        <v>19</v>
      </c>
      <c r="D316" s="74">
        <v>229.46164867409149</v>
      </c>
      <c r="E316" s="81">
        <v>1239449</v>
      </c>
      <c r="F316" s="82">
        <v>1212585.3636363633</v>
      </c>
      <c r="G316" s="75">
        <v>1401.0130031341509</v>
      </c>
      <c r="H316" s="76">
        <v>2</v>
      </c>
      <c r="I316" s="54" t="s">
        <v>20</v>
      </c>
      <c r="J316" s="77">
        <v>40</v>
      </c>
      <c r="K316" s="78">
        <v>2</v>
      </c>
      <c r="L316" s="54">
        <v>2</v>
      </c>
      <c r="M316" s="54">
        <f>_xlfn.XLOOKUP(Survey!$F316,sections[Start],sections[Test Section],,-1,1)</f>
        <v>1</v>
      </c>
      <c r="N316" s="55">
        <f>_xlfn.XLOOKUP(Survey!$K316,pipedata[ID],pipedata[WT])</f>
        <v>0.74</v>
      </c>
      <c r="O316" s="56">
        <f>_xlfn.XLOOKUP(Survey!$K316,pipedata[ID],pipedata[104%])</f>
        <v>2565.3333333333335</v>
      </c>
      <c r="P316" s="57">
        <f t="shared" si="4"/>
        <v>1850</v>
      </c>
      <c r="Q316" s="58">
        <f>_xlfn.MAXIFS(Survey!$G$2:$G$3647,Survey!$M$2:$M$3647,Survey!$M316)-Survey!$G316</f>
        <v>953.13708445361453</v>
      </c>
      <c r="R316" s="59">
        <f>Survey!$P316+(Survey!$Q316*0.433)</f>
        <v>2262.7083575684151</v>
      </c>
    </row>
    <row r="317" spans="1:18" x14ac:dyDescent="0.25">
      <c r="A317" s="60" t="s">
        <v>17</v>
      </c>
      <c r="B317" s="61" t="s">
        <v>18</v>
      </c>
      <c r="C317" s="62" t="s">
        <v>19</v>
      </c>
      <c r="D317" s="63">
        <v>229.46978428473199</v>
      </c>
      <c r="E317" s="79">
        <v>1239489</v>
      </c>
      <c r="F317" s="80">
        <v>1212624.636363636</v>
      </c>
      <c r="G317" s="66">
        <v>1401.7610250110513</v>
      </c>
      <c r="H317" s="67">
        <v>2</v>
      </c>
      <c r="I317" s="68" t="s">
        <v>20</v>
      </c>
      <c r="J317" s="69">
        <v>40</v>
      </c>
      <c r="K317" s="70">
        <v>2</v>
      </c>
      <c r="L317" s="68">
        <v>2</v>
      </c>
      <c r="M317" s="68">
        <f>_xlfn.XLOOKUP(Survey!$F317,sections[Start],sections[Test Section],,-1,1)</f>
        <v>1</v>
      </c>
      <c r="N317" s="55">
        <f>_xlfn.XLOOKUP(Survey!$K317,pipedata[ID],pipedata[WT])</f>
        <v>0.74</v>
      </c>
      <c r="O317" s="56">
        <f>_xlfn.XLOOKUP(Survey!$K317,pipedata[ID],pipedata[104%])</f>
        <v>2565.3333333333335</v>
      </c>
      <c r="P317" s="57">
        <f t="shared" si="4"/>
        <v>1850</v>
      </c>
      <c r="Q317" s="58">
        <f>_xlfn.MAXIFS(Survey!$G$2:$G$3647,Survey!$M$2:$M$3647,Survey!$M317)-Survey!$G317</f>
        <v>952.3890625767142</v>
      </c>
      <c r="R317" s="59">
        <f>Survey!$P317+(Survey!$Q317*0.433)</f>
        <v>2262.3844640957172</v>
      </c>
    </row>
    <row r="318" spans="1:18" x14ac:dyDescent="0.25">
      <c r="A318" s="71" t="s">
        <v>17</v>
      </c>
      <c r="B318" s="72" t="s">
        <v>18</v>
      </c>
      <c r="C318" s="73" t="s">
        <v>19</v>
      </c>
      <c r="D318" s="74">
        <v>229.47648408591843</v>
      </c>
      <c r="E318" s="81">
        <v>1239529</v>
      </c>
      <c r="F318" s="82">
        <v>1212663.9090909087</v>
      </c>
      <c r="G318" s="75">
        <v>1402.1403493628054</v>
      </c>
      <c r="H318" s="76">
        <v>2</v>
      </c>
      <c r="I318" s="54" t="s">
        <v>20</v>
      </c>
      <c r="J318" s="77">
        <v>40</v>
      </c>
      <c r="K318" s="78">
        <v>2</v>
      </c>
      <c r="L318" s="54">
        <v>2</v>
      </c>
      <c r="M318" s="54">
        <f>_xlfn.XLOOKUP(Survey!$F318,sections[Start],sections[Test Section],,-1,1)</f>
        <v>1</v>
      </c>
      <c r="N318" s="55">
        <f>_xlfn.XLOOKUP(Survey!$K318,pipedata[ID],pipedata[WT])</f>
        <v>0.74</v>
      </c>
      <c r="O318" s="56">
        <f>_xlfn.XLOOKUP(Survey!$K318,pipedata[ID],pipedata[104%])</f>
        <v>2565.3333333333335</v>
      </c>
      <c r="P318" s="57">
        <f t="shared" si="4"/>
        <v>1850</v>
      </c>
      <c r="Q318" s="58">
        <f>_xlfn.MAXIFS(Survey!$G$2:$G$3647,Survey!$M$2:$M$3647,Survey!$M318)-Survey!$G318</f>
        <v>952.00973822496007</v>
      </c>
      <c r="R318" s="59">
        <f>Survey!$P318+(Survey!$Q318*0.433)</f>
        <v>2262.2202166514076</v>
      </c>
    </row>
    <row r="319" spans="1:18" x14ac:dyDescent="0.25">
      <c r="A319" s="60" t="s">
        <v>17</v>
      </c>
      <c r="B319" s="61" t="s">
        <v>18</v>
      </c>
      <c r="C319" s="62" t="s">
        <v>19</v>
      </c>
      <c r="D319" s="63">
        <v>229.48434224312831</v>
      </c>
      <c r="E319" s="79">
        <v>1239569</v>
      </c>
      <c r="F319" s="80">
        <v>1212703.1818181814</v>
      </c>
      <c r="G319" s="66">
        <v>1402.7774202681712</v>
      </c>
      <c r="H319" s="67">
        <v>2</v>
      </c>
      <c r="I319" s="68" t="s">
        <v>20</v>
      </c>
      <c r="J319" s="69">
        <v>40</v>
      </c>
      <c r="K319" s="70">
        <v>2</v>
      </c>
      <c r="L319" s="68">
        <v>2</v>
      </c>
      <c r="M319" s="68">
        <f>_xlfn.XLOOKUP(Survey!$F319,sections[Start],sections[Test Section],,-1,1)</f>
        <v>1</v>
      </c>
      <c r="N319" s="55">
        <f>_xlfn.XLOOKUP(Survey!$K319,pipedata[ID],pipedata[WT])</f>
        <v>0.74</v>
      </c>
      <c r="O319" s="56">
        <f>_xlfn.XLOOKUP(Survey!$K319,pipedata[ID],pipedata[104%])</f>
        <v>2565.3333333333335</v>
      </c>
      <c r="P319" s="57">
        <f t="shared" si="4"/>
        <v>1850</v>
      </c>
      <c r="Q319" s="58">
        <f>_xlfn.MAXIFS(Survey!$G$2:$G$3647,Survey!$M$2:$M$3647,Survey!$M319)-Survey!$G319</f>
        <v>951.37266731959426</v>
      </c>
      <c r="R319" s="59">
        <f>Survey!$P319+(Survey!$Q319*0.433)</f>
        <v>2261.9443649493842</v>
      </c>
    </row>
    <row r="320" spans="1:18" x14ac:dyDescent="0.25">
      <c r="A320" s="71" t="s">
        <v>17</v>
      </c>
      <c r="B320" s="72" t="s">
        <v>18</v>
      </c>
      <c r="C320" s="73" t="s">
        <v>19</v>
      </c>
      <c r="D320" s="74">
        <v>229.49220040033768</v>
      </c>
      <c r="E320" s="81">
        <v>1239609</v>
      </c>
      <c r="F320" s="82">
        <v>1212742.4545454541</v>
      </c>
      <c r="G320" s="75">
        <v>1403.0286675241105</v>
      </c>
      <c r="H320" s="76">
        <v>2</v>
      </c>
      <c r="I320" s="54" t="s">
        <v>20</v>
      </c>
      <c r="J320" s="77">
        <v>40</v>
      </c>
      <c r="K320" s="78">
        <v>2</v>
      </c>
      <c r="L320" s="54">
        <v>2</v>
      </c>
      <c r="M320" s="54">
        <f>_xlfn.XLOOKUP(Survey!$F320,sections[Start],sections[Test Section],,-1,1)</f>
        <v>1</v>
      </c>
      <c r="N320" s="55">
        <f>_xlfn.XLOOKUP(Survey!$K320,pipedata[ID],pipedata[WT])</f>
        <v>0.74</v>
      </c>
      <c r="O320" s="56">
        <f>_xlfn.XLOOKUP(Survey!$K320,pipedata[ID],pipedata[104%])</f>
        <v>2565.3333333333335</v>
      </c>
      <c r="P320" s="57">
        <f t="shared" si="4"/>
        <v>1850</v>
      </c>
      <c r="Q320" s="58">
        <f>_xlfn.MAXIFS(Survey!$G$2:$G$3647,Survey!$M$2:$M$3647,Survey!$M320)-Survey!$G320</f>
        <v>951.12142006365502</v>
      </c>
      <c r="R320" s="59">
        <f>Survey!$P320+(Survey!$Q320*0.433)</f>
        <v>2261.8355748875629</v>
      </c>
    </row>
    <row r="321" spans="1:18" x14ac:dyDescent="0.25">
      <c r="A321" s="60" t="s">
        <v>17</v>
      </c>
      <c r="B321" s="61" t="s">
        <v>18</v>
      </c>
      <c r="C321" s="62" t="s">
        <v>19</v>
      </c>
      <c r="D321" s="63">
        <v>229.5000585575475</v>
      </c>
      <c r="E321" s="79">
        <v>1239649</v>
      </c>
      <c r="F321" s="80">
        <v>1212781.7272727268</v>
      </c>
      <c r="G321" s="66">
        <v>1402.9188122283385</v>
      </c>
      <c r="H321" s="67">
        <v>2</v>
      </c>
      <c r="I321" s="68" t="s">
        <v>20</v>
      </c>
      <c r="J321" s="69">
        <v>40</v>
      </c>
      <c r="K321" s="70">
        <v>2</v>
      </c>
      <c r="L321" s="68">
        <v>2</v>
      </c>
      <c r="M321" s="68">
        <f>_xlfn.XLOOKUP(Survey!$F321,sections[Start],sections[Test Section],,-1,1)</f>
        <v>1</v>
      </c>
      <c r="N321" s="55">
        <f>_xlfn.XLOOKUP(Survey!$K321,pipedata[ID],pipedata[WT])</f>
        <v>0.74</v>
      </c>
      <c r="O321" s="56">
        <f>_xlfn.XLOOKUP(Survey!$K321,pipedata[ID],pipedata[104%])</f>
        <v>2565.3333333333335</v>
      </c>
      <c r="P321" s="57">
        <f t="shared" si="4"/>
        <v>1850</v>
      </c>
      <c r="Q321" s="58">
        <f>_xlfn.MAXIFS(Survey!$G$2:$G$3647,Survey!$M$2:$M$3647,Survey!$M321)-Survey!$G321</f>
        <v>951.23127535942695</v>
      </c>
      <c r="R321" s="59">
        <f>Survey!$P321+(Survey!$Q321*0.433)</f>
        <v>2261.8831422306321</v>
      </c>
    </row>
    <row r="322" spans="1:18" x14ac:dyDescent="0.25">
      <c r="A322" s="71" t="s">
        <v>17</v>
      </c>
      <c r="B322" s="72" t="s">
        <v>18</v>
      </c>
      <c r="C322" s="73" t="s">
        <v>19</v>
      </c>
      <c r="D322" s="74">
        <v>229.50791671475704</v>
      </c>
      <c r="E322" s="81">
        <v>1239689</v>
      </c>
      <c r="F322" s="82">
        <v>1212820.9999999995</v>
      </c>
      <c r="G322" s="75">
        <v>1401.8850008046275</v>
      </c>
      <c r="H322" s="76">
        <v>2</v>
      </c>
      <c r="I322" s="54" t="s">
        <v>20</v>
      </c>
      <c r="J322" s="77">
        <v>40</v>
      </c>
      <c r="K322" s="78">
        <v>2</v>
      </c>
      <c r="L322" s="54">
        <v>2</v>
      </c>
      <c r="M322" s="54">
        <f>_xlfn.XLOOKUP(Survey!$F322,sections[Start],sections[Test Section],,-1,1)</f>
        <v>1</v>
      </c>
      <c r="N322" s="55">
        <f>_xlfn.XLOOKUP(Survey!$K322,pipedata[ID],pipedata[WT])</f>
        <v>0.74</v>
      </c>
      <c r="O322" s="56">
        <f>_xlfn.XLOOKUP(Survey!$K322,pipedata[ID],pipedata[104%])</f>
        <v>2565.3333333333335</v>
      </c>
      <c r="P322" s="57">
        <f t="shared" ref="P322:P385" si="5">IF(L322=1,1850,IF(L322=2,1850,2220))</f>
        <v>1850</v>
      </c>
      <c r="Q322" s="58">
        <f>_xlfn.MAXIFS(Survey!$G$2:$G$3647,Survey!$M$2:$M$3647,Survey!$M322)-Survey!$G322</f>
        <v>952.26508678313803</v>
      </c>
      <c r="R322" s="59">
        <f>Survey!$P322+(Survey!$Q322*0.433)</f>
        <v>2262.3307825770989</v>
      </c>
    </row>
    <row r="323" spans="1:18" x14ac:dyDescent="0.25">
      <c r="A323" s="60" t="s">
        <v>17</v>
      </c>
      <c r="B323" s="61" t="s">
        <v>18</v>
      </c>
      <c r="C323" s="62" t="s">
        <v>19</v>
      </c>
      <c r="D323" s="63">
        <v>229.51548253917673</v>
      </c>
      <c r="E323" s="79">
        <v>1239729</v>
      </c>
      <c r="F323" s="80">
        <v>1212860.2727272722</v>
      </c>
      <c r="G323" s="66">
        <v>1401.0754714515244</v>
      </c>
      <c r="H323" s="67">
        <v>2</v>
      </c>
      <c r="I323" s="68" t="s">
        <v>20</v>
      </c>
      <c r="J323" s="69">
        <v>40</v>
      </c>
      <c r="K323" s="70">
        <v>2</v>
      </c>
      <c r="L323" s="68">
        <v>2</v>
      </c>
      <c r="M323" s="68">
        <f>_xlfn.XLOOKUP(Survey!$F323,sections[Start],sections[Test Section],,-1,1)</f>
        <v>1</v>
      </c>
      <c r="N323" s="55">
        <f>_xlfn.XLOOKUP(Survey!$K323,pipedata[ID],pipedata[WT])</f>
        <v>0.74</v>
      </c>
      <c r="O323" s="56">
        <f>_xlfn.XLOOKUP(Survey!$K323,pipedata[ID],pipedata[104%])</f>
        <v>2565.3333333333335</v>
      </c>
      <c r="P323" s="57">
        <f t="shared" si="5"/>
        <v>1850</v>
      </c>
      <c r="Q323" s="58">
        <f>_xlfn.MAXIFS(Survey!$G$2:$G$3647,Survey!$M$2:$M$3647,Survey!$M323)-Survey!$G323</f>
        <v>953.07461613624105</v>
      </c>
      <c r="R323" s="59">
        <f>Survey!$P323+(Survey!$Q323*0.433)</f>
        <v>2262.6813087869923</v>
      </c>
    </row>
    <row r="324" spans="1:18" x14ac:dyDescent="0.25">
      <c r="A324" s="71" t="s">
        <v>17</v>
      </c>
      <c r="B324" s="72" t="s">
        <v>18</v>
      </c>
      <c r="C324" s="73" t="s">
        <v>19</v>
      </c>
      <c r="D324" s="74">
        <v>229.52261134321574</v>
      </c>
      <c r="E324" s="81">
        <v>1239769</v>
      </c>
      <c r="F324" s="82">
        <v>1212899.5454545449</v>
      </c>
      <c r="G324" s="75">
        <v>1400.106800072228</v>
      </c>
      <c r="H324" s="76">
        <v>2</v>
      </c>
      <c r="I324" s="54" t="s">
        <v>20</v>
      </c>
      <c r="J324" s="77">
        <v>40</v>
      </c>
      <c r="K324" s="78">
        <v>2</v>
      </c>
      <c r="L324" s="54">
        <v>2</v>
      </c>
      <c r="M324" s="54">
        <f>_xlfn.XLOOKUP(Survey!$F324,sections[Start],sections[Test Section],,-1,1)</f>
        <v>1</v>
      </c>
      <c r="N324" s="55">
        <f>_xlfn.XLOOKUP(Survey!$K324,pipedata[ID],pipedata[WT])</f>
        <v>0.74</v>
      </c>
      <c r="O324" s="56">
        <f>_xlfn.XLOOKUP(Survey!$K324,pipedata[ID],pipedata[104%])</f>
        <v>2565.3333333333335</v>
      </c>
      <c r="P324" s="57">
        <f t="shared" si="5"/>
        <v>1850</v>
      </c>
      <c r="Q324" s="58">
        <f>_xlfn.MAXIFS(Survey!$G$2:$G$3647,Survey!$M$2:$M$3647,Survey!$M324)-Survey!$G324</f>
        <v>954.04328751553749</v>
      </c>
      <c r="R324" s="59">
        <f>Survey!$P324+(Survey!$Q324*0.433)</f>
        <v>2263.1007434942276</v>
      </c>
    </row>
    <row r="325" spans="1:18" x14ac:dyDescent="0.25">
      <c r="A325" s="60" t="s">
        <v>17</v>
      </c>
      <c r="B325" s="61" t="s">
        <v>18</v>
      </c>
      <c r="C325" s="62" t="s">
        <v>19</v>
      </c>
      <c r="D325" s="63">
        <v>229.5297401472568</v>
      </c>
      <c r="E325" s="79">
        <v>1239809</v>
      </c>
      <c r="F325" s="80">
        <v>1212938.8181818177</v>
      </c>
      <c r="G325" s="66">
        <v>1398.6706378385577</v>
      </c>
      <c r="H325" s="67">
        <v>2</v>
      </c>
      <c r="I325" s="68" t="s">
        <v>20</v>
      </c>
      <c r="J325" s="69">
        <v>40</v>
      </c>
      <c r="K325" s="70">
        <v>2</v>
      </c>
      <c r="L325" s="68">
        <v>2</v>
      </c>
      <c r="M325" s="68">
        <f>_xlfn.XLOOKUP(Survey!$F325,sections[Start],sections[Test Section],,-1,1)</f>
        <v>1</v>
      </c>
      <c r="N325" s="55">
        <f>_xlfn.XLOOKUP(Survey!$K325,pipedata[ID],pipedata[WT])</f>
        <v>0.74</v>
      </c>
      <c r="O325" s="56">
        <f>_xlfn.XLOOKUP(Survey!$K325,pipedata[ID],pipedata[104%])</f>
        <v>2565.3333333333335</v>
      </c>
      <c r="P325" s="57">
        <f t="shared" si="5"/>
        <v>1850</v>
      </c>
      <c r="Q325" s="58">
        <f>_xlfn.MAXIFS(Survey!$G$2:$G$3647,Survey!$M$2:$M$3647,Survey!$M325)-Survey!$G325</f>
        <v>955.47944974920779</v>
      </c>
      <c r="R325" s="59">
        <f>Survey!$P325+(Survey!$Q325*0.433)</f>
        <v>2263.7226017414068</v>
      </c>
    </row>
    <row r="326" spans="1:18" x14ac:dyDescent="0.25">
      <c r="A326" s="71" t="s">
        <v>17</v>
      </c>
      <c r="B326" s="72" t="s">
        <v>18</v>
      </c>
      <c r="C326" s="73" t="s">
        <v>19</v>
      </c>
      <c r="D326" s="74">
        <v>229.53758104006715</v>
      </c>
      <c r="E326" s="81">
        <v>1239849</v>
      </c>
      <c r="F326" s="82">
        <v>1212978.0909090904</v>
      </c>
      <c r="G326" s="75">
        <v>1397.2934533165917</v>
      </c>
      <c r="H326" s="76">
        <v>2</v>
      </c>
      <c r="I326" s="54" t="s">
        <v>20</v>
      </c>
      <c r="J326" s="77">
        <v>40</v>
      </c>
      <c r="K326" s="78">
        <v>2</v>
      </c>
      <c r="L326" s="54">
        <v>2</v>
      </c>
      <c r="M326" s="54">
        <f>_xlfn.XLOOKUP(Survey!$F326,sections[Start],sections[Test Section],,-1,1)</f>
        <v>1</v>
      </c>
      <c r="N326" s="55">
        <f>_xlfn.XLOOKUP(Survey!$K326,pipedata[ID],pipedata[WT])</f>
        <v>0.74</v>
      </c>
      <c r="O326" s="56">
        <f>_xlfn.XLOOKUP(Survey!$K326,pipedata[ID],pipedata[104%])</f>
        <v>2565.3333333333335</v>
      </c>
      <c r="P326" s="57">
        <f t="shared" si="5"/>
        <v>1850</v>
      </c>
      <c r="Q326" s="58">
        <f>_xlfn.MAXIFS(Survey!$G$2:$G$3647,Survey!$M$2:$M$3647,Survey!$M326)-Survey!$G326</f>
        <v>956.85663427117379</v>
      </c>
      <c r="R326" s="59">
        <f>Survey!$P326+(Survey!$Q326*0.433)</f>
        <v>2264.3189226394184</v>
      </c>
    </row>
    <row r="327" spans="1:18" x14ac:dyDescent="0.25">
      <c r="A327" s="60" t="s">
        <v>17</v>
      </c>
      <c r="B327" s="61" t="s">
        <v>18</v>
      </c>
      <c r="C327" s="62" t="s">
        <v>19</v>
      </c>
      <c r="D327" s="63">
        <v>229.54571665070767</v>
      </c>
      <c r="E327" s="79">
        <v>1239889</v>
      </c>
      <c r="F327" s="80">
        <v>1213017.3636363631</v>
      </c>
      <c r="G327" s="66">
        <v>1395.8973373677022</v>
      </c>
      <c r="H327" s="67">
        <v>2</v>
      </c>
      <c r="I327" s="68" t="s">
        <v>20</v>
      </c>
      <c r="J327" s="69">
        <v>40</v>
      </c>
      <c r="K327" s="70">
        <v>2</v>
      </c>
      <c r="L327" s="68">
        <v>2</v>
      </c>
      <c r="M327" s="68">
        <f>_xlfn.XLOOKUP(Survey!$F327,sections[Start],sections[Test Section],,-1,1)</f>
        <v>1</v>
      </c>
      <c r="N327" s="55">
        <f>_xlfn.XLOOKUP(Survey!$K327,pipedata[ID],pipedata[WT])</f>
        <v>0.74</v>
      </c>
      <c r="O327" s="56">
        <f>_xlfn.XLOOKUP(Survey!$K327,pipedata[ID],pipedata[104%])</f>
        <v>2565.3333333333335</v>
      </c>
      <c r="P327" s="57">
        <f t="shared" si="5"/>
        <v>1850</v>
      </c>
      <c r="Q327" s="58">
        <f>_xlfn.MAXIFS(Survey!$G$2:$G$3647,Survey!$M$2:$M$3647,Survey!$M327)-Survey!$G327</f>
        <v>958.25275022006326</v>
      </c>
      <c r="R327" s="59">
        <f>Survey!$P327+(Survey!$Q327*0.433)</f>
        <v>2264.9234408452876</v>
      </c>
    </row>
    <row r="328" spans="1:18" x14ac:dyDescent="0.25">
      <c r="A328" s="71" t="s">
        <v>17</v>
      </c>
      <c r="B328" s="72" t="s">
        <v>18</v>
      </c>
      <c r="C328" s="73" t="s">
        <v>19</v>
      </c>
      <c r="D328" s="74">
        <v>229.55310111871293</v>
      </c>
      <c r="E328" s="81">
        <v>1239929</v>
      </c>
      <c r="F328" s="82">
        <v>1213056.6363636358</v>
      </c>
      <c r="G328" s="75">
        <v>1393.6241220430325</v>
      </c>
      <c r="H328" s="76">
        <v>2</v>
      </c>
      <c r="I328" s="54" t="s">
        <v>20</v>
      </c>
      <c r="J328" s="77">
        <v>40</v>
      </c>
      <c r="K328" s="78">
        <v>2</v>
      </c>
      <c r="L328" s="54">
        <v>2</v>
      </c>
      <c r="M328" s="54">
        <f>_xlfn.XLOOKUP(Survey!$F328,sections[Start],sections[Test Section],,-1,1)</f>
        <v>1</v>
      </c>
      <c r="N328" s="55">
        <f>_xlfn.XLOOKUP(Survey!$K328,pipedata[ID],pipedata[WT])</f>
        <v>0.74</v>
      </c>
      <c r="O328" s="56">
        <f>_xlfn.XLOOKUP(Survey!$K328,pipedata[ID],pipedata[104%])</f>
        <v>2565.3333333333335</v>
      </c>
      <c r="P328" s="57">
        <f t="shared" si="5"/>
        <v>1850</v>
      </c>
      <c r="Q328" s="58">
        <f>_xlfn.MAXIFS(Survey!$G$2:$G$3647,Survey!$M$2:$M$3647,Survey!$M328)-Survey!$G328</f>
        <v>960.52596554473303</v>
      </c>
      <c r="R328" s="59">
        <f>Survey!$P328+(Survey!$Q328*0.433)</f>
        <v>2265.9077430808693</v>
      </c>
    </row>
    <row r="329" spans="1:18" x14ac:dyDescent="0.25">
      <c r="A329" s="60" t="s">
        <v>17</v>
      </c>
      <c r="B329" s="61" t="s">
        <v>18</v>
      </c>
      <c r="C329" s="62" t="s">
        <v>19</v>
      </c>
      <c r="D329" s="63">
        <v>229.55927600177498</v>
      </c>
      <c r="E329" s="79">
        <v>1239969</v>
      </c>
      <c r="F329" s="80">
        <v>1213095.9090909085</v>
      </c>
      <c r="G329" s="66">
        <v>1387.812229594093</v>
      </c>
      <c r="H329" s="67">
        <v>2</v>
      </c>
      <c r="I329" s="68" t="s">
        <v>20</v>
      </c>
      <c r="J329" s="69">
        <v>40</v>
      </c>
      <c r="K329" s="70">
        <v>2</v>
      </c>
      <c r="L329" s="68">
        <v>2</v>
      </c>
      <c r="M329" s="68">
        <f>_xlfn.XLOOKUP(Survey!$F329,sections[Start],sections[Test Section],,-1,1)</f>
        <v>1</v>
      </c>
      <c r="N329" s="55">
        <f>_xlfn.XLOOKUP(Survey!$K329,pipedata[ID],pipedata[WT])</f>
        <v>0.74</v>
      </c>
      <c r="O329" s="56">
        <f>_xlfn.XLOOKUP(Survey!$K329,pipedata[ID],pipedata[104%])</f>
        <v>2565.3333333333335</v>
      </c>
      <c r="P329" s="57">
        <f t="shared" si="5"/>
        <v>1850</v>
      </c>
      <c r="Q329" s="58">
        <f>_xlfn.MAXIFS(Survey!$G$2:$G$3647,Survey!$M$2:$M$3647,Survey!$M329)-Survey!$G329</f>
        <v>966.33785799367251</v>
      </c>
      <c r="R329" s="59">
        <f>Survey!$P329+(Survey!$Q329*0.433)</f>
        <v>2268.4242925112603</v>
      </c>
    </row>
    <row r="330" spans="1:18" x14ac:dyDescent="0.25">
      <c r="A330" s="71" t="s">
        <v>17</v>
      </c>
      <c r="B330" s="72" t="s">
        <v>18</v>
      </c>
      <c r="C330" s="73" t="s">
        <v>19</v>
      </c>
      <c r="D330" s="74">
        <v>229.56741161241533</v>
      </c>
      <c r="E330" s="81">
        <v>1240009</v>
      </c>
      <c r="F330" s="82">
        <v>1213135.1818181812</v>
      </c>
      <c r="G330" s="75">
        <v>1382.4421076097935</v>
      </c>
      <c r="H330" s="76">
        <v>2</v>
      </c>
      <c r="I330" s="54" t="s">
        <v>20</v>
      </c>
      <c r="J330" s="77">
        <v>40</v>
      </c>
      <c r="K330" s="78">
        <v>2</v>
      </c>
      <c r="L330" s="54">
        <v>2</v>
      </c>
      <c r="M330" s="54">
        <f>_xlfn.XLOOKUP(Survey!$F330,sections[Start],sections[Test Section],,-1,1)</f>
        <v>1</v>
      </c>
      <c r="N330" s="55">
        <f>_xlfn.XLOOKUP(Survey!$K330,pipedata[ID],pipedata[WT])</f>
        <v>0.74</v>
      </c>
      <c r="O330" s="56">
        <f>_xlfn.XLOOKUP(Survey!$K330,pipedata[ID],pipedata[104%])</f>
        <v>2565.3333333333335</v>
      </c>
      <c r="P330" s="57">
        <f t="shared" si="5"/>
        <v>1850</v>
      </c>
      <c r="Q330" s="58">
        <f>_xlfn.MAXIFS(Survey!$G$2:$G$3647,Survey!$M$2:$M$3647,Survey!$M330)-Survey!$G330</f>
        <v>971.70797997797195</v>
      </c>
      <c r="R330" s="59">
        <f>Survey!$P330+(Survey!$Q330*0.433)</f>
        <v>2270.749555330462</v>
      </c>
    </row>
    <row r="331" spans="1:18" x14ac:dyDescent="0.25">
      <c r="A331" s="60" t="s">
        <v>17</v>
      </c>
      <c r="B331" s="61" t="s">
        <v>18</v>
      </c>
      <c r="C331" s="62" t="s">
        <v>19</v>
      </c>
      <c r="D331" s="63">
        <v>229.57554722305579</v>
      </c>
      <c r="E331" s="79">
        <v>1240049</v>
      </c>
      <c r="F331" s="80">
        <v>1213174.4545454539</v>
      </c>
      <c r="G331" s="66">
        <v>1381.6556295910477</v>
      </c>
      <c r="H331" s="67">
        <v>2</v>
      </c>
      <c r="I331" s="68" t="s">
        <v>20</v>
      </c>
      <c r="J331" s="69">
        <v>40</v>
      </c>
      <c r="K331" s="70">
        <v>2</v>
      </c>
      <c r="L331" s="68">
        <v>2</v>
      </c>
      <c r="M331" s="68">
        <f>_xlfn.XLOOKUP(Survey!$F331,sections[Start],sections[Test Section],,-1,1)</f>
        <v>1</v>
      </c>
      <c r="N331" s="55">
        <f>_xlfn.XLOOKUP(Survey!$K331,pipedata[ID],pipedata[WT])</f>
        <v>0.74</v>
      </c>
      <c r="O331" s="56">
        <f>_xlfn.XLOOKUP(Survey!$K331,pipedata[ID],pipedata[104%])</f>
        <v>2565.3333333333335</v>
      </c>
      <c r="P331" s="57">
        <f t="shared" si="5"/>
        <v>1850</v>
      </c>
      <c r="Q331" s="58">
        <f>_xlfn.MAXIFS(Survey!$G$2:$G$3647,Survey!$M$2:$M$3647,Survey!$M331)-Survey!$G331</f>
        <v>972.49445799671776</v>
      </c>
      <c r="R331" s="59">
        <f>Survey!$P331+(Survey!$Q331*0.433)</f>
        <v>2271.0901003125787</v>
      </c>
    </row>
    <row r="332" spans="1:18" x14ac:dyDescent="0.25">
      <c r="A332" s="71" t="s">
        <v>17</v>
      </c>
      <c r="B332" s="72" t="s">
        <v>18</v>
      </c>
      <c r="C332" s="73" t="s">
        <v>19</v>
      </c>
      <c r="D332" s="74">
        <v>229.58256920824903</v>
      </c>
      <c r="E332" s="81">
        <v>1240089</v>
      </c>
      <c r="F332" s="82">
        <v>1213213.7272727266</v>
      </c>
      <c r="G332" s="75">
        <v>1381.3935453581382</v>
      </c>
      <c r="H332" s="76">
        <v>2</v>
      </c>
      <c r="I332" s="54" t="s">
        <v>20</v>
      </c>
      <c r="J332" s="77">
        <v>51</v>
      </c>
      <c r="K332" s="78">
        <v>2</v>
      </c>
      <c r="L332" s="54">
        <v>2</v>
      </c>
      <c r="M332" s="54">
        <f>_xlfn.XLOOKUP(Survey!$F332,sections[Start],sections[Test Section],,-1,1)</f>
        <v>1</v>
      </c>
      <c r="N332" s="55">
        <f>_xlfn.XLOOKUP(Survey!$K332,pipedata[ID],pipedata[WT])</f>
        <v>0.74</v>
      </c>
      <c r="O332" s="56">
        <f>_xlfn.XLOOKUP(Survey!$K332,pipedata[ID],pipedata[104%])</f>
        <v>2565.3333333333335</v>
      </c>
      <c r="P332" s="57">
        <f t="shared" si="5"/>
        <v>1850</v>
      </c>
      <c r="Q332" s="58">
        <f>_xlfn.MAXIFS(Survey!$G$2:$G$3647,Survey!$M$2:$M$3647,Survey!$M332)-Survey!$G332</f>
        <v>972.75654222962726</v>
      </c>
      <c r="R332" s="59">
        <f>Survey!$P332+(Survey!$Q332*0.433)</f>
        <v>2271.2035827854288</v>
      </c>
    </row>
    <row r="333" spans="1:18" x14ac:dyDescent="0.25">
      <c r="A333" s="60" t="s">
        <v>17</v>
      </c>
      <c r="B333" s="61" t="s">
        <v>18</v>
      </c>
      <c r="C333" s="62" t="s">
        <v>19</v>
      </c>
      <c r="D333" s="63">
        <v>229.59042736545896</v>
      </c>
      <c r="E333" s="79">
        <v>1240140</v>
      </c>
      <c r="F333" s="80">
        <v>1213253</v>
      </c>
      <c r="G333" s="66">
        <v>1382.0144805041155</v>
      </c>
      <c r="H333" s="67">
        <v>2</v>
      </c>
      <c r="I333" s="68" t="s">
        <v>21</v>
      </c>
      <c r="J333" s="69">
        <v>40</v>
      </c>
      <c r="K333" s="70">
        <v>4</v>
      </c>
      <c r="L333" s="68">
        <v>2</v>
      </c>
      <c r="M333" s="68">
        <f>_xlfn.XLOOKUP(Survey!$F333,sections[Start],sections[Test Section],,-1,1)</f>
        <v>1</v>
      </c>
      <c r="N333" s="55">
        <f>_xlfn.XLOOKUP(Survey!$K333,pipedata[ID],pipedata[WT])</f>
        <v>0.74</v>
      </c>
      <c r="O333" s="56">
        <f>_xlfn.XLOOKUP(Survey!$K333,pipedata[ID],pipedata[104%])</f>
        <v>2565.3333333333335</v>
      </c>
      <c r="P333" s="57">
        <f t="shared" si="5"/>
        <v>1850</v>
      </c>
      <c r="Q333" s="58">
        <f>_xlfn.MAXIFS(Survey!$G$2:$G$3647,Survey!$M$2:$M$3647,Survey!$M333)-Survey!$G333</f>
        <v>972.13560708365003</v>
      </c>
      <c r="R333" s="59">
        <f>Survey!$P333+(Survey!$Q333*0.433)</f>
        <v>2270.9347178672206</v>
      </c>
    </row>
    <row r="334" spans="1:18" x14ac:dyDescent="0.25">
      <c r="A334" s="71" t="s">
        <v>17</v>
      </c>
      <c r="B334" s="72" t="s">
        <v>18</v>
      </c>
      <c r="C334" s="73" t="s">
        <v>19</v>
      </c>
      <c r="D334" s="74">
        <v>229.59828552266868</v>
      </c>
      <c r="E334" s="81">
        <v>1240180</v>
      </c>
      <c r="F334" s="82">
        <v>1213293</v>
      </c>
      <c r="G334" s="75">
        <v>1382.4792365014459</v>
      </c>
      <c r="H334" s="76">
        <v>2</v>
      </c>
      <c r="I334" s="54" t="s">
        <v>20</v>
      </c>
      <c r="J334" s="77">
        <v>29</v>
      </c>
      <c r="K334" s="78">
        <v>2</v>
      </c>
      <c r="L334" s="54">
        <v>2</v>
      </c>
      <c r="M334" s="54">
        <f>_xlfn.XLOOKUP(Survey!$F334,sections[Start],sections[Test Section],,-1,1)</f>
        <v>1</v>
      </c>
      <c r="N334" s="55">
        <f>_xlfn.XLOOKUP(Survey!$K334,pipedata[ID],pipedata[WT])</f>
        <v>0.74</v>
      </c>
      <c r="O334" s="56">
        <f>_xlfn.XLOOKUP(Survey!$K334,pipedata[ID],pipedata[104%])</f>
        <v>2565.3333333333335</v>
      </c>
      <c r="P334" s="57">
        <f t="shared" si="5"/>
        <v>1850</v>
      </c>
      <c r="Q334" s="58">
        <f>_xlfn.MAXIFS(Survey!$G$2:$G$3647,Survey!$M$2:$M$3647,Survey!$M334)-Survey!$G334</f>
        <v>971.67085108631954</v>
      </c>
      <c r="R334" s="59">
        <f>Survey!$P334+(Survey!$Q334*0.433)</f>
        <v>2270.7334785203766</v>
      </c>
    </row>
    <row r="335" spans="1:18" x14ac:dyDescent="0.25">
      <c r="A335" s="60" t="s">
        <v>17</v>
      </c>
      <c r="B335" s="61" t="s">
        <v>18</v>
      </c>
      <c r="C335" s="62" t="s">
        <v>19</v>
      </c>
      <c r="D335" s="63">
        <v>229.60537779540309</v>
      </c>
      <c r="E335" s="79">
        <v>1240209</v>
      </c>
      <c r="F335" s="80">
        <v>1213332.0484254705</v>
      </c>
      <c r="G335" s="66">
        <v>1387.4872629310639</v>
      </c>
      <c r="H335" s="67">
        <v>2</v>
      </c>
      <c r="I335" s="68" t="s">
        <v>20</v>
      </c>
      <c r="J335" s="69">
        <v>40</v>
      </c>
      <c r="K335" s="70">
        <v>2</v>
      </c>
      <c r="L335" s="68">
        <v>2</v>
      </c>
      <c r="M335" s="68">
        <f>_xlfn.XLOOKUP(Survey!$F335,sections[Start],sections[Test Section],,-1,1)</f>
        <v>1</v>
      </c>
      <c r="N335" s="55">
        <f>_xlfn.XLOOKUP(Survey!$K335,pipedata[ID],pipedata[WT])</f>
        <v>0.74</v>
      </c>
      <c r="O335" s="56">
        <f>_xlfn.XLOOKUP(Survey!$K335,pipedata[ID],pipedata[104%])</f>
        <v>2565.3333333333335</v>
      </c>
      <c r="P335" s="57">
        <f t="shared" si="5"/>
        <v>1850</v>
      </c>
      <c r="Q335" s="58">
        <f>_xlfn.MAXIFS(Survey!$G$2:$G$3647,Survey!$M$2:$M$3647,Survey!$M335)-Survey!$G335</f>
        <v>966.66282465670156</v>
      </c>
      <c r="R335" s="59">
        <f>Survey!$P335+(Survey!$Q335*0.433)</f>
        <v>2268.5650030763518</v>
      </c>
    </row>
    <row r="336" spans="1:18" x14ac:dyDescent="0.25">
      <c r="A336" s="71" t="s">
        <v>17</v>
      </c>
      <c r="B336" s="72" t="s">
        <v>18</v>
      </c>
      <c r="C336" s="73" t="s">
        <v>19</v>
      </c>
      <c r="D336" s="74">
        <v>229.61351340604284</v>
      </c>
      <c r="E336" s="81">
        <v>1240249</v>
      </c>
      <c r="F336" s="82">
        <v>1213371.096850941</v>
      </c>
      <c r="G336" s="75">
        <v>1392.6678480130433</v>
      </c>
      <c r="H336" s="76">
        <v>2</v>
      </c>
      <c r="I336" s="54" t="s">
        <v>20</v>
      </c>
      <c r="J336" s="77">
        <v>40</v>
      </c>
      <c r="K336" s="78">
        <v>2</v>
      </c>
      <c r="L336" s="54">
        <v>2</v>
      </c>
      <c r="M336" s="54">
        <f>_xlfn.XLOOKUP(Survey!$F336,sections[Start],sections[Test Section],,-1,1)</f>
        <v>1</v>
      </c>
      <c r="N336" s="55">
        <f>_xlfn.XLOOKUP(Survey!$K336,pipedata[ID],pipedata[WT])</f>
        <v>0.74</v>
      </c>
      <c r="O336" s="56">
        <f>_xlfn.XLOOKUP(Survey!$K336,pipedata[ID],pipedata[104%])</f>
        <v>2565.3333333333335</v>
      </c>
      <c r="P336" s="57">
        <f t="shared" si="5"/>
        <v>1850</v>
      </c>
      <c r="Q336" s="58">
        <f>_xlfn.MAXIFS(Survey!$G$2:$G$3647,Survey!$M$2:$M$3647,Survey!$M336)-Survey!$G336</f>
        <v>961.48223957472214</v>
      </c>
      <c r="R336" s="59">
        <f>Survey!$P336+(Survey!$Q336*0.433)</f>
        <v>2266.3218097358549</v>
      </c>
    </row>
    <row r="337" spans="1:18" x14ac:dyDescent="0.25">
      <c r="A337" s="60" t="s">
        <v>17</v>
      </c>
      <c r="B337" s="61" t="s">
        <v>18</v>
      </c>
      <c r="C337" s="62" t="s">
        <v>19</v>
      </c>
      <c r="D337" s="63">
        <v>229.61989545499489</v>
      </c>
      <c r="E337" s="79">
        <v>1240289</v>
      </c>
      <c r="F337" s="80">
        <v>1213410.1452764114</v>
      </c>
      <c r="G337" s="66">
        <v>1399.6374865996986</v>
      </c>
      <c r="H337" s="67">
        <v>2</v>
      </c>
      <c r="I337" s="68" t="s">
        <v>20</v>
      </c>
      <c r="J337" s="69">
        <v>40</v>
      </c>
      <c r="K337" s="70">
        <v>2</v>
      </c>
      <c r="L337" s="68">
        <v>2</v>
      </c>
      <c r="M337" s="68">
        <f>_xlfn.XLOOKUP(Survey!$F337,sections[Start],sections[Test Section],,-1,1)</f>
        <v>1</v>
      </c>
      <c r="N337" s="55">
        <f>_xlfn.XLOOKUP(Survey!$K337,pipedata[ID],pipedata[WT])</f>
        <v>0.74</v>
      </c>
      <c r="O337" s="56">
        <f>_xlfn.XLOOKUP(Survey!$K337,pipedata[ID],pipedata[104%])</f>
        <v>2565.3333333333335</v>
      </c>
      <c r="P337" s="57">
        <f t="shared" si="5"/>
        <v>1850</v>
      </c>
      <c r="Q337" s="58">
        <f>_xlfn.MAXIFS(Survey!$G$2:$G$3647,Survey!$M$2:$M$3647,Survey!$M337)-Survey!$G337</f>
        <v>954.51260098806688</v>
      </c>
      <c r="R337" s="59">
        <f>Survey!$P337+(Survey!$Q337*0.433)</f>
        <v>2263.3039562278327</v>
      </c>
    </row>
    <row r="338" spans="1:18" x14ac:dyDescent="0.25">
      <c r="A338" s="71" t="s">
        <v>17</v>
      </c>
      <c r="B338" s="72" t="s">
        <v>18</v>
      </c>
      <c r="C338" s="73" t="s">
        <v>19</v>
      </c>
      <c r="D338" s="74">
        <v>229.62775361220451</v>
      </c>
      <c r="E338" s="81">
        <v>1240329</v>
      </c>
      <c r="F338" s="82">
        <v>1213449.1937018819</v>
      </c>
      <c r="G338" s="75">
        <v>1406.2256153417395</v>
      </c>
      <c r="H338" s="76">
        <v>2</v>
      </c>
      <c r="I338" s="54" t="s">
        <v>20</v>
      </c>
      <c r="J338" s="77">
        <v>40</v>
      </c>
      <c r="K338" s="78">
        <v>2</v>
      </c>
      <c r="L338" s="54">
        <v>2</v>
      </c>
      <c r="M338" s="54">
        <f>_xlfn.XLOOKUP(Survey!$F338,sections[Start],sections[Test Section],,-1,1)</f>
        <v>1</v>
      </c>
      <c r="N338" s="55">
        <f>_xlfn.XLOOKUP(Survey!$K338,pipedata[ID],pipedata[WT])</f>
        <v>0.74</v>
      </c>
      <c r="O338" s="56">
        <f>_xlfn.XLOOKUP(Survey!$K338,pipedata[ID],pipedata[104%])</f>
        <v>2565.3333333333335</v>
      </c>
      <c r="P338" s="57">
        <f t="shared" si="5"/>
        <v>1850</v>
      </c>
      <c r="Q338" s="58">
        <f>_xlfn.MAXIFS(Survey!$G$2:$G$3647,Survey!$M$2:$M$3647,Survey!$M338)-Survey!$G338</f>
        <v>947.92447224602597</v>
      </c>
      <c r="R338" s="59">
        <f>Survey!$P338+(Survey!$Q338*0.433)</f>
        <v>2260.4512964825294</v>
      </c>
    </row>
    <row r="339" spans="1:18" x14ac:dyDescent="0.25">
      <c r="A339" s="60" t="s">
        <v>17</v>
      </c>
      <c r="B339" s="61" t="s">
        <v>18</v>
      </c>
      <c r="C339" s="62" t="s">
        <v>19</v>
      </c>
      <c r="D339" s="63">
        <v>229.635611769414</v>
      </c>
      <c r="E339" s="79">
        <v>1240369</v>
      </c>
      <c r="F339" s="80">
        <v>1213488.2421273524</v>
      </c>
      <c r="G339" s="66">
        <v>1413.8654669901728</v>
      </c>
      <c r="H339" s="67">
        <v>2</v>
      </c>
      <c r="I339" s="68" t="s">
        <v>20</v>
      </c>
      <c r="J339" s="69">
        <v>40</v>
      </c>
      <c r="K339" s="70">
        <v>2</v>
      </c>
      <c r="L339" s="68">
        <v>2</v>
      </c>
      <c r="M339" s="68">
        <f>_xlfn.XLOOKUP(Survey!$F339,sections[Start],sections[Test Section],,-1,1)</f>
        <v>1</v>
      </c>
      <c r="N339" s="55">
        <f>_xlfn.XLOOKUP(Survey!$K339,pipedata[ID],pipedata[WT])</f>
        <v>0.74</v>
      </c>
      <c r="O339" s="56">
        <f>_xlfn.XLOOKUP(Survey!$K339,pipedata[ID],pipedata[104%])</f>
        <v>2565.3333333333335</v>
      </c>
      <c r="P339" s="57">
        <f t="shared" si="5"/>
        <v>1850</v>
      </c>
      <c r="Q339" s="58">
        <f>_xlfn.MAXIFS(Survey!$G$2:$G$3647,Survey!$M$2:$M$3647,Survey!$M339)-Survey!$G339</f>
        <v>940.28462059759272</v>
      </c>
      <c r="R339" s="59">
        <f>Survey!$P339+(Survey!$Q339*0.433)</f>
        <v>2257.1432407187576</v>
      </c>
    </row>
    <row r="340" spans="1:18" x14ac:dyDescent="0.25">
      <c r="A340" s="71" t="s">
        <v>17</v>
      </c>
      <c r="B340" s="72" t="s">
        <v>18</v>
      </c>
      <c r="C340" s="73" t="s">
        <v>19</v>
      </c>
      <c r="D340" s="74">
        <v>229.64334397838971</v>
      </c>
      <c r="E340" s="81">
        <v>1240409</v>
      </c>
      <c r="F340" s="82">
        <v>1213527.2905528229</v>
      </c>
      <c r="G340" s="75">
        <v>1423.0012226524238</v>
      </c>
      <c r="H340" s="76">
        <v>2</v>
      </c>
      <c r="I340" s="54" t="s">
        <v>20</v>
      </c>
      <c r="J340" s="77">
        <v>40</v>
      </c>
      <c r="K340" s="78">
        <v>2</v>
      </c>
      <c r="L340" s="54">
        <v>2</v>
      </c>
      <c r="M340" s="54">
        <f>_xlfn.XLOOKUP(Survey!$F340,sections[Start],sections[Test Section],,-1,1)</f>
        <v>1</v>
      </c>
      <c r="N340" s="55">
        <f>_xlfn.XLOOKUP(Survey!$K340,pipedata[ID],pipedata[WT])</f>
        <v>0.74</v>
      </c>
      <c r="O340" s="56">
        <f>_xlfn.XLOOKUP(Survey!$K340,pipedata[ID],pipedata[104%])</f>
        <v>2565.3333333333335</v>
      </c>
      <c r="P340" s="57">
        <f t="shared" si="5"/>
        <v>1850</v>
      </c>
      <c r="Q340" s="58">
        <f>_xlfn.MAXIFS(Survey!$G$2:$G$3647,Survey!$M$2:$M$3647,Survey!$M340)-Survey!$G340</f>
        <v>931.14886493534163</v>
      </c>
      <c r="R340" s="59">
        <f>Survey!$P340+(Survey!$Q340*0.433)</f>
        <v>2253.1874585170031</v>
      </c>
    </row>
    <row r="341" spans="1:18" x14ac:dyDescent="0.25">
      <c r="A341" s="60" t="s">
        <v>17</v>
      </c>
      <c r="B341" s="61" t="s">
        <v>18</v>
      </c>
      <c r="C341" s="62" t="s">
        <v>19</v>
      </c>
      <c r="D341" s="63">
        <v>229.64936354453121</v>
      </c>
      <c r="E341" s="79">
        <v>1240449</v>
      </c>
      <c r="F341" s="80">
        <v>1213566.3389782934</v>
      </c>
      <c r="G341" s="66">
        <v>1430.1010077613591</v>
      </c>
      <c r="H341" s="67">
        <v>2</v>
      </c>
      <c r="I341" s="68" t="s">
        <v>20</v>
      </c>
      <c r="J341" s="69">
        <v>40</v>
      </c>
      <c r="K341" s="70">
        <v>2</v>
      </c>
      <c r="L341" s="68">
        <v>2</v>
      </c>
      <c r="M341" s="68">
        <f>_xlfn.XLOOKUP(Survey!$F341,sections[Start],sections[Test Section],,-1,1)</f>
        <v>1</v>
      </c>
      <c r="N341" s="55">
        <f>_xlfn.XLOOKUP(Survey!$K341,pipedata[ID],pipedata[WT])</f>
        <v>0.74</v>
      </c>
      <c r="O341" s="56">
        <f>_xlfn.XLOOKUP(Survey!$K341,pipedata[ID],pipedata[104%])</f>
        <v>2565.3333333333335</v>
      </c>
      <c r="P341" s="57">
        <f t="shared" si="5"/>
        <v>1850</v>
      </c>
      <c r="Q341" s="58">
        <f>_xlfn.MAXIFS(Survey!$G$2:$G$3647,Survey!$M$2:$M$3647,Survey!$M341)-Survey!$G341</f>
        <v>924.04907982640634</v>
      </c>
      <c r="R341" s="59">
        <f>Survey!$P341+(Survey!$Q341*0.433)</f>
        <v>2250.1132515648342</v>
      </c>
    </row>
    <row r="342" spans="1:18" x14ac:dyDescent="0.25">
      <c r="A342" s="71" t="s">
        <v>17</v>
      </c>
      <c r="B342" s="72" t="s">
        <v>18</v>
      </c>
      <c r="C342" s="73" t="s">
        <v>19</v>
      </c>
      <c r="D342" s="74">
        <v>229.65806200227141</v>
      </c>
      <c r="E342" s="81">
        <v>1240489</v>
      </c>
      <c r="F342" s="82">
        <v>1213605.3874037638</v>
      </c>
      <c r="G342" s="75">
        <v>1436.8620445325819</v>
      </c>
      <c r="H342" s="76">
        <v>2</v>
      </c>
      <c r="I342" s="54" t="s">
        <v>20</v>
      </c>
      <c r="J342" s="77">
        <v>40</v>
      </c>
      <c r="K342" s="78">
        <v>2</v>
      </c>
      <c r="L342" s="54">
        <v>2</v>
      </c>
      <c r="M342" s="54">
        <f>_xlfn.XLOOKUP(Survey!$F342,sections[Start],sections[Test Section],,-1,1)</f>
        <v>1</v>
      </c>
      <c r="N342" s="55">
        <f>_xlfn.XLOOKUP(Survey!$K342,pipedata[ID],pipedata[WT])</f>
        <v>0.74</v>
      </c>
      <c r="O342" s="56">
        <f>_xlfn.XLOOKUP(Survey!$K342,pipedata[ID],pipedata[104%])</f>
        <v>2565.3333333333335</v>
      </c>
      <c r="P342" s="57">
        <f t="shared" si="5"/>
        <v>1850</v>
      </c>
      <c r="Q342" s="58">
        <f>_xlfn.MAXIFS(Survey!$G$2:$G$3647,Survey!$M$2:$M$3647,Survey!$M342)-Survey!$G342</f>
        <v>917.28804305518361</v>
      </c>
      <c r="R342" s="59">
        <f>Survey!$P342+(Survey!$Q342*0.433)</f>
        <v>2247.1857226428947</v>
      </c>
    </row>
    <row r="343" spans="1:18" x14ac:dyDescent="0.25">
      <c r="A343" s="60" t="s">
        <v>17</v>
      </c>
      <c r="B343" s="61" t="s">
        <v>18</v>
      </c>
      <c r="C343" s="62" t="s">
        <v>19</v>
      </c>
      <c r="D343" s="63">
        <v>229.66519884404764</v>
      </c>
      <c r="E343" s="79">
        <v>1240529</v>
      </c>
      <c r="F343" s="80">
        <v>1213644.4358292343</v>
      </c>
      <c r="G343" s="66">
        <v>1443.144800575519</v>
      </c>
      <c r="H343" s="67">
        <v>2</v>
      </c>
      <c r="I343" s="68" t="s">
        <v>20</v>
      </c>
      <c r="J343" s="69">
        <v>40</v>
      </c>
      <c r="K343" s="70">
        <v>2</v>
      </c>
      <c r="L343" s="68">
        <v>2</v>
      </c>
      <c r="M343" s="68">
        <f>_xlfn.XLOOKUP(Survey!$F343,sections[Start],sections[Test Section],,-1,1)</f>
        <v>1</v>
      </c>
      <c r="N343" s="55">
        <f>_xlfn.XLOOKUP(Survey!$K343,pipedata[ID],pipedata[WT])</f>
        <v>0.74</v>
      </c>
      <c r="O343" s="56">
        <f>_xlfn.XLOOKUP(Survey!$K343,pipedata[ID],pipedata[104%])</f>
        <v>2565.3333333333335</v>
      </c>
      <c r="P343" s="57">
        <f t="shared" si="5"/>
        <v>1850</v>
      </c>
      <c r="Q343" s="58">
        <f>_xlfn.MAXIFS(Survey!$G$2:$G$3647,Survey!$M$2:$M$3647,Survey!$M343)-Survey!$G343</f>
        <v>911.00528701224653</v>
      </c>
      <c r="R343" s="59">
        <f>Survey!$P343+(Survey!$Q343*0.433)</f>
        <v>2244.4652892763029</v>
      </c>
    </row>
    <row r="344" spans="1:18" x14ac:dyDescent="0.25">
      <c r="A344" s="71" t="s">
        <v>17</v>
      </c>
      <c r="B344" s="72" t="s">
        <v>18</v>
      </c>
      <c r="C344" s="73" t="s">
        <v>19</v>
      </c>
      <c r="D344" s="74">
        <v>229.67316465725912</v>
      </c>
      <c r="E344" s="81">
        <v>1240569</v>
      </c>
      <c r="F344" s="82">
        <v>1213683.4842547048</v>
      </c>
      <c r="G344" s="75">
        <v>1447.8230846280867</v>
      </c>
      <c r="H344" s="76">
        <v>2</v>
      </c>
      <c r="I344" s="54" t="s">
        <v>20</v>
      </c>
      <c r="J344" s="77">
        <v>40</v>
      </c>
      <c r="K344" s="78">
        <v>2</v>
      </c>
      <c r="L344" s="54">
        <v>2</v>
      </c>
      <c r="M344" s="54">
        <f>_xlfn.XLOOKUP(Survey!$F344,sections[Start],sections[Test Section],,-1,1)</f>
        <v>1</v>
      </c>
      <c r="N344" s="55">
        <f>_xlfn.XLOOKUP(Survey!$K344,pipedata[ID],pipedata[WT])</f>
        <v>0.74</v>
      </c>
      <c r="O344" s="56">
        <f>_xlfn.XLOOKUP(Survey!$K344,pipedata[ID],pipedata[104%])</f>
        <v>2565.3333333333335</v>
      </c>
      <c r="P344" s="57">
        <f t="shared" si="5"/>
        <v>1850</v>
      </c>
      <c r="Q344" s="58">
        <f>_xlfn.MAXIFS(Survey!$G$2:$G$3647,Survey!$M$2:$M$3647,Survey!$M344)-Survey!$G344</f>
        <v>906.32700295967879</v>
      </c>
      <c r="R344" s="59">
        <f>Survey!$P344+(Survey!$Q344*0.433)</f>
        <v>2242.4395922815411</v>
      </c>
    </row>
    <row r="345" spans="1:18" x14ac:dyDescent="0.25">
      <c r="A345" s="60" t="s">
        <v>17</v>
      </c>
      <c r="B345" s="61" t="s">
        <v>18</v>
      </c>
      <c r="C345" s="62" t="s">
        <v>19</v>
      </c>
      <c r="D345" s="63">
        <v>229.6807939735879</v>
      </c>
      <c r="E345" s="79">
        <v>1240609</v>
      </c>
      <c r="F345" s="80">
        <v>1213722.5326801753</v>
      </c>
      <c r="G345" s="66">
        <v>1444.9581846167148</v>
      </c>
      <c r="H345" s="67">
        <v>2</v>
      </c>
      <c r="I345" s="68" t="s">
        <v>20</v>
      </c>
      <c r="J345" s="69">
        <v>40</v>
      </c>
      <c r="K345" s="70">
        <v>2</v>
      </c>
      <c r="L345" s="68">
        <v>2</v>
      </c>
      <c r="M345" s="68">
        <f>_xlfn.XLOOKUP(Survey!$F345,sections[Start],sections[Test Section],,-1,1)</f>
        <v>1</v>
      </c>
      <c r="N345" s="55">
        <f>_xlfn.XLOOKUP(Survey!$K345,pipedata[ID],pipedata[WT])</f>
        <v>0.74</v>
      </c>
      <c r="O345" s="56">
        <f>_xlfn.XLOOKUP(Survey!$K345,pipedata[ID],pipedata[104%])</f>
        <v>2565.3333333333335</v>
      </c>
      <c r="P345" s="57">
        <f t="shared" si="5"/>
        <v>1850</v>
      </c>
      <c r="Q345" s="58">
        <f>_xlfn.MAXIFS(Survey!$G$2:$G$3647,Survey!$M$2:$M$3647,Survey!$M345)-Survey!$G345</f>
        <v>909.19190297105069</v>
      </c>
      <c r="R345" s="59">
        <f>Survey!$P345+(Survey!$Q345*0.433)</f>
        <v>2243.6800939864652</v>
      </c>
    </row>
    <row r="346" spans="1:18" x14ac:dyDescent="0.25">
      <c r="A346" s="71" t="s">
        <v>17</v>
      </c>
      <c r="B346" s="72" t="s">
        <v>18</v>
      </c>
      <c r="C346" s="73" t="s">
        <v>19</v>
      </c>
      <c r="D346" s="74">
        <v>229.68671660321468</v>
      </c>
      <c r="E346" s="81">
        <v>1240649</v>
      </c>
      <c r="F346" s="82">
        <v>1213761.5811056457</v>
      </c>
      <c r="G346" s="75">
        <v>1440.6618355058233</v>
      </c>
      <c r="H346" s="76">
        <v>2</v>
      </c>
      <c r="I346" s="54" t="s">
        <v>20</v>
      </c>
      <c r="J346" s="77">
        <v>40</v>
      </c>
      <c r="K346" s="78">
        <v>2</v>
      </c>
      <c r="L346" s="54">
        <v>2</v>
      </c>
      <c r="M346" s="54">
        <f>_xlfn.XLOOKUP(Survey!$F346,sections[Start],sections[Test Section],,-1,1)</f>
        <v>1</v>
      </c>
      <c r="N346" s="55">
        <f>_xlfn.XLOOKUP(Survey!$K346,pipedata[ID],pipedata[WT])</f>
        <v>0.74</v>
      </c>
      <c r="O346" s="56">
        <f>_xlfn.XLOOKUP(Survey!$K346,pipedata[ID],pipedata[104%])</f>
        <v>2565.3333333333335</v>
      </c>
      <c r="P346" s="57">
        <f t="shared" si="5"/>
        <v>1850</v>
      </c>
      <c r="Q346" s="58">
        <f>_xlfn.MAXIFS(Survey!$G$2:$G$3647,Survey!$M$2:$M$3647,Survey!$M346)-Survey!$G346</f>
        <v>913.48825208194216</v>
      </c>
      <c r="R346" s="59">
        <f>Survey!$P346+(Survey!$Q346*0.433)</f>
        <v>2245.5404131514811</v>
      </c>
    </row>
    <row r="347" spans="1:18" x14ac:dyDescent="0.25">
      <c r="A347" s="60" t="s">
        <v>17</v>
      </c>
      <c r="B347" s="61" t="s">
        <v>18</v>
      </c>
      <c r="C347" s="62" t="s">
        <v>19</v>
      </c>
      <c r="D347" s="63">
        <v>229.69484777078836</v>
      </c>
      <c r="E347" s="79">
        <v>1240689</v>
      </c>
      <c r="F347" s="80">
        <v>1213800.6295311162</v>
      </c>
      <c r="G347" s="66">
        <v>1434.8823898306184</v>
      </c>
      <c r="H347" s="67">
        <v>2</v>
      </c>
      <c r="I347" s="68" t="s">
        <v>20</v>
      </c>
      <c r="J347" s="69">
        <v>40</v>
      </c>
      <c r="K347" s="70">
        <v>2</v>
      </c>
      <c r="L347" s="68">
        <v>2</v>
      </c>
      <c r="M347" s="68">
        <f>_xlfn.XLOOKUP(Survey!$F347,sections[Start],sections[Test Section],,-1,1)</f>
        <v>1</v>
      </c>
      <c r="N347" s="55">
        <f>_xlfn.XLOOKUP(Survey!$K347,pipedata[ID],pipedata[WT])</f>
        <v>0.74</v>
      </c>
      <c r="O347" s="56">
        <f>_xlfn.XLOOKUP(Survey!$K347,pipedata[ID],pipedata[104%])</f>
        <v>2565.3333333333335</v>
      </c>
      <c r="P347" s="57">
        <f t="shared" si="5"/>
        <v>1850</v>
      </c>
      <c r="Q347" s="58">
        <f>_xlfn.MAXIFS(Survey!$G$2:$G$3647,Survey!$M$2:$M$3647,Survey!$M347)-Survey!$G347</f>
        <v>919.26769775714706</v>
      </c>
      <c r="R347" s="59">
        <f>Survey!$P347+(Survey!$Q347*0.433)</f>
        <v>2248.0429131288447</v>
      </c>
    </row>
    <row r="348" spans="1:18" x14ac:dyDescent="0.25">
      <c r="A348" s="71" t="s">
        <v>17</v>
      </c>
      <c r="B348" s="72" t="s">
        <v>18</v>
      </c>
      <c r="C348" s="73" t="s">
        <v>19</v>
      </c>
      <c r="D348" s="74">
        <v>229.7029789383617</v>
      </c>
      <c r="E348" s="81">
        <v>1240729</v>
      </c>
      <c r="F348" s="82">
        <v>1213839.6779565867</v>
      </c>
      <c r="G348" s="75">
        <v>1428.4243026050981</v>
      </c>
      <c r="H348" s="76">
        <v>2</v>
      </c>
      <c r="I348" s="54" t="s">
        <v>20</v>
      </c>
      <c r="J348" s="77">
        <v>40</v>
      </c>
      <c r="K348" s="78">
        <v>2</v>
      </c>
      <c r="L348" s="54">
        <v>2</v>
      </c>
      <c r="M348" s="54">
        <f>_xlfn.XLOOKUP(Survey!$F348,sections[Start],sections[Test Section],,-1,1)</f>
        <v>1</v>
      </c>
      <c r="N348" s="55">
        <f>_xlfn.XLOOKUP(Survey!$K348,pipedata[ID],pipedata[WT])</f>
        <v>0.74</v>
      </c>
      <c r="O348" s="56">
        <f>_xlfn.XLOOKUP(Survey!$K348,pipedata[ID],pipedata[104%])</f>
        <v>2565.3333333333335</v>
      </c>
      <c r="P348" s="57">
        <f t="shared" si="5"/>
        <v>1850</v>
      </c>
      <c r="Q348" s="58">
        <f>_xlfn.MAXIFS(Survey!$G$2:$G$3647,Survey!$M$2:$M$3647,Survey!$M348)-Survey!$G348</f>
        <v>925.72578498266739</v>
      </c>
      <c r="R348" s="59">
        <f>Survey!$P348+(Survey!$Q348*0.433)</f>
        <v>2250.839264897495</v>
      </c>
    </row>
    <row r="349" spans="1:18" x14ac:dyDescent="0.25">
      <c r="A349" s="60" t="s">
        <v>17</v>
      </c>
      <c r="B349" s="61" t="s">
        <v>18</v>
      </c>
      <c r="C349" s="62" t="s">
        <v>19</v>
      </c>
      <c r="D349" s="63">
        <v>229.71025954447674</v>
      </c>
      <c r="E349" s="79">
        <v>1240769</v>
      </c>
      <c r="F349" s="80">
        <v>1213878.7263820572</v>
      </c>
      <c r="G349" s="66">
        <v>1423.2243365698978</v>
      </c>
      <c r="H349" s="67">
        <v>2</v>
      </c>
      <c r="I349" s="68" t="s">
        <v>20</v>
      </c>
      <c r="J349" s="69">
        <v>40</v>
      </c>
      <c r="K349" s="70">
        <v>2</v>
      </c>
      <c r="L349" s="68">
        <v>2</v>
      </c>
      <c r="M349" s="68">
        <f>_xlfn.XLOOKUP(Survey!$F349,sections[Start],sections[Test Section],,-1,1)</f>
        <v>1</v>
      </c>
      <c r="N349" s="55">
        <f>_xlfn.XLOOKUP(Survey!$K349,pipedata[ID],pipedata[WT])</f>
        <v>0.74</v>
      </c>
      <c r="O349" s="56">
        <f>_xlfn.XLOOKUP(Survey!$K349,pipedata[ID],pipedata[104%])</f>
        <v>2565.3333333333335</v>
      </c>
      <c r="P349" s="57">
        <f t="shared" si="5"/>
        <v>1850</v>
      </c>
      <c r="Q349" s="58">
        <f>_xlfn.MAXIFS(Survey!$G$2:$G$3647,Survey!$M$2:$M$3647,Survey!$M349)-Survey!$G349</f>
        <v>930.9257510178677</v>
      </c>
      <c r="R349" s="59">
        <f>Survey!$P349+(Survey!$Q349*0.433)</f>
        <v>2253.0908501907365</v>
      </c>
    </row>
    <row r="350" spans="1:18" x14ac:dyDescent="0.25">
      <c r="A350" s="71" t="s">
        <v>17</v>
      </c>
      <c r="B350" s="72" t="s">
        <v>18</v>
      </c>
      <c r="C350" s="73" t="s">
        <v>19</v>
      </c>
      <c r="D350" s="74">
        <v>229.71811703004704</v>
      </c>
      <c r="E350" s="81">
        <v>1240809</v>
      </c>
      <c r="F350" s="82">
        <v>1213917.7748075277</v>
      </c>
      <c r="G350" s="75">
        <v>1419.7163445934375</v>
      </c>
      <c r="H350" s="76">
        <v>2</v>
      </c>
      <c r="I350" s="54" t="s">
        <v>20</v>
      </c>
      <c r="J350" s="77">
        <v>40</v>
      </c>
      <c r="K350" s="78">
        <v>2</v>
      </c>
      <c r="L350" s="54">
        <v>2</v>
      </c>
      <c r="M350" s="54">
        <f>_xlfn.XLOOKUP(Survey!$F350,sections[Start],sections[Test Section],,-1,1)</f>
        <v>1</v>
      </c>
      <c r="N350" s="55">
        <f>_xlfn.XLOOKUP(Survey!$K350,pipedata[ID],pipedata[WT])</f>
        <v>0.74</v>
      </c>
      <c r="O350" s="56">
        <f>_xlfn.XLOOKUP(Survey!$K350,pipedata[ID],pipedata[104%])</f>
        <v>2565.3333333333335</v>
      </c>
      <c r="P350" s="57">
        <f t="shared" si="5"/>
        <v>1850</v>
      </c>
      <c r="Q350" s="58">
        <f>_xlfn.MAXIFS(Survey!$G$2:$G$3647,Survey!$M$2:$M$3647,Survey!$M350)-Survey!$G350</f>
        <v>934.43374299432799</v>
      </c>
      <c r="R350" s="59">
        <f>Survey!$P350+(Survey!$Q350*0.433)</f>
        <v>2254.609810716544</v>
      </c>
    </row>
    <row r="351" spans="1:18" x14ac:dyDescent="0.25">
      <c r="A351" s="60" t="s">
        <v>17</v>
      </c>
      <c r="B351" s="61" t="s">
        <v>18</v>
      </c>
      <c r="C351" s="62" t="s">
        <v>19</v>
      </c>
      <c r="D351" s="63">
        <v>229.7246620518909</v>
      </c>
      <c r="E351" s="79">
        <v>1240849</v>
      </c>
      <c r="F351" s="80">
        <v>1213956.8232329981</v>
      </c>
      <c r="G351" s="66">
        <v>1414.6428176811789</v>
      </c>
      <c r="H351" s="67">
        <v>2</v>
      </c>
      <c r="I351" s="68" t="s">
        <v>20</v>
      </c>
      <c r="J351" s="69">
        <v>40</v>
      </c>
      <c r="K351" s="70">
        <v>2</v>
      </c>
      <c r="L351" s="68">
        <v>2</v>
      </c>
      <c r="M351" s="68">
        <f>_xlfn.XLOOKUP(Survey!$F351,sections[Start],sections[Test Section],,-1,1)</f>
        <v>1</v>
      </c>
      <c r="N351" s="55">
        <f>_xlfn.XLOOKUP(Survey!$K351,pipedata[ID],pipedata[WT])</f>
        <v>0.74</v>
      </c>
      <c r="O351" s="56">
        <f>_xlfn.XLOOKUP(Survey!$K351,pipedata[ID],pipedata[104%])</f>
        <v>2565.3333333333335</v>
      </c>
      <c r="P351" s="57">
        <f t="shared" si="5"/>
        <v>1850</v>
      </c>
      <c r="Q351" s="58">
        <f>_xlfn.MAXIFS(Survey!$G$2:$G$3647,Survey!$M$2:$M$3647,Survey!$M351)-Survey!$G351</f>
        <v>939.50726990658654</v>
      </c>
      <c r="R351" s="59">
        <f>Survey!$P351+(Survey!$Q351*0.433)</f>
        <v>2256.8066478695519</v>
      </c>
    </row>
    <row r="352" spans="1:18" x14ac:dyDescent="0.25">
      <c r="A352" s="71" t="s">
        <v>17</v>
      </c>
      <c r="B352" s="72" t="s">
        <v>18</v>
      </c>
      <c r="C352" s="73" t="s">
        <v>19</v>
      </c>
      <c r="D352" s="74">
        <v>229.73279321946438</v>
      </c>
      <c r="E352" s="81">
        <v>1240889</v>
      </c>
      <c r="F352" s="82">
        <v>1213995.8716584686</v>
      </c>
      <c r="G352" s="75">
        <v>1414.4495101823954</v>
      </c>
      <c r="H352" s="76">
        <v>2</v>
      </c>
      <c r="I352" s="54" t="s">
        <v>20</v>
      </c>
      <c r="J352" s="77">
        <v>40</v>
      </c>
      <c r="K352" s="78">
        <v>2</v>
      </c>
      <c r="L352" s="54">
        <v>2</v>
      </c>
      <c r="M352" s="54">
        <f>_xlfn.XLOOKUP(Survey!$F352,sections[Start],sections[Test Section],,-1,1)</f>
        <v>1</v>
      </c>
      <c r="N352" s="55">
        <f>_xlfn.XLOOKUP(Survey!$K352,pipedata[ID],pipedata[WT])</f>
        <v>0.74</v>
      </c>
      <c r="O352" s="56">
        <f>_xlfn.XLOOKUP(Survey!$K352,pipedata[ID],pipedata[104%])</f>
        <v>2565.3333333333335</v>
      </c>
      <c r="P352" s="57">
        <f t="shared" si="5"/>
        <v>1850</v>
      </c>
      <c r="Q352" s="58">
        <f>_xlfn.MAXIFS(Survey!$G$2:$G$3647,Survey!$M$2:$M$3647,Survey!$M352)-Survey!$G352</f>
        <v>939.70057740537004</v>
      </c>
      <c r="R352" s="59">
        <f>Survey!$P352+(Survey!$Q352*0.433)</f>
        <v>2256.8903500165252</v>
      </c>
    </row>
    <row r="353" spans="1:18" x14ac:dyDescent="0.25">
      <c r="A353" s="60" t="s">
        <v>17</v>
      </c>
      <c r="B353" s="61" t="s">
        <v>18</v>
      </c>
      <c r="C353" s="62" t="s">
        <v>19</v>
      </c>
      <c r="D353" s="63">
        <v>229.7409243870373</v>
      </c>
      <c r="E353" s="79">
        <v>1240929</v>
      </c>
      <c r="F353" s="80">
        <v>1214034.9200839391</v>
      </c>
      <c r="G353" s="66">
        <v>1418.6747797383016</v>
      </c>
      <c r="H353" s="67">
        <v>2</v>
      </c>
      <c r="I353" s="68" t="s">
        <v>20</v>
      </c>
      <c r="J353" s="69">
        <v>40</v>
      </c>
      <c r="K353" s="70">
        <v>2</v>
      </c>
      <c r="L353" s="68">
        <v>2</v>
      </c>
      <c r="M353" s="68">
        <f>_xlfn.XLOOKUP(Survey!$F353,sections[Start],sections[Test Section],,-1,1)</f>
        <v>1</v>
      </c>
      <c r="N353" s="55">
        <f>_xlfn.XLOOKUP(Survey!$K353,pipedata[ID],pipedata[WT])</f>
        <v>0.74</v>
      </c>
      <c r="O353" s="56">
        <f>_xlfn.XLOOKUP(Survey!$K353,pipedata[ID],pipedata[104%])</f>
        <v>2565.3333333333335</v>
      </c>
      <c r="P353" s="57">
        <f t="shared" si="5"/>
        <v>1850</v>
      </c>
      <c r="Q353" s="58">
        <f>_xlfn.MAXIFS(Survey!$G$2:$G$3647,Survey!$M$2:$M$3647,Survey!$M353)-Survey!$G353</f>
        <v>935.47530784946389</v>
      </c>
      <c r="R353" s="59">
        <f>Survey!$P353+(Survey!$Q353*0.433)</f>
        <v>2255.0608082988178</v>
      </c>
    </row>
    <row r="354" spans="1:18" x14ac:dyDescent="0.25">
      <c r="A354" s="71" t="s">
        <v>17</v>
      </c>
      <c r="B354" s="72" t="s">
        <v>18</v>
      </c>
      <c r="C354" s="73" t="s">
        <v>19</v>
      </c>
      <c r="D354" s="74">
        <v>229.74828586965799</v>
      </c>
      <c r="E354" s="81">
        <v>1240969</v>
      </c>
      <c r="F354" s="82">
        <v>1214073.9685094096</v>
      </c>
      <c r="G354" s="75">
        <v>1419.6316644202057</v>
      </c>
      <c r="H354" s="76">
        <v>2</v>
      </c>
      <c r="I354" s="54" t="s">
        <v>20</v>
      </c>
      <c r="J354" s="77">
        <v>40</v>
      </c>
      <c r="K354" s="78">
        <v>2</v>
      </c>
      <c r="L354" s="54">
        <v>2</v>
      </c>
      <c r="M354" s="54">
        <f>_xlfn.XLOOKUP(Survey!$F354,sections[Start],sections[Test Section],,-1,1)</f>
        <v>1</v>
      </c>
      <c r="N354" s="55">
        <f>_xlfn.XLOOKUP(Survey!$K354,pipedata[ID],pipedata[WT])</f>
        <v>0.74</v>
      </c>
      <c r="O354" s="56">
        <f>_xlfn.XLOOKUP(Survey!$K354,pipedata[ID],pipedata[104%])</f>
        <v>2565.3333333333335</v>
      </c>
      <c r="P354" s="57">
        <f t="shared" si="5"/>
        <v>1850</v>
      </c>
      <c r="Q354" s="58">
        <f>_xlfn.MAXIFS(Survey!$G$2:$G$3647,Survey!$M$2:$M$3647,Survey!$M354)-Survey!$G354</f>
        <v>934.51842316755983</v>
      </c>
      <c r="R354" s="59">
        <f>Survey!$P354+(Survey!$Q354*0.433)</f>
        <v>2254.6464772315535</v>
      </c>
    </row>
    <row r="355" spans="1:18" x14ac:dyDescent="0.25">
      <c r="A355" s="60" t="s">
        <v>17</v>
      </c>
      <c r="B355" s="61" t="s">
        <v>18</v>
      </c>
      <c r="C355" s="62" t="s">
        <v>19</v>
      </c>
      <c r="D355" s="63">
        <v>229.75544008650596</v>
      </c>
      <c r="E355" s="79">
        <v>1241009</v>
      </c>
      <c r="F355" s="80">
        <v>1214113.0169348801</v>
      </c>
      <c r="G355" s="66">
        <v>1417.3389277678225</v>
      </c>
      <c r="H355" s="67">
        <v>2</v>
      </c>
      <c r="I355" s="68" t="s">
        <v>20</v>
      </c>
      <c r="J355" s="69">
        <v>40</v>
      </c>
      <c r="K355" s="70">
        <v>2</v>
      </c>
      <c r="L355" s="68">
        <v>2</v>
      </c>
      <c r="M355" s="68">
        <f>_xlfn.XLOOKUP(Survey!$F355,sections[Start],sections[Test Section],,-1,1)</f>
        <v>1</v>
      </c>
      <c r="N355" s="55">
        <f>_xlfn.XLOOKUP(Survey!$K355,pipedata[ID],pipedata[WT])</f>
        <v>0.74</v>
      </c>
      <c r="O355" s="56">
        <f>_xlfn.XLOOKUP(Survey!$K355,pipedata[ID],pipedata[104%])</f>
        <v>2565.3333333333335</v>
      </c>
      <c r="P355" s="57">
        <f t="shared" si="5"/>
        <v>1850</v>
      </c>
      <c r="Q355" s="58">
        <f>_xlfn.MAXIFS(Survey!$G$2:$G$3647,Survey!$M$2:$M$3647,Survey!$M355)-Survey!$G355</f>
        <v>936.81115981994299</v>
      </c>
      <c r="R355" s="59">
        <f>Survey!$P355+(Survey!$Q355*0.433)</f>
        <v>2255.6392322020351</v>
      </c>
    </row>
    <row r="356" spans="1:18" x14ac:dyDescent="0.25">
      <c r="A356" s="71" t="s">
        <v>17</v>
      </c>
      <c r="B356" s="72" t="s">
        <v>18</v>
      </c>
      <c r="C356" s="73" t="s">
        <v>19</v>
      </c>
      <c r="D356" s="74">
        <v>229.76329757207603</v>
      </c>
      <c r="E356" s="81">
        <v>1241049</v>
      </c>
      <c r="F356" s="82">
        <v>1214152.0653603505</v>
      </c>
      <c r="G356" s="75">
        <v>1415.1558892411422</v>
      </c>
      <c r="H356" s="76">
        <v>2</v>
      </c>
      <c r="I356" s="54" t="s">
        <v>20</v>
      </c>
      <c r="J356" s="77">
        <v>40</v>
      </c>
      <c r="K356" s="78">
        <v>2</v>
      </c>
      <c r="L356" s="54">
        <v>2</v>
      </c>
      <c r="M356" s="54">
        <f>_xlfn.XLOOKUP(Survey!$F356,sections[Start],sections[Test Section],,-1,1)</f>
        <v>1</v>
      </c>
      <c r="N356" s="55">
        <f>_xlfn.XLOOKUP(Survey!$K356,pipedata[ID],pipedata[WT])</f>
        <v>0.74</v>
      </c>
      <c r="O356" s="56">
        <f>_xlfn.XLOOKUP(Survey!$K356,pipedata[ID],pipedata[104%])</f>
        <v>2565.3333333333335</v>
      </c>
      <c r="P356" s="57">
        <f t="shared" si="5"/>
        <v>1850</v>
      </c>
      <c r="Q356" s="58">
        <f>_xlfn.MAXIFS(Survey!$G$2:$G$3647,Survey!$M$2:$M$3647,Survey!$M356)-Survey!$G356</f>
        <v>938.99419834662331</v>
      </c>
      <c r="R356" s="59">
        <f>Survey!$P356+(Survey!$Q356*0.433)</f>
        <v>2256.584487884088</v>
      </c>
    </row>
    <row r="357" spans="1:18" x14ac:dyDescent="0.25">
      <c r="A357" s="60" t="s">
        <v>17</v>
      </c>
      <c r="B357" s="61" t="s">
        <v>18</v>
      </c>
      <c r="C357" s="62" t="s">
        <v>19</v>
      </c>
      <c r="D357" s="63">
        <v>229.7711550576463</v>
      </c>
      <c r="E357" s="79">
        <v>1241089</v>
      </c>
      <c r="F357" s="80">
        <v>1214191.113785821</v>
      </c>
      <c r="G357" s="66">
        <v>1414.9345613141732</v>
      </c>
      <c r="H357" s="67">
        <v>2</v>
      </c>
      <c r="I357" s="68" t="s">
        <v>20</v>
      </c>
      <c r="J357" s="69">
        <v>40</v>
      </c>
      <c r="K357" s="70">
        <v>2</v>
      </c>
      <c r="L357" s="68">
        <v>2</v>
      </c>
      <c r="M357" s="68">
        <f>_xlfn.XLOOKUP(Survey!$F357,sections[Start],sections[Test Section],,-1,1)</f>
        <v>1</v>
      </c>
      <c r="N357" s="55">
        <f>_xlfn.XLOOKUP(Survey!$K357,pipedata[ID],pipedata[WT])</f>
        <v>0.74</v>
      </c>
      <c r="O357" s="56">
        <f>_xlfn.XLOOKUP(Survey!$K357,pipedata[ID],pipedata[104%])</f>
        <v>2565.3333333333335</v>
      </c>
      <c r="P357" s="57">
        <f t="shared" si="5"/>
        <v>1850</v>
      </c>
      <c r="Q357" s="58">
        <f>_xlfn.MAXIFS(Survey!$G$2:$G$3647,Survey!$M$2:$M$3647,Survey!$M357)-Survey!$G357</f>
        <v>939.21552627359233</v>
      </c>
      <c r="R357" s="59">
        <f>Survey!$P357+(Survey!$Q357*0.433)</f>
        <v>2256.6803228764657</v>
      </c>
    </row>
    <row r="358" spans="1:18" x14ac:dyDescent="0.25">
      <c r="A358" s="71" t="s">
        <v>17</v>
      </c>
      <c r="B358" s="72" t="s">
        <v>18</v>
      </c>
      <c r="C358" s="73" t="s">
        <v>19</v>
      </c>
      <c r="D358" s="74">
        <v>229.77704817182425</v>
      </c>
      <c r="E358" s="81">
        <v>1241129</v>
      </c>
      <c r="F358" s="82">
        <v>1214230.1622112915</v>
      </c>
      <c r="G358" s="75">
        <v>1416.5439479130507</v>
      </c>
      <c r="H358" s="76">
        <v>2</v>
      </c>
      <c r="I358" s="54" t="s">
        <v>20</v>
      </c>
      <c r="J358" s="77">
        <v>40</v>
      </c>
      <c r="K358" s="78">
        <v>2</v>
      </c>
      <c r="L358" s="54">
        <v>2</v>
      </c>
      <c r="M358" s="54">
        <f>_xlfn.XLOOKUP(Survey!$F358,sections[Start],sections[Test Section],,-1,1)</f>
        <v>1</v>
      </c>
      <c r="N358" s="55">
        <f>_xlfn.XLOOKUP(Survey!$K358,pipedata[ID],pipedata[WT])</f>
        <v>0.74</v>
      </c>
      <c r="O358" s="56">
        <f>_xlfn.XLOOKUP(Survey!$K358,pipedata[ID],pipedata[104%])</f>
        <v>2565.3333333333335</v>
      </c>
      <c r="P358" s="57">
        <f t="shared" si="5"/>
        <v>1850</v>
      </c>
      <c r="Q358" s="58">
        <f>_xlfn.MAXIFS(Survey!$G$2:$G$3647,Survey!$M$2:$M$3647,Survey!$M358)-Survey!$G358</f>
        <v>937.60613967471477</v>
      </c>
      <c r="R358" s="59">
        <f>Survey!$P358+(Survey!$Q358*0.433)</f>
        <v>2255.9834584791515</v>
      </c>
    </row>
    <row r="359" spans="1:18" x14ac:dyDescent="0.25">
      <c r="A359" s="60" t="s">
        <v>17</v>
      </c>
      <c r="B359" s="61" t="s">
        <v>18</v>
      </c>
      <c r="C359" s="62" t="s">
        <v>19</v>
      </c>
      <c r="D359" s="63">
        <v>229.78490565739457</v>
      </c>
      <c r="E359" s="79">
        <v>1241169</v>
      </c>
      <c r="F359" s="80">
        <v>1214269.210636762</v>
      </c>
      <c r="G359" s="66">
        <v>1416.8833227676046</v>
      </c>
      <c r="H359" s="67">
        <v>2</v>
      </c>
      <c r="I359" s="68" t="s">
        <v>20</v>
      </c>
      <c r="J359" s="69">
        <v>40</v>
      </c>
      <c r="K359" s="70">
        <v>2</v>
      </c>
      <c r="L359" s="68">
        <v>2</v>
      </c>
      <c r="M359" s="68">
        <f>_xlfn.XLOOKUP(Survey!$F359,sections[Start],sections[Test Section],,-1,1)</f>
        <v>1</v>
      </c>
      <c r="N359" s="55">
        <f>_xlfn.XLOOKUP(Survey!$K359,pipedata[ID],pipedata[WT])</f>
        <v>0.74</v>
      </c>
      <c r="O359" s="56">
        <f>_xlfn.XLOOKUP(Survey!$K359,pipedata[ID],pipedata[104%])</f>
        <v>2565.3333333333335</v>
      </c>
      <c r="P359" s="57">
        <f t="shared" si="5"/>
        <v>1850</v>
      </c>
      <c r="Q359" s="58">
        <f>_xlfn.MAXIFS(Survey!$G$2:$G$3647,Survey!$M$2:$M$3647,Survey!$M359)-Survey!$G359</f>
        <v>937.26676482016092</v>
      </c>
      <c r="R359" s="59">
        <f>Survey!$P359+(Survey!$Q359*0.433)</f>
        <v>2255.8365091671299</v>
      </c>
    </row>
    <row r="360" spans="1:18" x14ac:dyDescent="0.25">
      <c r="A360" s="71" t="s">
        <v>17</v>
      </c>
      <c r="B360" s="72" t="s">
        <v>18</v>
      </c>
      <c r="C360" s="73" t="s">
        <v>19</v>
      </c>
      <c r="D360" s="74">
        <v>229.79366199600349</v>
      </c>
      <c r="E360" s="81">
        <v>1241209</v>
      </c>
      <c r="F360" s="82">
        <v>1214308.2590622324</v>
      </c>
      <c r="G360" s="75">
        <v>1417.1085133968293</v>
      </c>
      <c r="H360" s="76">
        <v>2</v>
      </c>
      <c r="I360" s="54" t="s">
        <v>20</v>
      </c>
      <c r="J360" s="77">
        <v>40</v>
      </c>
      <c r="K360" s="78">
        <v>2</v>
      </c>
      <c r="L360" s="54">
        <v>2</v>
      </c>
      <c r="M360" s="54">
        <f>_xlfn.XLOOKUP(Survey!$F360,sections[Start],sections[Test Section],,-1,1)</f>
        <v>1</v>
      </c>
      <c r="N360" s="55">
        <f>_xlfn.XLOOKUP(Survey!$K360,pipedata[ID],pipedata[WT])</f>
        <v>0.74</v>
      </c>
      <c r="O360" s="56">
        <f>_xlfn.XLOOKUP(Survey!$K360,pipedata[ID],pipedata[104%])</f>
        <v>2565.3333333333335</v>
      </c>
      <c r="P360" s="57">
        <f t="shared" si="5"/>
        <v>1850</v>
      </c>
      <c r="Q360" s="58">
        <f>_xlfn.MAXIFS(Survey!$G$2:$G$3647,Survey!$M$2:$M$3647,Survey!$M360)-Survey!$G360</f>
        <v>937.04157419093622</v>
      </c>
      <c r="R360" s="59">
        <f>Survey!$P360+(Survey!$Q360*0.433)</f>
        <v>2255.7390016246754</v>
      </c>
    </row>
    <row r="361" spans="1:18" x14ac:dyDescent="0.25">
      <c r="A361" s="60" t="s">
        <v>17</v>
      </c>
      <c r="B361" s="61" t="s">
        <v>18</v>
      </c>
      <c r="C361" s="62" t="s">
        <v>19</v>
      </c>
      <c r="D361" s="63">
        <v>229.80079883777839</v>
      </c>
      <c r="E361" s="79">
        <v>1241249</v>
      </c>
      <c r="F361" s="80">
        <v>1214347.3074877029</v>
      </c>
      <c r="G361" s="66">
        <v>1419.8446467106044</v>
      </c>
      <c r="H361" s="67">
        <v>2</v>
      </c>
      <c r="I361" s="68" t="s">
        <v>20</v>
      </c>
      <c r="J361" s="69">
        <v>40</v>
      </c>
      <c r="K361" s="70">
        <v>2</v>
      </c>
      <c r="L361" s="68">
        <v>2</v>
      </c>
      <c r="M361" s="68">
        <f>_xlfn.XLOOKUP(Survey!$F361,sections[Start],sections[Test Section],,-1,1)</f>
        <v>1</v>
      </c>
      <c r="N361" s="55">
        <f>_xlfn.XLOOKUP(Survey!$K361,pipedata[ID],pipedata[WT])</f>
        <v>0.74</v>
      </c>
      <c r="O361" s="56">
        <f>_xlfn.XLOOKUP(Survey!$K361,pipedata[ID],pipedata[104%])</f>
        <v>2565.3333333333335</v>
      </c>
      <c r="P361" s="57">
        <f t="shared" si="5"/>
        <v>1850</v>
      </c>
      <c r="Q361" s="58">
        <f>_xlfn.MAXIFS(Survey!$G$2:$G$3647,Survey!$M$2:$M$3647,Survey!$M361)-Survey!$G361</f>
        <v>934.30544087716112</v>
      </c>
      <c r="R361" s="59">
        <f>Survey!$P361+(Survey!$Q361*0.433)</f>
        <v>2254.5542558998109</v>
      </c>
    </row>
    <row r="362" spans="1:18" x14ac:dyDescent="0.25">
      <c r="A362" s="71" t="s">
        <v>17</v>
      </c>
      <c r="B362" s="72" t="s">
        <v>18</v>
      </c>
      <c r="C362" s="73" t="s">
        <v>19</v>
      </c>
      <c r="D362" s="74">
        <v>229.80868411681547</v>
      </c>
      <c r="E362" s="81">
        <v>1241289</v>
      </c>
      <c r="F362" s="82">
        <v>1214386.3559131734</v>
      </c>
      <c r="G362" s="75">
        <v>1418.3331339689196</v>
      </c>
      <c r="H362" s="76">
        <v>2</v>
      </c>
      <c r="I362" s="54" t="s">
        <v>20</v>
      </c>
      <c r="J362" s="77">
        <v>40</v>
      </c>
      <c r="K362" s="78">
        <v>2</v>
      </c>
      <c r="L362" s="54">
        <v>2</v>
      </c>
      <c r="M362" s="54">
        <f>_xlfn.XLOOKUP(Survey!$F362,sections[Start],sections[Test Section],,-1,1)</f>
        <v>1</v>
      </c>
      <c r="N362" s="55">
        <f>_xlfn.XLOOKUP(Survey!$K362,pipedata[ID],pipedata[WT])</f>
        <v>0.74</v>
      </c>
      <c r="O362" s="56">
        <f>_xlfn.XLOOKUP(Survey!$K362,pipedata[ID],pipedata[104%])</f>
        <v>2565.3333333333335</v>
      </c>
      <c r="P362" s="57">
        <f t="shared" si="5"/>
        <v>1850</v>
      </c>
      <c r="Q362" s="58">
        <f>_xlfn.MAXIFS(Survey!$G$2:$G$3647,Survey!$M$2:$M$3647,Survey!$M362)-Survey!$G362</f>
        <v>935.8169536188459</v>
      </c>
      <c r="R362" s="59">
        <f>Survey!$P362+(Survey!$Q362*0.433)</f>
        <v>2255.2087409169603</v>
      </c>
    </row>
    <row r="363" spans="1:18" x14ac:dyDescent="0.25">
      <c r="A363" s="60" t="s">
        <v>17</v>
      </c>
      <c r="B363" s="61" t="s">
        <v>18</v>
      </c>
      <c r="C363" s="62" t="s">
        <v>19</v>
      </c>
      <c r="D363" s="63">
        <v>229.8163355996756</v>
      </c>
      <c r="E363" s="79">
        <v>1241329</v>
      </c>
      <c r="F363" s="80">
        <v>1214425.4043386439</v>
      </c>
      <c r="G363" s="66">
        <v>1416.6271006842983</v>
      </c>
      <c r="H363" s="67">
        <v>2</v>
      </c>
      <c r="I363" s="68" t="s">
        <v>20</v>
      </c>
      <c r="J363" s="69">
        <v>40</v>
      </c>
      <c r="K363" s="70">
        <v>2</v>
      </c>
      <c r="L363" s="68">
        <v>2</v>
      </c>
      <c r="M363" s="68">
        <f>_xlfn.XLOOKUP(Survey!$F363,sections[Start],sections[Test Section],,-1,1)</f>
        <v>1</v>
      </c>
      <c r="N363" s="55">
        <f>_xlfn.XLOOKUP(Survey!$K363,pipedata[ID],pipedata[WT])</f>
        <v>0.74</v>
      </c>
      <c r="O363" s="56">
        <f>_xlfn.XLOOKUP(Survey!$K363,pipedata[ID],pipedata[104%])</f>
        <v>2565.3333333333335</v>
      </c>
      <c r="P363" s="57">
        <f t="shared" si="5"/>
        <v>1850</v>
      </c>
      <c r="Q363" s="58">
        <f>_xlfn.MAXIFS(Survey!$G$2:$G$3647,Survey!$M$2:$M$3647,Survey!$M363)-Survey!$G363</f>
        <v>937.5229869034672</v>
      </c>
      <c r="R363" s="59">
        <f>Survey!$P363+(Survey!$Q363*0.433)</f>
        <v>2255.9474533292014</v>
      </c>
    </row>
    <row r="364" spans="1:18" x14ac:dyDescent="0.25">
      <c r="A364" s="71" t="s">
        <v>17</v>
      </c>
      <c r="B364" s="72" t="s">
        <v>18</v>
      </c>
      <c r="C364" s="73" t="s">
        <v>19</v>
      </c>
      <c r="D364" s="74">
        <v>229.82223606277103</v>
      </c>
      <c r="E364" s="81">
        <v>1241369</v>
      </c>
      <c r="F364" s="82">
        <v>1214464.4527641144</v>
      </c>
      <c r="G364" s="75">
        <v>1423.5427467596344</v>
      </c>
      <c r="H364" s="76">
        <v>2</v>
      </c>
      <c r="I364" s="54" t="s">
        <v>20</v>
      </c>
      <c r="J364" s="77">
        <v>40</v>
      </c>
      <c r="K364" s="78">
        <v>2</v>
      </c>
      <c r="L364" s="54">
        <v>2</v>
      </c>
      <c r="M364" s="54">
        <f>_xlfn.XLOOKUP(Survey!$F364,sections[Start],sections[Test Section],,-1,1)</f>
        <v>1</v>
      </c>
      <c r="N364" s="55">
        <f>_xlfn.XLOOKUP(Survey!$K364,pipedata[ID],pipedata[WT])</f>
        <v>0.74</v>
      </c>
      <c r="O364" s="56">
        <f>_xlfn.XLOOKUP(Survey!$K364,pipedata[ID],pipedata[104%])</f>
        <v>2565.3333333333335</v>
      </c>
      <c r="P364" s="57">
        <f t="shared" si="5"/>
        <v>1850</v>
      </c>
      <c r="Q364" s="58">
        <f>_xlfn.MAXIFS(Survey!$G$2:$G$3647,Survey!$M$2:$M$3647,Survey!$M364)-Survey!$G364</f>
        <v>930.6073408281311</v>
      </c>
      <c r="R364" s="59">
        <f>Survey!$P364+(Survey!$Q364*0.433)</f>
        <v>2252.9529785785808</v>
      </c>
    </row>
    <row r="365" spans="1:18" x14ac:dyDescent="0.25">
      <c r="A365" s="60" t="s">
        <v>17</v>
      </c>
      <c r="B365" s="61" t="s">
        <v>18</v>
      </c>
      <c r="C365" s="62" t="s">
        <v>19</v>
      </c>
      <c r="D365" s="63">
        <v>229.83053211172995</v>
      </c>
      <c r="E365" s="79">
        <v>1241409</v>
      </c>
      <c r="F365" s="80">
        <v>1214503.5011895848</v>
      </c>
      <c r="G365" s="66">
        <v>1432.2814146317971</v>
      </c>
      <c r="H365" s="67">
        <v>2</v>
      </c>
      <c r="I365" s="68" t="s">
        <v>20</v>
      </c>
      <c r="J365" s="69">
        <v>40</v>
      </c>
      <c r="K365" s="70">
        <v>2</v>
      </c>
      <c r="L365" s="68">
        <v>2</v>
      </c>
      <c r="M365" s="68">
        <f>_xlfn.XLOOKUP(Survey!$F365,sections[Start],sections[Test Section],,-1,1)</f>
        <v>1</v>
      </c>
      <c r="N365" s="55">
        <f>_xlfn.XLOOKUP(Survey!$K365,pipedata[ID],pipedata[WT])</f>
        <v>0.74</v>
      </c>
      <c r="O365" s="56">
        <f>_xlfn.XLOOKUP(Survey!$K365,pipedata[ID],pipedata[104%])</f>
        <v>2565.3333333333335</v>
      </c>
      <c r="P365" s="57">
        <f t="shared" si="5"/>
        <v>1850</v>
      </c>
      <c r="Q365" s="58">
        <f>_xlfn.MAXIFS(Survey!$G$2:$G$3647,Survey!$M$2:$M$3647,Survey!$M365)-Survey!$G365</f>
        <v>921.86867295596835</v>
      </c>
      <c r="R365" s="59">
        <f>Survey!$P365+(Survey!$Q365*0.433)</f>
        <v>2249.1691353899341</v>
      </c>
    </row>
    <row r="366" spans="1:18" x14ac:dyDescent="0.25">
      <c r="A366" s="71" t="s">
        <v>17</v>
      </c>
      <c r="B366" s="72" t="s">
        <v>18</v>
      </c>
      <c r="C366" s="73" t="s">
        <v>19</v>
      </c>
      <c r="D366" s="74">
        <v>229.83838959730011</v>
      </c>
      <c r="E366" s="81">
        <v>1241449</v>
      </c>
      <c r="F366" s="82">
        <v>1214542.5496150553</v>
      </c>
      <c r="G366" s="75">
        <v>1438.913501176615</v>
      </c>
      <c r="H366" s="76">
        <v>2</v>
      </c>
      <c r="I366" s="54" t="s">
        <v>20</v>
      </c>
      <c r="J366" s="77">
        <v>40</v>
      </c>
      <c r="K366" s="78">
        <v>2</v>
      </c>
      <c r="L366" s="54">
        <v>2</v>
      </c>
      <c r="M366" s="54">
        <f>_xlfn.XLOOKUP(Survey!$F366,sections[Start],sections[Test Section],,-1,1)</f>
        <v>1</v>
      </c>
      <c r="N366" s="55">
        <f>_xlfn.XLOOKUP(Survey!$K366,pipedata[ID],pipedata[WT])</f>
        <v>0.74</v>
      </c>
      <c r="O366" s="56">
        <f>_xlfn.XLOOKUP(Survey!$K366,pipedata[ID],pipedata[104%])</f>
        <v>2565.3333333333335</v>
      </c>
      <c r="P366" s="57">
        <f t="shared" si="5"/>
        <v>1850</v>
      </c>
      <c r="Q366" s="58">
        <f>_xlfn.MAXIFS(Survey!$G$2:$G$3647,Survey!$M$2:$M$3647,Survey!$M366)-Survey!$G366</f>
        <v>915.23658641115048</v>
      </c>
      <c r="R366" s="59">
        <f>Survey!$P366+(Survey!$Q366*0.433)</f>
        <v>2246.2974419160282</v>
      </c>
    </row>
    <row r="367" spans="1:18" x14ac:dyDescent="0.25">
      <c r="A367" s="60" t="s">
        <v>17</v>
      </c>
      <c r="B367" s="61" t="s">
        <v>18</v>
      </c>
      <c r="C367" s="62" t="s">
        <v>19</v>
      </c>
      <c r="D367" s="63">
        <v>229.84624708287029</v>
      </c>
      <c r="E367" s="79">
        <v>1241489</v>
      </c>
      <c r="F367" s="80">
        <v>1214581.5980405258</v>
      </c>
      <c r="G367" s="66">
        <v>1446.9811219527137</v>
      </c>
      <c r="H367" s="67">
        <v>2</v>
      </c>
      <c r="I367" s="68" t="s">
        <v>20</v>
      </c>
      <c r="J367" s="69">
        <v>40</v>
      </c>
      <c r="K367" s="70">
        <v>2</v>
      </c>
      <c r="L367" s="68">
        <v>2</v>
      </c>
      <c r="M367" s="68">
        <f>_xlfn.XLOOKUP(Survey!$F367,sections[Start],sections[Test Section],,-1,1)</f>
        <v>1</v>
      </c>
      <c r="N367" s="55">
        <f>_xlfn.XLOOKUP(Survey!$K367,pipedata[ID],pipedata[WT])</f>
        <v>0.74</v>
      </c>
      <c r="O367" s="56">
        <f>_xlfn.XLOOKUP(Survey!$K367,pipedata[ID],pipedata[104%])</f>
        <v>2565.3333333333335</v>
      </c>
      <c r="P367" s="57">
        <f t="shared" si="5"/>
        <v>1850</v>
      </c>
      <c r="Q367" s="58">
        <f>_xlfn.MAXIFS(Survey!$G$2:$G$3647,Survey!$M$2:$M$3647,Survey!$M367)-Survey!$G367</f>
        <v>907.16896563505179</v>
      </c>
      <c r="R367" s="59">
        <f>Survey!$P367+(Survey!$Q367*0.433)</f>
        <v>2242.8041621199773</v>
      </c>
    </row>
    <row r="368" spans="1:18" x14ac:dyDescent="0.25">
      <c r="A368" s="71" t="s">
        <v>17</v>
      </c>
      <c r="B368" s="72" t="s">
        <v>18</v>
      </c>
      <c r="C368" s="73" t="s">
        <v>19</v>
      </c>
      <c r="D368" s="74">
        <v>229.85359005639194</v>
      </c>
      <c r="E368" s="81">
        <v>1241529</v>
      </c>
      <c r="F368" s="82">
        <v>1214620.6464659963</v>
      </c>
      <c r="G368" s="75">
        <v>1453.6528084274476</v>
      </c>
      <c r="H368" s="76">
        <v>2</v>
      </c>
      <c r="I368" s="54" t="s">
        <v>20</v>
      </c>
      <c r="J368" s="77">
        <v>40</v>
      </c>
      <c r="K368" s="78">
        <v>2</v>
      </c>
      <c r="L368" s="54">
        <v>2</v>
      </c>
      <c r="M368" s="54">
        <f>_xlfn.XLOOKUP(Survey!$F368,sections[Start],sections[Test Section],,-1,1)</f>
        <v>1</v>
      </c>
      <c r="N368" s="55">
        <f>_xlfn.XLOOKUP(Survey!$K368,pipedata[ID],pipedata[WT])</f>
        <v>0.74</v>
      </c>
      <c r="O368" s="56">
        <f>_xlfn.XLOOKUP(Survey!$K368,pipedata[ID],pipedata[104%])</f>
        <v>2565.3333333333335</v>
      </c>
      <c r="P368" s="57">
        <f t="shared" si="5"/>
        <v>1850</v>
      </c>
      <c r="Q368" s="58">
        <f>_xlfn.MAXIFS(Survey!$G$2:$G$3647,Survey!$M$2:$M$3647,Survey!$M368)-Survey!$G368</f>
        <v>900.49727916031793</v>
      </c>
      <c r="R368" s="59">
        <f>Survey!$P368+(Survey!$Q368*0.433)</f>
        <v>2239.9153218764177</v>
      </c>
    </row>
    <row r="369" spans="1:18" x14ac:dyDescent="0.25">
      <c r="A369" s="60" t="s">
        <v>17</v>
      </c>
      <c r="B369" s="61" t="s">
        <v>18</v>
      </c>
      <c r="C369" s="62" t="s">
        <v>19</v>
      </c>
      <c r="D369" s="63">
        <v>229.86072689816677</v>
      </c>
      <c r="E369" s="79">
        <v>1241569</v>
      </c>
      <c r="F369" s="80">
        <v>1214659.6948914668</v>
      </c>
      <c r="G369" s="66">
        <v>1460.6472569726686</v>
      </c>
      <c r="H369" s="67">
        <v>2</v>
      </c>
      <c r="I369" s="68" t="s">
        <v>20</v>
      </c>
      <c r="J369" s="69">
        <v>40</v>
      </c>
      <c r="K369" s="70">
        <v>2</v>
      </c>
      <c r="L369" s="68">
        <v>2</v>
      </c>
      <c r="M369" s="68">
        <f>_xlfn.XLOOKUP(Survey!$F369,sections[Start],sections[Test Section],,-1,1)</f>
        <v>1</v>
      </c>
      <c r="N369" s="55">
        <f>_xlfn.XLOOKUP(Survey!$K369,pipedata[ID],pipedata[WT])</f>
        <v>0.74</v>
      </c>
      <c r="O369" s="56">
        <f>_xlfn.XLOOKUP(Survey!$K369,pipedata[ID],pipedata[104%])</f>
        <v>2565.3333333333335</v>
      </c>
      <c r="P369" s="57">
        <f t="shared" si="5"/>
        <v>1850</v>
      </c>
      <c r="Q369" s="58">
        <f>_xlfn.MAXIFS(Survey!$G$2:$G$3647,Survey!$M$2:$M$3647,Survey!$M369)-Survey!$G369</f>
        <v>893.50283061509685</v>
      </c>
      <c r="R369" s="59">
        <f>Survey!$P369+(Survey!$Q369*0.433)</f>
        <v>2236.8867256563371</v>
      </c>
    </row>
    <row r="370" spans="1:18" x14ac:dyDescent="0.25">
      <c r="A370" s="71" t="s">
        <v>17</v>
      </c>
      <c r="B370" s="72" t="s">
        <v>18</v>
      </c>
      <c r="C370" s="73" t="s">
        <v>19</v>
      </c>
      <c r="D370" s="74">
        <v>229.86786373994281</v>
      </c>
      <c r="E370" s="81">
        <v>1241609</v>
      </c>
      <c r="F370" s="82">
        <v>1214698.7433169372</v>
      </c>
      <c r="G370" s="75">
        <v>1466.2237480289707</v>
      </c>
      <c r="H370" s="76">
        <v>2</v>
      </c>
      <c r="I370" s="54" t="s">
        <v>20</v>
      </c>
      <c r="J370" s="77">
        <v>40</v>
      </c>
      <c r="K370" s="78">
        <v>2</v>
      </c>
      <c r="L370" s="54">
        <v>2</v>
      </c>
      <c r="M370" s="54">
        <f>_xlfn.XLOOKUP(Survey!$F370,sections[Start],sections[Test Section],,-1,1)</f>
        <v>1</v>
      </c>
      <c r="N370" s="55">
        <f>_xlfn.XLOOKUP(Survey!$K370,pipedata[ID],pipedata[WT])</f>
        <v>0.74</v>
      </c>
      <c r="O370" s="56">
        <f>_xlfn.XLOOKUP(Survey!$K370,pipedata[ID],pipedata[104%])</f>
        <v>2565.3333333333335</v>
      </c>
      <c r="P370" s="57">
        <f t="shared" si="5"/>
        <v>1850</v>
      </c>
      <c r="Q370" s="58">
        <f>_xlfn.MAXIFS(Survey!$G$2:$G$3647,Survey!$M$2:$M$3647,Survey!$M370)-Survey!$G370</f>
        <v>887.92633955879478</v>
      </c>
      <c r="R370" s="59">
        <f>Survey!$P370+(Survey!$Q370*0.433)</f>
        <v>2234.4721050289581</v>
      </c>
    </row>
    <row r="371" spans="1:18" x14ac:dyDescent="0.25">
      <c r="A371" s="60" t="s">
        <v>17</v>
      </c>
      <c r="B371" s="61" t="s">
        <v>18</v>
      </c>
      <c r="C371" s="62" t="s">
        <v>19</v>
      </c>
      <c r="D371" s="63">
        <v>229.87598308042962</v>
      </c>
      <c r="E371" s="79">
        <v>1241649</v>
      </c>
      <c r="F371" s="80">
        <v>1214737.7917424077</v>
      </c>
      <c r="G371" s="66">
        <v>1468.5271592391803</v>
      </c>
      <c r="H371" s="67">
        <v>2</v>
      </c>
      <c r="I371" s="68" t="s">
        <v>20</v>
      </c>
      <c r="J371" s="69">
        <v>40</v>
      </c>
      <c r="K371" s="70">
        <v>2</v>
      </c>
      <c r="L371" s="68">
        <v>2</v>
      </c>
      <c r="M371" s="68">
        <f>_xlfn.XLOOKUP(Survey!$F371,sections[Start],sections[Test Section],,-1,1)</f>
        <v>1</v>
      </c>
      <c r="N371" s="55">
        <f>_xlfn.XLOOKUP(Survey!$K371,pipedata[ID],pipedata[WT])</f>
        <v>0.74</v>
      </c>
      <c r="O371" s="56">
        <f>_xlfn.XLOOKUP(Survey!$K371,pipedata[ID],pipedata[104%])</f>
        <v>2565.3333333333335</v>
      </c>
      <c r="P371" s="57">
        <f t="shared" si="5"/>
        <v>1850</v>
      </c>
      <c r="Q371" s="58">
        <f>_xlfn.MAXIFS(Survey!$G$2:$G$3647,Survey!$M$2:$M$3647,Survey!$M371)-Survey!$G371</f>
        <v>885.62292834858522</v>
      </c>
      <c r="R371" s="59">
        <f>Survey!$P371+(Survey!$Q371*0.433)</f>
        <v>2233.4747279749372</v>
      </c>
    </row>
    <row r="372" spans="1:18" x14ac:dyDescent="0.25">
      <c r="A372" s="71" t="s">
        <v>17</v>
      </c>
      <c r="B372" s="72" t="s">
        <v>18</v>
      </c>
      <c r="C372" s="73" t="s">
        <v>19</v>
      </c>
      <c r="D372" s="74">
        <v>229.88357013932921</v>
      </c>
      <c r="E372" s="81">
        <v>1241689</v>
      </c>
      <c r="F372" s="82">
        <v>1214776.8401678782</v>
      </c>
      <c r="G372" s="75">
        <v>1464.6633505067323</v>
      </c>
      <c r="H372" s="76">
        <v>2</v>
      </c>
      <c r="I372" s="54" t="s">
        <v>20</v>
      </c>
      <c r="J372" s="77">
        <v>40</v>
      </c>
      <c r="K372" s="78">
        <v>2</v>
      </c>
      <c r="L372" s="54">
        <v>2</v>
      </c>
      <c r="M372" s="54">
        <f>_xlfn.XLOOKUP(Survey!$F372,sections[Start],sections[Test Section],,-1,1)</f>
        <v>1</v>
      </c>
      <c r="N372" s="55">
        <f>_xlfn.XLOOKUP(Survey!$K372,pipedata[ID],pipedata[WT])</f>
        <v>0.74</v>
      </c>
      <c r="O372" s="56">
        <f>_xlfn.XLOOKUP(Survey!$K372,pipedata[ID],pipedata[104%])</f>
        <v>2565.3333333333335</v>
      </c>
      <c r="P372" s="57">
        <f t="shared" si="5"/>
        <v>1850</v>
      </c>
      <c r="Q372" s="58">
        <f>_xlfn.MAXIFS(Survey!$G$2:$G$3647,Survey!$M$2:$M$3647,Survey!$M372)-Survey!$G372</f>
        <v>889.4867370810332</v>
      </c>
      <c r="R372" s="59">
        <f>Survey!$P372+(Survey!$Q372*0.433)</f>
        <v>2235.1477571560872</v>
      </c>
    </row>
    <row r="373" spans="1:18" x14ac:dyDescent="0.25">
      <c r="A373" s="60" t="s">
        <v>17</v>
      </c>
      <c r="B373" s="61" t="s">
        <v>18</v>
      </c>
      <c r="C373" s="62" t="s">
        <v>19</v>
      </c>
      <c r="D373" s="63">
        <v>229.88953502638552</v>
      </c>
      <c r="E373" s="79">
        <v>1241729</v>
      </c>
      <c r="F373" s="80">
        <v>1214815.8885933487</v>
      </c>
      <c r="G373" s="66">
        <v>1450.690565879587</v>
      </c>
      <c r="H373" s="67">
        <v>2</v>
      </c>
      <c r="I373" s="68" t="s">
        <v>20</v>
      </c>
      <c r="J373" s="69">
        <v>40</v>
      </c>
      <c r="K373" s="70">
        <v>2</v>
      </c>
      <c r="L373" s="68">
        <v>2</v>
      </c>
      <c r="M373" s="68">
        <f>_xlfn.XLOOKUP(Survey!$F373,sections[Start],sections[Test Section],,-1,1)</f>
        <v>1</v>
      </c>
      <c r="N373" s="55">
        <f>_xlfn.XLOOKUP(Survey!$K373,pipedata[ID],pipedata[WT])</f>
        <v>0.74</v>
      </c>
      <c r="O373" s="56">
        <f>_xlfn.XLOOKUP(Survey!$K373,pipedata[ID],pipedata[104%])</f>
        <v>2565.3333333333335</v>
      </c>
      <c r="P373" s="57">
        <f t="shared" si="5"/>
        <v>1850</v>
      </c>
      <c r="Q373" s="58">
        <f>_xlfn.MAXIFS(Survey!$G$2:$G$3647,Survey!$M$2:$M$3647,Survey!$M373)-Survey!$G373</f>
        <v>903.4595217081785</v>
      </c>
      <c r="R373" s="59">
        <f>Survey!$P373+(Survey!$Q373*0.433)</f>
        <v>2241.1979728996412</v>
      </c>
    </row>
    <row r="374" spans="1:18" x14ac:dyDescent="0.25">
      <c r="A374" s="71" t="s">
        <v>17</v>
      </c>
      <c r="B374" s="72" t="s">
        <v>18</v>
      </c>
      <c r="C374" s="73" t="s">
        <v>19</v>
      </c>
      <c r="D374" s="74">
        <v>229.89641110704343</v>
      </c>
      <c r="E374" s="81">
        <v>1241769</v>
      </c>
      <c r="F374" s="82">
        <v>1214854.9370188192</v>
      </c>
      <c r="G374" s="75">
        <v>1466.1182646311186</v>
      </c>
      <c r="H374" s="76">
        <v>2</v>
      </c>
      <c r="I374" s="54" t="s">
        <v>20</v>
      </c>
      <c r="J374" s="77">
        <v>40</v>
      </c>
      <c r="K374" s="78">
        <v>2</v>
      </c>
      <c r="L374" s="54">
        <v>2</v>
      </c>
      <c r="M374" s="54">
        <f>_xlfn.XLOOKUP(Survey!$F374,sections[Start],sections[Test Section],,-1,1)</f>
        <v>1</v>
      </c>
      <c r="N374" s="55">
        <f>_xlfn.XLOOKUP(Survey!$K374,pipedata[ID],pipedata[WT])</f>
        <v>0.74</v>
      </c>
      <c r="O374" s="56">
        <f>_xlfn.XLOOKUP(Survey!$K374,pipedata[ID],pipedata[104%])</f>
        <v>2565.3333333333335</v>
      </c>
      <c r="P374" s="57">
        <f t="shared" si="5"/>
        <v>1850</v>
      </c>
      <c r="Q374" s="58">
        <f>_xlfn.MAXIFS(Survey!$G$2:$G$3647,Survey!$M$2:$M$3647,Survey!$M374)-Survey!$G374</f>
        <v>888.03182295664692</v>
      </c>
      <c r="R374" s="59">
        <f>Survey!$P374+(Survey!$Q374*0.433)</f>
        <v>2234.5177793402281</v>
      </c>
    </row>
    <row r="375" spans="1:18" x14ac:dyDescent="0.25">
      <c r="A375" s="60" t="s">
        <v>17</v>
      </c>
      <c r="B375" s="61" t="s">
        <v>18</v>
      </c>
      <c r="C375" s="62" t="s">
        <v>19</v>
      </c>
      <c r="D375" s="63">
        <v>229.90354794881983</v>
      </c>
      <c r="E375" s="79">
        <v>1241809</v>
      </c>
      <c r="F375" s="80">
        <v>1214893.9854442896</v>
      </c>
      <c r="G375" s="66">
        <v>1477.8640060629843</v>
      </c>
      <c r="H375" s="67">
        <v>2</v>
      </c>
      <c r="I375" s="68" t="s">
        <v>20</v>
      </c>
      <c r="J375" s="69">
        <v>40</v>
      </c>
      <c r="K375" s="70">
        <v>2</v>
      </c>
      <c r="L375" s="68">
        <v>1</v>
      </c>
      <c r="M375" s="68">
        <f>_xlfn.XLOOKUP(Survey!$F375,sections[Start],sections[Test Section],,-1,1)</f>
        <v>1</v>
      </c>
      <c r="N375" s="55">
        <f>_xlfn.XLOOKUP(Survey!$K375,pipedata[ID],pipedata[WT])</f>
        <v>0.74</v>
      </c>
      <c r="O375" s="56">
        <f>_xlfn.XLOOKUP(Survey!$K375,pipedata[ID],pipedata[104%])</f>
        <v>2565.3333333333335</v>
      </c>
      <c r="P375" s="57">
        <f t="shared" si="5"/>
        <v>1850</v>
      </c>
      <c r="Q375" s="58">
        <f>_xlfn.MAXIFS(Survey!$G$2:$G$3647,Survey!$M$2:$M$3647,Survey!$M375)-Survey!$G375</f>
        <v>876.28608152478114</v>
      </c>
      <c r="R375" s="59">
        <f>Survey!$P375+(Survey!$Q375*0.433)</f>
        <v>2229.4318733002301</v>
      </c>
    </row>
    <row r="376" spans="1:18" x14ac:dyDescent="0.25">
      <c r="A376" s="71" t="s">
        <v>17</v>
      </c>
      <c r="B376" s="72" t="s">
        <v>18</v>
      </c>
      <c r="C376" s="73" t="s">
        <v>19</v>
      </c>
      <c r="D376" s="74">
        <v>229.91121813991447</v>
      </c>
      <c r="E376" s="81">
        <v>1241849</v>
      </c>
      <c r="F376" s="82">
        <v>1214933.0338697601</v>
      </c>
      <c r="G376" s="75">
        <v>1490.2836961773635</v>
      </c>
      <c r="H376" s="76">
        <v>2</v>
      </c>
      <c r="I376" s="54" t="s">
        <v>20</v>
      </c>
      <c r="J376" s="77">
        <v>40</v>
      </c>
      <c r="K376" s="78">
        <v>2</v>
      </c>
      <c r="L376" s="54">
        <v>1</v>
      </c>
      <c r="M376" s="54">
        <f>_xlfn.XLOOKUP(Survey!$F376,sections[Start],sections[Test Section],,-1,1)</f>
        <v>1</v>
      </c>
      <c r="N376" s="55">
        <f>_xlfn.XLOOKUP(Survey!$K376,pipedata[ID],pipedata[WT])</f>
        <v>0.74</v>
      </c>
      <c r="O376" s="56">
        <f>_xlfn.XLOOKUP(Survey!$K376,pipedata[ID],pipedata[104%])</f>
        <v>2565.3333333333335</v>
      </c>
      <c r="P376" s="57">
        <f t="shared" si="5"/>
        <v>1850</v>
      </c>
      <c r="Q376" s="58">
        <f>_xlfn.MAXIFS(Survey!$G$2:$G$3647,Survey!$M$2:$M$3647,Survey!$M376)-Survey!$G376</f>
        <v>863.866391410402</v>
      </c>
      <c r="R376" s="59">
        <f>Survey!$P376+(Survey!$Q376*0.433)</f>
        <v>2224.0541474807042</v>
      </c>
    </row>
    <row r="377" spans="1:18" x14ac:dyDescent="0.25">
      <c r="A377" s="60" t="s">
        <v>17</v>
      </c>
      <c r="B377" s="61" t="s">
        <v>18</v>
      </c>
      <c r="C377" s="62" t="s">
        <v>19</v>
      </c>
      <c r="D377" s="63">
        <v>229.91782163236965</v>
      </c>
      <c r="E377" s="79">
        <v>1241889</v>
      </c>
      <c r="F377" s="80">
        <v>1214972.0822952306</v>
      </c>
      <c r="G377" s="66">
        <v>1501.3479558374283</v>
      </c>
      <c r="H377" s="67">
        <v>2</v>
      </c>
      <c r="I377" s="68" t="s">
        <v>20</v>
      </c>
      <c r="J377" s="69">
        <v>40</v>
      </c>
      <c r="K377" s="70">
        <v>2</v>
      </c>
      <c r="L377" s="68">
        <v>1</v>
      </c>
      <c r="M377" s="68">
        <f>_xlfn.XLOOKUP(Survey!$F377,sections[Start],sections[Test Section],,-1,1)</f>
        <v>1</v>
      </c>
      <c r="N377" s="55">
        <f>_xlfn.XLOOKUP(Survey!$K377,pipedata[ID],pipedata[WT])</f>
        <v>0.74</v>
      </c>
      <c r="O377" s="56">
        <f>_xlfn.XLOOKUP(Survey!$K377,pipedata[ID],pipedata[104%])</f>
        <v>2565.3333333333335</v>
      </c>
      <c r="P377" s="57">
        <f t="shared" si="5"/>
        <v>1850</v>
      </c>
      <c r="Q377" s="58">
        <f>_xlfn.MAXIFS(Survey!$G$2:$G$3647,Survey!$M$2:$M$3647,Survey!$M377)-Survey!$G377</f>
        <v>852.80213175033714</v>
      </c>
      <c r="R377" s="59">
        <f>Survey!$P377+(Survey!$Q377*0.433)</f>
        <v>2219.2633230478959</v>
      </c>
    </row>
    <row r="378" spans="1:18" x14ac:dyDescent="0.25">
      <c r="A378" s="71" t="s">
        <v>17</v>
      </c>
      <c r="B378" s="72" t="s">
        <v>18</v>
      </c>
      <c r="C378" s="73" t="s">
        <v>19</v>
      </c>
      <c r="D378" s="74">
        <v>229.92495847414565</v>
      </c>
      <c r="E378" s="81">
        <v>1241929</v>
      </c>
      <c r="F378" s="82">
        <v>1215011.1307207011</v>
      </c>
      <c r="G378" s="75">
        <v>1510.6138330824685</v>
      </c>
      <c r="H378" s="76">
        <v>2</v>
      </c>
      <c r="I378" s="54" t="s">
        <v>20</v>
      </c>
      <c r="J378" s="77">
        <v>40</v>
      </c>
      <c r="K378" s="78">
        <v>2</v>
      </c>
      <c r="L378" s="54">
        <v>1</v>
      </c>
      <c r="M378" s="54">
        <f>_xlfn.XLOOKUP(Survey!$F378,sections[Start],sections[Test Section],,-1,1)</f>
        <v>1</v>
      </c>
      <c r="N378" s="55">
        <f>_xlfn.XLOOKUP(Survey!$K378,pipedata[ID],pipedata[WT])</f>
        <v>0.74</v>
      </c>
      <c r="O378" s="56">
        <f>_xlfn.XLOOKUP(Survey!$K378,pipedata[ID],pipedata[104%])</f>
        <v>2565.3333333333335</v>
      </c>
      <c r="P378" s="57">
        <f t="shared" si="5"/>
        <v>1850</v>
      </c>
      <c r="Q378" s="58">
        <f>_xlfn.MAXIFS(Survey!$G$2:$G$3647,Survey!$M$2:$M$3647,Survey!$M378)-Survey!$G378</f>
        <v>843.53625450529694</v>
      </c>
      <c r="R378" s="59">
        <f>Survey!$P378+(Survey!$Q378*0.433)</f>
        <v>2215.2511982007936</v>
      </c>
    </row>
    <row r="379" spans="1:18" x14ac:dyDescent="0.25">
      <c r="A379" s="60" t="s">
        <v>17</v>
      </c>
      <c r="B379" s="61" t="s">
        <v>18</v>
      </c>
      <c r="C379" s="62" t="s">
        <v>19</v>
      </c>
      <c r="D379" s="63">
        <v>229.93290125344308</v>
      </c>
      <c r="E379" s="79">
        <v>1241969</v>
      </c>
      <c r="F379" s="80">
        <v>1215050.1791461715</v>
      </c>
      <c r="G379" s="66">
        <v>1518.4307347859474</v>
      </c>
      <c r="H379" s="67">
        <v>2</v>
      </c>
      <c r="I379" s="68" t="s">
        <v>20</v>
      </c>
      <c r="J379" s="69">
        <v>40</v>
      </c>
      <c r="K379" s="70">
        <v>2</v>
      </c>
      <c r="L379" s="68">
        <v>1</v>
      </c>
      <c r="M379" s="68">
        <f>_xlfn.XLOOKUP(Survey!$F379,sections[Start],sections[Test Section],,-1,1)</f>
        <v>1</v>
      </c>
      <c r="N379" s="55">
        <f>_xlfn.XLOOKUP(Survey!$K379,pipedata[ID],pipedata[WT])</f>
        <v>0.74</v>
      </c>
      <c r="O379" s="56">
        <f>_xlfn.XLOOKUP(Survey!$K379,pipedata[ID],pipedata[104%])</f>
        <v>2565.3333333333335</v>
      </c>
      <c r="P379" s="57">
        <f t="shared" si="5"/>
        <v>1850</v>
      </c>
      <c r="Q379" s="58">
        <f>_xlfn.MAXIFS(Survey!$G$2:$G$3647,Survey!$M$2:$M$3647,Survey!$M379)-Survey!$G379</f>
        <v>835.7193528018181</v>
      </c>
      <c r="R379" s="59">
        <f>Survey!$P379+(Survey!$Q379*0.433)</f>
        <v>2211.8664797631873</v>
      </c>
    </row>
    <row r="380" spans="1:18" x14ac:dyDescent="0.25">
      <c r="A380" s="71" t="s">
        <v>17</v>
      </c>
      <c r="B380" s="72" t="s">
        <v>18</v>
      </c>
      <c r="C380" s="73" t="s">
        <v>19</v>
      </c>
      <c r="D380" s="74">
        <v>229.9408541478729</v>
      </c>
      <c r="E380" s="81">
        <v>1242009</v>
      </c>
      <c r="F380" s="82">
        <v>1215089.227571642</v>
      </c>
      <c r="G380" s="75">
        <v>1525.6567502976654</v>
      </c>
      <c r="H380" s="76">
        <v>2</v>
      </c>
      <c r="I380" s="54" t="s">
        <v>20</v>
      </c>
      <c r="J380" s="77">
        <v>40</v>
      </c>
      <c r="K380" s="78">
        <v>2</v>
      </c>
      <c r="L380" s="54">
        <v>1</v>
      </c>
      <c r="M380" s="54">
        <f>_xlfn.XLOOKUP(Survey!$F380,sections[Start],sections[Test Section],,-1,1)</f>
        <v>1</v>
      </c>
      <c r="N380" s="55">
        <f>_xlfn.XLOOKUP(Survey!$K380,pipedata[ID],pipedata[WT])</f>
        <v>0.74</v>
      </c>
      <c r="O380" s="56">
        <f>_xlfn.XLOOKUP(Survey!$K380,pipedata[ID],pipedata[104%])</f>
        <v>2565.3333333333335</v>
      </c>
      <c r="P380" s="57">
        <f t="shared" si="5"/>
        <v>1850</v>
      </c>
      <c r="Q380" s="58">
        <f>_xlfn.MAXIFS(Survey!$G$2:$G$3647,Survey!$M$2:$M$3647,Survey!$M380)-Survey!$G380</f>
        <v>828.49333729010004</v>
      </c>
      <c r="R380" s="59">
        <f>Survey!$P380+(Survey!$Q380*0.433)</f>
        <v>2208.7376150466134</v>
      </c>
    </row>
    <row r="381" spans="1:18" x14ac:dyDescent="0.25">
      <c r="A381" s="60" t="s">
        <v>17</v>
      </c>
      <c r="B381" s="61" t="s">
        <v>18</v>
      </c>
      <c r="C381" s="62" t="s">
        <v>19</v>
      </c>
      <c r="D381" s="63">
        <v>229.9483680083311</v>
      </c>
      <c r="E381" s="79">
        <v>1242049</v>
      </c>
      <c r="F381" s="80">
        <v>1215128.2759971125</v>
      </c>
      <c r="G381" s="66">
        <v>1530.680072741721</v>
      </c>
      <c r="H381" s="67">
        <v>2</v>
      </c>
      <c r="I381" s="68" t="s">
        <v>20</v>
      </c>
      <c r="J381" s="69">
        <v>40</v>
      </c>
      <c r="K381" s="70">
        <v>2</v>
      </c>
      <c r="L381" s="68">
        <v>1</v>
      </c>
      <c r="M381" s="68">
        <f>_xlfn.XLOOKUP(Survey!$F381,sections[Start],sections[Test Section],,-1,1)</f>
        <v>1</v>
      </c>
      <c r="N381" s="55">
        <f>_xlfn.XLOOKUP(Survey!$K381,pipedata[ID],pipedata[WT])</f>
        <v>0.74</v>
      </c>
      <c r="O381" s="56">
        <f>_xlfn.XLOOKUP(Survey!$K381,pipedata[ID],pipedata[104%])</f>
        <v>2565.3333333333335</v>
      </c>
      <c r="P381" s="57">
        <f t="shared" si="5"/>
        <v>1850</v>
      </c>
      <c r="Q381" s="58">
        <f>_xlfn.MAXIFS(Survey!$G$2:$G$3647,Survey!$M$2:$M$3647,Survey!$M381)-Survey!$G381</f>
        <v>823.47001484604448</v>
      </c>
      <c r="R381" s="59">
        <f>Survey!$P381+(Survey!$Q381*0.433)</f>
        <v>2206.5625164283374</v>
      </c>
    </row>
    <row r="382" spans="1:18" x14ac:dyDescent="0.25">
      <c r="A382" s="71" t="s">
        <v>17</v>
      </c>
      <c r="B382" s="72" t="s">
        <v>18</v>
      </c>
      <c r="C382" s="73" t="s">
        <v>19</v>
      </c>
      <c r="D382" s="74">
        <v>229.95602463475427</v>
      </c>
      <c r="E382" s="81">
        <v>1242089</v>
      </c>
      <c r="F382" s="82">
        <v>1215167.324422583</v>
      </c>
      <c r="G382" s="75">
        <v>1535.1077539163139</v>
      </c>
      <c r="H382" s="76">
        <v>2</v>
      </c>
      <c r="I382" s="54" t="s">
        <v>20</v>
      </c>
      <c r="J382" s="77">
        <v>40</v>
      </c>
      <c r="K382" s="78">
        <v>2</v>
      </c>
      <c r="L382" s="54">
        <v>1</v>
      </c>
      <c r="M382" s="54">
        <f>_xlfn.XLOOKUP(Survey!$F382,sections[Start],sections[Test Section],,-1,1)</f>
        <v>1</v>
      </c>
      <c r="N382" s="55">
        <f>_xlfn.XLOOKUP(Survey!$K382,pipedata[ID],pipedata[WT])</f>
        <v>0.74</v>
      </c>
      <c r="O382" s="56">
        <f>_xlfn.XLOOKUP(Survey!$K382,pipedata[ID],pipedata[104%])</f>
        <v>2565.3333333333335</v>
      </c>
      <c r="P382" s="57">
        <f t="shared" si="5"/>
        <v>1850</v>
      </c>
      <c r="Q382" s="58">
        <f>_xlfn.MAXIFS(Survey!$G$2:$G$3647,Survey!$M$2:$M$3647,Survey!$M382)-Survey!$G382</f>
        <v>819.04233367145162</v>
      </c>
      <c r="R382" s="59">
        <f>Survey!$P382+(Survey!$Q382*0.433)</f>
        <v>2204.6453304797387</v>
      </c>
    </row>
    <row r="383" spans="1:18" x14ac:dyDescent="0.25">
      <c r="A383" s="60" t="s">
        <v>17</v>
      </c>
      <c r="B383" s="61" t="s">
        <v>18</v>
      </c>
      <c r="C383" s="62" t="s">
        <v>19</v>
      </c>
      <c r="D383" s="63">
        <v>229.96376615630862</v>
      </c>
      <c r="E383" s="79">
        <v>1242129</v>
      </c>
      <c r="F383" s="80">
        <v>1215206.3728480535</v>
      </c>
      <c r="G383" s="66">
        <v>1538.754374113176</v>
      </c>
      <c r="H383" s="67">
        <v>2</v>
      </c>
      <c r="I383" s="68" t="s">
        <v>20</v>
      </c>
      <c r="J383" s="69">
        <v>40</v>
      </c>
      <c r="K383" s="70">
        <v>2</v>
      </c>
      <c r="L383" s="68">
        <v>1</v>
      </c>
      <c r="M383" s="68">
        <f>_xlfn.XLOOKUP(Survey!$F383,sections[Start],sections[Test Section],,-1,1)</f>
        <v>1</v>
      </c>
      <c r="N383" s="55">
        <f>_xlfn.XLOOKUP(Survey!$K383,pipedata[ID],pipedata[WT])</f>
        <v>0.74</v>
      </c>
      <c r="O383" s="56">
        <f>_xlfn.XLOOKUP(Survey!$K383,pipedata[ID],pipedata[104%])</f>
        <v>2565.3333333333335</v>
      </c>
      <c r="P383" s="57">
        <f t="shared" si="5"/>
        <v>1850</v>
      </c>
      <c r="Q383" s="58">
        <f>_xlfn.MAXIFS(Survey!$G$2:$G$3647,Survey!$M$2:$M$3647,Survey!$M383)-Survey!$G383</f>
        <v>815.39571347458946</v>
      </c>
      <c r="R383" s="59">
        <f>Survey!$P383+(Survey!$Q383*0.433)</f>
        <v>2203.0663439344971</v>
      </c>
    </row>
    <row r="384" spans="1:18" x14ac:dyDescent="0.25">
      <c r="A384" s="71" t="s">
        <v>17</v>
      </c>
      <c r="B384" s="72" t="s">
        <v>18</v>
      </c>
      <c r="C384" s="73" t="s">
        <v>19</v>
      </c>
      <c r="D384" s="74">
        <v>229.97042597609993</v>
      </c>
      <c r="E384" s="81">
        <v>1242169</v>
      </c>
      <c r="F384" s="82">
        <v>1215245.4212735239</v>
      </c>
      <c r="G384" s="75">
        <v>1539.8972591817108</v>
      </c>
      <c r="H384" s="76">
        <v>2</v>
      </c>
      <c r="I384" s="54" t="s">
        <v>20</v>
      </c>
      <c r="J384" s="77">
        <v>40</v>
      </c>
      <c r="K384" s="78">
        <v>2</v>
      </c>
      <c r="L384" s="54">
        <v>1</v>
      </c>
      <c r="M384" s="54">
        <f>_xlfn.XLOOKUP(Survey!$F384,sections[Start],sections[Test Section],,-1,1)</f>
        <v>1</v>
      </c>
      <c r="N384" s="55">
        <f>_xlfn.XLOOKUP(Survey!$K384,pipedata[ID],pipedata[WT])</f>
        <v>0.74</v>
      </c>
      <c r="O384" s="56">
        <f>_xlfn.XLOOKUP(Survey!$K384,pipedata[ID],pipedata[104%])</f>
        <v>2565.3333333333335</v>
      </c>
      <c r="P384" s="57">
        <f t="shared" si="5"/>
        <v>1850</v>
      </c>
      <c r="Q384" s="58">
        <f>_xlfn.MAXIFS(Survey!$G$2:$G$3647,Survey!$M$2:$M$3647,Survey!$M384)-Survey!$G384</f>
        <v>814.25282840605473</v>
      </c>
      <c r="R384" s="59">
        <f>Survey!$P384+(Survey!$Q384*0.433)</f>
        <v>2202.5714746998219</v>
      </c>
    </row>
    <row r="385" spans="1:18" x14ac:dyDescent="0.25">
      <c r="A385" s="60" t="s">
        <v>17</v>
      </c>
      <c r="B385" s="61" t="s">
        <v>18</v>
      </c>
      <c r="C385" s="62" t="s">
        <v>19</v>
      </c>
      <c r="D385" s="63">
        <v>229.97777863202302</v>
      </c>
      <c r="E385" s="79">
        <v>1242209</v>
      </c>
      <c r="F385" s="80">
        <v>1215284.4696989944</v>
      </c>
      <c r="G385" s="66">
        <v>1538.7570818596532</v>
      </c>
      <c r="H385" s="67">
        <v>2</v>
      </c>
      <c r="I385" s="68" t="s">
        <v>20</v>
      </c>
      <c r="J385" s="69">
        <v>40</v>
      </c>
      <c r="K385" s="70">
        <v>2</v>
      </c>
      <c r="L385" s="68">
        <v>1</v>
      </c>
      <c r="M385" s="68">
        <f>_xlfn.XLOOKUP(Survey!$F385,sections[Start],sections[Test Section],,-1,1)</f>
        <v>1</v>
      </c>
      <c r="N385" s="55">
        <f>_xlfn.XLOOKUP(Survey!$K385,pipedata[ID],pipedata[WT])</f>
        <v>0.74</v>
      </c>
      <c r="O385" s="56">
        <f>_xlfn.XLOOKUP(Survey!$K385,pipedata[ID],pipedata[104%])</f>
        <v>2565.3333333333335</v>
      </c>
      <c r="P385" s="57">
        <f t="shared" si="5"/>
        <v>1850</v>
      </c>
      <c r="Q385" s="58">
        <f>_xlfn.MAXIFS(Survey!$G$2:$G$3647,Survey!$M$2:$M$3647,Survey!$M385)-Survey!$G385</f>
        <v>815.39300572811226</v>
      </c>
      <c r="R385" s="59">
        <f>Survey!$P385+(Survey!$Q385*0.433)</f>
        <v>2203.0651714802725</v>
      </c>
    </row>
    <row r="386" spans="1:18" x14ac:dyDescent="0.25">
      <c r="A386" s="71" t="s">
        <v>17</v>
      </c>
      <c r="B386" s="72" t="s">
        <v>18</v>
      </c>
      <c r="C386" s="73" t="s">
        <v>19</v>
      </c>
      <c r="D386" s="74">
        <v>229.98505534058293</v>
      </c>
      <c r="E386" s="81">
        <v>1242249</v>
      </c>
      <c r="F386" s="82">
        <v>1215323.5181244649</v>
      </c>
      <c r="G386" s="75">
        <v>1534.5901097765193</v>
      </c>
      <c r="H386" s="76">
        <v>2</v>
      </c>
      <c r="I386" s="54" t="s">
        <v>20</v>
      </c>
      <c r="J386" s="77">
        <v>40</v>
      </c>
      <c r="K386" s="78">
        <v>2</v>
      </c>
      <c r="L386" s="54">
        <v>1</v>
      </c>
      <c r="M386" s="54">
        <f>_xlfn.XLOOKUP(Survey!$F386,sections[Start],sections[Test Section],,-1,1)</f>
        <v>1</v>
      </c>
      <c r="N386" s="55">
        <f>_xlfn.XLOOKUP(Survey!$K386,pipedata[ID],pipedata[WT])</f>
        <v>0.74</v>
      </c>
      <c r="O386" s="56">
        <f>_xlfn.XLOOKUP(Survey!$K386,pipedata[ID],pipedata[104%])</f>
        <v>2565.3333333333335</v>
      </c>
      <c r="P386" s="57">
        <f t="shared" ref="P386:P449" si="6">IF(L386=1,1850,IF(L386=2,1850,2220))</f>
        <v>1850</v>
      </c>
      <c r="Q386" s="58">
        <f>_xlfn.MAXIFS(Survey!$G$2:$G$3647,Survey!$M$2:$M$3647,Survey!$M386)-Survey!$G386</f>
        <v>819.5599778112462</v>
      </c>
      <c r="R386" s="59">
        <f>Survey!$P386+(Survey!$Q386*0.433)</f>
        <v>2204.8694703922697</v>
      </c>
    </row>
    <row r="387" spans="1:18" x14ac:dyDescent="0.25">
      <c r="A387" s="60" t="s">
        <v>17</v>
      </c>
      <c r="B387" s="61" t="s">
        <v>18</v>
      </c>
      <c r="C387" s="62" t="s">
        <v>19</v>
      </c>
      <c r="D387" s="63">
        <v>229.99279686213717</v>
      </c>
      <c r="E387" s="79">
        <v>1242289</v>
      </c>
      <c r="F387" s="80">
        <v>1215362.5665499354</v>
      </c>
      <c r="G387" s="66">
        <v>1526.8594257661848</v>
      </c>
      <c r="H387" s="67">
        <v>2</v>
      </c>
      <c r="I387" s="68" t="s">
        <v>20</v>
      </c>
      <c r="J387" s="69">
        <v>40</v>
      </c>
      <c r="K387" s="70">
        <v>2</v>
      </c>
      <c r="L387" s="68">
        <v>1</v>
      </c>
      <c r="M387" s="68">
        <f>_xlfn.XLOOKUP(Survey!$F387,sections[Start],sections[Test Section],,-1,1)</f>
        <v>1</v>
      </c>
      <c r="N387" s="55">
        <f>_xlfn.XLOOKUP(Survey!$K387,pipedata[ID],pipedata[WT])</f>
        <v>0.74</v>
      </c>
      <c r="O387" s="56">
        <f>_xlfn.XLOOKUP(Survey!$K387,pipedata[ID],pipedata[104%])</f>
        <v>2565.3333333333335</v>
      </c>
      <c r="P387" s="57">
        <f t="shared" si="6"/>
        <v>1850</v>
      </c>
      <c r="Q387" s="58">
        <f>_xlfn.MAXIFS(Survey!$G$2:$G$3647,Survey!$M$2:$M$3647,Survey!$M387)-Survey!$G387</f>
        <v>827.29066182158067</v>
      </c>
      <c r="R387" s="59">
        <f>Survey!$P387+(Survey!$Q387*0.433)</f>
        <v>2208.2168565687443</v>
      </c>
    </row>
    <row r="388" spans="1:18" x14ac:dyDescent="0.25">
      <c r="A388" s="71" t="s">
        <v>17</v>
      </c>
      <c r="B388" s="72" t="s">
        <v>18</v>
      </c>
      <c r="C388" s="73" t="s">
        <v>19</v>
      </c>
      <c r="D388" s="74">
        <v>230.00053838369161</v>
      </c>
      <c r="E388" s="81">
        <v>1242329</v>
      </c>
      <c r="F388" s="82">
        <v>1215401.6149754059</v>
      </c>
      <c r="G388" s="75">
        <v>1517.9565400300771</v>
      </c>
      <c r="H388" s="76">
        <v>2</v>
      </c>
      <c r="I388" s="54" t="s">
        <v>20</v>
      </c>
      <c r="J388" s="77">
        <v>40</v>
      </c>
      <c r="K388" s="78">
        <v>2</v>
      </c>
      <c r="L388" s="54">
        <v>1</v>
      </c>
      <c r="M388" s="54">
        <f>_xlfn.XLOOKUP(Survey!$F388,sections[Start],sections[Test Section],,-1,1)</f>
        <v>1</v>
      </c>
      <c r="N388" s="55">
        <f>_xlfn.XLOOKUP(Survey!$K388,pipedata[ID],pipedata[WT])</f>
        <v>0.74</v>
      </c>
      <c r="O388" s="56">
        <f>_xlfn.XLOOKUP(Survey!$K388,pipedata[ID],pipedata[104%])</f>
        <v>2565.3333333333335</v>
      </c>
      <c r="P388" s="57">
        <f t="shared" si="6"/>
        <v>1850</v>
      </c>
      <c r="Q388" s="58">
        <f>_xlfn.MAXIFS(Survey!$G$2:$G$3647,Survey!$M$2:$M$3647,Survey!$M388)-Survey!$G388</f>
        <v>836.19354755768836</v>
      </c>
      <c r="R388" s="59">
        <f>Survey!$P388+(Survey!$Q388*0.433)</f>
        <v>2212.0718060924792</v>
      </c>
    </row>
    <row r="389" spans="1:18" x14ac:dyDescent="0.25">
      <c r="A389" s="60" t="s">
        <v>17</v>
      </c>
      <c r="B389" s="61" t="s">
        <v>18</v>
      </c>
      <c r="C389" s="62" t="s">
        <v>19</v>
      </c>
      <c r="D389" s="63">
        <v>230.00827990524598</v>
      </c>
      <c r="E389" s="79">
        <v>1242369</v>
      </c>
      <c r="F389" s="80">
        <v>1215440.6634008763</v>
      </c>
      <c r="G389" s="66">
        <v>1507.4615498958381</v>
      </c>
      <c r="H389" s="67">
        <v>2</v>
      </c>
      <c r="I389" s="68" t="s">
        <v>20</v>
      </c>
      <c r="J389" s="69">
        <v>40</v>
      </c>
      <c r="K389" s="70">
        <v>2</v>
      </c>
      <c r="L389" s="68">
        <v>1</v>
      </c>
      <c r="M389" s="68">
        <f>_xlfn.XLOOKUP(Survey!$F389,sections[Start],sections[Test Section],,-1,1)</f>
        <v>1</v>
      </c>
      <c r="N389" s="55">
        <f>_xlfn.XLOOKUP(Survey!$K389,pipedata[ID],pipedata[WT])</f>
        <v>0.74</v>
      </c>
      <c r="O389" s="56">
        <f>_xlfn.XLOOKUP(Survey!$K389,pipedata[ID],pipedata[104%])</f>
        <v>2565.3333333333335</v>
      </c>
      <c r="P389" s="57">
        <f t="shared" si="6"/>
        <v>1850</v>
      </c>
      <c r="Q389" s="58">
        <f>_xlfn.MAXIFS(Survey!$G$2:$G$3647,Survey!$M$2:$M$3647,Survey!$M389)-Survey!$G389</f>
        <v>846.68853769192742</v>
      </c>
      <c r="R389" s="59">
        <f>Survey!$P389+(Survey!$Q389*0.433)</f>
        <v>2216.6161368206044</v>
      </c>
    </row>
    <row r="390" spans="1:18" x14ac:dyDescent="0.25">
      <c r="A390" s="71" t="s">
        <v>17</v>
      </c>
      <c r="B390" s="72" t="s">
        <v>18</v>
      </c>
      <c r="C390" s="73" t="s">
        <v>19</v>
      </c>
      <c r="D390" s="74">
        <v>230.01454191163992</v>
      </c>
      <c r="E390" s="81">
        <v>1242409</v>
      </c>
      <c r="F390" s="82">
        <v>1215479.7118263468</v>
      </c>
      <c r="G390" s="75">
        <v>1499.4216878191887</v>
      </c>
      <c r="H390" s="76">
        <v>2</v>
      </c>
      <c r="I390" s="54" t="s">
        <v>20</v>
      </c>
      <c r="J390" s="77">
        <v>40</v>
      </c>
      <c r="K390" s="78">
        <v>2</v>
      </c>
      <c r="L390" s="54">
        <v>1</v>
      </c>
      <c r="M390" s="54">
        <f>_xlfn.XLOOKUP(Survey!$F390,sections[Start],sections[Test Section],,-1,1)</f>
        <v>1</v>
      </c>
      <c r="N390" s="55">
        <f>_xlfn.XLOOKUP(Survey!$K390,pipedata[ID],pipedata[WT])</f>
        <v>0.74</v>
      </c>
      <c r="O390" s="56">
        <f>_xlfn.XLOOKUP(Survey!$K390,pipedata[ID],pipedata[104%])</f>
        <v>2565.3333333333335</v>
      </c>
      <c r="P390" s="57">
        <f t="shared" si="6"/>
        <v>1850</v>
      </c>
      <c r="Q390" s="58">
        <f>_xlfn.MAXIFS(Survey!$G$2:$G$3647,Survey!$M$2:$M$3647,Survey!$M390)-Survey!$G390</f>
        <v>854.72839976857676</v>
      </c>
      <c r="R390" s="59">
        <f>Survey!$P390+(Survey!$Q390*0.433)</f>
        <v>2220.0973970997939</v>
      </c>
    </row>
    <row r="391" spans="1:18" x14ac:dyDescent="0.25">
      <c r="A391" s="60" t="s">
        <v>17</v>
      </c>
      <c r="B391" s="61" t="s">
        <v>18</v>
      </c>
      <c r="C391" s="62" t="s">
        <v>19</v>
      </c>
      <c r="D391" s="63">
        <v>230.02189456756341</v>
      </c>
      <c r="E391" s="79">
        <v>1242449</v>
      </c>
      <c r="F391" s="80">
        <v>1215518.7602518173</v>
      </c>
      <c r="G391" s="66">
        <v>1486.7800871721656</v>
      </c>
      <c r="H391" s="67">
        <v>2</v>
      </c>
      <c r="I391" s="68" t="s">
        <v>20</v>
      </c>
      <c r="J391" s="69">
        <v>40</v>
      </c>
      <c r="K391" s="70">
        <v>2</v>
      </c>
      <c r="L391" s="68">
        <v>1</v>
      </c>
      <c r="M391" s="68">
        <f>_xlfn.XLOOKUP(Survey!$F391,sections[Start],sections[Test Section],,-1,1)</f>
        <v>1</v>
      </c>
      <c r="N391" s="55">
        <f>_xlfn.XLOOKUP(Survey!$K391,pipedata[ID],pipedata[WT])</f>
        <v>0.74</v>
      </c>
      <c r="O391" s="56">
        <f>_xlfn.XLOOKUP(Survey!$K391,pipedata[ID],pipedata[104%])</f>
        <v>2565.3333333333335</v>
      </c>
      <c r="P391" s="57">
        <f t="shared" si="6"/>
        <v>1850</v>
      </c>
      <c r="Q391" s="58">
        <f>_xlfn.MAXIFS(Survey!$G$2:$G$3647,Survey!$M$2:$M$3647,Survey!$M391)-Survey!$G391</f>
        <v>867.37000041559986</v>
      </c>
      <c r="R391" s="59">
        <f>Survey!$P391+(Survey!$Q391*0.433)</f>
        <v>2225.5712101799545</v>
      </c>
    </row>
    <row r="392" spans="1:18" x14ac:dyDescent="0.25">
      <c r="A392" s="71" t="s">
        <v>17</v>
      </c>
      <c r="B392" s="72" t="s">
        <v>18</v>
      </c>
      <c r="C392" s="73" t="s">
        <v>19</v>
      </c>
      <c r="D392" s="74">
        <v>230.02977908657485</v>
      </c>
      <c r="E392" s="81">
        <v>1242489</v>
      </c>
      <c r="F392" s="82">
        <v>1215557.8086772878</v>
      </c>
      <c r="G392" s="75">
        <v>1477.7229759891554</v>
      </c>
      <c r="H392" s="76">
        <v>2</v>
      </c>
      <c r="I392" s="54" t="s">
        <v>20</v>
      </c>
      <c r="J392" s="77">
        <v>40</v>
      </c>
      <c r="K392" s="78">
        <v>2</v>
      </c>
      <c r="L392" s="54">
        <v>1</v>
      </c>
      <c r="M392" s="54">
        <f>_xlfn.XLOOKUP(Survey!$F392,sections[Start],sections[Test Section],,-1,1)</f>
        <v>1</v>
      </c>
      <c r="N392" s="55">
        <f>_xlfn.XLOOKUP(Survey!$K392,pipedata[ID],pipedata[WT])</f>
        <v>0.74</v>
      </c>
      <c r="O392" s="56">
        <f>_xlfn.XLOOKUP(Survey!$K392,pipedata[ID],pipedata[104%])</f>
        <v>2565.3333333333335</v>
      </c>
      <c r="P392" s="57">
        <f t="shared" si="6"/>
        <v>1850</v>
      </c>
      <c r="Q392" s="58">
        <f>_xlfn.MAXIFS(Survey!$G$2:$G$3647,Survey!$M$2:$M$3647,Survey!$M392)-Survey!$G392</f>
        <v>876.42711159861005</v>
      </c>
      <c r="R392" s="59">
        <f>Survey!$P392+(Survey!$Q392*0.433)</f>
        <v>2229.4929393221983</v>
      </c>
    </row>
    <row r="393" spans="1:18" x14ac:dyDescent="0.25">
      <c r="A393" s="60" t="s">
        <v>17</v>
      </c>
      <c r="B393" s="61" t="s">
        <v>18</v>
      </c>
      <c r="C393" s="62" t="s">
        <v>19</v>
      </c>
      <c r="D393" s="63">
        <v>230.03731061107462</v>
      </c>
      <c r="E393" s="79">
        <v>1242529</v>
      </c>
      <c r="F393" s="80">
        <v>1215596.8571027583</v>
      </c>
      <c r="G393" s="66">
        <v>1466.0363378570974</v>
      </c>
      <c r="H393" s="67">
        <v>2</v>
      </c>
      <c r="I393" s="68" t="s">
        <v>20</v>
      </c>
      <c r="J393" s="69">
        <v>40</v>
      </c>
      <c r="K393" s="70">
        <v>2</v>
      </c>
      <c r="L393" s="68">
        <v>1</v>
      </c>
      <c r="M393" s="68">
        <f>_xlfn.XLOOKUP(Survey!$F393,sections[Start],sections[Test Section],,-1,1)</f>
        <v>1</v>
      </c>
      <c r="N393" s="55">
        <f>_xlfn.XLOOKUP(Survey!$K393,pipedata[ID],pipedata[WT])</f>
        <v>0.74</v>
      </c>
      <c r="O393" s="56">
        <f>_xlfn.XLOOKUP(Survey!$K393,pipedata[ID],pipedata[104%])</f>
        <v>2565.3333333333335</v>
      </c>
      <c r="P393" s="57">
        <f t="shared" si="6"/>
        <v>1850</v>
      </c>
      <c r="Q393" s="58">
        <f>_xlfn.MAXIFS(Survey!$G$2:$G$3647,Survey!$M$2:$M$3647,Survey!$M393)-Survey!$G393</f>
        <v>888.11374973066813</v>
      </c>
      <c r="R393" s="59">
        <f>Survey!$P393+(Survey!$Q393*0.433)</f>
        <v>2234.5532536333794</v>
      </c>
    </row>
    <row r="394" spans="1:18" x14ac:dyDescent="0.25">
      <c r="A394" s="71" t="s">
        <v>17</v>
      </c>
      <c r="B394" s="72" t="s">
        <v>18</v>
      </c>
      <c r="C394" s="73" t="s">
        <v>19</v>
      </c>
      <c r="D394" s="74">
        <v>230.045052132629</v>
      </c>
      <c r="E394" s="81">
        <v>1242569</v>
      </c>
      <c r="F394" s="82">
        <v>1215635.9055282287</v>
      </c>
      <c r="G394" s="75">
        <v>1460.3976985544098</v>
      </c>
      <c r="H394" s="76">
        <v>2</v>
      </c>
      <c r="I394" s="54" t="s">
        <v>20</v>
      </c>
      <c r="J394" s="77">
        <v>40</v>
      </c>
      <c r="K394" s="78">
        <v>2</v>
      </c>
      <c r="L394" s="54">
        <v>1</v>
      </c>
      <c r="M394" s="54">
        <f>_xlfn.XLOOKUP(Survey!$F394,sections[Start],sections[Test Section],,-1,1)</f>
        <v>1</v>
      </c>
      <c r="N394" s="55">
        <f>_xlfn.XLOOKUP(Survey!$K394,pipedata[ID],pipedata[WT])</f>
        <v>0.74</v>
      </c>
      <c r="O394" s="56">
        <f>_xlfn.XLOOKUP(Survey!$K394,pipedata[ID],pipedata[104%])</f>
        <v>2565.3333333333335</v>
      </c>
      <c r="P394" s="57">
        <f t="shared" si="6"/>
        <v>1850</v>
      </c>
      <c r="Q394" s="58">
        <f>_xlfn.MAXIFS(Survey!$G$2:$G$3647,Survey!$M$2:$M$3647,Survey!$M394)-Survey!$G394</f>
        <v>893.75238903335571</v>
      </c>
      <c r="R394" s="59">
        <f>Survey!$P394+(Survey!$Q394*0.433)</f>
        <v>2236.9947844514431</v>
      </c>
    </row>
    <row r="395" spans="1:18" x14ac:dyDescent="0.25">
      <c r="A395" s="60" t="s">
        <v>17</v>
      </c>
      <c r="B395" s="61" t="s">
        <v>18</v>
      </c>
      <c r="C395" s="62" t="s">
        <v>19</v>
      </c>
      <c r="D395" s="63">
        <v>230.05130519125603</v>
      </c>
      <c r="E395" s="79">
        <v>1242609</v>
      </c>
      <c r="F395" s="80">
        <v>1215674.9539536992</v>
      </c>
      <c r="G395" s="66">
        <v>1455.1157144360466</v>
      </c>
      <c r="H395" s="67">
        <v>2</v>
      </c>
      <c r="I395" s="68" t="s">
        <v>20</v>
      </c>
      <c r="J395" s="69">
        <v>40</v>
      </c>
      <c r="K395" s="70">
        <v>2</v>
      </c>
      <c r="L395" s="68">
        <v>1</v>
      </c>
      <c r="M395" s="68">
        <f>_xlfn.XLOOKUP(Survey!$F395,sections[Start],sections[Test Section],,-1,1)</f>
        <v>1</v>
      </c>
      <c r="N395" s="55">
        <f>_xlfn.XLOOKUP(Survey!$K395,pipedata[ID],pipedata[WT])</f>
        <v>0.74</v>
      </c>
      <c r="O395" s="56">
        <f>_xlfn.XLOOKUP(Survey!$K395,pipedata[ID],pipedata[104%])</f>
        <v>2565.3333333333335</v>
      </c>
      <c r="P395" s="57">
        <f t="shared" si="6"/>
        <v>1850</v>
      </c>
      <c r="Q395" s="58">
        <f>_xlfn.MAXIFS(Survey!$G$2:$G$3647,Survey!$M$2:$M$3647,Survey!$M395)-Survey!$G395</f>
        <v>899.03437315171891</v>
      </c>
      <c r="R395" s="59">
        <f>Survey!$P395+(Survey!$Q395*0.433)</f>
        <v>2239.2818835746943</v>
      </c>
    </row>
    <row r="396" spans="1:18" x14ac:dyDescent="0.25">
      <c r="A396" s="71" t="s">
        <v>17</v>
      </c>
      <c r="B396" s="72" t="s">
        <v>18</v>
      </c>
      <c r="C396" s="73" t="s">
        <v>19</v>
      </c>
      <c r="D396" s="74">
        <v>230.05867785430826</v>
      </c>
      <c r="E396" s="81">
        <v>1242649</v>
      </c>
      <c r="F396" s="82">
        <v>1215714.0023791697</v>
      </c>
      <c r="G396" s="75">
        <v>1462.374113043636</v>
      </c>
      <c r="H396" s="76">
        <v>2</v>
      </c>
      <c r="I396" s="54" t="s">
        <v>20</v>
      </c>
      <c r="J396" s="77">
        <v>40</v>
      </c>
      <c r="K396" s="78">
        <v>2</v>
      </c>
      <c r="L396" s="54">
        <v>1</v>
      </c>
      <c r="M396" s="54">
        <f>_xlfn.XLOOKUP(Survey!$F396,sections[Start],sections[Test Section],,-1,1)</f>
        <v>1</v>
      </c>
      <c r="N396" s="55">
        <f>_xlfn.XLOOKUP(Survey!$K396,pipedata[ID],pipedata[WT])</f>
        <v>0.74</v>
      </c>
      <c r="O396" s="56">
        <f>_xlfn.XLOOKUP(Survey!$K396,pipedata[ID],pipedata[104%])</f>
        <v>2565.3333333333335</v>
      </c>
      <c r="P396" s="57">
        <f t="shared" si="6"/>
        <v>1850</v>
      </c>
      <c r="Q396" s="58">
        <f>_xlfn.MAXIFS(Survey!$G$2:$G$3647,Survey!$M$2:$M$3647,Survey!$M396)-Survey!$G396</f>
        <v>891.77597454412944</v>
      </c>
      <c r="R396" s="59">
        <f>Survey!$P396+(Survey!$Q396*0.433)</f>
        <v>2236.1389969776083</v>
      </c>
    </row>
    <row r="397" spans="1:18" x14ac:dyDescent="0.25">
      <c r="A397" s="60" t="s">
        <v>17</v>
      </c>
      <c r="B397" s="61" t="s">
        <v>18</v>
      </c>
      <c r="C397" s="62" t="s">
        <v>19</v>
      </c>
      <c r="D397" s="63">
        <v>230.06742846318352</v>
      </c>
      <c r="E397" s="79">
        <v>1242689</v>
      </c>
      <c r="F397" s="80">
        <v>1215753.0508046402</v>
      </c>
      <c r="G397" s="66">
        <v>1464.2690696267987</v>
      </c>
      <c r="H397" s="67">
        <v>2</v>
      </c>
      <c r="I397" s="68" t="s">
        <v>20</v>
      </c>
      <c r="J397" s="69">
        <v>40</v>
      </c>
      <c r="K397" s="70">
        <v>2</v>
      </c>
      <c r="L397" s="68">
        <v>1</v>
      </c>
      <c r="M397" s="68">
        <f>_xlfn.XLOOKUP(Survey!$F397,sections[Start],sections[Test Section],,-1,1)</f>
        <v>1</v>
      </c>
      <c r="N397" s="55">
        <f>_xlfn.XLOOKUP(Survey!$K397,pipedata[ID],pipedata[WT])</f>
        <v>0.74</v>
      </c>
      <c r="O397" s="56">
        <f>_xlfn.XLOOKUP(Survey!$K397,pipedata[ID],pipedata[104%])</f>
        <v>2565.3333333333335</v>
      </c>
      <c r="P397" s="57">
        <f t="shared" si="6"/>
        <v>1850</v>
      </c>
      <c r="Q397" s="58">
        <f>_xlfn.MAXIFS(Survey!$G$2:$G$3647,Survey!$M$2:$M$3647,Survey!$M397)-Survey!$G397</f>
        <v>889.8810179609668</v>
      </c>
      <c r="R397" s="59">
        <f>Survey!$P397+(Survey!$Q397*0.433)</f>
        <v>2235.3184807770986</v>
      </c>
    </row>
    <row r="398" spans="1:18" x14ac:dyDescent="0.25">
      <c r="A398" s="71" t="s">
        <v>17</v>
      </c>
      <c r="B398" s="72" t="s">
        <v>18</v>
      </c>
      <c r="C398" s="73" t="s">
        <v>19</v>
      </c>
      <c r="D398" s="74">
        <v>230.07452085503249</v>
      </c>
      <c r="E398" s="81">
        <v>1242729</v>
      </c>
      <c r="F398" s="82">
        <v>1215792.0992301106</v>
      </c>
      <c r="G398" s="75">
        <v>1460.571550304016</v>
      </c>
      <c r="H398" s="76">
        <v>2</v>
      </c>
      <c r="I398" s="54" t="s">
        <v>20</v>
      </c>
      <c r="J398" s="77">
        <v>40</v>
      </c>
      <c r="K398" s="78">
        <v>2</v>
      </c>
      <c r="L398" s="54">
        <v>1</v>
      </c>
      <c r="M398" s="54">
        <f>_xlfn.XLOOKUP(Survey!$F398,sections[Start],sections[Test Section],,-1,1)</f>
        <v>1</v>
      </c>
      <c r="N398" s="55">
        <f>_xlfn.XLOOKUP(Survey!$K398,pipedata[ID],pipedata[WT])</f>
        <v>0.74</v>
      </c>
      <c r="O398" s="56">
        <f>_xlfn.XLOOKUP(Survey!$K398,pipedata[ID],pipedata[104%])</f>
        <v>2565.3333333333335</v>
      </c>
      <c r="P398" s="57">
        <f t="shared" si="6"/>
        <v>1850</v>
      </c>
      <c r="Q398" s="58">
        <f>_xlfn.MAXIFS(Survey!$G$2:$G$3647,Survey!$M$2:$M$3647,Survey!$M398)-Survey!$G398</f>
        <v>893.57853728374948</v>
      </c>
      <c r="R398" s="59">
        <f>Survey!$P398+(Survey!$Q398*0.433)</f>
        <v>2236.9195066438633</v>
      </c>
    </row>
    <row r="399" spans="1:18" x14ac:dyDescent="0.25">
      <c r="A399" s="60" t="s">
        <v>17</v>
      </c>
      <c r="B399" s="61" t="s">
        <v>18</v>
      </c>
      <c r="C399" s="62" t="s">
        <v>19</v>
      </c>
      <c r="D399" s="63">
        <v>230.08183804918059</v>
      </c>
      <c r="E399" s="79">
        <v>1242769</v>
      </c>
      <c r="F399" s="80">
        <v>1215831.1476555811</v>
      </c>
      <c r="G399" s="66">
        <v>1451.476601158362</v>
      </c>
      <c r="H399" s="67">
        <v>2</v>
      </c>
      <c r="I399" s="68" t="s">
        <v>20</v>
      </c>
      <c r="J399" s="69">
        <v>40</v>
      </c>
      <c r="K399" s="70">
        <v>2</v>
      </c>
      <c r="L399" s="68">
        <v>1</v>
      </c>
      <c r="M399" s="68">
        <f>_xlfn.XLOOKUP(Survey!$F399,sections[Start],sections[Test Section],,-1,1)</f>
        <v>1</v>
      </c>
      <c r="N399" s="55">
        <f>_xlfn.XLOOKUP(Survey!$K399,pipedata[ID],pipedata[WT])</f>
        <v>0.74</v>
      </c>
      <c r="O399" s="56">
        <f>_xlfn.XLOOKUP(Survey!$K399,pipedata[ID],pipedata[104%])</f>
        <v>2565.3333333333335</v>
      </c>
      <c r="P399" s="57">
        <f t="shared" si="6"/>
        <v>1850</v>
      </c>
      <c r="Q399" s="58">
        <f>_xlfn.MAXIFS(Survey!$G$2:$G$3647,Survey!$M$2:$M$3647,Survey!$M399)-Survey!$G399</f>
        <v>902.67348642940351</v>
      </c>
      <c r="R399" s="59">
        <f>Survey!$P399+(Survey!$Q399*0.433)</f>
        <v>2240.8576196239319</v>
      </c>
    </row>
    <row r="400" spans="1:18" x14ac:dyDescent="0.25">
      <c r="A400" s="71" t="s">
        <v>17</v>
      </c>
      <c r="B400" s="72" t="s">
        <v>18</v>
      </c>
      <c r="C400" s="73" t="s">
        <v>19</v>
      </c>
      <c r="D400" s="74">
        <v>230.08958322626648</v>
      </c>
      <c r="E400" s="81">
        <v>1242809</v>
      </c>
      <c r="F400" s="82">
        <v>1215870.1960810516</v>
      </c>
      <c r="G400" s="75">
        <v>1447.1921814236675</v>
      </c>
      <c r="H400" s="76">
        <v>2</v>
      </c>
      <c r="I400" s="54" t="s">
        <v>20</v>
      </c>
      <c r="J400" s="77">
        <v>40</v>
      </c>
      <c r="K400" s="78">
        <v>2</v>
      </c>
      <c r="L400" s="54">
        <v>1</v>
      </c>
      <c r="M400" s="54">
        <f>_xlfn.XLOOKUP(Survey!$F400,sections[Start],sections[Test Section],,-1,1)</f>
        <v>1</v>
      </c>
      <c r="N400" s="55">
        <f>_xlfn.XLOOKUP(Survey!$K400,pipedata[ID],pipedata[WT])</f>
        <v>0.74</v>
      </c>
      <c r="O400" s="56">
        <f>_xlfn.XLOOKUP(Survey!$K400,pipedata[ID],pipedata[104%])</f>
        <v>2565.3333333333335</v>
      </c>
      <c r="P400" s="57">
        <f t="shared" si="6"/>
        <v>1850</v>
      </c>
      <c r="Q400" s="58">
        <f>_xlfn.MAXIFS(Survey!$G$2:$G$3647,Survey!$M$2:$M$3647,Survey!$M400)-Survey!$G400</f>
        <v>906.95790616409795</v>
      </c>
      <c r="R400" s="59">
        <f>Survey!$P400+(Survey!$Q400*0.433)</f>
        <v>2242.7127733690545</v>
      </c>
    </row>
    <row r="401" spans="1:18" x14ac:dyDescent="0.25">
      <c r="A401" s="60" t="s">
        <v>17</v>
      </c>
      <c r="B401" s="61" t="s">
        <v>18</v>
      </c>
      <c r="C401" s="62" t="s">
        <v>19</v>
      </c>
      <c r="D401" s="63">
        <v>230.09556743085497</v>
      </c>
      <c r="E401" s="79">
        <v>1242849</v>
      </c>
      <c r="F401" s="80">
        <v>1215909.2445065221</v>
      </c>
      <c r="G401" s="66">
        <v>1455.060471170485</v>
      </c>
      <c r="H401" s="67">
        <v>2</v>
      </c>
      <c r="I401" s="68" t="s">
        <v>20</v>
      </c>
      <c r="J401" s="69">
        <v>40</v>
      </c>
      <c r="K401" s="70">
        <v>2</v>
      </c>
      <c r="L401" s="68">
        <v>1</v>
      </c>
      <c r="M401" s="68">
        <f>_xlfn.XLOOKUP(Survey!$F401,sections[Start],sections[Test Section],,-1,1)</f>
        <v>1</v>
      </c>
      <c r="N401" s="55">
        <f>_xlfn.XLOOKUP(Survey!$K401,pipedata[ID],pipedata[WT])</f>
        <v>0.74</v>
      </c>
      <c r="O401" s="56">
        <f>_xlfn.XLOOKUP(Survey!$K401,pipedata[ID],pipedata[104%])</f>
        <v>2565.3333333333335</v>
      </c>
      <c r="P401" s="57">
        <f t="shared" si="6"/>
        <v>1850</v>
      </c>
      <c r="Q401" s="58">
        <f>_xlfn.MAXIFS(Survey!$G$2:$G$3647,Survey!$M$2:$M$3647,Survey!$M401)-Survey!$G401</f>
        <v>899.08961641728047</v>
      </c>
      <c r="R401" s="59">
        <f>Survey!$P401+(Survey!$Q401*0.433)</f>
        <v>2239.3058039086823</v>
      </c>
    </row>
    <row r="402" spans="1:18" x14ac:dyDescent="0.25">
      <c r="A402" s="71" t="s">
        <v>17</v>
      </c>
      <c r="B402" s="72" t="s">
        <v>18</v>
      </c>
      <c r="C402" s="73" t="s">
        <v>19</v>
      </c>
      <c r="D402" s="74">
        <v>230.10384788775298</v>
      </c>
      <c r="E402" s="81">
        <v>1242889</v>
      </c>
      <c r="F402" s="82">
        <v>1215948.2929319926</v>
      </c>
      <c r="G402" s="75">
        <v>1459.2428118071184</v>
      </c>
      <c r="H402" s="76">
        <v>2</v>
      </c>
      <c r="I402" s="54" t="s">
        <v>20</v>
      </c>
      <c r="J402" s="77">
        <v>40</v>
      </c>
      <c r="K402" s="78">
        <v>2</v>
      </c>
      <c r="L402" s="54">
        <v>1</v>
      </c>
      <c r="M402" s="54">
        <f>_xlfn.XLOOKUP(Survey!$F402,sections[Start],sections[Test Section],,-1,1)</f>
        <v>1</v>
      </c>
      <c r="N402" s="55">
        <f>_xlfn.XLOOKUP(Survey!$K402,pipedata[ID],pipedata[WT])</f>
        <v>0.74</v>
      </c>
      <c r="O402" s="56">
        <f>_xlfn.XLOOKUP(Survey!$K402,pipedata[ID],pipedata[104%])</f>
        <v>2565.3333333333335</v>
      </c>
      <c r="P402" s="57">
        <f t="shared" si="6"/>
        <v>1850</v>
      </c>
      <c r="Q402" s="58">
        <f>_xlfn.MAXIFS(Survey!$G$2:$G$3647,Survey!$M$2:$M$3647,Survey!$M402)-Survey!$G402</f>
        <v>894.90727578064707</v>
      </c>
      <c r="R402" s="59">
        <f>Survey!$P402+(Survey!$Q402*0.433)</f>
        <v>2237.4948504130202</v>
      </c>
    </row>
    <row r="403" spans="1:18" x14ac:dyDescent="0.25">
      <c r="A403" s="60" t="s">
        <v>17</v>
      </c>
      <c r="B403" s="61" t="s">
        <v>18</v>
      </c>
      <c r="C403" s="62" t="s">
        <v>19</v>
      </c>
      <c r="D403" s="63">
        <v>230.11088246325284</v>
      </c>
      <c r="E403" s="79">
        <v>1242929</v>
      </c>
      <c r="F403" s="80">
        <v>1215987.341357463</v>
      </c>
      <c r="G403" s="66">
        <v>1463.3920746007002</v>
      </c>
      <c r="H403" s="67">
        <v>2</v>
      </c>
      <c r="I403" s="68" t="s">
        <v>20</v>
      </c>
      <c r="J403" s="69">
        <v>40</v>
      </c>
      <c r="K403" s="70">
        <v>2</v>
      </c>
      <c r="L403" s="68">
        <v>1</v>
      </c>
      <c r="M403" s="68">
        <f>_xlfn.XLOOKUP(Survey!$F403,sections[Start],sections[Test Section],,-1,1)</f>
        <v>1</v>
      </c>
      <c r="N403" s="55">
        <f>_xlfn.XLOOKUP(Survey!$K403,pipedata[ID],pipedata[WT])</f>
        <v>0.74</v>
      </c>
      <c r="O403" s="56">
        <f>_xlfn.XLOOKUP(Survey!$K403,pipedata[ID],pipedata[104%])</f>
        <v>2565.3333333333335</v>
      </c>
      <c r="P403" s="57">
        <f t="shared" si="6"/>
        <v>1850</v>
      </c>
      <c r="Q403" s="58">
        <f>_xlfn.MAXIFS(Survey!$G$2:$G$3647,Survey!$M$2:$M$3647,Survey!$M403)-Survey!$G403</f>
        <v>890.75801298706529</v>
      </c>
      <c r="R403" s="59">
        <f>Survey!$P403+(Survey!$Q403*0.433)</f>
        <v>2235.6982196233994</v>
      </c>
    </row>
    <row r="404" spans="1:18" x14ac:dyDescent="0.25">
      <c r="A404" s="71" t="s">
        <v>17</v>
      </c>
      <c r="B404" s="72" t="s">
        <v>18</v>
      </c>
      <c r="C404" s="73" t="s">
        <v>19</v>
      </c>
      <c r="D404" s="74">
        <v>230.11862764033873</v>
      </c>
      <c r="E404" s="81">
        <v>1242969</v>
      </c>
      <c r="F404" s="82">
        <v>1216026.3897829335</v>
      </c>
      <c r="G404" s="75">
        <v>1466.442678368114</v>
      </c>
      <c r="H404" s="76">
        <v>2</v>
      </c>
      <c r="I404" s="54" t="s">
        <v>20</v>
      </c>
      <c r="J404" s="77">
        <v>40</v>
      </c>
      <c r="K404" s="78">
        <v>2</v>
      </c>
      <c r="L404" s="54">
        <v>1</v>
      </c>
      <c r="M404" s="54">
        <f>_xlfn.XLOOKUP(Survey!$F404,sections[Start],sections[Test Section],,-1,1)</f>
        <v>1</v>
      </c>
      <c r="N404" s="55">
        <f>_xlfn.XLOOKUP(Survey!$K404,pipedata[ID],pipedata[WT])</f>
        <v>0.74</v>
      </c>
      <c r="O404" s="56">
        <f>_xlfn.XLOOKUP(Survey!$K404,pipedata[ID],pipedata[104%])</f>
        <v>2565.3333333333335</v>
      </c>
      <c r="P404" s="57">
        <f t="shared" si="6"/>
        <v>1850</v>
      </c>
      <c r="Q404" s="58">
        <f>_xlfn.MAXIFS(Survey!$G$2:$G$3647,Survey!$M$2:$M$3647,Survey!$M404)-Survey!$G404</f>
        <v>887.70740921965148</v>
      </c>
      <c r="R404" s="59">
        <f>Survey!$P404+(Survey!$Q404*0.433)</f>
        <v>2234.377308192109</v>
      </c>
    </row>
    <row r="405" spans="1:18" x14ac:dyDescent="0.25">
      <c r="A405" s="60" t="s">
        <v>17</v>
      </c>
      <c r="B405" s="61" t="s">
        <v>18</v>
      </c>
      <c r="C405" s="62" t="s">
        <v>19</v>
      </c>
      <c r="D405" s="63">
        <v>230.1263728174246</v>
      </c>
      <c r="E405" s="79">
        <v>1243009</v>
      </c>
      <c r="F405" s="80">
        <v>1216065.438208404</v>
      </c>
      <c r="G405" s="66">
        <v>1463.788151953049</v>
      </c>
      <c r="H405" s="67">
        <v>2</v>
      </c>
      <c r="I405" s="68" t="s">
        <v>20</v>
      </c>
      <c r="J405" s="69">
        <v>40</v>
      </c>
      <c r="K405" s="70">
        <v>2</v>
      </c>
      <c r="L405" s="68">
        <v>1</v>
      </c>
      <c r="M405" s="68">
        <f>_xlfn.XLOOKUP(Survey!$F405,sections[Start],sections[Test Section],,-1,1)</f>
        <v>1</v>
      </c>
      <c r="N405" s="55">
        <f>_xlfn.XLOOKUP(Survey!$K405,pipedata[ID],pipedata[WT])</f>
        <v>0.74</v>
      </c>
      <c r="O405" s="56">
        <f>_xlfn.XLOOKUP(Survey!$K405,pipedata[ID],pipedata[104%])</f>
        <v>2565.3333333333335</v>
      </c>
      <c r="P405" s="57">
        <f t="shared" si="6"/>
        <v>1850</v>
      </c>
      <c r="Q405" s="58">
        <f>_xlfn.MAXIFS(Survey!$G$2:$G$3647,Survey!$M$2:$M$3647,Survey!$M405)-Survey!$G405</f>
        <v>890.36193563471647</v>
      </c>
      <c r="R405" s="59">
        <f>Survey!$P405+(Survey!$Q405*0.433)</f>
        <v>2235.5267181298323</v>
      </c>
    </row>
    <row r="406" spans="1:18" x14ac:dyDescent="0.25">
      <c r="A406" s="71" t="s">
        <v>17</v>
      </c>
      <c r="B406" s="72" t="s">
        <v>18</v>
      </c>
      <c r="C406" s="73" t="s">
        <v>19</v>
      </c>
      <c r="D406" s="74">
        <v>230.13411799451058</v>
      </c>
      <c r="E406" s="81">
        <v>1243049</v>
      </c>
      <c r="F406" s="82">
        <v>1216104.4866338745</v>
      </c>
      <c r="G406" s="75">
        <v>1457.7968889775275</v>
      </c>
      <c r="H406" s="76">
        <v>2</v>
      </c>
      <c r="I406" s="54" t="s">
        <v>20</v>
      </c>
      <c r="J406" s="77">
        <v>40</v>
      </c>
      <c r="K406" s="78">
        <v>2</v>
      </c>
      <c r="L406" s="54">
        <v>1</v>
      </c>
      <c r="M406" s="54">
        <f>_xlfn.XLOOKUP(Survey!$F406,sections[Start],sections[Test Section],,-1,1)</f>
        <v>1</v>
      </c>
      <c r="N406" s="55">
        <f>_xlfn.XLOOKUP(Survey!$K406,pipedata[ID],pipedata[WT])</f>
        <v>0.74</v>
      </c>
      <c r="O406" s="56">
        <f>_xlfn.XLOOKUP(Survey!$K406,pipedata[ID],pipedata[104%])</f>
        <v>2565.3333333333335</v>
      </c>
      <c r="P406" s="57">
        <f t="shared" si="6"/>
        <v>1850</v>
      </c>
      <c r="Q406" s="58">
        <f>_xlfn.MAXIFS(Survey!$G$2:$G$3647,Survey!$M$2:$M$3647,Survey!$M406)-Survey!$G406</f>
        <v>896.353198610238</v>
      </c>
      <c r="R406" s="59">
        <f>Survey!$P406+(Survey!$Q406*0.433)</f>
        <v>2238.1209349982332</v>
      </c>
    </row>
    <row r="407" spans="1:18" x14ac:dyDescent="0.25">
      <c r="A407" s="60" t="s">
        <v>17</v>
      </c>
      <c r="B407" s="61" t="s">
        <v>18</v>
      </c>
      <c r="C407" s="62" t="s">
        <v>19</v>
      </c>
      <c r="D407" s="63">
        <v>230.1418631715965</v>
      </c>
      <c r="E407" s="79">
        <v>1243089</v>
      </c>
      <c r="F407" s="80">
        <v>1216143.535059345</v>
      </c>
      <c r="G407" s="66">
        <v>1450.9501290225462</v>
      </c>
      <c r="H407" s="67">
        <v>2</v>
      </c>
      <c r="I407" s="68" t="s">
        <v>20</v>
      </c>
      <c r="J407" s="69">
        <v>40</v>
      </c>
      <c r="K407" s="70">
        <v>2</v>
      </c>
      <c r="L407" s="68">
        <v>1</v>
      </c>
      <c r="M407" s="68">
        <f>_xlfn.XLOOKUP(Survey!$F407,sections[Start],sections[Test Section],,-1,1)</f>
        <v>1</v>
      </c>
      <c r="N407" s="55">
        <f>_xlfn.XLOOKUP(Survey!$K407,pipedata[ID],pipedata[WT])</f>
        <v>0.74</v>
      </c>
      <c r="O407" s="56">
        <f>_xlfn.XLOOKUP(Survey!$K407,pipedata[ID],pipedata[104%])</f>
        <v>2565.3333333333335</v>
      </c>
      <c r="P407" s="57">
        <f t="shared" si="6"/>
        <v>1850</v>
      </c>
      <c r="Q407" s="58">
        <f>_xlfn.MAXIFS(Survey!$G$2:$G$3647,Survey!$M$2:$M$3647,Survey!$M407)-Survey!$G407</f>
        <v>903.19995856521928</v>
      </c>
      <c r="R407" s="59">
        <f>Survey!$P407+(Survey!$Q407*0.433)</f>
        <v>2241.0855820587399</v>
      </c>
    </row>
    <row r="408" spans="1:18" x14ac:dyDescent="0.25">
      <c r="A408" s="71" t="s">
        <v>17</v>
      </c>
      <c r="B408" s="72" t="s">
        <v>18</v>
      </c>
      <c r="C408" s="73" t="s">
        <v>19</v>
      </c>
      <c r="D408" s="74">
        <v>230.14937216846195</v>
      </c>
      <c r="E408" s="81">
        <v>1243129</v>
      </c>
      <c r="F408" s="82">
        <v>1216182.5834848154</v>
      </c>
      <c r="G408" s="75">
        <v>1441.1968329812287</v>
      </c>
      <c r="H408" s="76">
        <v>2</v>
      </c>
      <c r="I408" s="54" t="s">
        <v>20</v>
      </c>
      <c r="J408" s="77">
        <v>40</v>
      </c>
      <c r="K408" s="78">
        <v>2</v>
      </c>
      <c r="L408" s="54">
        <v>1</v>
      </c>
      <c r="M408" s="54">
        <f>_xlfn.XLOOKUP(Survey!$F408,sections[Start],sections[Test Section],,-1,1)</f>
        <v>1</v>
      </c>
      <c r="N408" s="55">
        <f>_xlfn.XLOOKUP(Survey!$K408,pipedata[ID],pipedata[WT])</f>
        <v>0.74</v>
      </c>
      <c r="O408" s="56">
        <f>_xlfn.XLOOKUP(Survey!$K408,pipedata[ID],pipedata[104%])</f>
        <v>2565.3333333333335</v>
      </c>
      <c r="P408" s="57">
        <f t="shared" si="6"/>
        <v>1850</v>
      </c>
      <c r="Q408" s="58">
        <f>_xlfn.MAXIFS(Survey!$G$2:$G$3647,Survey!$M$2:$M$3647,Survey!$M408)-Survey!$G408</f>
        <v>912.9532546065368</v>
      </c>
      <c r="R408" s="59">
        <f>Survey!$P408+(Survey!$Q408*0.433)</f>
        <v>2245.3087592446304</v>
      </c>
    </row>
    <row r="409" spans="1:18" x14ac:dyDescent="0.25">
      <c r="A409" s="60" t="s">
        <v>17</v>
      </c>
      <c r="B409" s="61" t="s">
        <v>18</v>
      </c>
      <c r="C409" s="62" t="s">
        <v>19</v>
      </c>
      <c r="D409" s="63">
        <v>230.1554172314969</v>
      </c>
      <c r="E409" s="79">
        <v>1243169</v>
      </c>
      <c r="F409" s="80">
        <v>1216221.6319102859</v>
      </c>
      <c r="G409" s="66">
        <v>1430.4361017786414</v>
      </c>
      <c r="H409" s="67">
        <v>2</v>
      </c>
      <c r="I409" s="68" t="s">
        <v>20</v>
      </c>
      <c r="J409" s="69">
        <v>40</v>
      </c>
      <c r="K409" s="70">
        <v>2</v>
      </c>
      <c r="L409" s="68">
        <v>1</v>
      </c>
      <c r="M409" s="68">
        <f>_xlfn.XLOOKUP(Survey!$F409,sections[Start],sections[Test Section],,-1,1)</f>
        <v>1</v>
      </c>
      <c r="N409" s="55">
        <f>_xlfn.XLOOKUP(Survey!$K409,pipedata[ID],pipedata[WT])</f>
        <v>0.74</v>
      </c>
      <c r="O409" s="56">
        <f>_xlfn.XLOOKUP(Survey!$K409,pipedata[ID],pipedata[104%])</f>
        <v>2565.3333333333335</v>
      </c>
      <c r="P409" s="57">
        <f t="shared" si="6"/>
        <v>1850</v>
      </c>
      <c r="Q409" s="58">
        <f>_xlfn.MAXIFS(Survey!$G$2:$G$3647,Survey!$M$2:$M$3647,Survey!$M409)-Survey!$G409</f>
        <v>923.7139858091241</v>
      </c>
      <c r="R409" s="59">
        <f>Survey!$P409+(Survey!$Q409*0.433)</f>
        <v>2249.9681558553507</v>
      </c>
    </row>
    <row r="410" spans="1:18" x14ac:dyDescent="0.25">
      <c r="A410" s="71" t="s">
        <v>17</v>
      </c>
      <c r="B410" s="72" t="s">
        <v>18</v>
      </c>
      <c r="C410" s="73" t="s">
        <v>19</v>
      </c>
      <c r="D410" s="74">
        <v>230.16316240858288</v>
      </c>
      <c r="E410" s="81">
        <v>1243209</v>
      </c>
      <c r="F410" s="82">
        <v>1216260.6803357564</v>
      </c>
      <c r="G410" s="75">
        <v>1416.9385299488622</v>
      </c>
      <c r="H410" s="76">
        <v>2</v>
      </c>
      <c r="I410" s="54" t="s">
        <v>20</v>
      </c>
      <c r="J410" s="77">
        <v>40</v>
      </c>
      <c r="K410" s="78">
        <v>2</v>
      </c>
      <c r="L410" s="54">
        <v>1</v>
      </c>
      <c r="M410" s="54">
        <f>_xlfn.XLOOKUP(Survey!$F410,sections[Start],sections[Test Section],,-1,1)</f>
        <v>1</v>
      </c>
      <c r="N410" s="55">
        <f>_xlfn.XLOOKUP(Survey!$K410,pipedata[ID],pipedata[WT])</f>
        <v>0.74</v>
      </c>
      <c r="O410" s="56">
        <f>_xlfn.XLOOKUP(Survey!$K410,pipedata[ID],pipedata[104%])</f>
        <v>2565.3333333333335</v>
      </c>
      <c r="P410" s="57">
        <f t="shared" si="6"/>
        <v>1850</v>
      </c>
      <c r="Q410" s="58">
        <f>_xlfn.MAXIFS(Survey!$G$2:$G$3647,Survey!$M$2:$M$3647,Survey!$M410)-Survey!$G410</f>
        <v>937.21155763890329</v>
      </c>
      <c r="R410" s="59">
        <f>Survey!$P410+(Survey!$Q410*0.433)</f>
        <v>2255.8126044576452</v>
      </c>
    </row>
    <row r="411" spans="1:18" x14ac:dyDescent="0.25">
      <c r="A411" s="60" t="s">
        <v>17</v>
      </c>
      <c r="B411" s="61" t="s">
        <v>18</v>
      </c>
      <c r="C411" s="62" t="s">
        <v>19</v>
      </c>
      <c r="D411" s="63">
        <v>230.16934658395022</v>
      </c>
      <c r="E411" s="79">
        <v>1243249</v>
      </c>
      <c r="F411" s="80">
        <v>1216299.7287612269</v>
      </c>
      <c r="G411" s="66">
        <v>1397.8435142363235</v>
      </c>
      <c r="H411" s="67">
        <v>2</v>
      </c>
      <c r="I411" s="68" t="s">
        <v>20</v>
      </c>
      <c r="J411" s="69">
        <v>40</v>
      </c>
      <c r="K411" s="70">
        <v>2</v>
      </c>
      <c r="L411" s="68">
        <v>1</v>
      </c>
      <c r="M411" s="68">
        <f>_xlfn.XLOOKUP(Survey!$F411,sections[Start],sections[Test Section],,-1,1)</f>
        <v>1</v>
      </c>
      <c r="N411" s="55">
        <f>_xlfn.XLOOKUP(Survey!$K411,pipedata[ID],pipedata[WT])</f>
        <v>0.74</v>
      </c>
      <c r="O411" s="56">
        <f>_xlfn.XLOOKUP(Survey!$K411,pipedata[ID],pipedata[104%])</f>
        <v>2565.3333333333335</v>
      </c>
      <c r="P411" s="57">
        <f t="shared" si="6"/>
        <v>1850</v>
      </c>
      <c r="Q411" s="58">
        <f>_xlfn.MAXIFS(Survey!$G$2:$G$3647,Survey!$M$2:$M$3647,Survey!$M411)-Survey!$G411</f>
        <v>956.30657335144201</v>
      </c>
      <c r="R411" s="59">
        <f>Survey!$P411+(Survey!$Q411*0.433)</f>
        <v>2264.0807462611742</v>
      </c>
    </row>
    <row r="412" spans="1:18" x14ac:dyDescent="0.25">
      <c r="A412" s="71" t="s">
        <v>17</v>
      </c>
      <c r="B412" s="72" t="s">
        <v>18</v>
      </c>
      <c r="C412" s="73" t="s">
        <v>19</v>
      </c>
      <c r="D412" s="74">
        <v>230.17672449925988</v>
      </c>
      <c r="E412" s="81">
        <v>1243289</v>
      </c>
      <c r="F412" s="82">
        <v>1216338.7771866973</v>
      </c>
      <c r="G412" s="75">
        <v>1397.9641407195161</v>
      </c>
      <c r="H412" s="76">
        <v>2</v>
      </c>
      <c r="I412" s="54" t="s">
        <v>20</v>
      </c>
      <c r="J412" s="77">
        <v>40</v>
      </c>
      <c r="K412" s="78">
        <v>2</v>
      </c>
      <c r="L412" s="54">
        <v>1</v>
      </c>
      <c r="M412" s="54">
        <f>_xlfn.XLOOKUP(Survey!$F412,sections[Start],sections[Test Section],,-1,1)</f>
        <v>1</v>
      </c>
      <c r="N412" s="55">
        <f>_xlfn.XLOOKUP(Survey!$K412,pipedata[ID],pipedata[WT])</f>
        <v>0.74</v>
      </c>
      <c r="O412" s="56">
        <f>_xlfn.XLOOKUP(Survey!$K412,pipedata[ID],pipedata[104%])</f>
        <v>2565.3333333333335</v>
      </c>
      <c r="P412" s="57">
        <f t="shared" si="6"/>
        <v>1850</v>
      </c>
      <c r="Q412" s="58">
        <f>_xlfn.MAXIFS(Survey!$G$2:$G$3647,Survey!$M$2:$M$3647,Survey!$M412)-Survey!$G412</f>
        <v>956.1859468682494</v>
      </c>
      <c r="R412" s="59">
        <f>Survey!$P412+(Survey!$Q412*0.433)</f>
        <v>2264.0285149939518</v>
      </c>
    </row>
    <row r="413" spans="1:18" x14ac:dyDescent="0.25">
      <c r="A413" s="60" t="s">
        <v>17</v>
      </c>
      <c r="B413" s="61" t="s">
        <v>18</v>
      </c>
      <c r="C413" s="62" t="s">
        <v>19</v>
      </c>
      <c r="D413" s="63">
        <v>230.18446164556909</v>
      </c>
      <c r="E413" s="79">
        <v>1243329</v>
      </c>
      <c r="F413" s="80">
        <v>1216377.8256121678</v>
      </c>
      <c r="G413" s="66">
        <v>1405.4584949382247</v>
      </c>
      <c r="H413" s="67">
        <v>2</v>
      </c>
      <c r="I413" s="68" t="s">
        <v>20</v>
      </c>
      <c r="J413" s="69">
        <v>40</v>
      </c>
      <c r="K413" s="70">
        <v>2</v>
      </c>
      <c r="L413" s="68">
        <v>1</v>
      </c>
      <c r="M413" s="68">
        <f>_xlfn.XLOOKUP(Survey!$F413,sections[Start],sections[Test Section],,-1,1)</f>
        <v>1</v>
      </c>
      <c r="N413" s="55">
        <f>_xlfn.XLOOKUP(Survey!$K413,pipedata[ID],pipedata[WT])</f>
        <v>0.74</v>
      </c>
      <c r="O413" s="56">
        <f>_xlfn.XLOOKUP(Survey!$K413,pipedata[ID],pipedata[104%])</f>
        <v>2565.3333333333335</v>
      </c>
      <c r="P413" s="57">
        <f t="shared" si="6"/>
        <v>1850</v>
      </c>
      <c r="Q413" s="58">
        <f>_xlfn.MAXIFS(Survey!$G$2:$G$3647,Survey!$M$2:$M$3647,Survey!$M413)-Survey!$G413</f>
        <v>948.69159264954078</v>
      </c>
      <c r="R413" s="59">
        <f>Survey!$P413+(Survey!$Q413*0.433)</f>
        <v>2260.7834596172511</v>
      </c>
    </row>
    <row r="414" spans="1:18" x14ac:dyDescent="0.25">
      <c r="A414" s="71" t="s">
        <v>17</v>
      </c>
      <c r="B414" s="72" t="s">
        <v>18</v>
      </c>
      <c r="C414" s="73" t="s">
        <v>19</v>
      </c>
      <c r="D414" s="74">
        <v>230.19220682265498</v>
      </c>
      <c r="E414" s="81">
        <v>1243369</v>
      </c>
      <c r="F414" s="82">
        <v>1216416.8740376383</v>
      </c>
      <c r="G414" s="75">
        <v>1411.3332468278409</v>
      </c>
      <c r="H414" s="76">
        <v>2</v>
      </c>
      <c r="I414" s="54" t="s">
        <v>20</v>
      </c>
      <c r="J414" s="77">
        <v>40</v>
      </c>
      <c r="K414" s="78">
        <v>2</v>
      </c>
      <c r="L414" s="54">
        <v>1</v>
      </c>
      <c r="M414" s="54">
        <f>_xlfn.XLOOKUP(Survey!$F414,sections[Start],sections[Test Section],,-1,1)</f>
        <v>1</v>
      </c>
      <c r="N414" s="55">
        <f>_xlfn.XLOOKUP(Survey!$K414,pipedata[ID],pipedata[WT])</f>
        <v>0.74</v>
      </c>
      <c r="O414" s="56">
        <f>_xlfn.XLOOKUP(Survey!$K414,pipedata[ID],pipedata[104%])</f>
        <v>2565.3333333333335</v>
      </c>
      <c r="P414" s="57">
        <f t="shared" si="6"/>
        <v>1850</v>
      </c>
      <c r="Q414" s="58">
        <f>_xlfn.MAXIFS(Survey!$G$2:$G$3647,Survey!$M$2:$M$3647,Survey!$M414)-Survey!$G414</f>
        <v>942.81684075992462</v>
      </c>
      <c r="R414" s="59">
        <f>Survey!$P414+(Survey!$Q414*0.433)</f>
        <v>2258.2396920490473</v>
      </c>
    </row>
    <row r="415" spans="1:18" x14ac:dyDescent="0.25">
      <c r="A415" s="60" t="s">
        <v>17</v>
      </c>
      <c r="B415" s="61" t="s">
        <v>18</v>
      </c>
      <c r="C415" s="62" t="s">
        <v>19</v>
      </c>
      <c r="D415" s="63">
        <v>230.19995199974105</v>
      </c>
      <c r="E415" s="79">
        <v>1243409</v>
      </c>
      <c r="F415" s="80">
        <v>1216455.9224631088</v>
      </c>
      <c r="G415" s="66">
        <v>1413.3086111034936</v>
      </c>
      <c r="H415" s="67">
        <v>2</v>
      </c>
      <c r="I415" s="68" t="s">
        <v>20</v>
      </c>
      <c r="J415" s="69">
        <v>40</v>
      </c>
      <c r="K415" s="70">
        <v>2</v>
      </c>
      <c r="L415" s="68">
        <v>1</v>
      </c>
      <c r="M415" s="68">
        <f>_xlfn.XLOOKUP(Survey!$F415,sections[Start],sections[Test Section],,-1,1)</f>
        <v>1</v>
      </c>
      <c r="N415" s="55">
        <f>_xlfn.XLOOKUP(Survey!$K415,pipedata[ID],pipedata[WT])</f>
        <v>0.74</v>
      </c>
      <c r="O415" s="56">
        <f>_xlfn.XLOOKUP(Survey!$K415,pipedata[ID],pipedata[104%])</f>
        <v>2565.3333333333335</v>
      </c>
      <c r="P415" s="57">
        <f t="shared" si="6"/>
        <v>1850</v>
      </c>
      <c r="Q415" s="58">
        <f>_xlfn.MAXIFS(Survey!$G$2:$G$3647,Survey!$M$2:$M$3647,Survey!$M415)-Survey!$G415</f>
        <v>940.84147648427188</v>
      </c>
      <c r="R415" s="59">
        <f>Survey!$P415+(Survey!$Q415*0.433)</f>
        <v>2257.3843593176898</v>
      </c>
    </row>
    <row r="416" spans="1:18" x14ac:dyDescent="0.25">
      <c r="A416" s="71" t="s">
        <v>17</v>
      </c>
      <c r="B416" s="72" t="s">
        <v>18</v>
      </c>
      <c r="C416" s="73" t="s">
        <v>19</v>
      </c>
      <c r="D416" s="74">
        <v>230.20769717682703</v>
      </c>
      <c r="E416" s="81">
        <v>1243449</v>
      </c>
      <c r="F416" s="82">
        <v>1216494.9708885793</v>
      </c>
      <c r="G416" s="75">
        <v>1413.4595305186624</v>
      </c>
      <c r="H416" s="76">
        <v>2</v>
      </c>
      <c r="I416" s="54" t="s">
        <v>20</v>
      </c>
      <c r="J416" s="77">
        <v>40</v>
      </c>
      <c r="K416" s="78">
        <v>2</v>
      </c>
      <c r="L416" s="54">
        <v>1</v>
      </c>
      <c r="M416" s="54">
        <f>_xlfn.XLOOKUP(Survey!$F416,sections[Start],sections[Test Section],,-1,1)</f>
        <v>1</v>
      </c>
      <c r="N416" s="55">
        <f>_xlfn.XLOOKUP(Survey!$K416,pipedata[ID],pipedata[WT])</f>
        <v>0.74</v>
      </c>
      <c r="O416" s="56">
        <f>_xlfn.XLOOKUP(Survey!$K416,pipedata[ID],pipedata[104%])</f>
        <v>2565.3333333333335</v>
      </c>
      <c r="P416" s="57">
        <f t="shared" si="6"/>
        <v>1850</v>
      </c>
      <c r="Q416" s="58">
        <f>_xlfn.MAXIFS(Survey!$G$2:$G$3647,Survey!$M$2:$M$3647,Survey!$M416)-Survey!$G416</f>
        <v>940.69055706910308</v>
      </c>
      <c r="R416" s="59">
        <f>Survey!$P416+(Survey!$Q416*0.433)</f>
        <v>2257.3190112109214</v>
      </c>
    </row>
    <row r="417" spans="1:18" x14ac:dyDescent="0.25">
      <c r="A417" s="60" t="s">
        <v>17</v>
      </c>
      <c r="B417" s="61" t="s">
        <v>18</v>
      </c>
      <c r="C417" s="62" t="s">
        <v>19</v>
      </c>
      <c r="D417" s="63">
        <v>230.21544235391303</v>
      </c>
      <c r="E417" s="79">
        <v>1243489</v>
      </c>
      <c r="F417" s="80">
        <v>1216534.0193140497</v>
      </c>
      <c r="G417" s="66">
        <v>1410.3588068635827</v>
      </c>
      <c r="H417" s="67">
        <v>2</v>
      </c>
      <c r="I417" s="68" t="s">
        <v>20</v>
      </c>
      <c r="J417" s="69">
        <v>40</v>
      </c>
      <c r="K417" s="70">
        <v>2</v>
      </c>
      <c r="L417" s="68">
        <v>1</v>
      </c>
      <c r="M417" s="68">
        <f>_xlfn.XLOOKUP(Survey!$F417,sections[Start],sections[Test Section],,-1,1)</f>
        <v>1</v>
      </c>
      <c r="N417" s="55">
        <f>_xlfn.XLOOKUP(Survey!$K417,pipedata[ID],pipedata[WT])</f>
        <v>0.74</v>
      </c>
      <c r="O417" s="56">
        <f>_xlfn.XLOOKUP(Survey!$K417,pipedata[ID],pipedata[104%])</f>
        <v>2565.3333333333335</v>
      </c>
      <c r="P417" s="57">
        <f t="shared" si="6"/>
        <v>1850</v>
      </c>
      <c r="Q417" s="58">
        <f>_xlfn.MAXIFS(Survey!$G$2:$G$3647,Survey!$M$2:$M$3647,Survey!$M417)-Survey!$G417</f>
        <v>943.7912807241828</v>
      </c>
      <c r="R417" s="59">
        <f>Survey!$P417+(Survey!$Q417*0.433)</f>
        <v>2258.6616245535711</v>
      </c>
    </row>
    <row r="418" spans="1:18" x14ac:dyDescent="0.25">
      <c r="A418" s="71" t="s">
        <v>17</v>
      </c>
      <c r="B418" s="72" t="s">
        <v>18</v>
      </c>
      <c r="C418" s="73" t="s">
        <v>19</v>
      </c>
      <c r="D418" s="74">
        <v>230.22221101759425</v>
      </c>
      <c r="E418" s="81">
        <v>1243529</v>
      </c>
      <c r="F418" s="82">
        <v>1216573.0677395202</v>
      </c>
      <c r="G418" s="75">
        <v>1404.4521762604918</v>
      </c>
      <c r="H418" s="76">
        <v>2</v>
      </c>
      <c r="I418" s="54" t="s">
        <v>20</v>
      </c>
      <c r="J418" s="77">
        <v>40</v>
      </c>
      <c r="K418" s="78">
        <v>2</v>
      </c>
      <c r="L418" s="54">
        <v>1</v>
      </c>
      <c r="M418" s="54">
        <f>_xlfn.XLOOKUP(Survey!$F418,sections[Start],sections[Test Section],,-1,1)</f>
        <v>1</v>
      </c>
      <c r="N418" s="55">
        <f>_xlfn.XLOOKUP(Survey!$K418,pipedata[ID],pipedata[WT])</f>
        <v>0.74</v>
      </c>
      <c r="O418" s="56">
        <f>_xlfn.XLOOKUP(Survey!$K418,pipedata[ID],pipedata[104%])</f>
        <v>2565.3333333333335</v>
      </c>
      <c r="P418" s="57">
        <f t="shared" si="6"/>
        <v>1850</v>
      </c>
      <c r="Q418" s="58">
        <f>_xlfn.MAXIFS(Survey!$G$2:$G$3647,Survey!$M$2:$M$3647,Survey!$M418)-Survey!$G418</f>
        <v>949.69791132727369</v>
      </c>
      <c r="R418" s="59">
        <f>Survey!$P418+(Survey!$Q418*0.433)</f>
        <v>2261.2191956047095</v>
      </c>
    </row>
    <row r="419" spans="1:18" x14ac:dyDescent="0.25">
      <c r="A419" s="60" t="s">
        <v>17</v>
      </c>
      <c r="B419" s="61" t="s">
        <v>18</v>
      </c>
      <c r="C419" s="62" t="s">
        <v>19</v>
      </c>
      <c r="D419" s="63">
        <v>230.22899641381343</v>
      </c>
      <c r="E419" s="79">
        <v>1243569</v>
      </c>
      <c r="F419" s="80">
        <v>1216612.1161649907</v>
      </c>
      <c r="G419" s="66">
        <v>1390.3304269236924</v>
      </c>
      <c r="H419" s="67">
        <v>2</v>
      </c>
      <c r="I419" s="68" t="s">
        <v>20</v>
      </c>
      <c r="J419" s="69">
        <v>40</v>
      </c>
      <c r="K419" s="70">
        <v>2</v>
      </c>
      <c r="L419" s="68">
        <v>1</v>
      </c>
      <c r="M419" s="68">
        <f>_xlfn.XLOOKUP(Survey!$F419,sections[Start],sections[Test Section],,-1,1)</f>
        <v>1</v>
      </c>
      <c r="N419" s="55">
        <f>_xlfn.XLOOKUP(Survey!$K419,pipedata[ID],pipedata[WT])</f>
        <v>0.74</v>
      </c>
      <c r="O419" s="56">
        <f>_xlfn.XLOOKUP(Survey!$K419,pipedata[ID],pipedata[104%])</f>
        <v>2565.3333333333335</v>
      </c>
      <c r="P419" s="57">
        <f t="shared" si="6"/>
        <v>1850</v>
      </c>
      <c r="Q419" s="58">
        <f>_xlfn.MAXIFS(Survey!$G$2:$G$3647,Survey!$M$2:$M$3647,Survey!$M419)-Survey!$G419</f>
        <v>963.81966066407313</v>
      </c>
      <c r="R419" s="59">
        <f>Survey!$P419+(Survey!$Q419*0.433)</f>
        <v>2267.3339130675436</v>
      </c>
    </row>
    <row r="420" spans="1:18" x14ac:dyDescent="0.25">
      <c r="A420" s="71" t="s">
        <v>17</v>
      </c>
      <c r="B420" s="72" t="s">
        <v>18</v>
      </c>
      <c r="C420" s="73" t="s">
        <v>19</v>
      </c>
      <c r="D420" s="74">
        <v>230.23674159089938</v>
      </c>
      <c r="E420" s="81">
        <v>1243609</v>
      </c>
      <c r="F420" s="82">
        <v>1216651.1645904612</v>
      </c>
      <c r="G420" s="75">
        <v>1374.8860406971276</v>
      </c>
      <c r="H420" s="76">
        <v>2</v>
      </c>
      <c r="I420" s="54" t="s">
        <v>20</v>
      </c>
      <c r="J420" s="77">
        <v>40</v>
      </c>
      <c r="K420" s="78">
        <v>2</v>
      </c>
      <c r="L420" s="54">
        <v>1</v>
      </c>
      <c r="M420" s="54">
        <f>_xlfn.XLOOKUP(Survey!$F420,sections[Start],sections[Test Section],,-1,1)</f>
        <v>1</v>
      </c>
      <c r="N420" s="55">
        <f>_xlfn.XLOOKUP(Survey!$K420,pipedata[ID],pipedata[WT])</f>
        <v>0.74</v>
      </c>
      <c r="O420" s="56">
        <f>_xlfn.XLOOKUP(Survey!$K420,pipedata[ID],pipedata[104%])</f>
        <v>2565.3333333333335</v>
      </c>
      <c r="P420" s="57">
        <f t="shared" si="6"/>
        <v>1850</v>
      </c>
      <c r="Q420" s="58">
        <f>_xlfn.MAXIFS(Survey!$G$2:$G$3647,Survey!$M$2:$M$3647,Survey!$M420)-Survey!$G420</f>
        <v>979.26404689063793</v>
      </c>
      <c r="R420" s="59">
        <f>Survey!$P420+(Survey!$Q420*0.433)</f>
        <v>2274.021332303646</v>
      </c>
    </row>
    <row r="421" spans="1:18" x14ac:dyDescent="0.25">
      <c r="A421" s="60" t="s">
        <v>17</v>
      </c>
      <c r="B421" s="61" t="s">
        <v>18</v>
      </c>
      <c r="C421" s="62" t="s">
        <v>19</v>
      </c>
      <c r="D421" s="63">
        <v>230.24448676798528</v>
      </c>
      <c r="E421" s="79">
        <v>1243649</v>
      </c>
      <c r="F421" s="80">
        <v>1216690.2130159317</v>
      </c>
      <c r="G421" s="66">
        <v>1378.1189134476426</v>
      </c>
      <c r="H421" s="67">
        <v>2</v>
      </c>
      <c r="I421" s="68" t="s">
        <v>20</v>
      </c>
      <c r="J421" s="69">
        <v>40</v>
      </c>
      <c r="K421" s="70">
        <v>2</v>
      </c>
      <c r="L421" s="68">
        <v>1</v>
      </c>
      <c r="M421" s="68">
        <f>_xlfn.XLOOKUP(Survey!$F421,sections[Start],sections[Test Section],,-1,1)</f>
        <v>1</v>
      </c>
      <c r="N421" s="55">
        <f>_xlfn.XLOOKUP(Survey!$K421,pipedata[ID],pipedata[WT])</f>
        <v>0.74</v>
      </c>
      <c r="O421" s="56">
        <f>_xlfn.XLOOKUP(Survey!$K421,pipedata[ID],pipedata[104%])</f>
        <v>2565.3333333333335</v>
      </c>
      <c r="P421" s="57">
        <f t="shared" si="6"/>
        <v>1850</v>
      </c>
      <c r="Q421" s="58">
        <f>_xlfn.MAXIFS(Survey!$G$2:$G$3647,Survey!$M$2:$M$3647,Survey!$M421)-Survey!$G421</f>
        <v>976.03117414012286</v>
      </c>
      <c r="R421" s="59">
        <f>Survey!$P421+(Survey!$Q421*0.433)</f>
        <v>2272.6214984026733</v>
      </c>
    </row>
    <row r="422" spans="1:18" x14ac:dyDescent="0.25">
      <c r="A422" s="71" t="s">
        <v>17</v>
      </c>
      <c r="B422" s="72" t="s">
        <v>18</v>
      </c>
      <c r="C422" s="73" t="s">
        <v>19</v>
      </c>
      <c r="D422" s="74">
        <v>230.25050365235563</v>
      </c>
      <c r="E422" s="81">
        <v>1243689</v>
      </c>
      <c r="F422" s="82">
        <v>1216729.2614414021</v>
      </c>
      <c r="G422" s="75">
        <v>1382.5206470694879</v>
      </c>
      <c r="H422" s="76">
        <v>2</v>
      </c>
      <c r="I422" s="54" t="s">
        <v>20</v>
      </c>
      <c r="J422" s="77">
        <v>40</v>
      </c>
      <c r="K422" s="78">
        <v>2</v>
      </c>
      <c r="L422" s="54">
        <v>1</v>
      </c>
      <c r="M422" s="54">
        <f>_xlfn.XLOOKUP(Survey!$F422,sections[Start],sections[Test Section],,-1,1)</f>
        <v>1</v>
      </c>
      <c r="N422" s="55">
        <f>_xlfn.XLOOKUP(Survey!$K422,pipedata[ID],pipedata[WT])</f>
        <v>0.74</v>
      </c>
      <c r="O422" s="56">
        <f>_xlfn.XLOOKUP(Survey!$K422,pipedata[ID],pipedata[104%])</f>
        <v>2565.3333333333335</v>
      </c>
      <c r="P422" s="57">
        <f t="shared" si="6"/>
        <v>1850</v>
      </c>
      <c r="Q422" s="58">
        <f>_xlfn.MAXIFS(Survey!$G$2:$G$3647,Survey!$M$2:$M$3647,Survey!$M422)-Survey!$G422</f>
        <v>971.62944051827753</v>
      </c>
      <c r="R422" s="59">
        <f>Survey!$P422+(Survey!$Q422*0.433)</f>
        <v>2270.7155477444139</v>
      </c>
    </row>
    <row r="423" spans="1:18" x14ac:dyDescent="0.25">
      <c r="A423" s="60" t="s">
        <v>17</v>
      </c>
      <c r="B423" s="61" t="s">
        <v>18</v>
      </c>
      <c r="C423" s="62" t="s">
        <v>19</v>
      </c>
      <c r="D423" s="63">
        <v>230.25863044215873</v>
      </c>
      <c r="E423" s="79">
        <v>1243729</v>
      </c>
      <c r="F423" s="80">
        <v>1216768.3098668726</v>
      </c>
      <c r="G423" s="66">
        <v>1392.0527742432243</v>
      </c>
      <c r="H423" s="67">
        <v>2</v>
      </c>
      <c r="I423" s="68" t="s">
        <v>20</v>
      </c>
      <c r="J423" s="69">
        <v>40</v>
      </c>
      <c r="K423" s="70">
        <v>2</v>
      </c>
      <c r="L423" s="68">
        <v>1</v>
      </c>
      <c r="M423" s="68">
        <f>_xlfn.XLOOKUP(Survey!$F423,sections[Start],sections[Test Section],,-1,1)</f>
        <v>1</v>
      </c>
      <c r="N423" s="55">
        <f>_xlfn.XLOOKUP(Survey!$K423,pipedata[ID],pipedata[WT])</f>
        <v>0.74</v>
      </c>
      <c r="O423" s="56">
        <f>_xlfn.XLOOKUP(Survey!$K423,pipedata[ID],pipedata[104%])</f>
        <v>2565.3333333333335</v>
      </c>
      <c r="P423" s="57">
        <f t="shared" si="6"/>
        <v>1850</v>
      </c>
      <c r="Q423" s="58">
        <f>_xlfn.MAXIFS(Survey!$G$2:$G$3647,Survey!$M$2:$M$3647,Survey!$M423)-Survey!$G423</f>
        <v>962.09731334454113</v>
      </c>
      <c r="R423" s="59">
        <f>Survey!$P423+(Survey!$Q423*0.433)</f>
        <v>2266.5881366781864</v>
      </c>
    </row>
    <row r="424" spans="1:18" x14ac:dyDescent="0.25">
      <c r="A424" s="71" t="s">
        <v>17</v>
      </c>
      <c r="B424" s="72" t="s">
        <v>18</v>
      </c>
      <c r="C424" s="73" t="s">
        <v>19</v>
      </c>
      <c r="D424" s="74">
        <v>230.26578600497169</v>
      </c>
      <c r="E424" s="81">
        <v>1243769</v>
      </c>
      <c r="F424" s="82">
        <v>1216807.3582923431</v>
      </c>
      <c r="G424" s="75">
        <v>1400.4117883476838</v>
      </c>
      <c r="H424" s="76">
        <v>2</v>
      </c>
      <c r="I424" s="54" t="s">
        <v>20</v>
      </c>
      <c r="J424" s="77">
        <v>40</v>
      </c>
      <c r="K424" s="78">
        <v>2</v>
      </c>
      <c r="L424" s="54">
        <v>1</v>
      </c>
      <c r="M424" s="54">
        <f>_xlfn.XLOOKUP(Survey!$F424,sections[Start],sections[Test Section],,-1,1)</f>
        <v>1</v>
      </c>
      <c r="N424" s="55">
        <f>_xlfn.XLOOKUP(Survey!$K424,pipedata[ID],pipedata[WT])</f>
        <v>0.74</v>
      </c>
      <c r="O424" s="56">
        <f>_xlfn.XLOOKUP(Survey!$K424,pipedata[ID],pipedata[104%])</f>
        <v>2565.3333333333335</v>
      </c>
      <c r="P424" s="57">
        <f t="shared" si="6"/>
        <v>1850</v>
      </c>
      <c r="Q424" s="58">
        <f>_xlfn.MAXIFS(Survey!$G$2:$G$3647,Survey!$M$2:$M$3647,Survey!$M424)-Survey!$G424</f>
        <v>953.73829924008169</v>
      </c>
      <c r="R424" s="59">
        <f>Survey!$P424+(Survey!$Q424*0.433)</f>
        <v>2262.9686835709554</v>
      </c>
    </row>
    <row r="425" spans="1:18" x14ac:dyDescent="0.25">
      <c r="A425" s="60" t="s">
        <v>17</v>
      </c>
      <c r="B425" s="61" t="s">
        <v>18</v>
      </c>
      <c r="C425" s="62" t="s">
        <v>19</v>
      </c>
      <c r="D425" s="63">
        <v>230.2735311820577</v>
      </c>
      <c r="E425" s="79">
        <v>1243809</v>
      </c>
      <c r="F425" s="80">
        <v>1216846.4067178136</v>
      </c>
      <c r="G425" s="66">
        <v>1405.9817528006433</v>
      </c>
      <c r="H425" s="67">
        <v>2</v>
      </c>
      <c r="I425" s="68" t="s">
        <v>20</v>
      </c>
      <c r="J425" s="69">
        <v>40</v>
      </c>
      <c r="K425" s="70">
        <v>2</v>
      </c>
      <c r="L425" s="68">
        <v>1</v>
      </c>
      <c r="M425" s="68">
        <f>_xlfn.XLOOKUP(Survey!$F425,sections[Start],sections[Test Section],,-1,1)</f>
        <v>1</v>
      </c>
      <c r="N425" s="55">
        <f>_xlfn.XLOOKUP(Survey!$K425,pipedata[ID],pipedata[WT])</f>
        <v>0.74</v>
      </c>
      <c r="O425" s="56">
        <f>_xlfn.XLOOKUP(Survey!$K425,pipedata[ID],pipedata[104%])</f>
        <v>2565.3333333333335</v>
      </c>
      <c r="P425" s="57">
        <f t="shared" si="6"/>
        <v>1850</v>
      </c>
      <c r="Q425" s="58">
        <f>_xlfn.MAXIFS(Survey!$G$2:$G$3647,Survey!$M$2:$M$3647,Survey!$M425)-Survey!$G425</f>
        <v>948.16833478712215</v>
      </c>
      <c r="R425" s="59">
        <f>Survey!$P425+(Survey!$Q425*0.433)</f>
        <v>2260.5568889628239</v>
      </c>
    </row>
    <row r="426" spans="1:18" x14ac:dyDescent="0.25">
      <c r="A426" s="71" t="s">
        <v>17</v>
      </c>
      <c r="B426" s="72" t="s">
        <v>18</v>
      </c>
      <c r="C426" s="73" t="s">
        <v>19</v>
      </c>
      <c r="D426" s="74">
        <v>230.28127635914376</v>
      </c>
      <c r="E426" s="81">
        <v>1243849</v>
      </c>
      <c r="F426" s="82">
        <v>1216885.4551432841</v>
      </c>
      <c r="G426" s="75">
        <v>1410.3895044062565</v>
      </c>
      <c r="H426" s="76">
        <v>2</v>
      </c>
      <c r="I426" s="54" t="s">
        <v>20</v>
      </c>
      <c r="J426" s="77">
        <v>40</v>
      </c>
      <c r="K426" s="78">
        <v>2</v>
      </c>
      <c r="L426" s="54">
        <v>1</v>
      </c>
      <c r="M426" s="54">
        <f>_xlfn.XLOOKUP(Survey!$F426,sections[Start],sections[Test Section],,-1,1)</f>
        <v>1</v>
      </c>
      <c r="N426" s="55">
        <f>_xlfn.XLOOKUP(Survey!$K426,pipedata[ID],pipedata[WT])</f>
        <v>0.74</v>
      </c>
      <c r="O426" s="56">
        <f>_xlfn.XLOOKUP(Survey!$K426,pipedata[ID],pipedata[104%])</f>
        <v>2565.3333333333335</v>
      </c>
      <c r="P426" s="57">
        <f t="shared" si="6"/>
        <v>1850</v>
      </c>
      <c r="Q426" s="58">
        <f>_xlfn.MAXIFS(Survey!$G$2:$G$3647,Survey!$M$2:$M$3647,Survey!$M426)-Survey!$G426</f>
        <v>943.76058318150899</v>
      </c>
      <c r="R426" s="59">
        <f>Survey!$P426+(Survey!$Q426*0.433)</f>
        <v>2258.6483325175932</v>
      </c>
    </row>
    <row r="427" spans="1:18" x14ac:dyDescent="0.25">
      <c r="A427" s="60" t="s">
        <v>17</v>
      </c>
      <c r="B427" s="61" t="s">
        <v>18</v>
      </c>
      <c r="C427" s="62" t="s">
        <v>19</v>
      </c>
      <c r="D427" s="63">
        <v>230.28902153622974</v>
      </c>
      <c r="E427" s="79">
        <v>1243889</v>
      </c>
      <c r="F427" s="80">
        <v>1216924.5035687545</v>
      </c>
      <c r="G427" s="66">
        <v>1414.6268051956392</v>
      </c>
      <c r="H427" s="67">
        <v>2</v>
      </c>
      <c r="I427" s="68" t="s">
        <v>20</v>
      </c>
      <c r="J427" s="69">
        <v>40</v>
      </c>
      <c r="K427" s="70">
        <v>2</v>
      </c>
      <c r="L427" s="68">
        <v>1</v>
      </c>
      <c r="M427" s="68">
        <f>_xlfn.XLOOKUP(Survey!$F427,sections[Start],sections[Test Section],,-1,1)</f>
        <v>1</v>
      </c>
      <c r="N427" s="55">
        <f>_xlfn.XLOOKUP(Survey!$K427,pipedata[ID],pipedata[WT])</f>
        <v>0.74</v>
      </c>
      <c r="O427" s="56">
        <f>_xlfn.XLOOKUP(Survey!$K427,pipedata[ID],pipedata[104%])</f>
        <v>2565.3333333333335</v>
      </c>
      <c r="P427" s="57">
        <f t="shared" si="6"/>
        <v>1850</v>
      </c>
      <c r="Q427" s="58">
        <f>_xlfn.MAXIFS(Survey!$G$2:$G$3647,Survey!$M$2:$M$3647,Survey!$M427)-Survey!$G427</f>
        <v>939.52328239212625</v>
      </c>
      <c r="R427" s="59">
        <f>Survey!$P427+(Survey!$Q427*0.433)</f>
        <v>2256.8135812757905</v>
      </c>
    </row>
    <row r="428" spans="1:18" x14ac:dyDescent="0.25">
      <c r="A428" s="71" t="s">
        <v>17</v>
      </c>
      <c r="B428" s="72" t="s">
        <v>18</v>
      </c>
      <c r="C428" s="73" t="s">
        <v>19</v>
      </c>
      <c r="D428" s="74">
        <v>230.29676671331566</v>
      </c>
      <c r="E428" s="81">
        <v>1243929</v>
      </c>
      <c r="F428" s="82">
        <v>1216963.551994225</v>
      </c>
      <c r="G428" s="75">
        <v>1420.0313263684031</v>
      </c>
      <c r="H428" s="76">
        <v>2</v>
      </c>
      <c r="I428" s="54" t="s">
        <v>20</v>
      </c>
      <c r="J428" s="77">
        <v>40</v>
      </c>
      <c r="K428" s="78">
        <v>2</v>
      </c>
      <c r="L428" s="54">
        <v>1</v>
      </c>
      <c r="M428" s="54">
        <f>_xlfn.XLOOKUP(Survey!$F428,sections[Start],sections[Test Section],,-1,1)</f>
        <v>1</v>
      </c>
      <c r="N428" s="55">
        <f>_xlfn.XLOOKUP(Survey!$K428,pipedata[ID],pipedata[WT])</f>
        <v>0.74</v>
      </c>
      <c r="O428" s="56">
        <f>_xlfn.XLOOKUP(Survey!$K428,pipedata[ID],pipedata[104%])</f>
        <v>2565.3333333333335</v>
      </c>
      <c r="P428" s="57">
        <f t="shared" si="6"/>
        <v>1850</v>
      </c>
      <c r="Q428" s="58">
        <f>_xlfn.MAXIFS(Survey!$G$2:$G$3647,Survey!$M$2:$M$3647,Survey!$M428)-Survey!$G428</f>
        <v>934.11876121936234</v>
      </c>
      <c r="R428" s="59">
        <f>Survey!$P428+(Survey!$Q428*0.433)</f>
        <v>2254.4734236079839</v>
      </c>
    </row>
    <row r="429" spans="1:18" x14ac:dyDescent="0.25">
      <c r="A429" s="60" t="s">
        <v>17</v>
      </c>
      <c r="B429" s="61" t="s">
        <v>18</v>
      </c>
      <c r="C429" s="62" t="s">
        <v>19</v>
      </c>
      <c r="D429" s="63">
        <v>230.30415472286094</v>
      </c>
      <c r="E429" s="79">
        <v>1243969</v>
      </c>
      <c r="F429" s="80">
        <v>1217002.6004196955</v>
      </c>
      <c r="G429" s="66">
        <v>1424.8237401477295</v>
      </c>
      <c r="H429" s="67">
        <v>2</v>
      </c>
      <c r="I429" s="68" t="s">
        <v>20</v>
      </c>
      <c r="J429" s="69">
        <v>40</v>
      </c>
      <c r="K429" s="70">
        <v>2</v>
      </c>
      <c r="L429" s="68">
        <v>1</v>
      </c>
      <c r="M429" s="68">
        <f>_xlfn.XLOOKUP(Survey!$F429,sections[Start],sections[Test Section],,-1,1)</f>
        <v>1</v>
      </c>
      <c r="N429" s="55">
        <f>_xlfn.XLOOKUP(Survey!$K429,pipedata[ID],pipedata[WT])</f>
        <v>0.74</v>
      </c>
      <c r="O429" s="56">
        <f>_xlfn.XLOOKUP(Survey!$K429,pipedata[ID],pipedata[104%])</f>
        <v>2565.3333333333335</v>
      </c>
      <c r="P429" s="57">
        <f t="shared" si="6"/>
        <v>1850</v>
      </c>
      <c r="Q429" s="58">
        <f>_xlfn.MAXIFS(Survey!$G$2:$G$3647,Survey!$M$2:$M$3647,Survey!$M429)-Survey!$G429</f>
        <v>929.32634744003599</v>
      </c>
      <c r="R429" s="59">
        <f>Survey!$P429+(Survey!$Q429*0.433)</f>
        <v>2252.3983084415354</v>
      </c>
    </row>
    <row r="430" spans="1:18" x14ac:dyDescent="0.25">
      <c r="A430" s="71" t="s">
        <v>17</v>
      </c>
      <c r="B430" s="72" t="s">
        <v>18</v>
      </c>
      <c r="C430" s="73" t="s">
        <v>19</v>
      </c>
      <c r="D430" s="74">
        <v>230.31198627993845</v>
      </c>
      <c r="E430" s="81">
        <v>1244009</v>
      </c>
      <c r="F430" s="82">
        <v>1217041.648845166</v>
      </c>
      <c r="G430" s="75">
        <v>1427.8747140211624</v>
      </c>
      <c r="H430" s="76">
        <v>2</v>
      </c>
      <c r="I430" s="54" t="s">
        <v>20</v>
      </c>
      <c r="J430" s="77">
        <v>40</v>
      </c>
      <c r="K430" s="78">
        <v>2</v>
      </c>
      <c r="L430" s="54">
        <v>1</v>
      </c>
      <c r="M430" s="54">
        <f>_xlfn.XLOOKUP(Survey!$F430,sections[Start],sections[Test Section],,-1,1)</f>
        <v>1</v>
      </c>
      <c r="N430" s="55">
        <f>_xlfn.XLOOKUP(Survey!$K430,pipedata[ID],pipedata[WT])</f>
        <v>0.74</v>
      </c>
      <c r="O430" s="56">
        <f>_xlfn.XLOOKUP(Survey!$K430,pipedata[ID],pipedata[104%])</f>
        <v>2565.3333333333335</v>
      </c>
      <c r="P430" s="57">
        <f t="shared" si="6"/>
        <v>1850</v>
      </c>
      <c r="Q430" s="58">
        <f>_xlfn.MAXIFS(Survey!$G$2:$G$3647,Survey!$M$2:$M$3647,Survey!$M430)-Survey!$G430</f>
        <v>926.27537356660309</v>
      </c>
      <c r="R430" s="59">
        <f>Survey!$P430+(Survey!$Q430*0.433)</f>
        <v>2251.0772367543391</v>
      </c>
    </row>
    <row r="431" spans="1:18" x14ac:dyDescent="0.25">
      <c r="A431" s="60" t="s">
        <v>17</v>
      </c>
      <c r="B431" s="61" t="s">
        <v>18</v>
      </c>
      <c r="C431" s="62" t="s">
        <v>19</v>
      </c>
      <c r="D431" s="63">
        <v>230.31936419524834</v>
      </c>
      <c r="E431" s="79">
        <v>1244049</v>
      </c>
      <c r="F431" s="80">
        <v>1217080.6972706364</v>
      </c>
      <c r="G431" s="66">
        <v>1429.748025899167</v>
      </c>
      <c r="H431" s="67">
        <v>2</v>
      </c>
      <c r="I431" s="68" t="s">
        <v>20</v>
      </c>
      <c r="J431" s="69">
        <v>40</v>
      </c>
      <c r="K431" s="70">
        <v>2</v>
      </c>
      <c r="L431" s="68">
        <v>1</v>
      </c>
      <c r="M431" s="68">
        <f>_xlfn.XLOOKUP(Survey!$F431,sections[Start],sections[Test Section],,-1,1)</f>
        <v>1</v>
      </c>
      <c r="N431" s="55">
        <f>_xlfn.XLOOKUP(Survey!$K431,pipedata[ID],pipedata[WT])</f>
        <v>0.74</v>
      </c>
      <c r="O431" s="56">
        <f>_xlfn.XLOOKUP(Survey!$K431,pipedata[ID],pipedata[104%])</f>
        <v>2565.3333333333335</v>
      </c>
      <c r="P431" s="57">
        <f t="shared" si="6"/>
        <v>1850</v>
      </c>
      <c r="Q431" s="58">
        <f>_xlfn.MAXIFS(Survey!$G$2:$G$3647,Survey!$M$2:$M$3647,Survey!$M431)-Survey!$G431</f>
        <v>924.40206168859845</v>
      </c>
      <c r="R431" s="59">
        <f>Survey!$P431+(Survey!$Q431*0.433)</f>
        <v>2250.2660927111633</v>
      </c>
    </row>
    <row r="432" spans="1:18" x14ac:dyDescent="0.25">
      <c r="A432" s="71" t="s">
        <v>17</v>
      </c>
      <c r="B432" s="72" t="s">
        <v>18</v>
      </c>
      <c r="C432" s="73" t="s">
        <v>19</v>
      </c>
      <c r="D432" s="74">
        <v>230.3267252570113</v>
      </c>
      <c r="E432" s="81">
        <v>1244089</v>
      </c>
      <c r="F432" s="82">
        <v>1217119.7456961069</v>
      </c>
      <c r="G432" s="75">
        <v>1429.4764921215467</v>
      </c>
      <c r="H432" s="76">
        <v>2</v>
      </c>
      <c r="I432" s="54" t="s">
        <v>20</v>
      </c>
      <c r="J432" s="77">
        <v>40</v>
      </c>
      <c r="K432" s="78">
        <v>2</v>
      </c>
      <c r="L432" s="54">
        <v>1</v>
      </c>
      <c r="M432" s="54">
        <f>_xlfn.XLOOKUP(Survey!$F432,sections[Start],sections[Test Section],,-1,1)</f>
        <v>1</v>
      </c>
      <c r="N432" s="55">
        <f>_xlfn.XLOOKUP(Survey!$K432,pipedata[ID],pipedata[WT])</f>
        <v>0.74</v>
      </c>
      <c r="O432" s="56">
        <f>_xlfn.XLOOKUP(Survey!$K432,pipedata[ID],pipedata[104%])</f>
        <v>2565.3333333333335</v>
      </c>
      <c r="P432" s="57">
        <f t="shared" si="6"/>
        <v>1850</v>
      </c>
      <c r="Q432" s="58">
        <f>_xlfn.MAXIFS(Survey!$G$2:$G$3647,Survey!$M$2:$M$3647,Survey!$M432)-Survey!$G432</f>
        <v>924.67359546621879</v>
      </c>
      <c r="R432" s="59">
        <f>Survey!$P432+(Survey!$Q432*0.433)</f>
        <v>2250.3836668368726</v>
      </c>
    </row>
    <row r="433" spans="1:18" x14ac:dyDescent="0.25">
      <c r="A433" s="60" t="s">
        <v>17</v>
      </c>
      <c r="B433" s="61" t="s">
        <v>18</v>
      </c>
      <c r="C433" s="62" t="s">
        <v>19</v>
      </c>
      <c r="D433" s="63">
        <v>230.33408323141876</v>
      </c>
      <c r="E433" s="79">
        <v>1244129</v>
      </c>
      <c r="F433" s="80">
        <v>1217158.7941215774</v>
      </c>
      <c r="G433" s="66">
        <v>1426.1765051862039</v>
      </c>
      <c r="H433" s="67">
        <v>2</v>
      </c>
      <c r="I433" s="68" t="s">
        <v>20</v>
      </c>
      <c r="J433" s="69">
        <v>40</v>
      </c>
      <c r="K433" s="70">
        <v>2</v>
      </c>
      <c r="L433" s="68">
        <v>1</v>
      </c>
      <c r="M433" s="68">
        <f>_xlfn.XLOOKUP(Survey!$F433,sections[Start],sections[Test Section],,-1,1)</f>
        <v>1</v>
      </c>
      <c r="N433" s="55">
        <f>_xlfn.XLOOKUP(Survey!$K433,pipedata[ID],pipedata[WT])</f>
        <v>0.74</v>
      </c>
      <c r="O433" s="56">
        <f>_xlfn.XLOOKUP(Survey!$K433,pipedata[ID],pipedata[104%])</f>
        <v>2565.3333333333335</v>
      </c>
      <c r="P433" s="57">
        <f t="shared" si="6"/>
        <v>1850</v>
      </c>
      <c r="Q433" s="58">
        <f>_xlfn.MAXIFS(Survey!$G$2:$G$3647,Survey!$M$2:$M$3647,Survey!$M433)-Survey!$G433</f>
        <v>927.97358240156154</v>
      </c>
      <c r="R433" s="59">
        <f>Survey!$P433+(Survey!$Q433*0.433)</f>
        <v>2251.812561179876</v>
      </c>
    </row>
    <row r="434" spans="1:18" x14ac:dyDescent="0.25">
      <c r="A434" s="71" t="s">
        <v>17</v>
      </c>
      <c r="B434" s="72" t="s">
        <v>18</v>
      </c>
      <c r="C434" s="73" t="s">
        <v>19</v>
      </c>
      <c r="D434" s="74">
        <v>230.3412937307624</v>
      </c>
      <c r="E434" s="81">
        <v>1244169</v>
      </c>
      <c r="F434" s="82">
        <v>1217197.8425470479</v>
      </c>
      <c r="G434" s="75">
        <v>1420.6256801419079</v>
      </c>
      <c r="H434" s="76">
        <v>2</v>
      </c>
      <c r="I434" s="54" t="s">
        <v>20</v>
      </c>
      <c r="J434" s="77">
        <v>40</v>
      </c>
      <c r="K434" s="78">
        <v>2</v>
      </c>
      <c r="L434" s="54">
        <v>1</v>
      </c>
      <c r="M434" s="54">
        <f>_xlfn.XLOOKUP(Survey!$F434,sections[Start],sections[Test Section],,-1,1)</f>
        <v>1</v>
      </c>
      <c r="N434" s="55">
        <f>_xlfn.XLOOKUP(Survey!$K434,pipedata[ID],pipedata[WT])</f>
        <v>0.74</v>
      </c>
      <c r="O434" s="56">
        <f>_xlfn.XLOOKUP(Survey!$K434,pipedata[ID],pipedata[104%])</f>
        <v>2565.3333333333335</v>
      </c>
      <c r="P434" s="57">
        <f t="shared" si="6"/>
        <v>1850</v>
      </c>
      <c r="Q434" s="58">
        <f>_xlfn.MAXIFS(Survey!$G$2:$G$3647,Survey!$M$2:$M$3647,Survey!$M434)-Survey!$G434</f>
        <v>933.52440744585761</v>
      </c>
      <c r="R434" s="59">
        <f>Survey!$P434+(Survey!$Q434*0.433)</f>
        <v>2254.2160684240562</v>
      </c>
    </row>
    <row r="435" spans="1:18" x14ac:dyDescent="0.25">
      <c r="A435" s="60" t="s">
        <v>17</v>
      </c>
      <c r="B435" s="61" t="s">
        <v>18</v>
      </c>
      <c r="C435" s="62" t="s">
        <v>19</v>
      </c>
      <c r="D435" s="63">
        <v>230.34903602103401</v>
      </c>
      <c r="E435" s="79">
        <v>1244209</v>
      </c>
      <c r="F435" s="80">
        <v>1217236.8909725184</v>
      </c>
      <c r="G435" s="66">
        <v>1415.4670771103836</v>
      </c>
      <c r="H435" s="67">
        <v>2</v>
      </c>
      <c r="I435" s="68" t="s">
        <v>20</v>
      </c>
      <c r="J435" s="69">
        <v>40</v>
      </c>
      <c r="K435" s="70">
        <v>2</v>
      </c>
      <c r="L435" s="68">
        <v>1</v>
      </c>
      <c r="M435" s="68">
        <f>_xlfn.XLOOKUP(Survey!$F435,sections[Start],sections[Test Section],,-1,1)</f>
        <v>1</v>
      </c>
      <c r="N435" s="55">
        <f>_xlfn.XLOOKUP(Survey!$K435,pipedata[ID],pipedata[WT])</f>
        <v>0.74</v>
      </c>
      <c r="O435" s="56">
        <f>_xlfn.XLOOKUP(Survey!$K435,pipedata[ID],pipedata[104%])</f>
        <v>2565.3333333333335</v>
      </c>
      <c r="P435" s="57">
        <f t="shared" si="6"/>
        <v>1850</v>
      </c>
      <c r="Q435" s="58">
        <f>_xlfn.MAXIFS(Survey!$G$2:$G$3647,Survey!$M$2:$M$3647,Survey!$M435)-Survey!$G435</f>
        <v>938.68301047738191</v>
      </c>
      <c r="R435" s="59">
        <f>Survey!$P435+(Survey!$Q435*0.433)</f>
        <v>2256.4497435367066</v>
      </c>
    </row>
    <row r="436" spans="1:18" x14ac:dyDescent="0.25">
      <c r="A436" s="71" t="s">
        <v>17</v>
      </c>
      <c r="B436" s="72" t="s">
        <v>18</v>
      </c>
      <c r="C436" s="73" t="s">
        <v>19</v>
      </c>
      <c r="D436" s="74">
        <v>230.35677831130567</v>
      </c>
      <c r="E436" s="81">
        <v>1244249</v>
      </c>
      <c r="F436" s="82">
        <v>1217275.9393979888</v>
      </c>
      <c r="G436" s="75">
        <v>1410.8046581637609</v>
      </c>
      <c r="H436" s="76">
        <v>2</v>
      </c>
      <c r="I436" s="54" t="s">
        <v>20</v>
      </c>
      <c r="J436" s="77">
        <v>40</v>
      </c>
      <c r="K436" s="78">
        <v>2</v>
      </c>
      <c r="L436" s="54">
        <v>1</v>
      </c>
      <c r="M436" s="54">
        <f>_xlfn.XLOOKUP(Survey!$F436,sections[Start],sections[Test Section],,-1,1)</f>
        <v>1</v>
      </c>
      <c r="N436" s="55">
        <f>_xlfn.XLOOKUP(Survey!$K436,pipedata[ID],pipedata[WT])</f>
        <v>0.74</v>
      </c>
      <c r="O436" s="56">
        <f>_xlfn.XLOOKUP(Survey!$K436,pipedata[ID],pipedata[104%])</f>
        <v>2565.3333333333335</v>
      </c>
      <c r="P436" s="57">
        <f t="shared" si="6"/>
        <v>1850</v>
      </c>
      <c r="Q436" s="58">
        <f>_xlfn.MAXIFS(Survey!$G$2:$G$3647,Survey!$M$2:$M$3647,Survey!$M436)-Survey!$G436</f>
        <v>943.34542942400458</v>
      </c>
      <c r="R436" s="59">
        <f>Survey!$P436+(Survey!$Q436*0.433)</f>
        <v>2258.468570940594</v>
      </c>
    </row>
    <row r="437" spans="1:18" x14ac:dyDescent="0.25">
      <c r="A437" s="60" t="s">
        <v>17</v>
      </c>
      <c r="B437" s="61" t="s">
        <v>18</v>
      </c>
      <c r="C437" s="62" t="s">
        <v>19</v>
      </c>
      <c r="D437" s="63">
        <v>230.36452060157737</v>
      </c>
      <c r="E437" s="79">
        <v>1244289</v>
      </c>
      <c r="F437" s="80">
        <v>1217314.9878234593</v>
      </c>
      <c r="G437" s="66">
        <v>1406.8083728119207</v>
      </c>
      <c r="H437" s="67">
        <v>2</v>
      </c>
      <c r="I437" s="68" t="s">
        <v>20</v>
      </c>
      <c r="J437" s="69">
        <v>40</v>
      </c>
      <c r="K437" s="70">
        <v>2</v>
      </c>
      <c r="L437" s="68">
        <v>1</v>
      </c>
      <c r="M437" s="68">
        <f>_xlfn.XLOOKUP(Survey!$F437,sections[Start],sections[Test Section],,-1,1)</f>
        <v>1</v>
      </c>
      <c r="N437" s="55">
        <f>_xlfn.XLOOKUP(Survey!$K437,pipedata[ID],pipedata[WT])</f>
        <v>0.74</v>
      </c>
      <c r="O437" s="56">
        <f>_xlfn.XLOOKUP(Survey!$K437,pipedata[ID],pipedata[104%])</f>
        <v>2565.3333333333335</v>
      </c>
      <c r="P437" s="57">
        <f t="shared" si="6"/>
        <v>1850</v>
      </c>
      <c r="Q437" s="58">
        <f>_xlfn.MAXIFS(Survey!$G$2:$G$3647,Survey!$M$2:$M$3647,Survey!$M437)-Survey!$G437</f>
        <v>947.34171477584482</v>
      </c>
      <c r="R437" s="59">
        <f>Survey!$P437+(Survey!$Q437*0.433)</f>
        <v>2260.1989624979406</v>
      </c>
    </row>
    <row r="438" spans="1:18" x14ac:dyDescent="0.25">
      <c r="A438" s="71" t="s">
        <v>17</v>
      </c>
      <c r="B438" s="72" t="s">
        <v>18</v>
      </c>
      <c r="C438" s="73" t="s">
        <v>19</v>
      </c>
      <c r="D438" s="74">
        <v>230.37087310345694</v>
      </c>
      <c r="E438" s="81">
        <v>1244329</v>
      </c>
      <c r="F438" s="82">
        <v>1217354.0362489298</v>
      </c>
      <c r="G438" s="75">
        <v>1402.6425042171434</v>
      </c>
      <c r="H438" s="76">
        <v>2</v>
      </c>
      <c r="I438" s="54" t="s">
        <v>20</v>
      </c>
      <c r="J438" s="77">
        <v>40</v>
      </c>
      <c r="K438" s="78">
        <v>2</v>
      </c>
      <c r="L438" s="54">
        <v>1</v>
      </c>
      <c r="M438" s="54">
        <f>_xlfn.XLOOKUP(Survey!$F438,sections[Start],sections[Test Section],,-1,1)</f>
        <v>1</v>
      </c>
      <c r="N438" s="55">
        <f>_xlfn.XLOOKUP(Survey!$K438,pipedata[ID],pipedata[WT])</f>
        <v>0.74</v>
      </c>
      <c r="O438" s="56">
        <f>_xlfn.XLOOKUP(Survey!$K438,pipedata[ID],pipedata[104%])</f>
        <v>2565.3333333333335</v>
      </c>
      <c r="P438" s="57">
        <f t="shared" si="6"/>
        <v>1850</v>
      </c>
      <c r="Q438" s="58">
        <f>_xlfn.MAXIFS(Survey!$G$2:$G$3647,Survey!$M$2:$M$3647,Survey!$M438)-Survey!$G438</f>
        <v>951.50758337062211</v>
      </c>
      <c r="R438" s="59">
        <f>Survey!$P438+(Survey!$Q438*0.433)</f>
        <v>2262.0027835994792</v>
      </c>
    </row>
    <row r="439" spans="1:18" x14ac:dyDescent="0.25">
      <c r="A439" s="60" t="s">
        <v>17</v>
      </c>
      <c r="B439" s="61" t="s">
        <v>18</v>
      </c>
      <c r="C439" s="62" t="s">
        <v>19</v>
      </c>
      <c r="D439" s="63">
        <v>230.3782310778642</v>
      </c>
      <c r="E439" s="79">
        <v>1244369</v>
      </c>
      <c r="F439" s="80">
        <v>1217393.0846744003</v>
      </c>
      <c r="G439" s="66">
        <v>1398.7786546680966</v>
      </c>
      <c r="H439" s="67">
        <v>2</v>
      </c>
      <c r="I439" s="68" t="s">
        <v>20</v>
      </c>
      <c r="J439" s="69">
        <v>40</v>
      </c>
      <c r="K439" s="70">
        <v>2</v>
      </c>
      <c r="L439" s="68">
        <v>1</v>
      </c>
      <c r="M439" s="68">
        <f>_xlfn.XLOOKUP(Survey!$F439,sections[Start],sections[Test Section],,-1,1)</f>
        <v>1</v>
      </c>
      <c r="N439" s="55">
        <f>_xlfn.XLOOKUP(Survey!$K439,pipedata[ID],pipedata[WT])</f>
        <v>0.74</v>
      </c>
      <c r="O439" s="56">
        <f>_xlfn.XLOOKUP(Survey!$K439,pipedata[ID],pipedata[104%])</f>
        <v>2565.3333333333335</v>
      </c>
      <c r="P439" s="57">
        <f t="shared" si="6"/>
        <v>1850</v>
      </c>
      <c r="Q439" s="58">
        <f>_xlfn.MAXIFS(Survey!$G$2:$G$3647,Survey!$M$2:$M$3647,Survey!$M439)-Survey!$G439</f>
        <v>955.37143291966891</v>
      </c>
      <c r="R439" s="59">
        <f>Survey!$P439+(Survey!$Q439*0.433)</f>
        <v>2263.6758304542168</v>
      </c>
    </row>
    <row r="440" spans="1:18" x14ac:dyDescent="0.25">
      <c r="A440" s="71" t="s">
        <v>17</v>
      </c>
      <c r="B440" s="72" t="s">
        <v>18</v>
      </c>
      <c r="C440" s="73" t="s">
        <v>19</v>
      </c>
      <c r="D440" s="74">
        <v>230.38664607048457</v>
      </c>
      <c r="E440" s="81">
        <v>1244409</v>
      </c>
      <c r="F440" s="82">
        <v>1217432.1330998708</v>
      </c>
      <c r="G440" s="75">
        <v>1394.5635437479616</v>
      </c>
      <c r="H440" s="76">
        <v>2</v>
      </c>
      <c r="I440" s="54" t="s">
        <v>20</v>
      </c>
      <c r="J440" s="77">
        <v>40</v>
      </c>
      <c r="K440" s="78">
        <v>2</v>
      </c>
      <c r="L440" s="54">
        <v>1</v>
      </c>
      <c r="M440" s="54">
        <f>_xlfn.XLOOKUP(Survey!$F440,sections[Start],sections[Test Section],,-1,1)</f>
        <v>1</v>
      </c>
      <c r="N440" s="55">
        <f>_xlfn.XLOOKUP(Survey!$K440,pipedata[ID],pipedata[WT])</f>
        <v>0.74</v>
      </c>
      <c r="O440" s="56">
        <f>_xlfn.XLOOKUP(Survey!$K440,pipedata[ID],pipedata[104%])</f>
        <v>2565.3333333333335</v>
      </c>
      <c r="P440" s="57">
        <f t="shared" si="6"/>
        <v>1850</v>
      </c>
      <c r="Q440" s="58">
        <f>_xlfn.MAXIFS(Survey!$G$2:$G$3647,Survey!$M$2:$M$3647,Survey!$M440)-Survey!$G440</f>
        <v>959.58654383980388</v>
      </c>
      <c r="R440" s="59">
        <f>Survey!$P440+(Survey!$Q440*0.433)</f>
        <v>2265.5009734826349</v>
      </c>
    </row>
    <row r="441" spans="1:18" x14ac:dyDescent="0.25">
      <c r="A441" s="60" t="s">
        <v>17</v>
      </c>
      <c r="B441" s="61" t="s">
        <v>18</v>
      </c>
      <c r="C441" s="62" t="s">
        <v>19</v>
      </c>
      <c r="D441" s="63">
        <v>230.39355419009595</v>
      </c>
      <c r="E441" s="79">
        <v>1244449</v>
      </c>
      <c r="F441" s="80">
        <v>1217471.1815253412</v>
      </c>
      <c r="G441" s="66">
        <v>1392.2432334142723</v>
      </c>
      <c r="H441" s="67">
        <v>2</v>
      </c>
      <c r="I441" s="68" t="s">
        <v>20</v>
      </c>
      <c r="J441" s="69">
        <v>40</v>
      </c>
      <c r="K441" s="70">
        <v>2</v>
      </c>
      <c r="L441" s="68">
        <v>1</v>
      </c>
      <c r="M441" s="68">
        <f>_xlfn.XLOOKUP(Survey!$F441,sections[Start],sections[Test Section],,-1,1)</f>
        <v>1</v>
      </c>
      <c r="N441" s="55">
        <f>_xlfn.XLOOKUP(Survey!$K441,pipedata[ID],pipedata[WT])</f>
        <v>0.74</v>
      </c>
      <c r="O441" s="56">
        <f>_xlfn.XLOOKUP(Survey!$K441,pipedata[ID],pipedata[104%])</f>
        <v>2565.3333333333335</v>
      </c>
      <c r="P441" s="57">
        <f t="shared" si="6"/>
        <v>1850</v>
      </c>
      <c r="Q441" s="58">
        <f>_xlfn.MAXIFS(Survey!$G$2:$G$3647,Survey!$M$2:$M$3647,Survey!$M441)-Survey!$G441</f>
        <v>961.90685417349323</v>
      </c>
      <c r="R441" s="59">
        <f>Survey!$P441+(Survey!$Q441*0.433)</f>
        <v>2266.5056678571227</v>
      </c>
    </row>
    <row r="442" spans="1:18" x14ac:dyDescent="0.25">
      <c r="A442" s="71" t="s">
        <v>17</v>
      </c>
      <c r="B442" s="72" t="s">
        <v>18</v>
      </c>
      <c r="C442" s="73" t="s">
        <v>19</v>
      </c>
      <c r="D442" s="74">
        <v>230.40129648036765</v>
      </c>
      <c r="E442" s="81">
        <v>1244489</v>
      </c>
      <c r="F442" s="82">
        <v>1217510.2299508117</v>
      </c>
      <c r="G442" s="75">
        <v>1390.3620610545288</v>
      </c>
      <c r="H442" s="76">
        <v>2</v>
      </c>
      <c r="I442" s="54" t="s">
        <v>20</v>
      </c>
      <c r="J442" s="77">
        <v>40</v>
      </c>
      <c r="K442" s="78">
        <v>2</v>
      </c>
      <c r="L442" s="54">
        <v>1</v>
      </c>
      <c r="M442" s="54">
        <f>_xlfn.XLOOKUP(Survey!$F442,sections[Start],sections[Test Section],,-1,1)</f>
        <v>1</v>
      </c>
      <c r="N442" s="55">
        <f>_xlfn.XLOOKUP(Survey!$K442,pipedata[ID],pipedata[WT])</f>
        <v>0.74</v>
      </c>
      <c r="O442" s="56">
        <f>_xlfn.XLOOKUP(Survey!$K442,pipedata[ID],pipedata[104%])</f>
        <v>2565.3333333333335</v>
      </c>
      <c r="P442" s="57">
        <f t="shared" si="6"/>
        <v>1850</v>
      </c>
      <c r="Q442" s="58">
        <f>_xlfn.MAXIFS(Survey!$G$2:$G$3647,Survey!$M$2:$M$3647,Survey!$M442)-Survey!$G442</f>
        <v>963.78802653323669</v>
      </c>
      <c r="R442" s="59">
        <f>Survey!$P442+(Survey!$Q442*0.433)</f>
        <v>2267.3202154888913</v>
      </c>
    </row>
    <row r="443" spans="1:18" x14ac:dyDescent="0.25">
      <c r="A443" s="60" t="s">
        <v>17</v>
      </c>
      <c r="B443" s="61" t="s">
        <v>18</v>
      </c>
      <c r="C443" s="62" t="s">
        <v>19</v>
      </c>
      <c r="D443" s="63">
        <v>230.40903877063931</v>
      </c>
      <c r="E443" s="79">
        <v>1244529</v>
      </c>
      <c r="F443" s="80">
        <v>1217549.2783762822</v>
      </c>
      <c r="G443" s="66">
        <v>1389.1820564477039</v>
      </c>
      <c r="H443" s="67">
        <v>2</v>
      </c>
      <c r="I443" s="68" t="s">
        <v>20</v>
      </c>
      <c r="J443" s="69">
        <v>40</v>
      </c>
      <c r="K443" s="70">
        <v>2</v>
      </c>
      <c r="L443" s="68">
        <v>1</v>
      </c>
      <c r="M443" s="68">
        <f>_xlfn.XLOOKUP(Survey!$F443,sections[Start],sections[Test Section],,-1,1)</f>
        <v>1</v>
      </c>
      <c r="N443" s="55">
        <f>_xlfn.XLOOKUP(Survey!$K443,pipedata[ID],pipedata[WT])</f>
        <v>0.74</v>
      </c>
      <c r="O443" s="56">
        <f>_xlfn.XLOOKUP(Survey!$K443,pipedata[ID],pipedata[104%])</f>
        <v>2565.3333333333335</v>
      </c>
      <c r="P443" s="57">
        <f t="shared" si="6"/>
        <v>1850</v>
      </c>
      <c r="Q443" s="58">
        <f>_xlfn.MAXIFS(Survey!$G$2:$G$3647,Survey!$M$2:$M$3647,Survey!$M443)-Survey!$G443</f>
        <v>964.96803114006161</v>
      </c>
      <c r="R443" s="59">
        <f>Survey!$P443+(Survey!$Q443*0.433)</f>
        <v>2267.8311574836466</v>
      </c>
    </row>
    <row r="444" spans="1:18" x14ac:dyDescent="0.25">
      <c r="A444" s="71" t="s">
        <v>17</v>
      </c>
      <c r="B444" s="72" t="s">
        <v>18</v>
      </c>
      <c r="C444" s="73" t="s">
        <v>19</v>
      </c>
      <c r="D444" s="74">
        <v>230.41747360803873</v>
      </c>
      <c r="E444" s="81">
        <v>1244569</v>
      </c>
      <c r="F444" s="82">
        <v>1217588.3268017527</v>
      </c>
      <c r="G444" s="75">
        <v>1387.7652846695407</v>
      </c>
      <c r="H444" s="76">
        <v>2</v>
      </c>
      <c r="I444" s="54" t="s">
        <v>20</v>
      </c>
      <c r="J444" s="77">
        <v>40</v>
      </c>
      <c r="K444" s="78">
        <v>2</v>
      </c>
      <c r="L444" s="54">
        <v>1</v>
      </c>
      <c r="M444" s="54">
        <f>_xlfn.XLOOKUP(Survey!$F444,sections[Start],sections[Test Section],,-1,1)</f>
        <v>1</v>
      </c>
      <c r="N444" s="55">
        <f>_xlfn.XLOOKUP(Survey!$K444,pipedata[ID],pipedata[WT])</f>
        <v>0.74</v>
      </c>
      <c r="O444" s="56">
        <f>_xlfn.XLOOKUP(Survey!$K444,pipedata[ID],pipedata[104%])</f>
        <v>2565.3333333333335</v>
      </c>
      <c r="P444" s="57">
        <f t="shared" si="6"/>
        <v>1850</v>
      </c>
      <c r="Q444" s="58">
        <f>_xlfn.MAXIFS(Survey!$G$2:$G$3647,Survey!$M$2:$M$3647,Survey!$M444)-Survey!$G444</f>
        <v>966.38480291822475</v>
      </c>
      <c r="R444" s="59">
        <f>Survey!$P444+(Survey!$Q444*0.433)</f>
        <v>2268.4446196635913</v>
      </c>
    </row>
    <row r="445" spans="1:18" x14ac:dyDescent="0.25">
      <c r="A445" s="60" t="s">
        <v>17</v>
      </c>
      <c r="B445" s="61" t="s">
        <v>18</v>
      </c>
      <c r="C445" s="62" t="s">
        <v>19</v>
      </c>
      <c r="D445" s="63">
        <v>230.42483158244656</v>
      </c>
      <c r="E445" s="79">
        <v>1244609</v>
      </c>
      <c r="F445" s="80">
        <v>1217627.3752272232</v>
      </c>
      <c r="G445" s="66">
        <v>1388.0036925615809</v>
      </c>
      <c r="H445" s="67">
        <v>2</v>
      </c>
      <c r="I445" s="68" t="s">
        <v>20</v>
      </c>
      <c r="J445" s="69">
        <v>40</v>
      </c>
      <c r="K445" s="70">
        <v>2</v>
      </c>
      <c r="L445" s="68">
        <v>1</v>
      </c>
      <c r="M445" s="68">
        <f>_xlfn.XLOOKUP(Survey!$F445,sections[Start],sections[Test Section],,-1,1)</f>
        <v>1</v>
      </c>
      <c r="N445" s="55">
        <f>_xlfn.XLOOKUP(Survey!$K445,pipedata[ID],pipedata[WT])</f>
        <v>0.74</v>
      </c>
      <c r="O445" s="56">
        <f>_xlfn.XLOOKUP(Survey!$K445,pipedata[ID],pipedata[104%])</f>
        <v>2565.3333333333335</v>
      </c>
      <c r="P445" s="57">
        <f t="shared" si="6"/>
        <v>1850</v>
      </c>
      <c r="Q445" s="58">
        <f>_xlfn.MAXIFS(Survey!$G$2:$G$3647,Survey!$M$2:$M$3647,Survey!$M445)-Survey!$G445</f>
        <v>966.14639502618456</v>
      </c>
      <c r="R445" s="59">
        <f>Survey!$P445+(Survey!$Q445*0.433)</f>
        <v>2268.341389046338</v>
      </c>
    </row>
    <row r="446" spans="1:18" x14ac:dyDescent="0.25">
      <c r="A446" s="71" t="s">
        <v>17</v>
      </c>
      <c r="B446" s="72" t="s">
        <v>18</v>
      </c>
      <c r="C446" s="73" t="s">
        <v>19</v>
      </c>
      <c r="D446" s="74">
        <v>230.43255044395968</v>
      </c>
      <c r="E446" s="81">
        <v>1244649</v>
      </c>
      <c r="F446" s="82">
        <v>1217666.4236526936</v>
      </c>
      <c r="G446" s="75">
        <v>1387.7490855455958</v>
      </c>
      <c r="H446" s="76">
        <v>2</v>
      </c>
      <c r="I446" s="54" t="s">
        <v>20</v>
      </c>
      <c r="J446" s="77">
        <v>40</v>
      </c>
      <c r="K446" s="78">
        <v>2</v>
      </c>
      <c r="L446" s="54">
        <v>1</v>
      </c>
      <c r="M446" s="54">
        <f>_xlfn.XLOOKUP(Survey!$F446,sections[Start],sections[Test Section],,-1,1)</f>
        <v>1</v>
      </c>
      <c r="N446" s="55">
        <f>_xlfn.XLOOKUP(Survey!$K446,pipedata[ID],pipedata[WT])</f>
        <v>0.74</v>
      </c>
      <c r="O446" s="56">
        <f>_xlfn.XLOOKUP(Survey!$K446,pipedata[ID],pipedata[104%])</f>
        <v>2565.3333333333335</v>
      </c>
      <c r="P446" s="57">
        <f t="shared" si="6"/>
        <v>1850</v>
      </c>
      <c r="Q446" s="58">
        <f>_xlfn.MAXIFS(Survey!$G$2:$G$3647,Survey!$M$2:$M$3647,Survey!$M446)-Survey!$G446</f>
        <v>966.40100204216969</v>
      </c>
      <c r="R446" s="59">
        <f>Survey!$P446+(Survey!$Q446*0.433)</f>
        <v>2268.4516338842595</v>
      </c>
    </row>
    <row r="447" spans="1:18" x14ac:dyDescent="0.25">
      <c r="A447" s="60" t="s">
        <v>17</v>
      </c>
      <c r="B447" s="61" t="s">
        <v>18</v>
      </c>
      <c r="C447" s="62" t="s">
        <v>19</v>
      </c>
      <c r="D447" s="63">
        <v>230.44000793172594</v>
      </c>
      <c r="E447" s="79">
        <v>1244689</v>
      </c>
      <c r="F447" s="80">
        <v>1217705.4720781641</v>
      </c>
      <c r="G447" s="66">
        <v>1387.0025280264124</v>
      </c>
      <c r="H447" s="67">
        <v>2</v>
      </c>
      <c r="I447" s="68" t="s">
        <v>20</v>
      </c>
      <c r="J447" s="69">
        <v>40</v>
      </c>
      <c r="K447" s="70">
        <v>2</v>
      </c>
      <c r="L447" s="68">
        <v>1</v>
      </c>
      <c r="M447" s="68">
        <f>_xlfn.XLOOKUP(Survey!$F447,sections[Start],sections[Test Section],,-1,1)</f>
        <v>1</v>
      </c>
      <c r="N447" s="55">
        <f>_xlfn.XLOOKUP(Survey!$K447,pipedata[ID],pipedata[WT])</f>
        <v>0.74</v>
      </c>
      <c r="O447" s="56">
        <f>_xlfn.XLOOKUP(Survey!$K447,pipedata[ID],pipedata[104%])</f>
        <v>2565.3333333333335</v>
      </c>
      <c r="P447" s="57">
        <f t="shared" si="6"/>
        <v>1850</v>
      </c>
      <c r="Q447" s="58">
        <f>_xlfn.MAXIFS(Survey!$G$2:$G$3647,Survey!$M$2:$M$3647,Survey!$M447)-Survey!$G447</f>
        <v>967.14755956135309</v>
      </c>
      <c r="R447" s="59">
        <f>Survey!$P447+(Survey!$Q447*0.433)</f>
        <v>2268.7748932900658</v>
      </c>
    </row>
    <row r="448" spans="1:18" x14ac:dyDescent="0.25">
      <c r="A448" s="71" t="s">
        <v>17</v>
      </c>
      <c r="B448" s="72" t="s">
        <v>18</v>
      </c>
      <c r="C448" s="73" t="s">
        <v>19</v>
      </c>
      <c r="D448" s="74">
        <v>230.44775022199764</v>
      </c>
      <c r="E448" s="81">
        <v>1244729</v>
      </c>
      <c r="F448" s="82">
        <v>1217744.5205036346</v>
      </c>
      <c r="G448" s="75">
        <v>1386.1582000692276</v>
      </c>
      <c r="H448" s="76">
        <v>2</v>
      </c>
      <c r="I448" s="54" t="s">
        <v>20</v>
      </c>
      <c r="J448" s="77">
        <v>40</v>
      </c>
      <c r="K448" s="78">
        <v>2</v>
      </c>
      <c r="L448" s="54">
        <v>1</v>
      </c>
      <c r="M448" s="54">
        <f>_xlfn.XLOOKUP(Survey!$F448,sections[Start],sections[Test Section],,-1,1)</f>
        <v>1</v>
      </c>
      <c r="N448" s="55">
        <f>_xlfn.XLOOKUP(Survey!$K448,pipedata[ID],pipedata[WT])</f>
        <v>0.74</v>
      </c>
      <c r="O448" s="56">
        <f>_xlfn.XLOOKUP(Survey!$K448,pipedata[ID],pipedata[104%])</f>
        <v>2565.3333333333335</v>
      </c>
      <c r="P448" s="57">
        <f t="shared" si="6"/>
        <v>1850</v>
      </c>
      <c r="Q448" s="58">
        <f>_xlfn.MAXIFS(Survey!$G$2:$G$3647,Survey!$M$2:$M$3647,Survey!$M448)-Survey!$G448</f>
        <v>967.99188751853785</v>
      </c>
      <c r="R448" s="59">
        <f>Survey!$P448+(Survey!$Q448*0.433)</f>
        <v>2269.1404872955268</v>
      </c>
    </row>
    <row r="449" spans="1:18" x14ac:dyDescent="0.25">
      <c r="A449" s="60" t="s">
        <v>17</v>
      </c>
      <c r="B449" s="61" t="s">
        <v>18</v>
      </c>
      <c r="C449" s="62" t="s">
        <v>19</v>
      </c>
      <c r="D449" s="63">
        <v>230.45426348007683</v>
      </c>
      <c r="E449" s="79">
        <v>1244769</v>
      </c>
      <c r="F449" s="80">
        <v>1217783.5689291051</v>
      </c>
      <c r="G449" s="66">
        <v>1385.1705746929888</v>
      </c>
      <c r="H449" s="67">
        <v>2</v>
      </c>
      <c r="I449" s="68" t="s">
        <v>20</v>
      </c>
      <c r="J449" s="69">
        <v>40</v>
      </c>
      <c r="K449" s="70">
        <v>2</v>
      </c>
      <c r="L449" s="68">
        <v>1</v>
      </c>
      <c r="M449" s="68">
        <f>_xlfn.XLOOKUP(Survey!$F449,sections[Start],sections[Test Section],,-1,1)</f>
        <v>1</v>
      </c>
      <c r="N449" s="55">
        <f>_xlfn.XLOOKUP(Survey!$K449,pipedata[ID],pipedata[WT])</f>
        <v>0.74</v>
      </c>
      <c r="O449" s="56">
        <f>_xlfn.XLOOKUP(Survey!$K449,pipedata[ID],pipedata[104%])</f>
        <v>2565.3333333333335</v>
      </c>
      <c r="P449" s="57">
        <f t="shared" si="6"/>
        <v>1850</v>
      </c>
      <c r="Q449" s="58">
        <f>_xlfn.MAXIFS(Survey!$G$2:$G$3647,Survey!$M$2:$M$3647,Survey!$M449)-Survey!$G449</f>
        <v>968.97951289477669</v>
      </c>
      <c r="R449" s="59">
        <f>Survey!$P449+(Survey!$Q449*0.433)</f>
        <v>2269.5681290834382</v>
      </c>
    </row>
    <row r="450" spans="1:18" x14ac:dyDescent="0.25">
      <c r="A450" s="71" t="s">
        <v>17</v>
      </c>
      <c r="B450" s="72" t="s">
        <v>18</v>
      </c>
      <c r="C450" s="73" t="s">
        <v>19</v>
      </c>
      <c r="D450" s="74">
        <v>230.46162145448403</v>
      </c>
      <c r="E450" s="81">
        <v>1244809</v>
      </c>
      <c r="F450" s="82">
        <v>1217822.6173545755</v>
      </c>
      <c r="G450" s="75">
        <v>1384.4693614266923</v>
      </c>
      <c r="H450" s="76">
        <v>2</v>
      </c>
      <c r="I450" s="54" t="s">
        <v>20</v>
      </c>
      <c r="J450" s="77">
        <v>40</v>
      </c>
      <c r="K450" s="78">
        <v>2</v>
      </c>
      <c r="L450" s="54">
        <v>1</v>
      </c>
      <c r="M450" s="54">
        <f>_xlfn.XLOOKUP(Survey!$F450,sections[Start],sections[Test Section],,-1,1)</f>
        <v>1</v>
      </c>
      <c r="N450" s="55">
        <f>_xlfn.XLOOKUP(Survey!$K450,pipedata[ID],pipedata[WT])</f>
        <v>0.74</v>
      </c>
      <c r="O450" s="56">
        <f>_xlfn.XLOOKUP(Survey!$K450,pipedata[ID],pipedata[104%])</f>
        <v>2565.3333333333335</v>
      </c>
      <c r="P450" s="57">
        <f t="shared" ref="P450:P513" si="7">IF(L450=1,1850,IF(L450=2,1850,2220))</f>
        <v>1850</v>
      </c>
      <c r="Q450" s="58">
        <f>_xlfn.MAXIFS(Survey!$G$2:$G$3647,Survey!$M$2:$M$3647,Survey!$M450)-Survey!$G450</f>
        <v>969.68072616107315</v>
      </c>
      <c r="R450" s="59">
        <f>Survey!$P450+(Survey!$Q450*0.433)</f>
        <v>2269.8717544277447</v>
      </c>
    </row>
    <row r="451" spans="1:18" x14ac:dyDescent="0.25">
      <c r="A451" s="60" t="s">
        <v>17</v>
      </c>
      <c r="B451" s="61" t="s">
        <v>18</v>
      </c>
      <c r="C451" s="62" t="s">
        <v>19</v>
      </c>
      <c r="D451" s="63">
        <v>230.46927394274152</v>
      </c>
      <c r="E451" s="79">
        <v>1244849</v>
      </c>
      <c r="F451" s="80">
        <v>1217861.665780046</v>
      </c>
      <c r="G451" s="66">
        <v>1381.2570783907101</v>
      </c>
      <c r="H451" s="67">
        <v>2</v>
      </c>
      <c r="I451" s="68" t="s">
        <v>20</v>
      </c>
      <c r="J451" s="69">
        <v>40</v>
      </c>
      <c r="K451" s="70">
        <v>2</v>
      </c>
      <c r="L451" s="68">
        <v>1</v>
      </c>
      <c r="M451" s="68">
        <f>_xlfn.XLOOKUP(Survey!$F451,sections[Start],sections[Test Section],,-1,1)</f>
        <v>1</v>
      </c>
      <c r="N451" s="55">
        <f>_xlfn.XLOOKUP(Survey!$K451,pipedata[ID],pipedata[WT])</f>
        <v>0.74</v>
      </c>
      <c r="O451" s="56">
        <f>_xlfn.XLOOKUP(Survey!$K451,pipedata[ID],pipedata[104%])</f>
        <v>2565.3333333333335</v>
      </c>
      <c r="P451" s="57">
        <f t="shared" si="7"/>
        <v>1850</v>
      </c>
      <c r="Q451" s="58">
        <f>_xlfn.MAXIFS(Survey!$G$2:$G$3647,Survey!$M$2:$M$3647,Survey!$M451)-Survey!$G451</f>
        <v>972.89300919705533</v>
      </c>
      <c r="R451" s="59">
        <f>Survey!$P451+(Survey!$Q451*0.433)</f>
        <v>2271.2626729823251</v>
      </c>
    </row>
    <row r="452" spans="1:18" x14ac:dyDescent="0.25">
      <c r="A452" s="71" t="s">
        <v>17</v>
      </c>
      <c r="B452" s="72" t="s">
        <v>18</v>
      </c>
      <c r="C452" s="73" t="s">
        <v>19</v>
      </c>
      <c r="D452" s="74">
        <v>230.47678381051634</v>
      </c>
      <c r="E452" s="81">
        <v>1244889</v>
      </c>
      <c r="F452" s="82">
        <v>1217900.7142055165</v>
      </c>
      <c r="G452" s="75">
        <v>1378.5408262536664</v>
      </c>
      <c r="H452" s="76">
        <v>2</v>
      </c>
      <c r="I452" s="54" t="s">
        <v>20</v>
      </c>
      <c r="J452" s="77">
        <v>40</v>
      </c>
      <c r="K452" s="78">
        <v>2</v>
      </c>
      <c r="L452" s="54">
        <v>1</v>
      </c>
      <c r="M452" s="54">
        <f>_xlfn.XLOOKUP(Survey!$F452,sections[Start],sections[Test Section],,-1,1)</f>
        <v>1</v>
      </c>
      <c r="N452" s="55">
        <f>_xlfn.XLOOKUP(Survey!$K452,pipedata[ID],pipedata[WT])</f>
        <v>0.74</v>
      </c>
      <c r="O452" s="56">
        <f>_xlfn.XLOOKUP(Survey!$K452,pipedata[ID],pipedata[104%])</f>
        <v>2565.3333333333335</v>
      </c>
      <c r="P452" s="57">
        <f t="shared" si="7"/>
        <v>1850</v>
      </c>
      <c r="Q452" s="58">
        <f>_xlfn.MAXIFS(Survey!$G$2:$G$3647,Survey!$M$2:$M$3647,Survey!$M452)-Survey!$G452</f>
        <v>975.60926133409907</v>
      </c>
      <c r="R452" s="59">
        <f>Survey!$P452+(Survey!$Q452*0.433)</f>
        <v>2272.4388101576651</v>
      </c>
    </row>
    <row r="453" spans="1:18" x14ac:dyDescent="0.25">
      <c r="A453" s="60" t="s">
        <v>17</v>
      </c>
      <c r="B453" s="61" t="s">
        <v>18</v>
      </c>
      <c r="C453" s="62" t="s">
        <v>19</v>
      </c>
      <c r="D453" s="63">
        <v>230.48452610078797</v>
      </c>
      <c r="E453" s="79">
        <v>1244929</v>
      </c>
      <c r="F453" s="80">
        <v>1217939.762630987</v>
      </c>
      <c r="G453" s="66">
        <v>1375.0840167021875</v>
      </c>
      <c r="H453" s="67">
        <v>2</v>
      </c>
      <c r="I453" s="68" t="s">
        <v>20</v>
      </c>
      <c r="J453" s="69">
        <v>40</v>
      </c>
      <c r="K453" s="70">
        <v>2</v>
      </c>
      <c r="L453" s="68">
        <v>1</v>
      </c>
      <c r="M453" s="68">
        <f>_xlfn.XLOOKUP(Survey!$F453,sections[Start],sections[Test Section],,-1,1)</f>
        <v>1</v>
      </c>
      <c r="N453" s="55">
        <f>_xlfn.XLOOKUP(Survey!$K453,pipedata[ID],pipedata[WT])</f>
        <v>0.74</v>
      </c>
      <c r="O453" s="56">
        <f>_xlfn.XLOOKUP(Survey!$K453,pipedata[ID],pipedata[104%])</f>
        <v>2565.3333333333335</v>
      </c>
      <c r="P453" s="57">
        <f t="shared" si="7"/>
        <v>1850</v>
      </c>
      <c r="Q453" s="58">
        <f>_xlfn.MAXIFS(Survey!$G$2:$G$3647,Survey!$M$2:$M$3647,Survey!$M453)-Survey!$G453</f>
        <v>979.06607088557803</v>
      </c>
      <c r="R453" s="59">
        <f>Survey!$P453+(Survey!$Q453*0.433)</f>
        <v>2273.9356086934554</v>
      </c>
    </row>
    <row r="454" spans="1:18" x14ac:dyDescent="0.25">
      <c r="A454" s="71" t="s">
        <v>17</v>
      </c>
      <c r="B454" s="72" t="s">
        <v>18</v>
      </c>
      <c r="C454" s="73" t="s">
        <v>19</v>
      </c>
      <c r="D454" s="74">
        <v>230.49185189659528</v>
      </c>
      <c r="E454" s="81">
        <v>1244969</v>
      </c>
      <c r="F454" s="82">
        <v>1217978.8110564575</v>
      </c>
      <c r="G454" s="75">
        <v>1370.2356276120693</v>
      </c>
      <c r="H454" s="76">
        <v>2</v>
      </c>
      <c r="I454" s="54" t="s">
        <v>20</v>
      </c>
      <c r="J454" s="77">
        <v>40</v>
      </c>
      <c r="K454" s="78">
        <v>2</v>
      </c>
      <c r="L454" s="54">
        <v>1</v>
      </c>
      <c r="M454" s="54">
        <f>_xlfn.XLOOKUP(Survey!$F454,sections[Start],sections[Test Section],,-1,1)</f>
        <v>1</v>
      </c>
      <c r="N454" s="55">
        <f>_xlfn.XLOOKUP(Survey!$K454,pipedata[ID],pipedata[WT])</f>
        <v>0.74</v>
      </c>
      <c r="O454" s="56">
        <f>_xlfn.XLOOKUP(Survey!$K454,pipedata[ID],pipedata[104%])</f>
        <v>2565.3333333333335</v>
      </c>
      <c r="P454" s="57">
        <f t="shared" si="7"/>
        <v>1850</v>
      </c>
      <c r="Q454" s="58">
        <f>_xlfn.MAXIFS(Survey!$G$2:$G$3647,Survey!$M$2:$M$3647,Survey!$M454)-Survey!$G454</f>
        <v>983.91445997569622</v>
      </c>
      <c r="R454" s="59">
        <f>Survey!$P454+(Survey!$Q454*0.433)</f>
        <v>2276.0349611694764</v>
      </c>
    </row>
    <row r="455" spans="1:18" x14ac:dyDescent="0.25">
      <c r="A455" s="60" t="s">
        <v>17</v>
      </c>
      <c r="B455" s="61" t="s">
        <v>18</v>
      </c>
      <c r="C455" s="62" t="s">
        <v>19</v>
      </c>
      <c r="D455" s="63">
        <v>230.49961262645317</v>
      </c>
      <c r="E455" s="79">
        <v>1245009</v>
      </c>
      <c r="F455" s="80">
        <v>1218017.8594819279</v>
      </c>
      <c r="G455" s="66">
        <v>1369.9043052936383</v>
      </c>
      <c r="H455" s="67">
        <v>2</v>
      </c>
      <c r="I455" s="68" t="s">
        <v>20</v>
      </c>
      <c r="J455" s="69">
        <v>40</v>
      </c>
      <c r="K455" s="70">
        <v>2</v>
      </c>
      <c r="L455" s="68">
        <v>1</v>
      </c>
      <c r="M455" s="68">
        <f>_xlfn.XLOOKUP(Survey!$F455,sections[Start],sections[Test Section],,-1,1)</f>
        <v>1</v>
      </c>
      <c r="N455" s="55">
        <f>_xlfn.XLOOKUP(Survey!$K455,pipedata[ID],pipedata[WT])</f>
        <v>0.74</v>
      </c>
      <c r="O455" s="56">
        <f>_xlfn.XLOOKUP(Survey!$K455,pipedata[ID],pipedata[104%])</f>
        <v>2565.3333333333335</v>
      </c>
      <c r="P455" s="57">
        <f t="shared" si="7"/>
        <v>1850</v>
      </c>
      <c r="Q455" s="58">
        <f>_xlfn.MAXIFS(Survey!$G$2:$G$3647,Survey!$M$2:$M$3647,Survey!$M455)-Survey!$G455</f>
        <v>984.24578229412714</v>
      </c>
      <c r="R455" s="59">
        <f>Survey!$P455+(Survey!$Q455*0.433)</f>
        <v>2276.1784237333568</v>
      </c>
    </row>
    <row r="456" spans="1:18" x14ac:dyDescent="0.25">
      <c r="A456" s="71" t="s">
        <v>17</v>
      </c>
      <c r="B456" s="72" t="s">
        <v>18</v>
      </c>
      <c r="C456" s="73" t="s">
        <v>19</v>
      </c>
      <c r="D456" s="74">
        <v>230.50772803249225</v>
      </c>
      <c r="E456" s="81">
        <v>1245049</v>
      </c>
      <c r="F456" s="82">
        <v>1218056.9079073984</v>
      </c>
      <c r="G456" s="75">
        <v>1372.518675467649</v>
      </c>
      <c r="H456" s="76">
        <v>2</v>
      </c>
      <c r="I456" s="54" t="s">
        <v>20</v>
      </c>
      <c r="J456" s="77">
        <v>40</v>
      </c>
      <c r="K456" s="78">
        <v>2</v>
      </c>
      <c r="L456" s="54">
        <v>1</v>
      </c>
      <c r="M456" s="54">
        <f>_xlfn.XLOOKUP(Survey!$F456,sections[Start],sections[Test Section],,-1,1)</f>
        <v>1</v>
      </c>
      <c r="N456" s="55">
        <f>_xlfn.XLOOKUP(Survey!$K456,pipedata[ID],pipedata[WT])</f>
        <v>0.74</v>
      </c>
      <c r="O456" s="56">
        <f>_xlfn.XLOOKUP(Survey!$K456,pipedata[ID],pipedata[104%])</f>
        <v>2565.3333333333335</v>
      </c>
      <c r="P456" s="57">
        <f t="shared" si="7"/>
        <v>1850</v>
      </c>
      <c r="Q456" s="58">
        <f>_xlfn.MAXIFS(Survey!$G$2:$G$3647,Survey!$M$2:$M$3647,Survey!$M456)-Survey!$G456</f>
        <v>981.63141212011647</v>
      </c>
      <c r="R456" s="59">
        <f>Survey!$P456+(Survey!$Q456*0.433)</f>
        <v>2275.0464014480103</v>
      </c>
    </row>
    <row r="457" spans="1:18" x14ac:dyDescent="0.25">
      <c r="A457" s="60" t="s">
        <v>17</v>
      </c>
      <c r="B457" s="61" t="s">
        <v>18</v>
      </c>
      <c r="C457" s="62" t="s">
        <v>19</v>
      </c>
      <c r="D457" s="63">
        <v>230.51491119031772</v>
      </c>
      <c r="E457" s="79">
        <v>1245089</v>
      </c>
      <c r="F457" s="80">
        <v>1218095.9563328689</v>
      </c>
      <c r="G457" s="66">
        <v>1372.6553774338654</v>
      </c>
      <c r="H457" s="67">
        <v>2</v>
      </c>
      <c r="I457" s="68" t="s">
        <v>20</v>
      </c>
      <c r="J457" s="69">
        <v>40</v>
      </c>
      <c r="K457" s="70">
        <v>2</v>
      </c>
      <c r="L457" s="68">
        <v>1</v>
      </c>
      <c r="M457" s="68">
        <f>_xlfn.XLOOKUP(Survey!$F457,sections[Start],sections[Test Section],,-1,1)</f>
        <v>1</v>
      </c>
      <c r="N457" s="55">
        <f>_xlfn.XLOOKUP(Survey!$K457,pipedata[ID],pipedata[WT])</f>
        <v>0.74</v>
      </c>
      <c r="O457" s="56">
        <f>_xlfn.XLOOKUP(Survey!$K457,pipedata[ID],pipedata[104%])</f>
        <v>2565.3333333333335</v>
      </c>
      <c r="P457" s="57">
        <f t="shared" si="7"/>
        <v>1850</v>
      </c>
      <c r="Q457" s="58">
        <f>_xlfn.MAXIFS(Survey!$G$2:$G$3647,Survey!$M$2:$M$3647,Survey!$M457)-Survey!$G457</f>
        <v>981.49471015390009</v>
      </c>
      <c r="R457" s="59">
        <f>Survey!$P457+(Survey!$Q457*0.433)</f>
        <v>2274.9872094966386</v>
      </c>
    </row>
    <row r="458" spans="1:18" x14ac:dyDescent="0.25">
      <c r="A458" s="71" t="s">
        <v>17</v>
      </c>
      <c r="B458" s="72" t="s">
        <v>18</v>
      </c>
      <c r="C458" s="73" t="s">
        <v>19</v>
      </c>
      <c r="D458" s="74">
        <v>230.52262015497621</v>
      </c>
      <c r="E458" s="81">
        <v>1245129</v>
      </c>
      <c r="F458" s="82">
        <v>1218135.0047583394</v>
      </c>
      <c r="G458" s="75">
        <v>1374.8946983361361</v>
      </c>
      <c r="H458" s="76">
        <v>2</v>
      </c>
      <c r="I458" s="54" t="s">
        <v>20</v>
      </c>
      <c r="J458" s="77">
        <v>40</v>
      </c>
      <c r="K458" s="78">
        <v>2</v>
      </c>
      <c r="L458" s="54">
        <v>1</v>
      </c>
      <c r="M458" s="54">
        <f>_xlfn.XLOOKUP(Survey!$F458,sections[Start],sections[Test Section],,-1,1)</f>
        <v>1</v>
      </c>
      <c r="N458" s="55">
        <f>_xlfn.XLOOKUP(Survey!$K458,pipedata[ID],pipedata[WT])</f>
        <v>0.74</v>
      </c>
      <c r="O458" s="56">
        <f>_xlfn.XLOOKUP(Survey!$K458,pipedata[ID],pipedata[104%])</f>
        <v>2565.3333333333335</v>
      </c>
      <c r="P458" s="57">
        <f t="shared" si="7"/>
        <v>1850</v>
      </c>
      <c r="Q458" s="58">
        <f>_xlfn.MAXIFS(Survey!$G$2:$G$3647,Survey!$M$2:$M$3647,Survey!$M458)-Survey!$G458</f>
        <v>979.25538925162937</v>
      </c>
      <c r="R458" s="59">
        <f>Survey!$P458+(Survey!$Q458*0.433)</f>
        <v>2274.0175835459554</v>
      </c>
    </row>
    <row r="459" spans="1:18" x14ac:dyDescent="0.25">
      <c r="A459" s="60" t="s">
        <v>17</v>
      </c>
      <c r="B459" s="61" t="s">
        <v>18</v>
      </c>
      <c r="C459" s="62" t="s">
        <v>19</v>
      </c>
      <c r="D459" s="63">
        <v>230.53004539909978</v>
      </c>
      <c r="E459" s="79">
        <v>1245169</v>
      </c>
      <c r="F459" s="80">
        <v>1218174.0531838099</v>
      </c>
      <c r="G459" s="66">
        <v>1377.2962775871538</v>
      </c>
      <c r="H459" s="67">
        <v>2</v>
      </c>
      <c r="I459" s="68" t="s">
        <v>20</v>
      </c>
      <c r="J459" s="69">
        <v>40</v>
      </c>
      <c r="K459" s="70">
        <v>2</v>
      </c>
      <c r="L459" s="68">
        <v>1</v>
      </c>
      <c r="M459" s="68">
        <f>_xlfn.XLOOKUP(Survey!$F459,sections[Start],sections[Test Section],,-1,1)</f>
        <v>1</v>
      </c>
      <c r="N459" s="55">
        <f>_xlfn.XLOOKUP(Survey!$K459,pipedata[ID],pipedata[WT])</f>
        <v>0.74</v>
      </c>
      <c r="O459" s="56">
        <f>_xlfn.XLOOKUP(Survey!$K459,pipedata[ID],pipedata[104%])</f>
        <v>2565.3333333333335</v>
      </c>
      <c r="P459" s="57">
        <f t="shared" si="7"/>
        <v>1850</v>
      </c>
      <c r="Q459" s="58">
        <f>_xlfn.MAXIFS(Survey!$G$2:$G$3647,Survey!$M$2:$M$3647,Survey!$M459)-Survey!$G459</f>
        <v>976.8538100006117</v>
      </c>
      <c r="R459" s="59">
        <f>Survey!$P459+(Survey!$Q459*0.433)</f>
        <v>2272.9776997302647</v>
      </c>
    </row>
    <row r="460" spans="1:18" x14ac:dyDescent="0.25">
      <c r="A460" s="71" t="s">
        <v>17</v>
      </c>
      <c r="B460" s="72" t="s">
        <v>18</v>
      </c>
      <c r="C460" s="73" t="s">
        <v>19</v>
      </c>
      <c r="D460" s="74">
        <v>230.53814222755716</v>
      </c>
      <c r="E460" s="81">
        <v>1245209</v>
      </c>
      <c r="F460" s="82">
        <v>1218213.1016092803</v>
      </c>
      <c r="G460" s="75">
        <v>1379.4585935756695</v>
      </c>
      <c r="H460" s="76">
        <v>2</v>
      </c>
      <c r="I460" s="54" t="s">
        <v>20</v>
      </c>
      <c r="J460" s="77">
        <v>40</v>
      </c>
      <c r="K460" s="78">
        <v>2</v>
      </c>
      <c r="L460" s="54">
        <v>1</v>
      </c>
      <c r="M460" s="54">
        <f>_xlfn.XLOOKUP(Survey!$F460,sections[Start],sections[Test Section],,-1,1)</f>
        <v>1</v>
      </c>
      <c r="N460" s="55">
        <f>_xlfn.XLOOKUP(Survey!$K460,pipedata[ID],pipedata[WT])</f>
        <v>0.74</v>
      </c>
      <c r="O460" s="56">
        <f>_xlfn.XLOOKUP(Survey!$K460,pipedata[ID],pipedata[104%])</f>
        <v>2565.3333333333335</v>
      </c>
      <c r="P460" s="57">
        <f t="shared" si="7"/>
        <v>1850</v>
      </c>
      <c r="Q460" s="58">
        <f>_xlfn.MAXIFS(Survey!$G$2:$G$3647,Survey!$M$2:$M$3647,Survey!$M460)-Survey!$G460</f>
        <v>974.69149401209597</v>
      </c>
      <c r="R460" s="59">
        <f>Survey!$P460+(Survey!$Q460*0.433)</f>
        <v>2272.0414169072374</v>
      </c>
    </row>
    <row r="461" spans="1:18" x14ac:dyDescent="0.25">
      <c r="A461" s="60" t="s">
        <v>17</v>
      </c>
      <c r="B461" s="61" t="s">
        <v>18</v>
      </c>
      <c r="C461" s="62" t="s">
        <v>19</v>
      </c>
      <c r="D461" s="63">
        <v>230.54572049087108</v>
      </c>
      <c r="E461" s="79">
        <v>1245249</v>
      </c>
      <c r="F461" s="80">
        <v>1218252.1500347508</v>
      </c>
      <c r="G461" s="66">
        <v>1377.8678289694226</v>
      </c>
      <c r="H461" s="67">
        <v>2</v>
      </c>
      <c r="I461" s="68" t="s">
        <v>20</v>
      </c>
      <c r="J461" s="69">
        <v>40</v>
      </c>
      <c r="K461" s="70">
        <v>2</v>
      </c>
      <c r="L461" s="68">
        <v>1</v>
      </c>
      <c r="M461" s="68">
        <f>_xlfn.XLOOKUP(Survey!$F461,sections[Start],sections[Test Section],,-1,1)</f>
        <v>1</v>
      </c>
      <c r="N461" s="55">
        <f>_xlfn.XLOOKUP(Survey!$K461,pipedata[ID],pipedata[WT])</f>
        <v>0.74</v>
      </c>
      <c r="O461" s="56">
        <f>_xlfn.XLOOKUP(Survey!$K461,pipedata[ID],pipedata[104%])</f>
        <v>2565.3333333333335</v>
      </c>
      <c r="P461" s="57">
        <f t="shared" si="7"/>
        <v>1850</v>
      </c>
      <c r="Q461" s="58">
        <f>_xlfn.MAXIFS(Survey!$G$2:$G$3647,Survey!$M$2:$M$3647,Survey!$M461)-Survey!$G461</f>
        <v>976.28225861834289</v>
      </c>
      <c r="R461" s="59">
        <f>Survey!$P461+(Survey!$Q461*0.433)</f>
        <v>2272.7302179817425</v>
      </c>
    </row>
    <row r="462" spans="1:18" x14ac:dyDescent="0.25">
      <c r="A462" s="71" t="s">
        <v>17</v>
      </c>
      <c r="B462" s="72" t="s">
        <v>18</v>
      </c>
      <c r="C462" s="73" t="s">
        <v>19</v>
      </c>
      <c r="D462" s="74">
        <v>230.55270340811893</v>
      </c>
      <c r="E462" s="81">
        <v>1245289</v>
      </c>
      <c r="F462" s="82">
        <v>1218291.1984602213</v>
      </c>
      <c r="G462" s="75">
        <v>1370.9173176155687</v>
      </c>
      <c r="H462" s="76">
        <v>2</v>
      </c>
      <c r="I462" s="54" t="s">
        <v>20</v>
      </c>
      <c r="J462" s="77">
        <v>40</v>
      </c>
      <c r="K462" s="78">
        <v>2</v>
      </c>
      <c r="L462" s="54">
        <v>1</v>
      </c>
      <c r="M462" s="54">
        <f>_xlfn.XLOOKUP(Survey!$F462,sections[Start],sections[Test Section],,-1,1)</f>
        <v>1</v>
      </c>
      <c r="N462" s="55">
        <f>_xlfn.XLOOKUP(Survey!$K462,pipedata[ID],pipedata[WT])</f>
        <v>0.74</v>
      </c>
      <c r="O462" s="56">
        <f>_xlfn.XLOOKUP(Survey!$K462,pipedata[ID],pipedata[104%])</f>
        <v>2565.3333333333335</v>
      </c>
      <c r="P462" s="57">
        <f t="shared" si="7"/>
        <v>1850</v>
      </c>
      <c r="Q462" s="58">
        <f>_xlfn.MAXIFS(Survey!$G$2:$G$3647,Survey!$M$2:$M$3647,Survey!$M462)-Survey!$G462</f>
        <v>983.23276997219682</v>
      </c>
      <c r="R462" s="59">
        <f>Survey!$P462+(Survey!$Q462*0.433)</f>
        <v>2275.7397893979614</v>
      </c>
    </row>
    <row r="463" spans="1:18" x14ac:dyDescent="0.25">
      <c r="A463" s="60" t="s">
        <v>17</v>
      </c>
      <c r="B463" s="61" t="s">
        <v>18</v>
      </c>
      <c r="C463" s="62" t="s">
        <v>19</v>
      </c>
      <c r="D463" s="63">
        <v>230.55979304093938</v>
      </c>
      <c r="E463" s="79">
        <v>1245329</v>
      </c>
      <c r="F463" s="80">
        <v>1218330.2468856918</v>
      </c>
      <c r="G463" s="66">
        <v>1362.2852749966253</v>
      </c>
      <c r="H463" s="67">
        <v>2</v>
      </c>
      <c r="I463" s="68" t="s">
        <v>20</v>
      </c>
      <c r="J463" s="69">
        <v>40</v>
      </c>
      <c r="K463" s="70">
        <v>2</v>
      </c>
      <c r="L463" s="68">
        <v>1</v>
      </c>
      <c r="M463" s="68">
        <f>_xlfn.XLOOKUP(Survey!$F463,sections[Start],sections[Test Section],,-1,1)</f>
        <v>1</v>
      </c>
      <c r="N463" s="55">
        <f>_xlfn.XLOOKUP(Survey!$K463,pipedata[ID],pipedata[WT])</f>
        <v>0.74</v>
      </c>
      <c r="O463" s="56">
        <f>_xlfn.XLOOKUP(Survey!$K463,pipedata[ID],pipedata[104%])</f>
        <v>2565.3333333333335</v>
      </c>
      <c r="P463" s="57">
        <f t="shared" si="7"/>
        <v>1850</v>
      </c>
      <c r="Q463" s="58">
        <f>_xlfn.MAXIFS(Survey!$G$2:$G$3647,Survey!$M$2:$M$3647,Survey!$M463)-Survey!$G463</f>
        <v>991.86481259114021</v>
      </c>
      <c r="R463" s="59">
        <f>Survey!$P463+(Survey!$Q463*0.433)</f>
        <v>2279.4774638519639</v>
      </c>
    </row>
    <row r="464" spans="1:18" x14ac:dyDescent="0.25">
      <c r="A464" s="71" t="s">
        <v>17</v>
      </c>
      <c r="B464" s="72" t="s">
        <v>18</v>
      </c>
      <c r="C464" s="73" t="s">
        <v>19</v>
      </c>
      <c r="D464" s="74">
        <v>230.56723556387161</v>
      </c>
      <c r="E464" s="81">
        <v>1245369</v>
      </c>
      <c r="F464" s="82">
        <v>1218369.2953111622</v>
      </c>
      <c r="G464" s="75">
        <v>1354.9085035894959</v>
      </c>
      <c r="H464" s="76">
        <v>2</v>
      </c>
      <c r="I464" s="54" t="s">
        <v>20</v>
      </c>
      <c r="J464" s="77">
        <v>40</v>
      </c>
      <c r="K464" s="78">
        <v>2</v>
      </c>
      <c r="L464" s="54">
        <v>1</v>
      </c>
      <c r="M464" s="54">
        <f>_xlfn.XLOOKUP(Survey!$F464,sections[Start],sections[Test Section],,-1,1)</f>
        <v>1</v>
      </c>
      <c r="N464" s="55">
        <f>_xlfn.XLOOKUP(Survey!$K464,pipedata[ID],pipedata[WT])</f>
        <v>0.74</v>
      </c>
      <c r="O464" s="56">
        <f>_xlfn.XLOOKUP(Survey!$K464,pipedata[ID],pipedata[104%])</f>
        <v>2565.3333333333335</v>
      </c>
      <c r="P464" s="57">
        <f t="shared" si="7"/>
        <v>1850</v>
      </c>
      <c r="Q464" s="58">
        <f>_xlfn.MAXIFS(Survey!$G$2:$G$3647,Survey!$M$2:$M$3647,Survey!$M464)-Survey!$G464</f>
        <v>999.24158399826956</v>
      </c>
      <c r="R464" s="59">
        <f>Survey!$P464+(Survey!$Q464*0.433)</f>
        <v>2282.6716058712509</v>
      </c>
    </row>
    <row r="465" spans="1:18" x14ac:dyDescent="0.25">
      <c r="A465" s="60" t="s">
        <v>17</v>
      </c>
      <c r="B465" s="61" t="s">
        <v>18</v>
      </c>
      <c r="C465" s="62" t="s">
        <v>19</v>
      </c>
      <c r="D465" s="63">
        <v>230.57467808680323</v>
      </c>
      <c r="E465" s="79">
        <v>1245409</v>
      </c>
      <c r="F465" s="80">
        <v>1218408.3437366327</v>
      </c>
      <c r="G465" s="66">
        <v>1350.9391826542401</v>
      </c>
      <c r="H465" s="67">
        <v>2</v>
      </c>
      <c r="I465" s="68" t="s">
        <v>20</v>
      </c>
      <c r="J465" s="69">
        <v>41</v>
      </c>
      <c r="K465" s="70">
        <v>2</v>
      </c>
      <c r="L465" s="68">
        <v>1</v>
      </c>
      <c r="M465" s="68">
        <f>_xlfn.XLOOKUP(Survey!$F465,sections[Start],sections[Test Section],,-1,1)</f>
        <v>1</v>
      </c>
      <c r="N465" s="55">
        <f>_xlfn.XLOOKUP(Survey!$K465,pipedata[ID],pipedata[WT])</f>
        <v>0.74</v>
      </c>
      <c r="O465" s="56">
        <f>_xlfn.XLOOKUP(Survey!$K465,pipedata[ID],pipedata[104%])</f>
        <v>2565.3333333333335</v>
      </c>
      <c r="P465" s="57">
        <f t="shared" si="7"/>
        <v>1850</v>
      </c>
      <c r="Q465" s="58">
        <f>_xlfn.MAXIFS(Survey!$G$2:$G$3647,Survey!$M$2:$M$3647,Survey!$M465)-Survey!$G465</f>
        <v>1003.2109049335254</v>
      </c>
      <c r="R465" s="59">
        <f>Survey!$P465+(Survey!$Q465*0.433)</f>
        <v>2284.3903218362166</v>
      </c>
    </row>
    <row r="466" spans="1:18" x14ac:dyDescent="0.25">
      <c r="A466" s="71" t="s">
        <v>17</v>
      </c>
      <c r="B466" s="72" t="s">
        <v>18</v>
      </c>
      <c r="C466" s="73" t="s">
        <v>19</v>
      </c>
      <c r="D466" s="74">
        <v>230.5832273840121</v>
      </c>
      <c r="E466" s="81">
        <v>1245450</v>
      </c>
      <c r="F466" s="82">
        <v>1218486.4405875839</v>
      </c>
      <c r="G466" s="75">
        <v>1342.9451003402905</v>
      </c>
      <c r="H466" s="76">
        <v>3</v>
      </c>
      <c r="I466" s="54" t="s">
        <v>20</v>
      </c>
      <c r="J466" s="77">
        <v>39</v>
      </c>
      <c r="K466" s="78">
        <v>3</v>
      </c>
      <c r="L466" s="54">
        <v>1</v>
      </c>
      <c r="M466" s="54">
        <f>_xlfn.XLOOKUP(Survey!$F466,sections[Start],sections[Test Section],,-1,1)</f>
        <v>1</v>
      </c>
      <c r="N466" s="55">
        <f>_xlfn.XLOOKUP(Survey!$K466,pipedata[ID],pipedata[WT])</f>
        <v>0.88800000000000001</v>
      </c>
      <c r="O466" s="56">
        <f>_xlfn.XLOOKUP(Survey!$K466,pipedata[ID],pipedata[104%])</f>
        <v>3078.4</v>
      </c>
      <c r="P466" s="57">
        <f t="shared" si="7"/>
        <v>1850</v>
      </c>
      <c r="Q466" s="58">
        <f>_xlfn.MAXIFS(Survey!$G$2:$G$3647,Survey!$M$2:$M$3647,Survey!$M466)-Survey!$G466</f>
        <v>1011.2049872474749</v>
      </c>
      <c r="R466" s="59">
        <f>Survey!$P466+(Survey!$Q466*0.433)</f>
        <v>2287.8517594781565</v>
      </c>
    </row>
    <row r="467" spans="1:18" x14ac:dyDescent="0.25">
      <c r="A467" s="60" t="s">
        <v>17</v>
      </c>
      <c r="B467" s="61" t="s">
        <v>18</v>
      </c>
      <c r="C467" s="62" t="s">
        <v>19</v>
      </c>
      <c r="D467" s="63">
        <v>230.5901170767799</v>
      </c>
      <c r="E467" s="79">
        <v>1245489</v>
      </c>
      <c r="F467" s="80">
        <v>1218526.6234027564</v>
      </c>
      <c r="G467" s="66">
        <v>1340.711656912895</v>
      </c>
      <c r="H467" s="67">
        <v>3</v>
      </c>
      <c r="I467" s="68" t="s">
        <v>20</v>
      </c>
      <c r="J467" s="69">
        <v>40</v>
      </c>
      <c r="K467" s="70">
        <v>3</v>
      </c>
      <c r="L467" s="68">
        <v>1</v>
      </c>
      <c r="M467" s="68">
        <f>_xlfn.XLOOKUP(Survey!$F467,sections[Start],sections[Test Section],,-1,1)</f>
        <v>1</v>
      </c>
      <c r="N467" s="55">
        <f>_xlfn.XLOOKUP(Survey!$K467,pipedata[ID],pipedata[WT])</f>
        <v>0.88800000000000001</v>
      </c>
      <c r="O467" s="56">
        <f>_xlfn.XLOOKUP(Survey!$K467,pipedata[ID],pipedata[104%])</f>
        <v>3078.4</v>
      </c>
      <c r="P467" s="57">
        <f t="shared" si="7"/>
        <v>1850</v>
      </c>
      <c r="Q467" s="58">
        <f>_xlfn.MAXIFS(Survey!$G$2:$G$3647,Survey!$M$2:$M$3647,Survey!$M467)-Survey!$G467</f>
        <v>1013.4384306748705</v>
      </c>
      <c r="R467" s="59">
        <f>Survey!$P467+(Survey!$Q467*0.433)</f>
        <v>2288.818840482219</v>
      </c>
    </row>
    <row r="468" spans="1:18" x14ac:dyDescent="0.25">
      <c r="A468" s="71" t="s">
        <v>17</v>
      </c>
      <c r="B468" s="72" t="s">
        <v>18</v>
      </c>
      <c r="C468" s="73" t="s">
        <v>19</v>
      </c>
      <c r="D468" s="74">
        <v>230.59787165438973</v>
      </c>
      <c r="E468" s="81">
        <v>1245529</v>
      </c>
      <c r="F468" s="82">
        <v>1218566.8062179289</v>
      </c>
      <c r="G468" s="75">
        <v>1336.873203568641</v>
      </c>
      <c r="H468" s="76">
        <v>3</v>
      </c>
      <c r="I468" s="54" t="s">
        <v>20</v>
      </c>
      <c r="J468" s="77">
        <v>40</v>
      </c>
      <c r="K468" s="78">
        <v>3</v>
      </c>
      <c r="L468" s="54">
        <v>1</v>
      </c>
      <c r="M468" s="54">
        <f>_xlfn.XLOOKUP(Survey!$F468,sections[Start],sections[Test Section],,-1,1)</f>
        <v>1</v>
      </c>
      <c r="N468" s="55">
        <f>_xlfn.XLOOKUP(Survey!$K468,pipedata[ID],pipedata[WT])</f>
        <v>0.88800000000000001</v>
      </c>
      <c r="O468" s="56">
        <f>_xlfn.XLOOKUP(Survey!$K468,pipedata[ID],pipedata[104%])</f>
        <v>3078.4</v>
      </c>
      <c r="P468" s="57">
        <f t="shared" si="7"/>
        <v>1850</v>
      </c>
      <c r="Q468" s="58">
        <f>_xlfn.MAXIFS(Survey!$G$2:$G$3647,Survey!$M$2:$M$3647,Survey!$M468)-Survey!$G468</f>
        <v>1017.2768840191245</v>
      </c>
      <c r="R468" s="59">
        <f>Survey!$P468+(Survey!$Q468*0.433)</f>
        <v>2290.4808907802808</v>
      </c>
    </row>
    <row r="469" spans="1:18" x14ac:dyDescent="0.25">
      <c r="A469" s="60" t="s">
        <v>17</v>
      </c>
      <c r="B469" s="61" t="s">
        <v>18</v>
      </c>
      <c r="C469" s="62" t="s">
        <v>19</v>
      </c>
      <c r="D469" s="63">
        <v>230.60562623199965</v>
      </c>
      <c r="E469" s="79">
        <v>1245569</v>
      </c>
      <c r="F469" s="80">
        <v>1218606.9890331014</v>
      </c>
      <c r="G469" s="66">
        <v>1332.4072625520844</v>
      </c>
      <c r="H469" s="67">
        <v>3</v>
      </c>
      <c r="I469" s="68" t="s">
        <v>20</v>
      </c>
      <c r="J469" s="69">
        <v>40</v>
      </c>
      <c r="K469" s="70">
        <v>3</v>
      </c>
      <c r="L469" s="68">
        <v>1</v>
      </c>
      <c r="M469" s="68">
        <f>_xlfn.XLOOKUP(Survey!$F469,sections[Start],sections[Test Section],,-1,1)</f>
        <v>1</v>
      </c>
      <c r="N469" s="55">
        <f>_xlfn.XLOOKUP(Survey!$K469,pipedata[ID],pipedata[WT])</f>
        <v>0.88800000000000001</v>
      </c>
      <c r="O469" s="56">
        <f>_xlfn.XLOOKUP(Survey!$K469,pipedata[ID],pipedata[104%])</f>
        <v>3078.4</v>
      </c>
      <c r="P469" s="57">
        <f t="shared" si="7"/>
        <v>1850</v>
      </c>
      <c r="Q469" s="58">
        <f>_xlfn.MAXIFS(Survey!$G$2:$G$3647,Survey!$M$2:$M$3647,Survey!$M469)-Survey!$G469</f>
        <v>1021.7428250356811</v>
      </c>
      <c r="R469" s="59">
        <f>Survey!$P469+(Survey!$Q469*0.433)</f>
        <v>2292.41464324045</v>
      </c>
    </row>
    <row r="470" spans="1:18" x14ac:dyDescent="0.25">
      <c r="A470" s="71" t="s">
        <v>17</v>
      </c>
      <c r="B470" s="72" t="s">
        <v>18</v>
      </c>
      <c r="C470" s="73" t="s">
        <v>19</v>
      </c>
      <c r="D470" s="74">
        <v>230.61338080960928</v>
      </c>
      <c r="E470" s="81">
        <v>1245609</v>
      </c>
      <c r="F470" s="82">
        <v>1218647.1718482738</v>
      </c>
      <c r="G470" s="75">
        <v>1326.8341551304757</v>
      </c>
      <c r="H470" s="76">
        <v>3</v>
      </c>
      <c r="I470" s="54" t="s">
        <v>20</v>
      </c>
      <c r="J470" s="77">
        <v>40</v>
      </c>
      <c r="K470" s="78">
        <v>3</v>
      </c>
      <c r="L470" s="54">
        <v>1</v>
      </c>
      <c r="M470" s="54">
        <f>_xlfn.XLOOKUP(Survey!$F470,sections[Start],sections[Test Section],,-1,1)</f>
        <v>1</v>
      </c>
      <c r="N470" s="55">
        <f>_xlfn.XLOOKUP(Survey!$K470,pipedata[ID],pipedata[WT])</f>
        <v>0.88800000000000001</v>
      </c>
      <c r="O470" s="56">
        <f>_xlfn.XLOOKUP(Survey!$K470,pipedata[ID],pipedata[104%])</f>
        <v>3078.4</v>
      </c>
      <c r="P470" s="57">
        <f t="shared" si="7"/>
        <v>1850</v>
      </c>
      <c r="Q470" s="58">
        <f>_xlfn.MAXIFS(Survey!$G$2:$G$3647,Survey!$M$2:$M$3647,Survey!$M470)-Survey!$G470</f>
        <v>1027.3159324572898</v>
      </c>
      <c r="R470" s="59">
        <f>Survey!$P470+(Survey!$Q470*0.433)</f>
        <v>2294.8277987540064</v>
      </c>
    </row>
    <row r="471" spans="1:18" x14ac:dyDescent="0.25">
      <c r="A471" s="60" t="s">
        <v>17</v>
      </c>
      <c r="B471" s="61" t="s">
        <v>18</v>
      </c>
      <c r="C471" s="62" t="s">
        <v>19</v>
      </c>
      <c r="D471" s="63">
        <v>230.61933322439668</v>
      </c>
      <c r="E471" s="79">
        <v>1245649</v>
      </c>
      <c r="F471" s="80">
        <v>1218687.3546634463</v>
      </c>
      <c r="G471" s="66">
        <v>1320.4526432221569</v>
      </c>
      <c r="H471" s="67">
        <v>3</v>
      </c>
      <c r="I471" s="68" t="s">
        <v>20</v>
      </c>
      <c r="J471" s="69">
        <v>40</v>
      </c>
      <c r="K471" s="70">
        <v>3</v>
      </c>
      <c r="L471" s="68">
        <v>1</v>
      </c>
      <c r="M471" s="68">
        <f>_xlfn.XLOOKUP(Survey!$F471,sections[Start],sections[Test Section],,-1,1)</f>
        <v>1</v>
      </c>
      <c r="N471" s="55">
        <f>_xlfn.XLOOKUP(Survey!$K471,pipedata[ID],pipedata[WT])</f>
        <v>0.88800000000000001</v>
      </c>
      <c r="O471" s="56">
        <f>_xlfn.XLOOKUP(Survey!$K471,pipedata[ID],pipedata[104%])</f>
        <v>3078.4</v>
      </c>
      <c r="P471" s="57">
        <f t="shared" si="7"/>
        <v>1850</v>
      </c>
      <c r="Q471" s="58">
        <f>_xlfn.MAXIFS(Survey!$G$2:$G$3647,Survey!$M$2:$M$3647,Survey!$M471)-Survey!$G471</f>
        <v>1033.6974443656086</v>
      </c>
      <c r="R471" s="59">
        <f>Survey!$P471+(Survey!$Q471*0.433)</f>
        <v>2297.5909934103083</v>
      </c>
    </row>
    <row r="472" spans="1:18" x14ac:dyDescent="0.25">
      <c r="A472" s="71" t="s">
        <v>17</v>
      </c>
      <c r="B472" s="72" t="s">
        <v>18</v>
      </c>
      <c r="C472" s="73" t="s">
        <v>19</v>
      </c>
      <c r="D472" s="74">
        <v>230.62846771798371</v>
      </c>
      <c r="E472" s="81">
        <v>1245689</v>
      </c>
      <c r="F472" s="82">
        <v>1218727.5374786188</v>
      </c>
      <c r="G472" s="75">
        <v>1316.6715949505326</v>
      </c>
      <c r="H472" s="76">
        <v>3</v>
      </c>
      <c r="I472" s="54" t="s">
        <v>20</v>
      </c>
      <c r="J472" s="77">
        <v>40</v>
      </c>
      <c r="K472" s="78">
        <v>3</v>
      </c>
      <c r="L472" s="54">
        <v>1</v>
      </c>
      <c r="M472" s="54">
        <f>_xlfn.XLOOKUP(Survey!$F472,sections[Start],sections[Test Section],,-1,1)</f>
        <v>1</v>
      </c>
      <c r="N472" s="55">
        <f>_xlfn.XLOOKUP(Survey!$K472,pipedata[ID],pipedata[WT])</f>
        <v>0.88800000000000001</v>
      </c>
      <c r="O472" s="56">
        <f>_xlfn.XLOOKUP(Survey!$K472,pipedata[ID],pipedata[104%])</f>
        <v>3078.4</v>
      </c>
      <c r="P472" s="57">
        <f t="shared" si="7"/>
        <v>1850</v>
      </c>
      <c r="Q472" s="58">
        <f>_xlfn.MAXIFS(Survey!$G$2:$G$3647,Survey!$M$2:$M$3647,Survey!$M472)-Survey!$G472</f>
        <v>1037.4784926372329</v>
      </c>
      <c r="R472" s="59">
        <f>Survey!$P472+(Survey!$Q472*0.433)</f>
        <v>2299.2281873119218</v>
      </c>
    </row>
    <row r="473" spans="1:18" x14ac:dyDescent="0.25">
      <c r="A473" s="60" t="s">
        <v>17</v>
      </c>
      <c r="B473" s="61" t="s">
        <v>18</v>
      </c>
      <c r="C473" s="62" t="s">
        <v>19</v>
      </c>
      <c r="D473" s="63">
        <v>230.63577517768928</v>
      </c>
      <c r="E473" s="79">
        <v>1245729</v>
      </c>
      <c r="F473" s="80">
        <v>1218767.7202937913</v>
      </c>
      <c r="G473" s="66">
        <v>1313.9449674324264</v>
      </c>
      <c r="H473" s="67">
        <v>3</v>
      </c>
      <c r="I473" s="68" t="s">
        <v>20</v>
      </c>
      <c r="J473" s="69">
        <v>40</v>
      </c>
      <c r="K473" s="70">
        <v>3</v>
      </c>
      <c r="L473" s="68">
        <v>1</v>
      </c>
      <c r="M473" s="68">
        <f>_xlfn.XLOOKUP(Survey!$F473,sections[Start],sections[Test Section],,-1,1)</f>
        <v>1</v>
      </c>
      <c r="N473" s="55">
        <f>_xlfn.XLOOKUP(Survey!$K473,pipedata[ID],pipedata[WT])</f>
        <v>0.88800000000000001</v>
      </c>
      <c r="O473" s="56">
        <f>_xlfn.XLOOKUP(Survey!$K473,pipedata[ID],pipedata[104%])</f>
        <v>3078.4</v>
      </c>
      <c r="P473" s="57">
        <f t="shared" si="7"/>
        <v>1850</v>
      </c>
      <c r="Q473" s="58">
        <f>_xlfn.MAXIFS(Survey!$G$2:$G$3647,Survey!$M$2:$M$3647,Survey!$M473)-Survey!$G473</f>
        <v>1040.205120155339</v>
      </c>
      <c r="R473" s="59">
        <f>Survey!$P473+(Survey!$Q473*0.433)</f>
        <v>2300.4088170272616</v>
      </c>
    </row>
    <row r="474" spans="1:18" x14ac:dyDescent="0.25">
      <c r="A474" s="71" t="s">
        <v>17</v>
      </c>
      <c r="B474" s="72" t="s">
        <v>18</v>
      </c>
      <c r="C474" s="73" t="s">
        <v>19</v>
      </c>
      <c r="D474" s="74">
        <v>230.64308263739508</v>
      </c>
      <c r="E474" s="81">
        <v>1245769</v>
      </c>
      <c r="F474" s="82">
        <v>1218807.9031089637</v>
      </c>
      <c r="G474" s="75">
        <v>1312.7686381225567</v>
      </c>
      <c r="H474" s="76">
        <v>3</v>
      </c>
      <c r="I474" s="54" t="s">
        <v>20</v>
      </c>
      <c r="J474" s="77">
        <v>40</v>
      </c>
      <c r="K474" s="78">
        <v>3</v>
      </c>
      <c r="L474" s="54">
        <v>1</v>
      </c>
      <c r="M474" s="54">
        <f>_xlfn.XLOOKUP(Survey!$F474,sections[Start],sections[Test Section],,-1,1)</f>
        <v>1</v>
      </c>
      <c r="N474" s="55">
        <f>_xlfn.XLOOKUP(Survey!$K474,pipedata[ID],pipedata[WT])</f>
        <v>0.88800000000000001</v>
      </c>
      <c r="O474" s="56">
        <f>_xlfn.XLOOKUP(Survey!$K474,pipedata[ID],pipedata[104%])</f>
        <v>3078.4</v>
      </c>
      <c r="P474" s="57">
        <f t="shared" si="7"/>
        <v>1850</v>
      </c>
      <c r="Q474" s="58">
        <f>_xlfn.MAXIFS(Survey!$G$2:$G$3647,Survey!$M$2:$M$3647,Survey!$M474)-Survey!$G474</f>
        <v>1041.3814494652088</v>
      </c>
      <c r="R474" s="59">
        <f>Survey!$P474+(Survey!$Q474*0.433)</f>
        <v>2300.9181676184353</v>
      </c>
    </row>
    <row r="475" spans="1:18" x14ac:dyDescent="0.25">
      <c r="A475" s="60" t="s">
        <v>17</v>
      </c>
      <c r="B475" s="61" t="s">
        <v>18</v>
      </c>
      <c r="C475" s="62" t="s">
        <v>19</v>
      </c>
      <c r="D475" s="63">
        <v>230.650725996392</v>
      </c>
      <c r="E475" s="79">
        <v>1245809</v>
      </c>
      <c r="F475" s="80">
        <v>1218848.0859241362</v>
      </c>
      <c r="G475" s="66">
        <v>1310.51</v>
      </c>
      <c r="H475" s="67">
        <v>3</v>
      </c>
      <c r="I475" s="68" t="s">
        <v>20</v>
      </c>
      <c r="J475" s="69">
        <v>40</v>
      </c>
      <c r="K475" s="70">
        <v>3</v>
      </c>
      <c r="L475" s="68">
        <v>1</v>
      </c>
      <c r="M475" s="68">
        <f>_xlfn.XLOOKUP(Survey!$F475,sections[Start],sections[Test Section],,-1,1)</f>
        <v>2</v>
      </c>
      <c r="N475" s="55">
        <f>_xlfn.XLOOKUP(Survey!$K475,pipedata[ID],pipedata[WT])</f>
        <v>0.88800000000000001</v>
      </c>
      <c r="O475" s="56">
        <f>_xlfn.XLOOKUP(Survey!$K475,pipedata[ID],pipedata[104%])</f>
        <v>3078.4</v>
      </c>
      <c r="P475" s="57">
        <f t="shared" si="7"/>
        <v>1850</v>
      </c>
      <c r="Q475" s="58">
        <f>_xlfn.MAXIFS(Survey!$G$2:$G$3647,Survey!$M$2:$M$3647,Survey!$M475)-Survey!$G475</f>
        <v>1453.1562442017423</v>
      </c>
      <c r="R475" s="59">
        <f>Survey!$P475+(Survey!$Q475*0.433)</f>
        <v>2479.2166537393546</v>
      </c>
    </row>
    <row r="476" spans="1:18" x14ac:dyDescent="0.25">
      <c r="A476" s="71" t="s">
        <v>17</v>
      </c>
      <c r="B476" s="72" t="s">
        <v>18</v>
      </c>
      <c r="C476" s="73" t="s">
        <v>19</v>
      </c>
      <c r="D476" s="74">
        <v>230.65769755680645</v>
      </c>
      <c r="E476" s="81">
        <v>1245849</v>
      </c>
      <c r="F476" s="82">
        <v>1218888.2687393087</v>
      </c>
      <c r="G476" s="75">
        <v>1309.3926295525278</v>
      </c>
      <c r="H476" s="76">
        <v>3</v>
      </c>
      <c r="I476" s="54" t="s">
        <v>20</v>
      </c>
      <c r="J476" s="77">
        <v>40</v>
      </c>
      <c r="K476" s="78">
        <v>3</v>
      </c>
      <c r="L476" s="54">
        <v>1</v>
      </c>
      <c r="M476" s="54">
        <f>_xlfn.XLOOKUP(Survey!$F476,sections[Start],sections[Test Section],,-1,1)</f>
        <v>2</v>
      </c>
      <c r="N476" s="55">
        <f>_xlfn.XLOOKUP(Survey!$K476,pipedata[ID],pipedata[WT])</f>
        <v>0.88800000000000001</v>
      </c>
      <c r="O476" s="56">
        <f>_xlfn.XLOOKUP(Survey!$K476,pipedata[ID],pipedata[104%])</f>
        <v>3078.4</v>
      </c>
      <c r="P476" s="57">
        <f t="shared" si="7"/>
        <v>1850</v>
      </c>
      <c r="Q476" s="58">
        <f>_xlfn.MAXIFS(Survey!$G$2:$G$3647,Survey!$M$2:$M$3647,Survey!$M476)-Survey!$G476</f>
        <v>1454.2736146492146</v>
      </c>
      <c r="R476" s="59">
        <f>Survey!$P476+(Survey!$Q476*0.433)</f>
        <v>2479.70047514311</v>
      </c>
    </row>
    <row r="477" spans="1:18" x14ac:dyDescent="0.25">
      <c r="A477" s="60" t="s">
        <v>17</v>
      </c>
      <c r="B477" s="61" t="s">
        <v>18</v>
      </c>
      <c r="C477" s="62" t="s">
        <v>19</v>
      </c>
      <c r="D477" s="63">
        <v>230.6657850477732</v>
      </c>
      <c r="E477" s="79">
        <v>1245889</v>
      </c>
      <c r="F477" s="80">
        <v>1218928.4515544812</v>
      </c>
      <c r="G477" s="66">
        <v>1308.045560296038</v>
      </c>
      <c r="H477" s="67">
        <v>3</v>
      </c>
      <c r="I477" s="68" t="s">
        <v>20</v>
      </c>
      <c r="J477" s="69">
        <v>40</v>
      </c>
      <c r="K477" s="70">
        <v>3</v>
      </c>
      <c r="L477" s="68">
        <v>1</v>
      </c>
      <c r="M477" s="68">
        <f>_xlfn.XLOOKUP(Survey!$F477,sections[Start],sections[Test Section],,-1,1)</f>
        <v>2</v>
      </c>
      <c r="N477" s="55">
        <f>_xlfn.XLOOKUP(Survey!$K477,pipedata[ID],pipedata[WT])</f>
        <v>0.88800000000000001</v>
      </c>
      <c r="O477" s="56">
        <f>_xlfn.XLOOKUP(Survey!$K477,pipedata[ID],pipedata[104%])</f>
        <v>3078.4</v>
      </c>
      <c r="P477" s="57">
        <f t="shared" si="7"/>
        <v>1850</v>
      </c>
      <c r="Q477" s="58">
        <f>_xlfn.MAXIFS(Survey!$G$2:$G$3647,Survey!$M$2:$M$3647,Survey!$M477)-Survey!$G477</f>
        <v>1455.6206839057043</v>
      </c>
      <c r="R477" s="59">
        <f>Survey!$P477+(Survey!$Q477*0.433)</f>
        <v>2480.2837561311699</v>
      </c>
    </row>
    <row r="478" spans="1:18" x14ac:dyDescent="0.25">
      <c r="A478" s="71" t="s">
        <v>17</v>
      </c>
      <c r="B478" s="72" t="s">
        <v>18</v>
      </c>
      <c r="C478" s="73" t="s">
        <v>19</v>
      </c>
      <c r="D478" s="74">
        <v>230.67231247621785</v>
      </c>
      <c r="E478" s="81">
        <v>1245929</v>
      </c>
      <c r="F478" s="82">
        <v>1218968.6343696536</v>
      </c>
      <c r="G478" s="75">
        <v>1305.9939126405898</v>
      </c>
      <c r="H478" s="76">
        <v>3</v>
      </c>
      <c r="I478" s="54" t="s">
        <v>20</v>
      </c>
      <c r="J478" s="77">
        <v>40</v>
      </c>
      <c r="K478" s="78">
        <v>3</v>
      </c>
      <c r="L478" s="54">
        <v>1</v>
      </c>
      <c r="M478" s="54">
        <f>_xlfn.XLOOKUP(Survey!$F478,sections[Start],sections[Test Section],,-1,1)</f>
        <v>2</v>
      </c>
      <c r="N478" s="55">
        <f>_xlfn.XLOOKUP(Survey!$K478,pipedata[ID],pipedata[WT])</f>
        <v>0.88800000000000001</v>
      </c>
      <c r="O478" s="56">
        <f>_xlfn.XLOOKUP(Survey!$K478,pipedata[ID],pipedata[104%])</f>
        <v>3078.4</v>
      </c>
      <c r="P478" s="57">
        <f t="shared" si="7"/>
        <v>1850</v>
      </c>
      <c r="Q478" s="58">
        <f>_xlfn.MAXIFS(Survey!$G$2:$G$3647,Survey!$M$2:$M$3647,Survey!$M478)-Survey!$G478</f>
        <v>1457.6723315611525</v>
      </c>
      <c r="R478" s="59">
        <f>Survey!$P478+(Survey!$Q478*0.433)</f>
        <v>2481.1721195659793</v>
      </c>
    </row>
    <row r="479" spans="1:18" x14ac:dyDescent="0.25">
      <c r="A479" s="60" t="s">
        <v>17</v>
      </c>
      <c r="B479" s="61" t="s">
        <v>18</v>
      </c>
      <c r="C479" s="62" t="s">
        <v>19</v>
      </c>
      <c r="D479" s="63">
        <v>230.68084409915366</v>
      </c>
      <c r="E479" s="79">
        <v>1245969</v>
      </c>
      <c r="F479" s="80">
        <v>1219008.8171848261</v>
      </c>
      <c r="G479" s="66">
        <v>1303.5503401503729</v>
      </c>
      <c r="H479" s="67">
        <v>3</v>
      </c>
      <c r="I479" s="68" t="s">
        <v>20</v>
      </c>
      <c r="J479" s="69">
        <v>50</v>
      </c>
      <c r="K479" s="70">
        <v>3</v>
      </c>
      <c r="L479" s="68">
        <v>1</v>
      </c>
      <c r="M479" s="68">
        <f>_xlfn.XLOOKUP(Survey!$F479,sections[Start],sections[Test Section],,-1,1)</f>
        <v>2</v>
      </c>
      <c r="N479" s="55">
        <f>_xlfn.XLOOKUP(Survey!$K479,pipedata[ID],pipedata[WT])</f>
        <v>0.88800000000000001</v>
      </c>
      <c r="O479" s="56">
        <f>_xlfn.XLOOKUP(Survey!$K479,pipedata[ID],pipedata[104%])</f>
        <v>3078.4</v>
      </c>
      <c r="P479" s="57">
        <f t="shared" si="7"/>
        <v>1850</v>
      </c>
      <c r="Q479" s="58">
        <f>_xlfn.MAXIFS(Survey!$G$2:$G$3647,Survey!$M$2:$M$3647,Survey!$M479)-Survey!$G479</f>
        <v>1460.1159040513694</v>
      </c>
      <c r="R479" s="59">
        <f>Survey!$P479+(Survey!$Q479*0.433)</f>
        <v>2482.2301864542428</v>
      </c>
    </row>
    <row r="480" spans="1:18" x14ac:dyDescent="0.25">
      <c r="A480" s="71" t="s">
        <v>17</v>
      </c>
      <c r="B480" s="72" t="s">
        <v>18</v>
      </c>
      <c r="C480" s="73" t="s">
        <v>19</v>
      </c>
      <c r="D480" s="74">
        <v>230.68890200161582</v>
      </c>
      <c r="E480" s="81">
        <v>1246019</v>
      </c>
      <c r="F480" s="82">
        <v>1219049</v>
      </c>
      <c r="G480" s="75">
        <v>1298.2340820645168</v>
      </c>
      <c r="H480" s="76">
        <v>3</v>
      </c>
      <c r="I480" s="54" t="s">
        <v>21</v>
      </c>
      <c r="J480" s="77">
        <v>30</v>
      </c>
      <c r="K480" s="78">
        <v>5</v>
      </c>
      <c r="L480" s="54">
        <v>1</v>
      </c>
      <c r="M480" s="54">
        <f>_xlfn.XLOOKUP(Survey!$F480,sections[Start],sections[Test Section],,-1,1)</f>
        <v>2</v>
      </c>
      <c r="N480" s="55">
        <f>_xlfn.XLOOKUP(Survey!$K480,pipedata[ID],pipedata[WT])</f>
        <v>0.88800000000000001</v>
      </c>
      <c r="O480" s="56">
        <f>_xlfn.XLOOKUP(Survey!$K480,pipedata[ID],pipedata[104%])</f>
        <v>3078.4</v>
      </c>
      <c r="P480" s="57">
        <f t="shared" si="7"/>
        <v>1850</v>
      </c>
      <c r="Q480" s="58">
        <f>_xlfn.MAXIFS(Survey!$G$2:$G$3647,Survey!$M$2:$M$3647,Survey!$M480)-Survey!$G480</f>
        <v>1465.4321621372255</v>
      </c>
      <c r="R480" s="59">
        <f>Survey!$P480+(Survey!$Q480*0.433)</f>
        <v>2484.5321262054185</v>
      </c>
    </row>
    <row r="481" spans="1:18" x14ac:dyDescent="0.25">
      <c r="A481" s="60" t="s">
        <v>17</v>
      </c>
      <c r="B481" s="61" t="s">
        <v>18</v>
      </c>
      <c r="C481" s="62" t="s">
        <v>19</v>
      </c>
      <c r="D481" s="63">
        <v>230.69406645630991</v>
      </c>
      <c r="E481" s="79">
        <v>1246049</v>
      </c>
      <c r="F481" s="80">
        <v>1219089</v>
      </c>
      <c r="G481" s="66">
        <v>1283.0613808937928</v>
      </c>
      <c r="H481" s="67">
        <v>3</v>
      </c>
      <c r="I481" s="68" t="s">
        <v>21</v>
      </c>
      <c r="J481" s="69">
        <v>50</v>
      </c>
      <c r="K481" s="70">
        <v>5</v>
      </c>
      <c r="L481" s="68">
        <v>1</v>
      </c>
      <c r="M481" s="68">
        <f>_xlfn.XLOOKUP(Survey!$F481,sections[Start],sections[Test Section],,-1,1)</f>
        <v>2</v>
      </c>
      <c r="N481" s="55">
        <f>_xlfn.XLOOKUP(Survey!$K481,pipedata[ID],pipedata[WT])</f>
        <v>0.88800000000000001</v>
      </c>
      <c r="O481" s="56">
        <f>_xlfn.XLOOKUP(Survey!$K481,pipedata[ID],pipedata[104%])</f>
        <v>3078.4</v>
      </c>
      <c r="P481" s="57">
        <f t="shared" si="7"/>
        <v>1850</v>
      </c>
      <c r="Q481" s="58">
        <f>_xlfn.MAXIFS(Survey!$G$2:$G$3647,Survey!$M$2:$M$3647,Survey!$M481)-Survey!$G481</f>
        <v>1480.6048633079495</v>
      </c>
      <c r="R481" s="59">
        <f>Survey!$P481+(Survey!$Q481*0.433)</f>
        <v>2491.101905812342</v>
      </c>
    </row>
    <row r="482" spans="1:18" x14ac:dyDescent="0.25">
      <c r="A482" s="71" t="s">
        <v>17</v>
      </c>
      <c r="B482" s="72" t="s">
        <v>18</v>
      </c>
      <c r="C482" s="73" t="s">
        <v>19</v>
      </c>
      <c r="D482" s="74">
        <v>230.70290679970896</v>
      </c>
      <c r="E482" s="81">
        <v>1246099</v>
      </c>
      <c r="F482" s="82">
        <v>1219129</v>
      </c>
      <c r="G482" s="75">
        <v>1278.9485161911659</v>
      </c>
      <c r="H482" s="76">
        <v>3</v>
      </c>
      <c r="I482" s="54" t="s">
        <v>20</v>
      </c>
      <c r="J482" s="77">
        <v>30</v>
      </c>
      <c r="K482" s="78">
        <v>3</v>
      </c>
      <c r="L482" s="54">
        <v>1</v>
      </c>
      <c r="M482" s="54">
        <f>_xlfn.XLOOKUP(Survey!$F482,sections[Start],sections[Test Section],,-1,1)</f>
        <v>2</v>
      </c>
      <c r="N482" s="55">
        <f>_xlfn.XLOOKUP(Survey!$K482,pipedata[ID],pipedata[WT])</f>
        <v>0.88800000000000001</v>
      </c>
      <c r="O482" s="56">
        <f>_xlfn.XLOOKUP(Survey!$K482,pipedata[ID],pipedata[104%])</f>
        <v>3078.4</v>
      </c>
      <c r="P482" s="57">
        <f t="shared" si="7"/>
        <v>1850</v>
      </c>
      <c r="Q482" s="58">
        <f>_xlfn.MAXIFS(Survey!$G$2:$G$3647,Survey!$M$2:$M$3647,Survey!$M482)-Survey!$G482</f>
        <v>1484.7177280105764</v>
      </c>
      <c r="R482" s="59">
        <f>Survey!$P482+(Survey!$Q482*0.433)</f>
        <v>2492.8827762285796</v>
      </c>
    </row>
    <row r="483" spans="1:18" x14ac:dyDescent="0.25">
      <c r="A483" s="60" t="s">
        <v>17</v>
      </c>
      <c r="B483" s="61" t="s">
        <v>18</v>
      </c>
      <c r="C483" s="62" t="s">
        <v>19</v>
      </c>
      <c r="D483" s="63">
        <v>230.71002933726629</v>
      </c>
      <c r="E483" s="79">
        <v>1246129</v>
      </c>
      <c r="F483" s="80">
        <v>1219163</v>
      </c>
      <c r="G483" s="66">
        <v>1277.1039398448243</v>
      </c>
      <c r="H483" s="67">
        <v>3</v>
      </c>
      <c r="I483" s="68" t="s">
        <v>20</v>
      </c>
      <c r="J483" s="69">
        <v>40</v>
      </c>
      <c r="K483" s="70">
        <v>3</v>
      </c>
      <c r="L483" s="68">
        <v>1</v>
      </c>
      <c r="M483" s="68">
        <f>_xlfn.XLOOKUP(Survey!$F483,sections[Start],sections[Test Section],,-1,1)</f>
        <v>2</v>
      </c>
      <c r="N483" s="55">
        <f>_xlfn.XLOOKUP(Survey!$K483,pipedata[ID],pipedata[WT])</f>
        <v>0.88800000000000001</v>
      </c>
      <c r="O483" s="56">
        <f>_xlfn.XLOOKUP(Survey!$K483,pipedata[ID],pipedata[104%])</f>
        <v>3078.4</v>
      </c>
      <c r="P483" s="57">
        <f t="shared" si="7"/>
        <v>1850</v>
      </c>
      <c r="Q483" s="58">
        <f>_xlfn.MAXIFS(Survey!$G$2:$G$3647,Survey!$M$2:$M$3647,Survey!$M483)-Survey!$G483</f>
        <v>1486.562304356918</v>
      </c>
      <c r="R483" s="59">
        <f>Survey!$P483+(Survey!$Q483*0.433)</f>
        <v>2493.6814777865457</v>
      </c>
    </row>
    <row r="484" spans="1:18" x14ac:dyDescent="0.25">
      <c r="A484" s="71" t="s">
        <v>17</v>
      </c>
      <c r="B484" s="72" t="s">
        <v>18</v>
      </c>
      <c r="C484" s="73" t="s">
        <v>19</v>
      </c>
      <c r="D484" s="74">
        <v>230.71724799753366</v>
      </c>
      <c r="E484" s="81">
        <v>1246169</v>
      </c>
      <c r="F484" s="82">
        <v>1219197</v>
      </c>
      <c r="G484" s="75">
        <v>1276.1187721210158</v>
      </c>
      <c r="H484" s="76">
        <v>3</v>
      </c>
      <c r="I484" s="54" t="s">
        <v>20</v>
      </c>
      <c r="J484" s="77">
        <v>38</v>
      </c>
      <c r="K484" s="78">
        <v>3</v>
      </c>
      <c r="L484" s="54">
        <v>1</v>
      </c>
      <c r="M484" s="54">
        <f>_xlfn.XLOOKUP(Survey!$F484,sections[Start],sections[Test Section],,-1,1)</f>
        <v>2</v>
      </c>
      <c r="N484" s="55">
        <f>_xlfn.XLOOKUP(Survey!$K484,pipedata[ID],pipedata[WT])</f>
        <v>0.88800000000000001</v>
      </c>
      <c r="O484" s="56">
        <f>_xlfn.XLOOKUP(Survey!$K484,pipedata[ID],pipedata[104%])</f>
        <v>3078.4</v>
      </c>
      <c r="P484" s="57">
        <f t="shared" si="7"/>
        <v>1850</v>
      </c>
      <c r="Q484" s="58">
        <f>_xlfn.MAXIFS(Survey!$G$2:$G$3647,Survey!$M$2:$M$3647,Survey!$M484)-Survey!$G484</f>
        <v>1487.5474720807265</v>
      </c>
      <c r="R484" s="59">
        <f>Survey!$P484+(Survey!$Q484*0.433)</f>
        <v>2494.1080554109544</v>
      </c>
    </row>
    <row r="485" spans="1:18" x14ac:dyDescent="0.25">
      <c r="A485" s="60" t="s">
        <v>17</v>
      </c>
      <c r="B485" s="61" t="s">
        <v>18</v>
      </c>
      <c r="C485" s="62" t="s">
        <v>19</v>
      </c>
      <c r="D485" s="63">
        <v>230.72526565002173</v>
      </c>
      <c r="E485" s="79">
        <v>1246207</v>
      </c>
      <c r="F485" s="80">
        <v>1219231</v>
      </c>
      <c r="G485" s="66">
        <v>1267.7661333406159</v>
      </c>
      <c r="H485" s="67">
        <v>3</v>
      </c>
      <c r="I485" s="68" t="s">
        <v>21</v>
      </c>
      <c r="J485" s="69">
        <v>40</v>
      </c>
      <c r="K485" s="70">
        <v>5</v>
      </c>
      <c r="L485" s="68">
        <v>1</v>
      </c>
      <c r="M485" s="68">
        <f>_xlfn.XLOOKUP(Survey!$F485,sections[Start],sections[Test Section],,-1,1)</f>
        <v>2</v>
      </c>
      <c r="N485" s="55">
        <f>_xlfn.XLOOKUP(Survey!$K485,pipedata[ID],pipedata[WT])</f>
        <v>0.88800000000000001</v>
      </c>
      <c r="O485" s="56">
        <f>_xlfn.XLOOKUP(Survey!$K485,pipedata[ID],pipedata[104%])</f>
        <v>3078.4</v>
      </c>
      <c r="P485" s="57">
        <f t="shared" si="7"/>
        <v>1850</v>
      </c>
      <c r="Q485" s="58">
        <f>_xlfn.MAXIFS(Survey!$G$2:$G$3647,Survey!$M$2:$M$3647,Survey!$M485)-Survey!$G485</f>
        <v>1495.9001108611264</v>
      </c>
      <c r="R485" s="59">
        <f>Survey!$P485+(Survey!$Q485*0.433)</f>
        <v>2497.7247480028677</v>
      </c>
    </row>
    <row r="486" spans="1:18" x14ac:dyDescent="0.25">
      <c r="A486" s="71" t="s">
        <v>17</v>
      </c>
      <c r="B486" s="72" t="s">
        <v>18</v>
      </c>
      <c r="C486" s="73" t="s">
        <v>19</v>
      </c>
      <c r="D486" s="74">
        <v>230.73233425927327</v>
      </c>
      <c r="E486" s="81">
        <v>1246247</v>
      </c>
      <c r="F486" s="82">
        <v>1219271</v>
      </c>
      <c r="G486" s="75">
        <v>1264.7654212956131</v>
      </c>
      <c r="H486" s="76">
        <v>3</v>
      </c>
      <c r="I486" s="54" t="s">
        <v>20</v>
      </c>
      <c r="J486" s="77">
        <v>42</v>
      </c>
      <c r="K486" s="78">
        <v>3</v>
      </c>
      <c r="L486" s="54">
        <v>1</v>
      </c>
      <c r="M486" s="54">
        <f>_xlfn.XLOOKUP(Survey!$F486,sections[Start],sections[Test Section],,-1,1)</f>
        <v>2</v>
      </c>
      <c r="N486" s="55">
        <f>_xlfn.XLOOKUP(Survey!$K486,pipedata[ID],pipedata[WT])</f>
        <v>0.88800000000000001</v>
      </c>
      <c r="O486" s="56">
        <f>_xlfn.XLOOKUP(Survey!$K486,pipedata[ID],pipedata[104%])</f>
        <v>3078.4</v>
      </c>
      <c r="P486" s="57">
        <f t="shared" si="7"/>
        <v>1850</v>
      </c>
      <c r="Q486" s="58">
        <f>_xlfn.MAXIFS(Survey!$G$2:$G$3647,Survey!$M$2:$M$3647,Survey!$M486)-Survey!$G486</f>
        <v>1498.9008229061292</v>
      </c>
      <c r="R486" s="59">
        <f>Survey!$P486+(Survey!$Q486*0.433)</f>
        <v>2499.0240563183538</v>
      </c>
    </row>
    <row r="487" spans="1:18" x14ac:dyDescent="0.25">
      <c r="A487" s="60" t="s">
        <v>17</v>
      </c>
      <c r="B487" s="61" t="s">
        <v>18</v>
      </c>
      <c r="C487" s="62" t="s">
        <v>19</v>
      </c>
      <c r="D487" s="63">
        <v>230.74003750493381</v>
      </c>
      <c r="E487" s="79">
        <v>1246289</v>
      </c>
      <c r="F487" s="80">
        <v>1219310</v>
      </c>
      <c r="G487" s="66">
        <v>1268.7906434235947</v>
      </c>
      <c r="H487" s="67">
        <v>3</v>
      </c>
      <c r="I487" s="68" t="s">
        <v>20</v>
      </c>
      <c r="J487" s="69">
        <v>40</v>
      </c>
      <c r="K487" s="70">
        <v>3</v>
      </c>
      <c r="L487" s="68">
        <v>1</v>
      </c>
      <c r="M487" s="68">
        <f>_xlfn.XLOOKUP(Survey!$F487,sections[Start],sections[Test Section],,-1,1)</f>
        <v>2</v>
      </c>
      <c r="N487" s="55">
        <f>_xlfn.XLOOKUP(Survey!$K487,pipedata[ID],pipedata[WT])</f>
        <v>0.88800000000000001</v>
      </c>
      <c r="O487" s="56">
        <f>_xlfn.XLOOKUP(Survey!$K487,pipedata[ID],pipedata[104%])</f>
        <v>3078.4</v>
      </c>
      <c r="P487" s="57">
        <f t="shared" si="7"/>
        <v>1850</v>
      </c>
      <c r="Q487" s="58">
        <f>_xlfn.MAXIFS(Survey!$G$2:$G$3647,Survey!$M$2:$M$3647,Survey!$M487)-Survey!$G487</f>
        <v>1494.8756007781476</v>
      </c>
      <c r="R487" s="59">
        <f>Survey!$P487+(Survey!$Q487*0.433)</f>
        <v>2497.2811351369378</v>
      </c>
    </row>
    <row r="488" spans="1:18" x14ac:dyDescent="0.25">
      <c r="A488" s="71" t="s">
        <v>17</v>
      </c>
      <c r="B488" s="72" t="s">
        <v>18</v>
      </c>
      <c r="C488" s="73" t="s">
        <v>19</v>
      </c>
      <c r="D488" s="74">
        <v>230.74774075059435</v>
      </c>
      <c r="E488" s="81">
        <v>1246329</v>
      </c>
      <c r="F488" s="82">
        <v>1219349</v>
      </c>
      <c r="G488" s="75">
        <v>1269.9962794975302</v>
      </c>
      <c r="H488" s="76">
        <v>3</v>
      </c>
      <c r="I488" s="54" t="s">
        <v>20</v>
      </c>
      <c r="J488" s="77">
        <v>40</v>
      </c>
      <c r="K488" s="78">
        <v>3</v>
      </c>
      <c r="L488" s="54">
        <v>1</v>
      </c>
      <c r="M488" s="54">
        <f>_xlfn.XLOOKUP(Survey!$F488,sections[Start],sections[Test Section],,-1,1)</f>
        <v>2</v>
      </c>
      <c r="N488" s="55">
        <f>_xlfn.XLOOKUP(Survey!$K488,pipedata[ID],pipedata[WT])</f>
        <v>0.88800000000000001</v>
      </c>
      <c r="O488" s="56">
        <f>_xlfn.XLOOKUP(Survey!$K488,pipedata[ID],pipedata[104%])</f>
        <v>3078.4</v>
      </c>
      <c r="P488" s="57">
        <f t="shared" si="7"/>
        <v>1850</v>
      </c>
      <c r="Q488" s="58">
        <f>_xlfn.MAXIFS(Survey!$G$2:$G$3647,Survey!$M$2:$M$3647,Survey!$M488)-Survey!$G488</f>
        <v>1493.6699647042121</v>
      </c>
      <c r="R488" s="59">
        <f>Survey!$P488+(Survey!$Q488*0.433)</f>
        <v>2496.7590947169238</v>
      </c>
    </row>
    <row r="489" spans="1:18" x14ac:dyDescent="0.25">
      <c r="A489" s="60" t="s">
        <v>17</v>
      </c>
      <c r="B489" s="61" t="s">
        <v>18</v>
      </c>
      <c r="C489" s="62" t="s">
        <v>19</v>
      </c>
      <c r="D489" s="63">
        <v>230.75472881270613</v>
      </c>
      <c r="E489" s="79">
        <v>1246369</v>
      </c>
      <c r="F489" s="80">
        <v>1219388</v>
      </c>
      <c r="G489" s="66">
        <v>1271.8142248975651</v>
      </c>
      <c r="H489" s="67">
        <v>3</v>
      </c>
      <c r="I489" s="68" t="s">
        <v>20</v>
      </c>
      <c r="J489" s="69">
        <v>40</v>
      </c>
      <c r="K489" s="70">
        <v>3</v>
      </c>
      <c r="L489" s="68">
        <v>1</v>
      </c>
      <c r="M489" s="68">
        <f>_xlfn.XLOOKUP(Survey!$F489,sections[Start],sections[Test Section],,-1,1)</f>
        <v>2</v>
      </c>
      <c r="N489" s="55">
        <f>_xlfn.XLOOKUP(Survey!$K489,pipedata[ID],pipedata[WT])</f>
        <v>0.88800000000000001</v>
      </c>
      <c r="O489" s="56">
        <f>_xlfn.XLOOKUP(Survey!$K489,pipedata[ID],pipedata[104%])</f>
        <v>3078.4</v>
      </c>
      <c r="P489" s="57">
        <f t="shared" si="7"/>
        <v>1850</v>
      </c>
      <c r="Q489" s="58">
        <f>_xlfn.MAXIFS(Survey!$G$2:$G$3647,Survey!$M$2:$M$3647,Survey!$M489)-Survey!$G489</f>
        <v>1491.8520193041772</v>
      </c>
      <c r="R489" s="59">
        <f>Survey!$P489+(Survey!$Q489*0.433)</f>
        <v>2495.9719243587087</v>
      </c>
    </row>
    <row r="490" spans="1:18" x14ac:dyDescent="0.25">
      <c r="A490" s="71" t="s">
        <v>17</v>
      </c>
      <c r="B490" s="72" t="s">
        <v>18</v>
      </c>
      <c r="C490" s="73" t="s">
        <v>19</v>
      </c>
      <c r="D490" s="74">
        <v>230.76274165607475</v>
      </c>
      <c r="E490" s="81">
        <v>1246409</v>
      </c>
      <c r="F490" s="82">
        <v>1219427</v>
      </c>
      <c r="G490" s="75">
        <v>1273.759518119437</v>
      </c>
      <c r="H490" s="76">
        <v>3</v>
      </c>
      <c r="I490" s="54" t="s">
        <v>20</v>
      </c>
      <c r="J490" s="77">
        <v>40</v>
      </c>
      <c r="K490" s="78">
        <v>3</v>
      </c>
      <c r="L490" s="54">
        <v>1</v>
      </c>
      <c r="M490" s="54">
        <f>_xlfn.XLOOKUP(Survey!$F490,sections[Start],sections[Test Section],,-1,1)</f>
        <v>2</v>
      </c>
      <c r="N490" s="55">
        <f>_xlfn.XLOOKUP(Survey!$K490,pipedata[ID],pipedata[WT])</f>
        <v>0.88800000000000001</v>
      </c>
      <c r="O490" s="56">
        <f>_xlfn.XLOOKUP(Survey!$K490,pipedata[ID],pipedata[104%])</f>
        <v>3078.4</v>
      </c>
      <c r="P490" s="57">
        <f t="shared" si="7"/>
        <v>1850</v>
      </c>
      <c r="Q490" s="58">
        <f>_xlfn.MAXIFS(Survey!$G$2:$G$3647,Survey!$M$2:$M$3647,Survey!$M490)-Survey!$G490</f>
        <v>1489.9067260823053</v>
      </c>
      <c r="R490" s="59">
        <f>Survey!$P490+(Survey!$Q490*0.433)</f>
        <v>2495.1296123936381</v>
      </c>
    </row>
    <row r="491" spans="1:18" x14ac:dyDescent="0.25">
      <c r="A491" s="60" t="s">
        <v>17</v>
      </c>
      <c r="B491" s="61" t="s">
        <v>18</v>
      </c>
      <c r="C491" s="62" t="s">
        <v>19</v>
      </c>
      <c r="D491" s="63">
        <v>230.7705641129092</v>
      </c>
      <c r="E491" s="79">
        <v>1246449</v>
      </c>
      <c r="F491" s="80">
        <v>1219466</v>
      </c>
      <c r="G491" s="66">
        <v>1274.500772175727</v>
      </c>
      <c r="H491" s="67">
        <v>3</v>
      </c>
      <c r="I491" s="68" t="s">
        <v>20</v>
      </c>
      <c r="J491" s="69">
        <v>40</v>
      </c>
      <c r="K491" s="70">
        <v>3</v>
      </c>
      <c r="L491" s="68">
        <v>1</v>
      </c>
      <c r="M491" s="68">
        <f>_xlfn.XLOOKUP(Survey!$F491,sections[Start],sections[Test Section],,-1,1)</f>
        <v>2</v>
      </c>
      <c r="N491" s="55">
        <f>_xlfn.XLOOKUP(Survey!$K491,pipedata[ID],pipedata[WT])</f>
        <v>0.88800000000000001</v>
      </c>
      <c r="O491" s="56">
        <f>_xlfn.XLOOKUP(Survey!$K491,pipedata[ID],pipedata[104%])</f>
        <v>3078.4</v>
      </c>
      <c r="P491" s="57">
        <f t="shared" si="7"/>
        <v>1850</v>
      </c>
      <c r="Q491" s="58">
        <f>_xlfn.MAXIFS(Survey!$G$2:$G$3647,Survey!$M$2:$M$3647,Survey!$M491)-Survey!$G491</f>
        <v>1489.1654720260153</v>
      </c>
      <c r="R491" s="59">
        <f>Survey!$P491+(Survey!$Q491*0.433)</f>
        <v>2494.8086493872647</v>
      </c>
    </row>
    <row r="492" spans="1:18" x14ac:dyDescent="0.25">
      <c r="A492" s="71" t="s">
        <v>17</v>
      </c>
      <c r="B492" s="72" t="s">
        <v>18</v>
      </c>
      <c r="C492" s="73" t="s">
        <v>19</v>
      </c>
      <c r="D492" s="74">
        <v>230.77756893475078</v>
      </c>
      <c r="E492" s="81">
        <v>1246489</v>
      </c>
      <c r="F492" s="82">
        <v>1219505</v>
      </c>
      <c r="G492" s="75">
        <v>1274.9995330419233</v>
      </c>
      <c r="H492" s="76">
        <v>3</v>
      </c>
      <c r="I492" s="54" t="s">
        <v>20</v>
      </c>
      <c r="J492" s="77">
        <v>40</v>
      </c>
      <c r="K492" s="78">
        <v>3</v>
      </c>
      <c r="L492" s="54">
        <v>1</v>
      </c>
      <c r="M492" s="54">
        <f>_xlfn.XLOOKUP(Survey!$F492,sections[Start],sections[Test Section],,-1,1)</f>
        <v>2</v>
      </c>
      <c r="N492" s="55">
        <f>_xlfn.XLOOKUP(Survey!$K492,pipedata[ID],pipedata[WT])</f>
        <v>0.88800000000000001</v>
      </c>
      <c r="O492" s="56">
        <f>_xlfn.XLOOKUP(Survey!$K492,pipedata[ID],pipedata[104%])</f>
        <v>3078.4</v>
      </c>
      <c r="P492" s="57">
        <f t="shared" si="7"/>
        <v>1850</v>
      </c>
      <c r="Q492" s="58">
        <f>_xlfn.MAXIFS(Survey!$G$2:$G$3647,Survey!$M$2:$M$3647,Survey!$M492)-Survey!$G492</f>
        <v>1488.666711159819</v>
      </c>
      <c r="R492" s="59">
        <f>Survey!$P492+(Survey!$Q492*0.433)</f>
        <v>2494.5926859322017</v>
      </c>
    </row>
    <row r="493" spans="1:18" x14ac:dyDescent="0.25">
      <c r="A493" s="60" t="s">
        <v>17</v>
      </c>
      <c r="B493" s="61" t="s">
        <v>18</v>
      </c>
      <c r="C493" s="62" t="s">
        <v>19</v>
      </c>
      <c r="D493" s="63">
        <v>230.78459673903285</v>
      </c>
      <c r="E493" s="79">
        <v>1246529</v>
      </c>
      <c r="F493" s="80">
        <v>1219544</v>
      </c>
      <c r="G493" s="66">
        <v>1275.6907142556133</v>
      </c>
      <c r="H493" s="67">
        <v>3</v>
      </c>
      <c r="I493" s="68" t="s">
        <v>20</v>
      </c>
      <c r="J493" s="69">
        <v>69</v>
      </c>
      <c r="K493" s="70">
        <v>3</v>
      </c>
      <c r="L493" s="68">
        <v>1</v>
      </c>
      <c r="M493" s="68">
        <f>_xlfn.XLOOKUP(Survey!$F493,sections[Start],sections[Test Section],,-1,1)</f>
        <v>2</v>
      </c>
      <c r="N493" s="55">
        <f>_xlfn.XLOOKUP(Survey!$K493,pipedata[ID],pipedata[WT])</f>
        <v>0.88800000000000001</v>
      </c>
      <c r="O493" s="56">
        <f>_xlfn.XLOOKUP(Survey!$K493,pipedata[ID],pipedata[104%])</f>
        <v>3078.4</v>
      </c>
      <c r="P493" s="57">
        <f t="shared" si="7"/>
        <v>1850</v>
      </c>
      <c r="Q493" s="58">
        <f>_xlfn.MAXIFS(Survey!$G$2:$G$3647,Survey!$M$2:$M$3647,Survey!$M493)-Survey!$G493</f>
        <v>1487.975529946129</v>
      </c>
      <c r="R493" s="59">
        <f>Survey!$P493+(Survey!$Q493*0.433)</f>
        <v>2494.2934044666736</v>
      </c>
    </row>
    <row r="494" spans="1:18" x14ac:dyDescent="0.25">
      <c r="A494" s="71" t="s">
        <v>17</v>
      </c>
      <c r="B494" s="72" t="s">
        <v>18</v>
      </c>
      <c r="C494" s="73" t="s">
        <v>19</v>
      </c>
      <c r="D494" s="74">
        <v>230.79308336898791</v>
      </c>
      <c r="E494" s="81">
        <v>1246598</v>
      </c>
      <c r="F494" s="82">
        <v>1219622</v>
      </c>
      <c r="G494" s="75">
        <v>1275.8487454960498</v>
      </c>
      <c r="H494" s="76">
        <v>8</v>
      </c>
      <c r="I494" s="54" t="s">
        <v>20</v>
      </c>
      <c r="J494" s="77">
        <v>5</v>
      </c>
      <c r="K494" s="78">
        <v>8</v>
      </c>
      <c r="L494" s="54">
        <v>1</v>
      </c>
      <c r="M494" s="54">
        <f>_xlfn.XLOOKUP(Survey!$F494,sections[Start],sections[Test Section],,-1,1)</f>
        <v>2</v>
      </c>
      <c r="N494" s="55">
        <f>_xlfn.XLOOKUP(Survey!$K494,pipedata[ID],pipedata[WT])</f>
        <v>0</v>
      </c>
      <c r="O494" s="56">
        <f>_xlfn.XLOOKUP(Survey!$K494,pipedata[ID],pipedata[104%])</f>
        <v>2308.8000000000002</v>
      </c>
      <c r="P494" s="57">
        <f t="shared" si="7"/>
        <v>1850</v>
      </c>
      <c r="Q494" s="58">
        <f>_xlfn.MAXIFS(Survey!$G$2:$G$3647,Survey!$M$2:$M$3647,Survey!$M494)-Survey!$G494</f>
        <v>1487.8174987056925</v>
      </c>
      <c r="R494" s="59">
        <f>Survey!$P494+(Survey!$Q494*0.433)</f>
        <v>2494.2249769395648</v>
      </c>
    </row>
    <row r="495" spans="1:18" x14ac:dyDescent="0.25">
      <c r="A495" s="60" t="s">
        <v>17</v>
      </c>
      <c r="B495" s="61" t="s">
        <v>18</v>
      </c>
      <c r="C495" s="62" t="s">
        <v>19</v>
      </c>
      <c r="D495" s="63">
        <v>230.80086894409826</v>
      </c>
      <c r="E495" s="79">
        <v>1246603</v>
      </c>
      <c r="F495" s="80">
        <v>1219627</v>
      </c>
      <c r="G495" s="66">
        <v>1274.6482795067263</v>
      </c>
      <c r="H495" s="67">
        <v>3</v>
      </c>
      <c r="I495" s="68" t="s">
        <v>21</v>
      </c>
      <c r="J495" s="69">
        <v>46</v>
      </c>
      <c r="K495" s="70">
        <v>5</v>
      </c>
      <c r="L495" s="68">
        <v>1</v>
      </c>
      <c r="M495" s="68">
        <f>_xlfn.XLOOKUP(Survey!$F495,sections[Start],sections[Test Section],,-1,1)</f>
        <v>2</v>
      </c>
      <c r="N495" s="55">
        <f>_xlfn.XLOOKUP(Survey!$K495,pipedata[ID],pipedata[WT])</f>
        <v>0.88800000000000001</v>
      </c>
      <c r="O495" s="56">
        <f>_xlfn.XLOOKUP(Survey!$K495,pipedata[ID],pipedata[104%])</f>
        <v>3078.4</v>
      </c>
      <c r="P495" s="57">
        <f t="shared" si="7"/>
        <v>1850</v>
      </c>
      <c r="Q495" s="58">
        <f>_xlfn.MAXIFS(Survey!$G$2:$G$3647,Survey!$M$2:$M$3647,Survey!$M495)-Survey!$G495</f>
        <v>1489.017964695016</v>
      </c>
      <c r="R495" s="59">
        <f>Survey!$P495+(Survey!$Q495*0.433)</f>
        <v>2494.7447787129418</v>
      </c>
    </row>
    <row r="496" spans="1:18" x14ac:dyDescent="0.25">
      <c r="A496" s="71" t="s">
        <v>17</v>
      </c>
      <c r="B496" s="72" t="s">
        <v>18</v>
      </c>
      <c r="C496" s="73" t="s">
        <v>19</v>
      </c>
      <c r="D496" s="74">
        <v>230.80722349210228</v>
      </c>
      <c r="E496" s="81">
        <v>1246649</v>
      </c>
      <c r="F496" s="82">
        <v>1219661.2857142857</v>
      </c>
      <c r="G496" s="75">
        <v>1288.6051277006993</v>
      </c>
      <c r="H496" s="76">
        <v>3</v>
      </c>
      <c r="I496" s="54" t="s">
        <v>21</v>
      </c>
      <c r="J496" s="77">
        <v>40</v>
      </c>
      <c r="K496" s="78">
        <v>5</v>
      </c>
      <c r="L496" s="54">
        <v>1</v>
      </c>
      <c r="M496" s="54">
        <f>_xlfn.XLOOKUP(Survey!$F496,sections[Start],sections[Test Section],,-1,1)</f>
        <v>2</v>
      </c>
      <c r="N496" s="55">
        <f>_xlfn.XLOOKUP(Survey!$K496,pipedata[ID],pipedata[WT])</f>
        <v>0.88800000000000001</v>
      </c>
      <c r="O496" s="56">
        <f>_xlfn.XLOOKUP(Survey!$K496,pipedata[ID],pipedata[104%])</f>
        <v>3078.4</v>
      </c>
      <c r="P496" s="57">
        <f t="shared" si="7"/>
        <v>1850</v>
      </c>
      <c r="Q496" s="58">
        <f>_xlfn.MAXIFS(Survey!$G$2:$G$3647,Survey!$M$2:$M$3647,Survey!$M496)-Survey!$G496</f>
        <v>1475.061116501043</v>
      </c>
      <c r="R496" s="59">
        <f>Survey!$P496+(Survey!$Q496*0.433)</f>
        <v>2488.7014634449515</v>
      </c>
    </row>
    <row r="497" spans="1:18" x14ac:dyDescent="0.25">
      <c r="A497" s="60" t="s">
        <v>17</v>
      </c>
      <c r="B497" s="61" t="s">
        <v>18</v>
      </c>
      <c r="C497" s="62" t="s">
        <v>19</v>
      </c>
      <c r="D497" s="63">
        <v>230.81499933157775</v>
      </c>
      <c r="E497" s="79">
        <v>1246689</v>
      </c>
      <c r="F497" s="80">
        <v>1219695.5714285714</v>
      </c>
      <c r="G497" s="66">
        <v>1294.9564999317749</v>
      </c>
      <c r="H497" s="67">
        <v>3</v>
      </c>
      <c r="I497" s="68" t="s">
        <v>21</v>
      </c>
      <c r="J497" s="69">
        <v>40</v>
      </c>
      <c r="K497" s="70">
        <v>5</v>
      </c>
      <c r="L497" s="68">
        <v>1</v>
      </c>
      <c r="M497" s="68">
        <f>_xlfn.XLOOKUP(Survey!$F497,sections[Start],sections[Test Section],,-1,1)</f>
        <v>2</v>
      </c>
      <c r="N497" s="55">
        <f>_xlfn.XLOOKUP(Survey!$K497,pipedata[ID],pipedata[WT])</f>
        <v>0.88800000000000001</v>
      </c>
      <c r="O497" s="56">
        <f>_xlfn.XLOOKUP(Survey!$K497,pipedata[ID],pipedata[104%])</f>
        <v>3078.4</v>
      </c>
      <c r="P497" s="57">
        <f t="shared" si="7"/>
        <v>1850</v>
      </c>
      <c r="Q497" s="58">
        <f>_xlfn.MAXIFS(Survey!$G$2:$G$3647,Survey!$M$2:$M$3647,Survey!$M497)-Survey!$G497</f>
        <v>1468.7097442699674</v>
      </c>
      <c r="R497" s="59">
        <f>Survey!$P497+(Survey!$Q497*0.433)</f>
        <v>2485.951319268896</v>
      </c>
    </row>
    <row r="498" spans="1:18" x14ac:dyDescent="0.25">
      <c r="A498" s="71" t="s">
        <v>17</v>
      </c>
      <c r="B498" s="72" t="s">
        <v>18</v>
      </c>
      <c r="C498" s="73" t="s">
        <v>19</v>
      </c>
      <c r="D498" s="74">
        <v>230.82262542146432</v>
      </c>
      <c r="E498" s="81">
        <v>1246729</v>
      </c>
      <c r="F498" s="82">
        <v>1219729.857142857</v>
      </c>
      <c r="G498" s="75">
        <v>1299.2914596135784</v>
      </c>
      <c r="H498" s="76">
        <v>3</v>
      </c>
      <c r="I498" s="54" t="s">
        <v>21</v>
      </c>
      <c r="J498" s="77">
        <v>40</v>
      </c>
      <c r="K498" s="78">
        <v>5</v>
      </c>
      <c r="L498" s="54">
        <v>1</v>
      </c>
      <c r="M498" s="54">
        <f>_xlfn.XLOOKUP(Survey!$F498,sections[Start],sections[Test Section],,-1,1)</f>
        <v>2</v>
      </c>
      <c r="N498" s="55">
        <f>_xlfn.XLOOKUP(Survey!$K498,pipedata[ID],pipedata[WT])</f>
        <v>0.88800000000000001</v>
      </c>
      <c r="O498" s="56">
        <f>_xlfn.XLOOKUP(Survey!$K498,pipedata[ID],pipedata[104%])</f>
        <v>3078.4</v>
      </c>
      <c r="P498" s="57">
        <f t="shared" si="7"/>
        <v>1850</v>
      </c>
      <c r="Q498" s="58">
        <f>_xlfn.MAXIFS(Survey!$G$2:$G$3647,Survey!$M$2:$M$3647,Survey!$M498)-Survey!$G498</f>
        <v>1464.3747845881639</v>
      </c>
      <c r="R498" s="59">
        <f>Survey!$P498+(Survey!$Q498*0.433)</f>
        <v>2484.0742817266751</v>
      </c>
    </row>
    <row r="499" spans="1:18" x14ac:dyDescent="0.25">
      <c r="A499" s="60" t="s">
        <v>17</v>
      </c>
      <c r="B499" s="61" t="s">
        <v>18</v>
      </c>
      <c r="C499" s="62" t="s">
        <v>19</v>
      </c>
      <c r="D499" s="63">
        <v>230.82976973928638</v>
      </c>
      <c r="E499" s="79">
        <v>1246769</v>
      </c>
      <c r="F499" s="80">
        <v>1219764.1428571427</v>
      </c>
      <c r="G499" s="66">
        <v>1301.7653268085</v>
      </c>
      <c r="H499" s="67">
        <v>3</v>
      </c>
      <c r="I499" s="68" t="s">
        <v>21</v>
      </c>
      <c r="J499" s="69">
        <v>40</v>
      </c>
      <c r="K499" s="70">
        <v>5</v>
      </c>
      <c r="L499" s="68">
        <v>1</v>
      </c>
      <c r="M499" s="68">
        <f>_xlfn.XLOOKUP(Survey!$F499,sections[Start],sections[Test Section],,-1,1)</f>
        <v>2</v>
      </c>
      <c r="N499" s="55">
        <f>_xlfn.XLOOKUP(Survey!$K499,pipedata[ID],pipedata[WT])</f>
        <v>0.88800000000000001</v>
      </c>
      <c r="O499" s="56">
        <f>_xlfn.XLOOKUP(Survey!$K499,pipedata[ID],pipedata[104%])</f>
        <v>3078.4</v>
      </c>
      <c r="P499" s="57">
        <f t="shared" si="7"/>
        <v>1850</v>
      </c>
      <c r="Q499" s="58">
        <f>_xlfn.MAXIFS(Survey!$G$2:$G$3647,Survey!$M$2:$M$3647,Survey!$M499)-Survey!$G499</f>
        <v>1461.9009173932423</v>
      </c>
      <c r="R499" s="59">
        <f>Survey!$P499+(Survey!$Q499*0.433)</f>
        <v>2483.0030972312738</v>
      </c>
    </row>
    <row r="500" spans="1:18" x14ac:dyDescent="0.25">
      <c r="A500" s="71" t="s">
        <v>17</v>
      </c>
      <c r="B500" s="72" t="s">
        <v>18</v>
      </c>
      <c r="C500" s="73" t="s">
        <v>19</v>
      </c>
      <c r="D500" s="74">
        <v>230.8368088047398</v>
      </c>
      <c r="E500" s="81">
        <v>1246809</v>
      </c>
      <c r="F500" s="82">
        <v>1219798.4285714284</v>
      </c>
      <c r="G500" s="75">
        <v>1299.0155578806384</v>
      </c>
      <c r="H500" s="76">
        <v>3</v>
      </c>
      <c r="I500" s="54" t="s">
        <v>21</v>
      </c>
      <c r="J500" s="77">
        <v>34</v>
      </c>
      <c r="K500" s="78">
        <v>5</v>
      </c>
      <c r="L500" s="54">
        <v>1</v>
      </c>
      <c r="M500" s="54">
        <f>_xlfn.XLOOKUP(Survey!$F500,sections[Start],sections[Test Section],,-1,1)</f>
        <v>2</v>
      </c>
      <c r="N500" s="55">
        <f>_xlfn.XLOOKUP(Survey!$K500,pipedata[ID],pipedata[WT])</f>
        <v>0.88800000000000001</v>
      </c>
      <c r="O500" s="56">
        <f>_xlfn.XLOOKUP(Survey!$K500,pipedata[ID],pipedata[104%])</f>
        <v>3078.4</v>
      </c>
      <c r="P500" s="57">
        <f t="shared" si="7"/>
        <v>1850</v>
      </c>
      <c r="Q500" s="58">
        <f>_xlfn.MAXIFS(Survey!$G$2:$G$3647,Survey!$M$2:$M$3647,Survey!$M500)-Survey!$G500</f>
        <v>1464.6506863211039</v>
      </c>
      <c r="R500" s="59">
        <f>Survey!$P500+(Survey!$Q500*0.433)</f>
        <v>2484.1937471770379</v>
      </c>
    </row>
    <row r="501" spans="1:18" x14ac:dyDescent="0.25">
      <c r="A501" s="60" t="s">
        <v>17</v>
      </c>
      <c r="B501" s="61" t="s">
        <v>18</v>
      </c>
      <c r="C501" s="62" t="s">
        <v>19</v>
      </c>
      <c r="D501" s="63">
        <v>230.84328457881347</v>
      </c>
      <c r="E501" s="79">
        <v>1246843</v>
      </c>
      <c r="F501" s="80">
        <v>1219867</v>
      </c>
      <c r="G501" s="66">
        <v>1301.8445142188966</v>
      </c>
      <c r="H501" s="67">
        <v>3</v>
      </c>
      <c r="I501" s="68" t="s">
        <v>20</v>
      </c>
      <c r="J501" s="69">
        <v>46</v>
      </c>
      <c r="K501" s="70">
        <v>3</v>
      </c>
      <c r="L501" s="68">
        <v>1</v>
      </c>
      <c r="M501" s="68">
        <f>_xlfn.XLOOKUP(Survey!$F501,sections[Start],sections[Test Section],,-1,1)</f>
        <v>2</v>
      </c>
      <c r="N501" s="55">
        <f>_xlfn.XLOOKUP(Survey!$K501,pipedata[ID],pipedata[WT])</f>
        <v>0.88800000000000001</v>
      </c>
      <c r="O501" s="56">
        <f>_xlfn.XLOOKUP(Survey!$K501,pipedata[ID],pipedata[104%])</f>
        <v>3078.4</v>
      </c>
      <c r="P501" s="57">
        <f t="shared" si="7"/>
        <v>1850</v>
      </c>
      <c r="Q501" s="58">
        <f>_xlfn.MAXIFS(Survey!$G$2:$G$3647,Survey!$M$2:$M$3647,Survey!$M501)-Survey!$G501</f>
        <v>1461.8217299828457</v>
      </c>
      <c r="R501" s="59">
        <f>Survey!$P501+(Survey!$Q501*0.433)</f>
        <v>2482.9688090825721</v>
      </c>
    </row>
    <row r="502" spans="1:18" x14ac:dyDescent="0.25">
      <c r="A502" s="71" t="s">
        <v>17</v>
      </c>
      <c r="B502" s="72" t="s">
        <v>18</v>
      </c>
      <c r="C502" s="73" t="s">
        <v>19</v>
      </c>
      <c r="D502" s="74">
        <v>230.85095477857232</v>
      </c>
      <c r="E502" s="81">
        <v>1246889</v>
      </c>
      <c r="F502" s="82">
        <v>1219904.0602409639</v>
      </c>
      <c r="G502" s="75">
        <v>1309.6375000002288</v>
      </c>
      <c r="H502" s="76">
        <v>3</v>
      </c>
      <c r="I502" s="54" t="s">
        <v>20</v>
      </c>
      <c r="J502" s="77">
        <v>40</v>
      </c>
      <c r="K502" s="78">
        <v>3</v>
      </c>
      <c r="L502" s="54">
        <v>1</v>
      </c>
      <c r="M502" s="54">
        <f>_xlfn.XLOOKUP(Survey!$F502,sections[Start],sections[Test Section],,-1,1)</f>
        <v>2</v>
      </c>
      <c r="N502" s="55">
        <f>_xlfn.XLOOKUP(Survey!$K502,pipedata[ID],pipedata[WT])</f>
        <v>0.88800000000000001</v>
      </c>
      <c r="O502" s="56">
        <f>_xlfn.XLOOKUP(Survey!$K502,pipedata[ID],pipedata[104%])</f>
        <v>3078.4</v>
      </c>
      <c r="P502" s="57">
        <f t="shared" si="7"/>
        <v>1850</v>
      </c>
      <c r="Q502" s="58">
        <f>_xlfn.MAXIFS(Survey!$G$2:$G$3647,Survey!$M$2:$M$3647,Survey!$M502)-Survey!$G502</f>
        <v>1454.0287442015135</v>
      </c>
      <c r="R502" s="59">
        <f>Survey!$P502+(Survey!$Q502*0.433)</f>
        <v>2479.5944462392554</v>
      </c>
    </row>
    <row r="503" spans="1:18" x14ac:dyDescent="0.25">
      <c r="A503" s="60" t="s">
        <v>17</v>
      </c>
      <c r="B503" s="61" t="s">
        <v>18</v>
      </c>
      <c r="C503" s="62" t="s">
        <v>19</v>
      </c>
      <c r="D503" s="63">
        <v>230.85828503654767</v>
      </c>
      <c r="E503" s="79">
        <v>1246929</v>
      </c>
      <c r="F503" s="80">
        <v>1219941.1204819279</v>
      </c>
      <c r="G503" s="66">
        <v>1322.0868520795709</v>
      </c>
      <c r="H503" s="67">
        <v>3</v>
      </c>
      <c r="I503" s="68" t="s">
        <v>20</v>
      </c>
      <c r="J503" s="69">
        <v>40</v>
      </c>
      <c r="K503" s="70">
        <v>3</v>
      </c>
      <c r="L503" s="68">
        <v>1</v>
      </c>
      <c r="M503" s="68">
        <f>_xlfn.XLOOKUP(Survey!$F503,sections[Start],sections[Test Section],,-1,1)</f>
        <v>2</v>
      </c>
      <c r="N503" s="55">
        <f>_xlfn.XLOOKUP(Survey!$K503,pipedata[ID],pipedata[WT])</f>
        <v>0.88800000000000001</v>
      </c>
      <c r="O503" s="56">
        <f>_xlfn.XLOOKUP(Survey!$K503,pipedata[ID],pipedata[104%])</f>
        <v>3078.4</v>
      </c>
      <c r="P503" s="57">
        <f t="shared" si="7"/>
        <v>1850</v>
      </c>
      <c r="Q503" s="58">
        <f>_xlfn.MAXIFS(Survey!$G$2:$G$3647,Survey!$M$2:$M$3647,Survey!$M503)-Survey!$G503</f>
        <v>1441.5793921221714</v>
      </c>
      <c r="R503" s="59">
        <f>Survey!$P503+(Survey!$Q503*0.433)</f>
        <v>2474.2038767889003</v>
      </c>
    </row>
    <row r="504" spans="1:18" x14ac:dyDescent="0.25">
      <c r="A504" s="71" t="s">
        <v>17</v>
      </c>
      <c r="B504" s="72" t="s">
        <v>18</v>
      </c>
      <c r="C504" s="73" t="s">
        <v>19</v>
      </c>
      <c r="D504" s="74">
        <v>230.86617277329771</v>
      </c>
      <c r="E504" s="81">
        <v>1246969</v>
      </c>
      <c r="F504" s="82">
        <v>1219978.1807228918</v>
      </c>
      <c r="G504" s="75">
        <v>1326.5653249812792</v>
      </c>
      <c r="H504" s="76">
        <v>3</v>
      </c>
      <c r="I504" s="54" t="s">
        <v>20</v>
      </c>
      <c r="J504" s="77">
        <v>40</v>
      </c>
      <c r="K504" s="78">
        <v>3</v>
      </c>
      <c r="L504" s="54">
        <v>1</v>
      </c>
      <c r="M504" s="54">
        <f>_xlfn.XLOOKUP(Survey!$F504,sections[Start],sections[Test Section],,-1,1)</f>
        <v>2</v>
      </c>
      <c r="N504" s="55">
        <f>_xlfn.XLOOKUP(Survey!$K504,pipedata[ID],pipedata[WT])</f>
        <v>0.88800000000000001</v>
      </c>
      <c r="O504" s="56">
        <f>_xlfn.XLOOKUP(Survey!$K504,pipedata[ID],pipedata[104%])</f>
        <v>3078.4</v>
      </c>
      <c r="P504" s="57">
        <f t="shared" si="7"/>
        <v>1850</v>
      </c>
      <c r="Q504" s="58">
        <f>_xlfn.MAXIFS(Survey!$G$2:$G$3647,Survey!$M$2:$M$3647,Survey!$M504)-Survey!$G504</f>
        <v>1437.1009192204631</v>
      </c>
      <c r="R504" s="59">
        <f>Survey!$P504+(Survey!$Q504*0.433)</f>
        <v>2472.2646980224604</v>
      </c>
    </row>
    <row r="505" spans="1:18" x14ac:dyDescent="0.25">
      <c r="A505" s="60" t="s">
        <v>17</v>
      </c>
      <c r="B505" s="61" t="s">
        <v>18</v>
      </c>
      <c r="C505" s="62" t="s">
        <v>19</v>
      </c>
      <c r="D505" s="63">
        <v>230.87353042087921</v>
      </c>
      <c r="E505" s="79">
        <v>1247009</v>
      </c>
      <c r="F505" s="80">
        <v>1220015.2409638558</v>
      </c>
      <c r="G505" s="66">
        <v>1330.2077269227243</v>
      </c>
      <c r="H505" s="67">
        <v>3</v>
      </c>
      <c r="I505" s="68" t="s">
        <v>20</v>
      </c>
      <c r="J505" s="69">
        <v>40</v>
      </c>
      <c r="K505" s="70">
        <v>3</v>
      </c>
      <c r="L505" s="68">
        <v>1</v>
      </c>
      <c r="M505" s="68">
        <f>_xlfn.XLOOKUP(Survey!$F505,sections[Start],sections[Test Section],,-1,1)</f>
        <v>2</v>
      </c>
      <c r="N505" s="55">
        <f>_xlfn.XLOOKUP(Survey!$K505,pipedata[ID],pipedata[WT])</f>
        <v>0.88800000000000001</v>
      </c>
      <c r="O505" s="56">
        <f>_xlfn.XLOOKUP(Survey!$K505,pipedata[ID],pipedata[104%])</f>
        <v>3078.4</v>
      </c>
      <c r="P505" s="57">
        <f t="shared" si="7"/>
        <v>1850</v>
      </c>
      <c r="Q505" s="58">
        <f>_xlfn.MAXIFS(Survey!$G$2:$G$3647,Survey!$M$2:$M$3647,Survey!$M505)-Survey!$G505</f>
        <v>1433.458517279018</v>
      </c>
      <c r="R505" s="59">
        <f>Survey!$P505+(Survey!$Q505*0.433)</f>
        <v>2470.6875379818148</v>
      </c>
    </row>
    <row r="506" spans="1:18" x14ac:dyDescent="0.25">
      <c r="A506" s="71" t="s">
        <v>17</v>
      </c>
      <c r="B506" s="72" t="s">
        <v>18</v>
      </c>
      <c r="C506" s="73" t="s">
        <v>19</v>
      </c>
      <c r="D506" s="74">
        <v>230.88168554504236</v>
      </c>
      <c r="E506" s="81">
        <v>1247049</v>
      </c>
      <c r="F506" s="82">
        <v>1220052.3012048197</v>
      </c>
      <c r="G506" s="75">
        <v>1334.0918047227733</v>
      </c>
      <c r="H506" s="76">
        <v>3</v>
      </c>
      <c r="I506" s="54" t="s">
        <v>20</v>
      </c>
      <c r="J506" s="77">
        <v>40</v>
      </c>
      <c r="K506" s="78">
        <v>3</v>
      </c>
      <c r="L506" s="54">
        <v>1</v>
      </c>
      <c r="M506" s="54">
        <f>_xlfn.XLOOKUP(Survey!$F506,sections[Start],sections[Test Section],,-1,1)</f>
        <v>2</v>
      </c>
      <c r="N506" s="55">
        <f>_xlfn.XLOOKUP(Survey!$K506,pipedata[ID],pipedata[WT])</f>
        <v>0.88800000000000001</v>
      </c>
      <c r="O506" s="56">
        <f>_xlfn.XLOOKUP(Survey!$K506,pipedata[ID],pipedata[104%])</f>
        <v>3078.4</v>
      </c>
      <c r="P506" s="57">
        <f t="shared" si="7"/>
        <v>1850</v>
      </c>
      <c r="Q506" s="58">
        <f>_xlfn.MAXIFS(Survey!$G$2:$G$3647,Survey!$M$2:$M$3647,Survey!$M506)-Survey!$G506</f>
        <v>1429.574439478969</v>
      </c>
      <c r="R506" s="59">
        <f>Survey!$P506+(Survey!$Q506*0.433)</f>
        <v>2469.0057322943935</v>
      </c>
    </row>
    <row r="507" spans="1:18" x14ac:dyDescent="0.25">
      <c r="A507" s="60" t="s">
        <v>17</v>
      </c>
      <c r="B507" s="61" t="s">
        <v>18</v>
      </c>
      <c r="C507" s="62" t="s">
        <v>19</v>
      </c>
      <c r="D507" s="63">
        <v>230.88944594228141</v>
      </c>
      <c r="E507" s="79">
        <v>1247089</v>
      </c>
      <c r="F507" s="80">
        <v>1220089.3614457836</v>
      </c>
      <c r="G507" s="66">
        <v>1338.2780133151455</v>
      </c>
      <c r="H507" s="67">
        <v>3</v>
      </c>
      <c r="I507" s="68" t="s">
        <v>20</v>
      </c>
      <c r="J507" s="69">
        <v>40</v>
      </c>
      <c r="K507" s="70">
        <v>3</v>
      </c>
      <c r="L507" s="68">
        <v>1</v>
      </c>
      <c r="M507" s="68">
        <f>_xlfn.XLOOKUP(Survey!$F507,sections[Start],sections[Test Section],,-1,1)</f>
        <v>2</v>
      </c>
      <c r="N507" s="55">
        <f>_xlfn.XLOOKUP(Survey!$K507,pipedata[ID],pipedata[WT])</f>
        <v>0.88800000000000001</v>
      </c>
      <c r="O507" s="56">
        <f>_xlfn.XLOOKUP(Survey!$K507,pipedata[ID],pipedata[104%])</f>
        <v>3078.4</v>
      </c>
      <c r="P507" s="57">
        <f t="shared" si="7"/>
        <v>1850</v>
      </c>
      <c r="Q507" s="58">
        <f>_xlfn.MAXIFS(Survey!$G$2:$G$3647,Survey!$M$2:$M$3647,Survey!$M507)-Survey!$G507</f>
        <v>1425.3882308865968</v>
      </c>
      <c r="R507" s="59">
        <f>Survey!$P507+(Survey!$Q507*0.433)</f>
        <v>2467.1931039738965</v>
      </c>
    </row>
    <row r="508" spans="1:18" x14ac:dyDescent="0.25">
      <c r="A508" s="71" t="s">
        <v>17</v>
      </c>
      <c r="B508" s="72" t="s">
        <v>18</v>
      </c>
      <c r="C508" s="73" t="s">
        <v>19</v>
      </c>
      <c r="D508" s="74">
        <v>230.89664298736972</v>
      </c>
      <c r="E508" s="81">
        <v>1247129</v>
      </c>
      <c r="F508" s="82">
        <v>1220126.4216867476</v>
      </c>
      <c r="G508" s="75">
        <v>1342.0876721573136</v>
      </c>
      <c r="H508" s="76">
        <v>3</v>
      </c>
      <c r="I508" s="54" t="s">
        <v>20</v>
      </c>
      <c r="J508" s="77">
        <v>40</v>
      </c>
      <c r="K508" s="78">
        <v>3</v>
      </c>
      <c r="L508" s="54">
        <v>1</v>
      </c>
      <c r="M508" s="54">
        <f>_xlfn.XLOOKUP(Survey!$F508,sections[Start],sections[Test Section],,-1,1)</f>
        <v>2</v>
      </c>
      <c r="N508" s="55">
        <f>_xlfn.XLOOKUP(Survey!$K508,pipedata[ID],pipedata[WT])</f>
        <v>0.88800000000000001</v>
      </c>
      <c r="O508" s="56">
        <f>_xlfn.XLOOKUP(Survey!$K508,pipedata[ID],pipedata[104%])</f>
        <v>3078.4</v>
      </c>
      <c r="P508" s="57">
        <f t="shared" si="7"/>
        <v>1850</v>
      </c>
      <c r="Q508" s="58">
        <f>_xlfn.MAXIFS(Survey!$G$2:$G$3647,Survey!$M$2:$M$3647,Survey!$M508)-Survey!$G508</f>
        <v>1421.5785720444287</v>
      </c>
      <c r="R508" s="59">
        <f>Survey!$P508+(Survey!$Q508*0.433)</f>
        <v>2465.5435216952374</v>
      </c>
    </row>
    <row r="509" spans="1:18" x14ac:dyDescent="0.25">
      <c r="A509" s="60" t="s">
        <v>17</v>
      </c>
      <c r="B509" s="61" t="s">
        <v>18</v>
      </c>
      <c r="C509" s="62" t="s">
        <v>19</v>
      </c>
      <c r="D509" s="63">
        <v>230.90430820119991</v>
      </c>
      <c r="E509" s="79">
        <v>1247169</v>
      </c>
      <c r="F509" s="80">
        <v>1220163.4819277115</v>
      </c>
      <c r="G509" s="66">
        <v>1349.8441885174625</v>
      </c>
      <c r="H509" s="67">
        <v>3</v>
      </c>
      <c r="I509" s="68" t="s">
        <v>20</v>
      </c>
      <c r="J509" s="69">
        <v>40</v>
      </c>
      <c r="K509" s="70">
        <v>3</v>
      </c>
      <c r="L509" s="68">
        <v>1</v>
      </c>
      <c r="M509" s="68">
        <f>_xlfn.XLOOKUP(Survey!$F509,sections[Start],sections[Test Section],,-1,1)</f>
        <v>2</v>
      </c>
      <c r="N509" s="55">
        <f>_xlfn.XLOOKUP(Survey!$K509,pipedata[ID],pipedata[WT])</f>
        <v>0.88800000000000001</v>
      </c>
      <c r="O509" s="56">
        <f>_xlfn.XLOOKUP(Survey!$K509,pipedata[ID],pipedata[104%])</f>
        <v>3078.4</v>
      </c>
      <c r="P509" s="57">
        <f t="shared" si="7"/>
        <v>1850</v>
      </c>
      <c r="Q509" s="58">
        <f>_xlfn.MAXIFS(Survey!$G$2:$G$3647,Survey!$M$2:$M$3647,Survey!$M509)-Survey!$G509</f>
        <v>1413.8220556842798</v>
      </c>
      <c r="R509" s="59">
        <f>Survey!$P509+(Survey!$Q509*0.433)</f>
        <v>2462.1849501112929</v>
      </c>
    </row>
    <row r="510" spans="1:18" x14ac:dyDescent="0.25">
      <c r="A510" s="71" t="s">
        <v>17</v>
      </c>
      <c r="B510" s="72" t="s">
        <v>18</v>
      </c>
      <c r="C510" s="73" t="s">
        <v>19</v>
      </c>
      <c r="D510" s="74">
        <v>230.91131499205926</v>
      </c>
      <c r="E510" s="81">
        <v>1247209</v>
      </c>
      <c r="F510" s="82">
        <v>1220200.5421686755</v>
      </c>
      <c r="G510" s="75">
        <v>1361.8697682981938</v>
      </c>
      <c r="H510" s="76">
        <v>3</v>
      </c>
      <c r="I510" s="54" t="s">
        <v>20</v>
      </c>
      <c r="J510" s="77">
        <v>40</v>
      </c>
      <c r="K510" s="78">
        <v>3</v>
      </c>
      <c r="L510" s="54">
        <v>1</v>
      </c>
      <c r="M510" s="54">
        <f>_xlfn.XLOOKUP(Survey!$F510,sections[Start],sections[Test Section],,-1,1)</f>
        <v>2</v>
      </c>
      <c r="N510" s="55">
        <f>_xlfn.XLOOKUP(Survey!$K510,pipedata[ID],pipedata[WT])</f>
        <v>0.88800000000000001</v>
      </c>
      <c r="O510" s="56">
        <f>_xlfn.XLOOKUP(Survey!$K510,pipedata[ID],pipedata[104%])</f>
        <v>3078.4</v>
      </c>
      <c r="P510" s="57">
        <f t="shared" si="7"/>
        <v>1850</v>
      </c>
      <c r="Q510" s="58">
        <f>_xlfn.MAXIFS(Survey!$G$2:$G$3647,Survey!$M$2:$M$3647,Survey!$M510)-Survey!$G510</f>
        <v>1401.7964759035485</v>
      </c>
      <c r="R510" s="59">
        <f>Survey!$P510+(Survey!$Q510*0.433)</f>
        <v>2456.9778740662364</v>
      </c>
    </row>
    <row r="511" spans="1:18" x14ac:dyDescent="0.25">
      <c r="A511" s="60" t="s">
        <v>17</v>
      </c>
      <c r="B511" s="61" t="s">
        <v>18</v>
      </c>
      <c r="C511" s="62" t="s">
        <v>19</v>
      </c>
      <c r="D511" s="63">
        <v>230.91857182846968</v>
      </c>
      <c r="E511" s="79">
        <v>1247249</v>
      </c>
      <c r="F511" s="80">
        <v>1220237.6024096394</v>
      </c>
      <c r="G511" s="66">
        <v>1375.8884205807512</v>
      </c>
      <c r="H511" s="67">
        <v>3</v>
      </c>
      <c r="I511" s="68" t="s">
        <v>20</v>
      </c>
      <c r="J511" s="69">
        <v>40</v>
      </c>
      <c r="K511" s="70">
        <v>3</v>
      </c>
      <c r="L511" s="68">
        <v>1</v>
      </c>
      <c r="M511" s="68">
        <f>_xlfn.XLOOKUP(Survey!$F511,sections[Start],sections[Test Section],,-1,1)</f>
        <v>2</v>
      </c>
      <c r="N511" s="55">
        <f>_xlfn.XLOOKUP(Survey!$K511,pipedata[ID],pipedata[WT])</f>
        <v>0.88800000000000001</v>
      </c>
      <c r="O511" s="56">
        <f>_xlfn.XLOOKUP(Survey!$K511,pipedata[ID],pipedata[104%])</f>
        <v>3078.4</v>
      </c>
      <c r="P511" s="57">
        <f t="shared" si="7"/>
        <v>1850</v>
      </c>
      <c r="Q511" s="58">
        <f>_xlfn.MAXIFS(Survey!$G$2:$G$3647,Survey!$M$2:$M$3647,Survey!$M511)-Survey!$G511</f>
        <v>1387.7778236209911</v>
      </c>
      <c r="R511" s="59">
        <f>Survey!$P511+(Survey!$Q511*0.433)</f>
        <v>2450.9077976278891</v>
      </c>
    </row>
    <row r="512" spans="1:18" x14ac:dyDescent="0.25">
      <c r="A512" s="71" t="s">
        <v>17</v>
      </c>
      <c r="B512" s="72" t="s">
        <v>18</v>
      </c>
      <c r="C512" s="73" t="s">
        <v>19</v>
      </c>
      <c r="D512" s="74">
        <v>230.92548629162982</v>
      </c>
      <c r="E512" s="81">
        <v>1247289</v>
      </c>
      <c r="F512" s="82">
        <v>1220274.6626506033</v>
      </c>
      <c r="G512" s="75">
        <v>1389.193989498265</v>
      </c>
      <c r="H512" s="76">
        <v>3</v>
      </c>
      <c r="I512" s="54" t="s">
        <v>20</v>
      </c>
      <c r="J512" s="77">
        <v>40</v>
      </c>
      <c r="K512" s="78">
        <v>3</v>
      </c>
      <c r="L512" s="54">
        <v>1</v>
      </c>
      <c r="M512" s="54">
        <f>_xlfn.XLOOKUP(Survey!$F512,sections[Start],sections[Test Section],,-1,1)</f>
        <v>2</v>
      </c>
      <c r="N512" s="55">
        <f>_xlfn.XLOOKUP(Survey!$K512,pipedata[ID],pipedata[WT])</f>
        <v>0.88800000000000001</v>
      </c>
      <c r="O512" s="56">
        <f>_xlfn.XLOOKUP(Survey!$K512,pipedata[ID],pipedata[104%])</f>
        <v>3078.4</v>
      </c>
      <c r="P512" s="57">
        <f t="shared" si="7"/>
        <v>1850</v>
      </c>
      <c r="Q512" s="58">
        <f>_xlfn.MAXIFS(Survey!$G$2:$G$3647,Survey!$M$2:$M$3647,Survey!$M512)-Survey!$G512</f>
        <v>1374.4722547034773</v>
      </c>
      <c r="R512" s="59">
        <f>Survey!$P512+(Survey!$Q512*0.433)</f>
        <v>2445.1464862866055</v>
      </c>
    </row>
    <row r="513" spans="1:18" x14ac:dyDescent="0.25">
      <c r="A513" s="60" t="s">
        <v>17</v>
      </c>
      <c r="B513" s="61" t="s">
        <v>18</v>
      </c>
      <c r="C513" s="62" t="s">
        <v>19</v>
      </c>
      <c r="D513" s="63">
        <v>230.93233536463759</v>
      </c>
      <c r="E513" s="79">
        <v>1247329</v>
      </c>
      <c r="F513" s="80">
        <v>1220311.7228915673</v>
      </c>
      <c r="G513" s="66">
        <v>1401.6153695544751</v>
      </c>
      <c r="H513" s="67">
        <v>3</v>
      </c>
      <c r="I513" s="68" t="s">
        <v>20</v>
      </c>
      <c r="J513" s="69">
        <v>40</v>
      </c>
      <c r="K513" s="70">
        <v>3</v>
      </c>
      <c r="L513" s="68">
        <v>1</v>
      </c>
      <c r="M513" s="68">
        <f>_xlfn.XLOOKUP(Survey!$F513,sections[Start],sections[Test Section],,-1,1)</f>
        <v>2</v>
      </c>
      <c r="N513" s="55">
        <f>_xlfn.XLOOKUP(Survey!$K513,pipedata[ID],pipedata[WT])</f>
        <v>0.88800000000000001</v>
      </c>
      <c r="O513" s="56">
        <f>_xlfn.XLOOKUP(Survey!$K513,pipedata[ID],pipedata[104%])</f>
        <v>3078.4</v>
      </c>
      <c r="P513" s="57">
        <f t="shared" si="7"/>
        <v>1850</v>
      </c>
      <c r="Q513" s="58">
        <f>_xlfn.MAXIFS(Survey!$G$2:$G$3647,Survey!$M$2:$M$3647,Survey!$M513)-Survey!$G513</f>
        <v>1362.0508746472672</v>
      </c>
      <c r="R513" s="59">
        <f>Survey!$P513+(Survey!$Q513*0.433)</f>
        <v>2439.7680287222665</v>
      </c>
    </row>
    <row r="514" spans="1:18" x14ac:dyDescent="0.25">
      <c r="A514" s="71" t="s">
        <v>17</v>
      </c>
      <c r="B514" s="72" t="s">
        <v>18</v>
      </c>
      <c r="C514" s="73" t="s">
        <v>19</v>
      </c>
      <c r="D514" s="74">
        <v>230.9393421554972</v>
      </c>
      <c r="E514" s="81">
        <v>1247369</v>
      </c>
      <c r="F514" s="82">
        <v>1220348.7831325312</v>
      </c>
      <c r="G514" s="75">
        <v>1414.4691992429978</v>
      </c>
      <c r="H514" s="76">
        <v>3</v>
      </c>
      <c r="I514" s="54" t="s">
        <v>20</v>
      </c>
      <c r="J514" s="77">
        <v>40</v>
      </c>
      <c r="K514" s="78">
        <v>3</v>
      </c>
      <c r="L514" s="54">
        <v>1</v>
      </c>
      <c r="M514" s="54">
        <f>_xlfn.XLOOKUP(Survey!$F514,sections[Start],sections[Test Section],,-1,1)</f>
        <v>2</v>
      </c>
      <c r="N514" s="55">
        <f>_xlfn.XLOOKUP(Survey!$K514,pipedata[ID],pipedata[WT])</f>
        <v>0.88800000000000001</v>
      </c>
      <c r="O514" s="56">
        <f>_xlfn.XLOOKUP(Survey!$K514,pipedata[ID],pipedata[104%])</f>
        <v>3078.4</v>
      </c>
      <c r="P514" s="57">
        <f t="shared" ref="P514:P577" si="8">IF(L514=1,1850,IF(L514=2,1850,2220))</f>
        <v>1850</v>
      </c>
      <c r="Q514" s="58">
        <f>_xlfn.MAXIFS(Survey!$G$2:$G$3647,Survey!$M$2:$M$3647,Survey!$M514)-Survey!$G514</f>
        <v>1349.1970449587445</v>
      </c>
      <c r="R514" s="59">
        <f>Survey!$P514+(Survey!$Q514*0.433)</f>
        <v>2434.2023204671364</v>
      </c>
    </row>
    <row r="515" spans="1:18" x14ac:dyDescent="0.25">
      <c r="A515" s="60" t="s">
        <v>17</v>
      </c>
      <c r="B515" s="61" t="s">
        <v>18</v>
      </c>
      <c r="C515" s="62" t="s">
        <v>19</v>
      </c>
      <c r="D515" s="63">
        <v>230.94710324711619</v>
      </c>
      <c r="E515" s="79">
        <v>1247409</v>
      </c>
      <c r="F515" s="80">
        <v>1220385.8433734952</v>
      </c>
      <c r="G515" s="66">
        <v>1425.5590369999732</v>
      </c>
      <c r="H515" s="67">
        <v>3</v>
      </c>
      <c r="I515" s="68" t="s">
        <v>20</v>
      </c>
      <c r="J515" s="69">
        <v>40</v>
      </c>
      <c r="K515" s="70">
        <v>3</v>
      </c>
      <c r="L515" s="68">
        <v>1</v>
      </c>
      <c r="M515" s="68">
        <f>_xlfn.XLOOKUP(Survey!$F515,sections[Start],sections[Test Section],,-1,1)</f>
        <v>2</v>
      </c>
      <c r="N515" s="55">
        <f>_xlfn.XLOOKUP(Survey!$K515,pipedata[ID],pipedata[WT])</f>
        <v>0.88800000000000001</v>
      </c>
      <c r="O515" s="56">
        <f>_xlfn.XLOOKUP(Survey!$K515,pipedata[ID],pipedata[104%])</f>
        <v>3078.4</v>
      </c>
      <c r="P515" s="57">
        <f t="shared" si="8"/>
        <v>1850</v>
      </c>
      <c r="Q515" s="58">
        <f>_xlfn.MAXIFS(Survey!$G$2:$G$3647,Survey!$M$2:$M$3647,Survey!$M515)-Survey!$G515</f>
        <v>1338.1072072017691</v>
      </c>
      <c r="R515" s="59">
        <f>Survey!$P515+(Survey!$Q515*0.433)</f>
        <v>2429.4004207183661</v>
      </c>
    </row>
    <row r="516" spans="1:18" x14ac:dyDescent="0.25">
      <c r="A516" s="71" t="s">
        <v>17</v>
      </c>
      <c r="B516" s="72" t="s">
        <v>18</v>
      </c>
      <c r="C516" s="73" t="s">
        <v>19</v>
      </c>
      <c r="D516" s="74">
        <v>230.95395227295336</v>
      </c>
      <c r="E516" s="81">
        <v>1247449</v>
      </c>
      <c r="F516" s="82">
        <v>1220422.9036144591</v>
      </c>
      <c r="G516" s="75">
        <v>1439.5336861661226</v>
      </c>
      <c r="H516" s="76">
        <v>3</v>
      </c>
      <c r="I516" s="54" t="s">
        <v>20</v>
      </c>
      <c r="J516" s="77">
        <v>40</v>
      </c>
      <c r="K516" s="78">
        <v>3</v>
      </c>
      <c r="L516" s="54">
        <v>1</v>
      </c>
      <c r="M516" s="54">
        <f>_xlfn.XLOOKUP(Survey!$F516,sections[Start],sections[Test Section],,-1,1)</f>
        <v>2</v>
      </c>
      <c r="N516" s="55">
        <f>_xlfn.XLOOKUP(Survey!$K516,pipedata[ID],pipedata[WT])</f>
        <v>0.88800000000000001</v>
      </c>
      <c r="O516" s="56">
        <f>_xlfn.XLOOKUP(Survey!$K516,pipedata[ID],pipedata[104%])</f>
        <v>3078.4</v>
      </c>
      <c r="P516" s="57">
        <f t="shared" si="8"/>
        <v>1850</v>
      </c>
      <c r="Q516" s="58">
        <f>_xlfn.MAXIFS(Survey!$G$2:$G$3647,Survey!$M$2:$M$3647,Survey!$M516)-Survey!$G516</f>
        <v>1324.1325580356197</v>
      </c>
      <c r="R516" s="59">
        <f>Survey!$P516+(Survey!$Q516*0.433)</f>
        <v>2423.3493976294235</v>
      </c>
    </row>
    <row r="517" spans="1:18" x14ac:dyDescent="0.25">
      <c r="A517" s="60" t="s">
        <v>17</v>
      </c>
      <c r="B517" s="61" t="s">
        <v>18</v>
      </c>
      <c r="C517" s="62" t="s">
        <v>19</v>
      </c>
      <c r="D517" s="63">
        <v>230.96090965876496</v>
      </c>
      <c r="E517" s="79">
        <v>1247489</v>
      </c>
      <c r="F517" s="80">
        <v>1220459.963855423</v>
      </c>
      <c r="G517" s="66">
        <v>1453.3175585571232</v>
      </c>
      <c r="H517" s="67">
        <v>3</v>
      </c>
      <c r="I517" s="68" t="s">
        <v>20</v>
      </c>
      <c r="J517" s="69">
        <v>40</v>
      </c>
      <c r="K517" s="70">
        <v>3</v>
      </c>
      <c r="L517" s="68">
        <v>1</v>
      </c>
      <c r="M517" s="68">
        <f>_xlfn.XLOOKUP(Survey!$F517,sections[Start],sections[Test Section],,-1,1)</f>
        <v>2</v>
      </c>
      <c r="N517" s="55">
        <f>_xlfn.XLOOKUP(Survey!$K517,pipedata[ID],pipedata[WT])</f>
        <v>0.88800000000000001</v>
      </c>
      <c r="O517" s="56">
        <f>_xlfn.XLOOKUP(Survey!$K517,pipedata[ID],pipedata[104%])</f>
        <v>3078.4</v>
      </c>
      <c r="P517" s="57">
        <f t="shared" si="8"/>
        <v>1850</v>
      </c>
      <c r="Q517" s="58">
        <f>_xlfn.MAXIFS(Survey!$G$2:$G$3647,Survey!$M$2:$M$3647,Survey!$M517)-Survey!$G517</f>
        <v>1310.3486856446191</v>
      </c>
      <c r="R517" s="59">
        <f>Survey!$P517+(Survey!$Q517*0.433)</f>
        <v>2417.3809808841202</v>
      </c>
    </row>
    <row r="518" spans="1:18" x14ac:dyDescent="0.25">
      <c r="A518" s="71" t="s">
        <v>17</v>
      </c>
      <c r="B518" s="72" t="s">
        <v>18</v>
      </c>
      <c r="C518" s="73" t="s">
        <v>19</v>
      </c>
      <c r="D518" s="74">
        <v>230.96811171336418</v>
      </c>
      <c r="E518" s="81">
        <v>1247529</v>
      </c>
      <c r="F518" s="82">
        <v>1220497.024096387</v>
      </c>
      <c r="G518" s="75">
        <v>1463.6861711309105</v>
      </c>
      <c r="H518" s="76">
        <v>3</v>
      </c>
      <c r="I518" s="54" t="s">
        <v>20</v>
      </c>
      <c r="J518" s="77">
        <v>40</v>
      </c>
      <c r="K518" s="78">
        <v>3</v>
      </c>
      <c r="L518" s="54">
        <v>1</v>
      </c>
      <c r="M518" s="54">
        <f>_xlfn.XLOOKUP(Survey!$F518,sections[Start],sections[Test Section],,-1,1)</f>
        <v>2</v>
      </c>
      <c r="N518" s="55">
        <f>_xlfn.XLOOKUP(Survey!$K518,pipedata[ID],pipedata[WT])</f>
        <v>0.88800000000000001</v>
      </c>
      <c r="O518" s="56">
        <f>_xlfn.XLOOKUP(Survey!$K518,pipedata[ID],pipedata[104%])</f>
        <v>3078.4</v>
      </c>
      <c r="P518" s="57">
        <f t="shared" si="8"/>
        <v>1850</v>
      </c>
      <c r="Q518" s="58">
        <f>_xlfn.MAXIFS(Survey!$G$2:$G$3647,Survey!$M$2:$M$3647,Survey!$M518)-Survey!$G518</f>
        <v>1299.9800730708318</v>
      </c>
      <c r="R518" s="59">
        <f>Survey!$P518+(Survey!$Q518*0.433)</f>
        <v>2412.8913716396701</v>
      </c>
    </row>
    <row r="519" spans="1:18" x14ac:dyDescent="0.25">
      <c r="A519" s="60" t="s">
        <v>17</v>
      </c>
      <c r="B519" s="61" t="s">
        <v>18</v>
      </c>
      <c r="C519" s="62" t="s">
        <v>19</v>
      </c>
      <c r="D519" s="63">
        <v>230.97458461215552</v>
      </c>
      <c r="E519" s="79">
        <v>1247569</v>
      </c>
      <c r="F519" s="80">
        <v>1220534.0843373509</v>
      </c>
      <c r="G519" s="66">
        <v>1478.0816876202216</v>
      </c>
      <c r="H519" s="67">
        <v>3</v>
      </c>
      <c r="I519" s="68" t="s">
        <v>20</v>
      </c>
      <c r="J519" s="69">
        <v>40</v>
      </c>
      <c r="K519" s="70">
        <v>3</v>
      </c>
      <c r="L519" s="68">
        <v>1</v>
      </c>
      <c r="M519" s="68">
        <f>_xlfn.XLOOKUP(Survey!$F519,sections[Start],sections[Test Section],,-1,1)</f>
        <v>2</v>
      </c>
      <c r="N519" s="55">
        <f>_xlfn.XLOOKUP(Survey!$K519,pipedata[ID],pipedata[WT])</f>
        <v>0.88800000000000001</v>
      </c>
      <c r="O519" s="56">
        <f>_xlfn.XLOOKUP(Survey!$K519,pipedata[ID],pipedata[104%])</f>
        <v>3078.4</v>
      </c>
      <c r="P519" s="57">
        <f t="shared" si="8"/>
        <v>1850</v>
      </c>
      <c r="Q519" s="58">
        <f>_xlfn.MAXIFS(Survey!$G$2:$G$3647,Survey!$M$2:$M$3647,Survey!$M519)-Survey!$G519</f>
        <v>1285.5845565815207</v>
      </c>
      <c r="R519" s="59">
        <f>Survey!$P519+(Survey!$Q519*0.433)</f>
        <v>2406.6581129997985</v>
      </c>
    </row>
    <row r="520" spans="1:18" x14ac:dyDescent="0.25">
      <c r="A520" s="71" t="s">
        <v>17</v>
      </c>
      <c r="B520" s="72" t="s">
        <v>18</v>
      </c>
      <c r="C520" s="73" t="s">
        <v>19</v>
      </c>
      <c r="D520" s="74">
        <v>230.98197940245788</v>
      </c>
      <c r="E520" s="81">
        <v>1247609</v>
      </c>
      <c r="F520" s="82">
        <v>1220571.1445783149</v>
      </c>
      <c r="G520" s="75">
        <v>1492.1354690913558</v>
      </c>
      <c r="H520" s="76">
        <v>3</v>
      </c>
      <c r="I520" s="54" t="s">
        <v>20</v>
      </c>
      <c r="J520" s="77">
        <v>40</v>
      </c>
      <c r="K520" s="78">
        <v>3</v>
      </c>
      <c r="L520" s="54">
        <v>1</v>
      </c>
      <c r="M520" s="54">
        <f>_xlfn.XLOOKUP(Survey!$F520,sections[Start],sections[Test Section],,-1,1)</f>
        <v>2</v>
      </c>
      <c r="N520" s="55">
        <f>_xlfn.XLOOKUP(Survey!$K520,pipedata[ID],pipedata[WT])</f>
        <v>0.88800000000000001</v>
      </c>
      <c r="O520" s="56">
        <f>_xlfn.XLOOKUP(Survey!$K520,pipedata[ID],pipedata[104%])</f>
        <v>3078.4</v>
      </c>
      <c r="P520" s="57">
        <f t="shared" si="8"/>
        <v>1850</v>
      </c>
      <c r="Q520" s="58">
        <f>_xlfn.MAXIFS(Survey!$G$2:$G$3647,Survey!$M$2:$M$3647,Survey!$M520)-Survey!$G520</f>
        <v>1271.5307751103865</v>
      </c>
      <c r="R520" s="59">
        <f>Survey!$P520+(Survey!$Q520*0.433)</f>
        <v>2400.5728256227976</v>
      </c>
    </row>
    <row r="521" spans="1:18" x14ac:dyDescent="0.25">
      <c r="A521" s="60" t="s">
        <v>17</v>
      </c>
      <c r="B521" s="61" t="s">
        <v>18</v>
      </c>
      <c r="C521" s="62" t="s">
        <v>19</v>
      </c>
      <c r="D521" s="63">
        <v>230.98931994479159</v>
      </c>
      <c r="E521" s="79">
        <v>1247649</v>
      </c>
      <c r="F521" s="80">
        <v>1220608.2048192788</v>
      </c>
      <c r="G521" s="66">
        <v>1503.36622878394</v>
      </c>
      <c r="H521" s="67">
        <v>3</v>
      </c>
      <c r="I521" s="68" t="s">
        <v>20</v>
      </c>
      <c r="J521" s="69">
        <v>40</v>
      </c>
      <c r="K521" s="70">
        <v>3</v>
      </c>
      <c r="L521" s="68">
        <v>1</v>
      </c>
      <c r="M521" s="68">
        <f>_xlfn.XLOOKUP(Survey!$F521,sections[Start],sections[Test Section],,-1,1)</f>
        <v>2</v>
      </c>
      <c r="N521" s="55">
        <f>_xlfn.XLOOKUP(Survey!$K521,pipedata[ID],pipedata[WT])</f>
        <v>0.88800000000000001</v>
      </c>
      <c r="O521" s="56">
        <f>_xlfn.XLOOKUP(Survey!$K521,pipedata[ID],pipedata[104%])</f>
        <v>3078.4</v>
      </c>
      <c r="P521" s="57">
        <f t="shared" si="8"/>
        <v>1850</v>
      </c>
      <c r="Q521" s="58">
        <f>_xlfn.MAXIFS(Survey!$G$2:$G$3647,Survey!$M$2:$M$3647,Survey!$M521)-Survey!$G521</f>
        <v>1260.3000154178023</v>
      </c>
      <c r="R521" s="59">
        <f>Survey!$P521+(Survey!$Q521*0.433)</f>
        <v>2395.7099066759083</v>
      </c>
    </row>
    <row r="522" spans="1:18" x14ac:dyDescent="0.25">
      <c r="A522" s="71" t="s">
        <v>17</v>
      </c>
      <c r="B522" s="72" t="s">
        <v>18</v>
      </c>
      <c r="C522" s="73" t="s">
        <v>19</v>
      </c>
      <c r="D522" s="74">
        <v>230.99692940332577</v>
      </c>
      <c r="E522" s="81">
        <v>1247689</v>
      </c>
      <c r="F522" s="82">
        <v>1220645.2650602427</v>
      </c>
      <c r="G522" s="75">
        <v>1517.5481525841728</v>
      </c>
      <c r="H522" s="76">
        <v>3</v>
      </c>
      <c r="I522" s="54" t="s">
        <v>20</v>
      </c>
      <c r="J522" s="77">
        <v>40</v>
      </c>
      <c r="K522" s="78">
        <v>3</v>
      </c>
      <c r="L522" s="54">
        <v>1</v>
      </c>
      <c r="M522" s="54">
        <f>_xlfn.XLOOKUP(Survey!$F522,sections[Start],sections[Test Section],,-1,1)</f>
        <v>2</v>
      </c>
      <c r="N522" s="55">
        <f>_xlfn.XLOOKUP(Survey!$K522,pipedata[ID],pipedata[WT])</f>
        <v>0.88800000000000001</v>
      </c>
      <c r="O522" s="56">
        <f>_xlfn.XLOOKUP(Survey!$K522,pipedata[ID],pipedata[104%])</f>
        <v>3078.4</v>
      </c>
      <c r="P522" s="57">
        <f t="shared" si="8"/>
        <v>1850</v>
      </c>
      <c r="Q522" s="58">
        <f>_xlfn.MAXIFS(Survey!$G$2:$G$3647,Survey!$M$2:$M$3647,Survey!$M522)-Survey!$G522</f>
        <v>1246.1180916175695</v>
      </c>
      <c r="R522" s="59">
        <f>Survey!$P522+(Survey!$Q522*0.433)</f>
        <v>2389.5691336704076</v>
      </c>
    </row>
    <row r="523" spans="1:18" x14ac:dyDescent="0.25">
      <c r="A523" s="60" t="s">
        <v>17</v>
      </c>
      <c r="B523" s="61" t="s">
        <v>18</v>
      </c>
      <c r="C523" s="62" t="s">
        <v>19</v>
      </c>
      <c r="D523" s="63">
        <v>231.00363910981937</v>
      </c>
      <c r="E523" s="79">
        <v>1247729</v>
      </c>
      <c r="F523" s="80">
        <v>1220682.3253012067</v>
      </c>
      <c r="G523" s="66">
        <v>1533.5720550348983</v>
      </c>
      <c r="H523" s="67">
        <v>3</v>
      </c>
      <c r="I523" s="68" t="s">
        <v>20</v>
      </c>
      <c r="J523" s="69">
        <v>40</v>
      </c>
      <c r="K523" s="70">
        <v>3</v>
      </c>
      <c r="L523" s="68">
        <v>1</v>
      </c>
      <c r="M523" s="68">
        <f>_xlfn.XLOOKUP(Survey!$F523,sections[Start],sections[Test Section],,-1,1)</f>
        <v>2</v>
      </c>
      <c r="N523" s="55">
        <f>_xlfn.XLOOKUP(Survey!$K523,pipedata[ID],pipedata[WT])</f>
        <v>0.88800000000000001</v>
      </c>
      <c r="O523" s="56">
        <f>_xlfn.XLOOKUP(Survey!$K523,pipedata[ID],pipedata[104%])</f>
        <v>3078.4</v>
      </c>
      <c r="P523" s="57">
        <f t="shared" si="8"/>
        <v>1850</v>
      </c>
      <c r="Q523" s="58">
        <f>_xlfn.MAXIFS(Survey!$G$2:$G$3647,Survey!$M$2:$M$3647,Survey!$M523)-Survey!$G523</f>
        <v>1230.094189166844</v>
      </c>
      <c r="R523" s="59">
        <f>Survey!$P523+(Survey!$Q523*0.433)</f>
        <v>2382.6307839092433</v>
      </c>
    </row>
    <row r="524" spans="1:18" x14ac:dyDescent="0.25">
      <c r="A524" s="71" t="s">
        <v>17</v>
      </c>
      <c r="B524" s="72" t="s">
        <v>18</v>
      </c>
      <c r="C524" s="73" t="s">
        <v>19</v>
      </c>
      <c r="D524" s="74">
        <v>231.01047041678112</v>
      </c>
      <c r="E524" s="81">
        <v>1247769</v>
      </c>
      <c r="F524" s="82">
        <v>1220719.3855421706</v>
      </c>
      <c r="G524" s="75">
        <v>1547.7512219582202</v>
      </c>
      <c r="H524" s="76">
        <v>3</v>
      </c>
      <c r="I524" s="54" t="s">
        <v>20</v>
      </c>
      <c r="J524" s="77">
        <v>40</v>
      </c>
      <c r="K524" s="78">
        <v>3</v>
      </c>
      <c r="L524" s="54">
        <v>1</v>
      </c>
      <c r="M524" s="54">
        <f>_xlfn.XLOOKUP(Survey!$F524,sections[Start],sections[Test Section],,-1,1)</f>
        <v>2</v>
      </c>
      <c r="N524" s="55">
        <f>_xlfn.XLOOKUP(Survey!$K524,pipedata[ID],pipedata[WT])</f>
        <v>0.88800000000000001</v>
      </c>
      <c r="O524" s="56">
        <f>_xlfn.XLOOKUP(Survey!$K524,pipedata[ID],pipedata[104%])</f>
        <v>3078.4</v>
      </c>
      <c r="P524" s="57">
        <f t="shared" si="8"/>
        <v>1850</v>
      </c>
      <c r="Q524" s="58">
        <f>_xlfn.MAXIFS(Survey!$G$2:$G$3647,Survey!$M$2:$M$3647,Survey!$M524)-Survey!$G524</f>
        <v>1215.9150222435221</v>
      </c>
      <c r="R524" s="59">
        <f>Survey!$P524+(Survey!$Q524*0.433)</f>
        <v>2376.4912046314448</v>
      </c>
    </row>
    <row r="525" spans="1:18" x14ac:dyDescent="0.25">
      <c r="A525" s="60" t="s">
        <v>17</v>
      </c>
      <c r="B525" s="61" t="s">
        <v>18</v>
      </c>
      <c r="C525" s="62" t="s">
        <v>19</v>
      </c>
      <c r="D525" s="63">
        <v>231.01790261996533</v>
      </c>
      <c r="E525" s="79">
        <v>1247809</v>
      </c>
      <c r="F525" s="80">
        <v>1220756.4457831345</v>
      </c>
      <c r="G525" s="66">
        <v>1562.1493927470408</v>
      </c>
      <c r="H525" s="67">
        <v>3</v>
      </c>
      <c r="I525" s="68" t="s">
        <v>20</v>
      </c>
      <c r="J525" s="69">
        <v>40</v>
      </c>
      <c r="K525" s="70">
        <v>3</v>
      </c>
      <c r="L525" s="68">
        <v>1</v>
      </c>
      <c r="M525" s="68">
        <f>_xlfn.XLOOKUP(Survey!$F525,sections[Start],sections[Test Section],,-1,1)</f>
        <v>2</v>
      </c>
      <c r="N525" s="55">
        <f>_xlfn.XLOOKUP(Survey!$K525,pipedata[ID],pipedata[WT])</f>
        <v>0.88800000000000001</v>
      </c>
      <c r="O525" s="56">
        <f>_xlfn.XLOOKUP(Survey!$K525,pipedata[ID],pipedata[104%])</f>
        <v>3078.4</v>
      </c>
      <c r="P525" s="57">
        <f t="shared" si="8"/>
        <v>1850</v>
      </c>
      <c r="Q525" s="58">
        <f>_xlfn.MAXIFS(Survey!$G$2:$G$3647,Survey!$M$2:$M$3647,Survey!$M525)-Survey!$G525</f>
        <v>1201.5168514547015</v>
      </c>
      <c r="R525" s="59">
        <f>Survey!$P525+(Survey!$Q525*0.433)</f>
        <v>2370.2567966798856</v>
      </c>
    </row>
    <row r="526" spans="1:18" x14ac:dyDescent="0.25">
      <c r="A526" s="71" t="s">
        <v>17</v>
      </c>
      <c r="B526" s="72" t="s">
        <v>18</v>
      </c>
      <c r="C526" s="73" t="s">
        <v>19</v>
      </c>
      <c r="D526" s="74">
        <v>231.02534376554945</v>
      </c>
      <c r="E526" s="81">
        <v>1247849</v>
      </c>
      <c r="F526" s="82">
        <v>1220793.5060240985</v>
      </c>
      <c r="G526" s="75">
        <v>1575.5854538653009</v>
      </c>
      <c r="H526" s="76">
        <v>3</v>
      </c>
      <c r="I526" s="54" t="s">
        <v>20</v>
      </c>
      <c r="J526" s="77">
        <v>40</v>
      </c>
      <c r="K526" s="78">
        <v>3</v>
      </c>
      <c r="L526" s="54">
        <v>1</v>
      </c>
      <c r="M526" s="54">
        <f>_xlfn.XLOOKUP(Survey!$F526,sections[Start],sections[Test Section],,-1,1)</f>
        <v>2</v>
      </c>
      <c r="N526" s="55">
        <f>_xlfn.XLOOKUP(Survey!$K526,pipedata[ID],pipedata[WT])</f>
        <v>0.88800000000000001</v>
      </c>
      <c r="O526" s="56">
        <f>_xlfn.XLOOKUP(Survey!$K526,pipedata[ID],pipedata[104%])</f>
        <v>3078.4</v>
      </c>
      <c r="P526" s="57">
        <f t="shared" si="8"/>
        <v>1850</v>
      </c>
      <c r="Q526" s="58">
        <f>_xlfn.MAXIFS(Survey!$G$2:$G$3647,Survey!$M$2:$M$3647,Survey!$M526)-Survey!$G526</f>
        <v>1188.0807903364414</v>
      </c>
      <c r="R526" s="59">
        <f>Survey!$P526+(Survey!$Q526*0.433)</f>
        <v>2364.4389822156791</v>
      </c>
    </row>
    <row r="527" spans="1:18" x14ac:dyDescent="0.25">
      <c r="A527" s="60" t="s">
        <v>17</v>
      </c>
      <c r="B527" s="61" t="s">
        <v>18</v>
      </c>
      <c r="C527" s="62" t="s">
        <v>19</v>
      </c>
      <c r="D527" s="63">
        <v>231.03206657399855</v>
      </c>
      <c r="E527" s="79">
        <v>1247889</v>
      </c>
      <c r="F527" s="80">
        <v>1220830.5662650624</v>
      </c>
      <c r="G527" s="66">
        <v>1580.5267834315036</v>
      </c>
      <c r="H527" s="67">
        <v>3</v>
      </c>
      <c r="I527" s="68" t="s">
        <v>20</v>
      </c>
      <c r="J527" s="69">
        <v>40</v>
      </c>
      <c r="K527" s="70">
        <v>3</v>
      </c>
      <c r="L527" s="68">
        <v>1</v>
      </c>
      <c r="M527" s="68">
        <f>_xlfn.XLOOKUP(Survey!$F527,sections[Start],sections[Test Section],,-1,1)</f>
        <v>2</v>
      </c>
      <c r="N527" s="55">
        <f>_xlfn.XLOOKUP(Survey!$K527,pipedata[ID],pipedata[WT])</f>
        <v>0.88800000000000001</v>
      </c>
      <c r="O527" s="56">
        <f>_xlfn.XLOOKUP(Survey!$K527,pipedata[ID],pipedata[104%])</f>
        <v>3078.4</v>
      </c>
      <c r="P527" s="57">
        <f t="shared" si="8"/>
        <v>1850</v>
      </c>
      <c r="Q527" s="58">
        <f>_xlfn.MAXIFS(Survey!$G$2:$G$3647,Survey!$M$2:$M$3647,Survey!$M527)-Survey!$G527</f>
        <v>1183.1394607702387</v>
      </c>
      <c r="R527" s="59">
        <f>Survey!$P527+(Survey!$Q527*0.433)</f>
        <v>2362.2993865135131</v>
      </c>
    </row>
    <row r="528" spans="1:18" x14ac:dyDescent="0.25">
      <c r="A528" s="71" t="s">
        <v>17</v>
      </c>
      <c r="B528" s="72" t="s">
        <v>18</v>
      </c>
      <c r="C528" s="73" t="s">
        <v>19</v>
      </c>
      <c r="D528" s="74">
        <v>231.0387893824477</v>
      </c>
      <c r="E528" s="81">
        <v>1247929</v>
      </c>
      <c r="F528" s="82">
        <v>1220867.6265060264</v>
      </c>
      <c r="G528" s="75">
        <v>1566.7058704166991</v>
      </c>
      <c r="H528" s="76">
        <v>3</v>
      </c>
      <c r="I528" s="54" t="s">
        <v>20</v>
      </c>
      <c r="J528" s="77">
        <v>40</v>
      </c>
      <c r="K528" s="78">
        <v>3</v>
      </c>
      <c r="L528" s="54">
        <v>1</v>
      </c>
      <c r="M528" s="54">
        <f>_xlfn.XLOOKUP(Survey!$F528,sections[Start],sections[Test Section],,-1,1)</f>
        <v>2</v>
      </c>
      <c r="N528" s="55">
        <f>_xlfn.XLOOKUP(Survey!$K528,pipedata[ID],pipedata[WT])</f>
        <v>0.88800000000000001</v>
      </c>
      <c r="O528" s="56">
        <f>_xlfn.XLOOKUP(Survey!$K528,pipedata[ID],pipedata[104%])</f>
        <v>3078.4</v>
      </c>
      <c r="P528" s="57">
        <f t="shared" si="8"/>
        <v>1850</v>
      </c>
      <c r="Q528" s="58">
        <f>_xlfn.MAXIFS(Survey!$G$2:$G$3647,Survey!$M$2:$M$3647,Survey!$M528)-Survey!$G528</f>
        <v>1196.9603737850432</v>
      </c>
      <c r="R528" s="59">
        <f>Survey!$P528+(Survey!$Q528*0.433)</f>
        <v>2368.2838418489237</v>
      </c>
    </row>
    <row r="529" spans="1:18" x14ac:dyDescent="0.25">
      <c r="A529" s="60" t="s">
        <v>17</v>
      </c>
      <c r="B529" s="61" t="s">
        <v>18</v>
      </c>
      <c r="C529" s="62" t="s">
        <v>19</v>
      </c>
      <c r="D529" s="63">
        <v>231.04508009618121</v>
      </c>
      <c r="E529" s="79">
        <v>1247969</v>
      </c>
      <c r="F529" s="80">
        <v>1220904.6867469903</v>
      </c>
      <c r="G529" s="66">
        <v>1540.8194328258114</v>
      </c>
      <c r="H529" s="67">
        <v>3</v>
      </c>
      <c r="I529" s="68" t="s">
        <v>20</v>
      </c>
      <c r="J529" s="69">
        <v>40</v>
      </c>
      <c r="K529" s="70">
        <v>3</v>
      </c>
      <c r="L529" s="68">
        <v>1</v>
      </c>
      <c r="M529" s="68">
        <f>_xlfn.XLOOKUP(Survey!$F529,sections[Start],sections[Test Section],,-1,1)</f>
        <v>2</v>
      </c>
      <c r="N529" s="55">
        <f>_xlfn.XLOOKUP(Survey!$K529,pipedata[ID],pipedata[WT])</f>
        <v>0.88800000000000001</v>
      </c>
      <c r="O529" s="56">
        <f>_xlfn.XLOOKUP(Survey!$K529,pipedata[ID],pipedata[104%])</f>
        <v>3078.4</v>
      </c>
      <c r="P529" s="57">
        <f t="shared" si="8"/>
        <v>1850</v>
      </c>
      <c r="Q529" s="58">
        <f>_xlfn.MAXIFS(Survey!$G$2:$G$3647,Survey!$M$2:$M$3647,Survey!$M529)-Survey!$G529</f>
        <v>1222.8468113759309</v>
      </c>
      <c r="R529" s="59">
        <f>Survey!$P529+(Survey!$Q529*0.433)</f>
        <v>2379.492669325778</v>
      </c>
    </row>
    <row r="530" spans="1:18" x14ac:dyDescent="0.25">
      <c r="A530" s="71" t="s">
        <v>17</v>
      </c>
      <c r="B530" s="72" t="s">
        <v>18</v>
      </c>
      <c r="C530" s="73" t="s">
        <v>19</v>
      </c>
      <c r="D530" s="74">
        <v>231.05098653714717</v>
      </c>
      <c r="E530" s="81">
        <v>1248009</v>
      </c>
      <c r="F530" s="82">
        <v>1220941.7469879542</v>
      </c>
      <c r="G530" s="75">
        <v>1512.3515269559491</v>
      </c>
      <c r="H530" s="76">
        <v>3</v>
      </c>
      <c r="I530" s="54" t="s">
        <v>20</v>
      </c>
      <c r="J530" s="77">
        <v>40</v>
      </c>
      <c r="K530" s="78">
        <v>3</v>
      </c>
      <c r="L530" s="54">
        <v>1</v>
      </c>
      <c r="M530" s="54">
        <f>_xlfn.XLOOKUP(Survey!$F530,sections[Start],sections[Test Section],,-1,1)</f>
        <v>2</v>
      </c>
      <c r="N530" s="55">
        <f>_xlfn.XLOOKUP(Survey!$K530,pipedata[ID],pipedata[WT])</f>
        <v>0.88800000000000001</v>
      </c>
      <c r="O530" s="56">
        <f>_xlfn.XLOOKUP(Survey!$K530,pipedata[ID],pipedata[104%])</f>
        <v>3078.4</v>
      </c>
      <c r="P530" s="57">
        <f t="shared" si="8"/>
        <v>1850</v>
      </c>
      <c r="Q530" s="58">
        <f>_xlfn.MAXIFS(Survey!$G$2:$G$3647,Survey!$M$2:$M$3647,Survey!$M530)-Survey!$G530</f>
        <v>1251.3147172457932</v>
      </c>
      <c r="R530" s="59">
        <f>Survey!$P530+(Survey!$Q530*0.433)</f>
        <v>2391.8192725674285</v>
      </c>
    </row>
    <row r="531" spans="1:18" x14ac:dyDescent="0.25">
      <c r="A531" s="60" t="s">
        <v>17</v>
      </c>
      <c r="B531" s="61" t="s">
        <v>18</v>
      </c>
      <c r="C531" s="62" t="s">
        <v>19</v>
      </c>
      <c r="D531" s="63">
        <v>231.05642010329268</v>
      </c>
      <c r="E531" s="79">
        <v>1248049</v>
      </c>
      <c r="F531" s="80">
        <v>1220978.8072289182</v>
      </c>
      <c r="G531" s="66">
        <v>1485.135184509749</v>
      </c>
      <c r="H531" s="67">
        <v>3</v>
      </c>
      <c r="I531" s="68" t="s">
        <v>20</v>
      </c>
      <c r="J531" s="69">
        <v>40</v>
      </c>
      <c r="K531" s="70">
        <v>3</v>
      </c>
      <c r="L531" s="68">
        <v>1</v>
      </c>
      <c r="M531" s="68">
        <f>_xlfn.XLOOKUP(Survey!$F531,sections[Start],sections[Test Section],,-1,1)</f>
        <v>2</v>
      </c>
      <c r="N531" s="55">
        <f>_xlfn.XLOOKUP(Survey!$K531,pipedata[ID],pipedata[WT])</f>
        <v>0.88800000000000001</v>
      </c>
      <c r="O531" s="56">
        <f>_xlfn.XLOOKUP(Survey!$K531,pipedata[ID],pipedata[104%])</f>
        <v>3078.4</v>
      </c>
      <c r="P531" s="57">
        <f t="shared" si="8"/>
        <v>1850</v>
      </c>
      <c r="Q531" s="58">
        <f>_xlfn.MAXIFS(Survey!$G$2:$G$3647,Survey!$M$2:$M$3647,Survey!$M531)-Survey!$G531</f>
        <v>1278.5310596919933</v>
      </c>
      <c r="R531" s="59">
        <f>Survey!$P531+(Survey!$Q531*0.433)</f>
        <v>2403.6039488466331</v>
      </c>
    </row>
    <row r="532" spans="1:18" x14ac:dyDescent="0.25">
      <c r="A532" s="71" t="s">
        <v>17</v>
      </c>
      <c r="B532" s="72" t="s">
        <v>18</v>
      </c>
      <c r="C532" s="73" t="s">
        <v>19</v>
      </c>
      <c r="D532" s="74">
        <v>231.06340937230121</v>
      </c>
      <c r="E532" s="81">
        <v>1248089</v>
      </c>
      <c r="F532" s="82">
        <v>1221015.8674698821</v>
      </c>
      <c r="G532" s="75">
        <v>1457.3402243723579</v>
      </c>
      <c r="H532" s="76">
        <v>3</v>
      </c>
      <c r="I532" s="54" t="s">
        <v>20</v>
      </c>
      <c r="J532" s="77">
        <v>40</v>
      </c>
      <c r="K532" s="78">
        <v>3</v>
      </c>
      <c r="L532" s="54">
        <v>1</v>
      </c>
      <c r="M532" s="54">
        <f>_xlfn.XLOOKUP(Survey!$F532,sections[Start],sections[Test Section],,-1,1)</f>
        <v>2</v>
      </c>
      <c r="N532" s="55">
        <f>_xlfn.XLOOKUP(Survey!$K532,pipedata[ID],pipedata[WT])</f>
        <v>0.88800000000000001</v>
      </c>
      <c r="O532" s="56">
        <f>_xlfn.XLOOKUP(Survey!$K532,pipedata[ID],pipedata[104%])</f>
        <v>3078.4</v>
      </c>
      <c r="P532" s="57">
        <f t="shared" si="8"/>
        <v>1850</v>
      </c>
      <c r="Q532" s="58">
        <f>_xlfn.MAXIFS(Survey!$G$2:$G$3647,Survey!$M$2:$M$3647,Survey!$M532)-Survey!$G532</f>
        <v>1306.3260198293844</v>
      </c>
      <c r="R532" s="59">
        <f>Survey!$P532+(Survey!$Q532*0.433)</f>
        <v>2415.6391665861233</v>
      </c>
    </row>
    <row r="533" spans="1:18" x14ac:dyDescent="0.25">
      <c r="A533" s="60" t="s">
        <v>17</v>
      </c>
      <c r="B533" s="61" t="s">
        <v>18</v>
      </c>
      <c r="C533" s="62" t="s">
        <v>19</v>
      </c>
      <c r="D533" s="63">
        <v>231.06900078750772</v>
      </c>
      <c r="E533" s="79">
        <v>1248129</v>
      </c>
      <c r="F533" s="80">
        <v>1221052.9277108461</v>
      </c>
      <c r="G533" s="66">
        <v>1430.4040098769844</v>
      </c>
      <c r="H533" s="67">
        <v>3</v>
      </c>
      <c r="I533" s="68" t="s">
        <v>20</v>
      </c>
      <c r="J533" s="69">
        <v>40</v>
      </c>
      <c r="K533" s="70">
        <v>3</v>
      </c>
      <c r="L533" s="68">
        <v>1</v>
      </c>
      <c r="M533" s="68">
        <f>_xlfn.XLOOKUP(Survey!$F533,sections[Start],sections[Test Section],,-1,1)</f>
        <v>2</v>
      </c>
      <c r="N533" s="55">
        <f>_xlfn.XLOOKUP(Survey!$K533,pipedata[ID],pipedata[WT])</f>
        <v>0.88800000000000001</v>
      </c>
      <c r="O533" s="56">
        <f>_xlfn.XLOOKUP(Survey!$K533,pipedata[ID],pipedata[104%])</f>
        <v>3078.4</v>
      </c>
      <c r="P533" s="57">
        <f t="shared" si="8"/>
        <v>1850</v>
      </c>
      <c r="Q533" s="58">
        <f>_xlfn.MAXIFS(Survey!$G$2:$G$3647,Survey!$M$2:$M$3647,Survey!$M533)-Survey!$G533</f>
        <v>1333.2622343247579</v>
      </c>
      <c r="R533" s="59">
        <f>Survey!$P533+(Survey!$Q533*0.433)</f>
        <v>2427.3025474626202</v>
      </c>
    </row>
    <row r="534" spans="1:18" x14ac:dyDescent="0.25">
      <c r="A534" s="71" t="s">
        <v>17</v>
      </c>
      <c r="B534" s="72" t="s">
        <v>18</v>
      </c>
      <c r="C534" s="73" t="s">
        <v>19</v>
      </c>
      <c r="D534" s="74">
        <v>231.07469175343257</v>
      </c>
      <c r="E534" s="81">
        <v>1248169</v>
      </c>
      <c r="F534" s="82">
        <v>1221089.98795181</v>
      </c>
      <c r="G534" s="75">
        <v>1409.0873622955273</v>
      </c>
      <c r="H534" s="76">
        <v>3</v>
      </c>
      <c r="I534" s="54" t="s">
        <v>20</v>
      </c>
      <c r="J534" s="77">
        <v>40</v>
      </c>
      <c r="K534" s="78">
        <v>3</v>
      </c>
      <c r="L534" s="54">
        <v>1</v>
      </c>
      <c r="M534" s="54">
        <f>_xlfn.XLOOKUP(Survey!$F534,sections[Start],sections[Test Section],,-1,1)</f>
        <v>2</v>
      </c>
      <c r="N534" s="55">
        <f>_xlfn.XLOOKUP(Survey!$K534,pipedata[ID],pipedata[WT])</f>
        <v>0.88800000000000001</v>
      </c>
      <c r="O534" s="56">
        <f>_xlfn.XLOOKUP(Survey!$K534,pipedata[ID],pipedata[104%])</f>
        <v>3078.4</v>
      </c>
      <c r="P534" s="57">
        <f t="shared" si="8"/>
        <v>1850</v>
      </c>
      <c r="Q534" s="58">
        <f>_xlfn.MAXIFS(Survey!$G$2:$G$3647,Survey!$M$2:$M$3647,Survey!$M534)-Survey!$G534</f>
        <v>1354.578881906215</v>
      </c>
      <c r="R534" s="59">
        <f>Survey!$P534+(Survey!$Q534*0.433)</f>
        <v>2436.532655865391</v>
      </c>
    </row>
    <row r="535" spans="1:18" x14ac:dyDescent="0.25">
      <c r="A535" s="60" t="s">
        <v>17</v>
      </c>
      <c r="B535" s="61" t="s">
        <v>18</v>
      </c>
      <c r="C535" s="62" t="s">
        <v>19</v>
      </c>
      <c r="D535" s="63">
        <v>231.08225397918665</v>
      </c>
      <c r="E535" s="79">
        <v>1248209</v>
      </c>
      <c r="F535" s="80">
        <v>1221127.0481927739</v>
      </c>
      <c r="G535" s="66">
        <v>1423.0539730000307</v>
      </c>
      <c r="H535" s="67">
        <v>3</v>
      </c>
      <c r="I535" s="68" t="s">
        <v>20</v>
      </c>
      <c r="J535" s="69">
        <v>40</v>
      </c>
      <c r="K535" s="70">
        <v>3</v>
      </c>
      <c r="L535" s="68">
        <v>1</v>
      </c>
      <c r="M535" s="68">
        <f>_xlfn.XLOOKUP(Survey!$F535,sections[Start],sections[Test Section],,-1,1)</f>
        <v>2</v>
      </c>
      <c r="N535" s="55">
        <f>_xlfn.XLOOKUP(Survey!$K535,pipedata[ID],pipedata[WT])</f>
        <v>0.88800000000000001</v>
      </c>
      <c r="O535" s="56">
        <f>_xlfn.XLOOKUP(Survey!$K535,pipedata[ID],pipedata[104%])</f>
        <v>3078.4</v>
      </c>
      <c r="P535" s="57">
        <f t="shared" si="8"/>
        <v>1850</v>
      </c>
      <c r="Q535" s="58">
        <f>_xlfn.MAXIFS(Survey!$G$2:$G$3647,Survey!$M$2:$M$3647,Survey!$M535)-Survey!$G535</f>
        <v>1340.6122712017116</v>
      </c>
      <c r="R535" s="59">
        <f>Survey!$P535+(Survey!$Q535*0.433)</f>
        <v>2430.4851134303412</v>
      </c>
    </row>
    <row r="536" spans="1:18" x14ac:dyDescent="0.25">
      <c r="A536" s="71" t="s">
        <v>17</v>
      </c>
      <c r="B536" s="72" t="s">
        <v>18</v>
      </c>
      <c r="C536" s="73" t="s">
        <v>19</v>
      </c>
      <c r="D536" s="74">
        <v>231.08942804858495</v>
      </c>
      <c r="E536" s="81">
        <v>1248249</v>
      </c>
      <c r="F536" s="82">
        <v>1221164.1084337379</v>
      </c>
      <c r="G536" s="75">
        <v>1441.0527082068472</v>
      </c>
      <c r="H536" s="76">
        <v>3</v>
      </c>
      <c r="I536" s="54" t="s">
        <v>20</v>
      </c>
      <c r="J536" s="77">
        <v>40</v>
      </c>
      <c r="K536" s="78">
        <v>3</v>
      </c>
      <c r="L536" s="54">
        <v>1</v>
      </c>
      <c r="M536" s="54">
        <f>_xlfn.XLOOKUP(Survey!$F536,sections[Start],sections[Test Section],,-1,1)</f>
        <v>2</v>
      </c>
      <c r="N536" s="55">
        <f>_xlfn.XLOOKUP(Survey!$K536,pipedata[ID],pipedata[WT])</f>
        <v>0.88800000000000001</v>
      </c>
      <c r="O536" s="56">
        <f>_xlfn.XLOOKUP(Survey!$K536,pipedata[ID],pipedata[104%])</f>
        <v>3078.4</v>
      </c>
      <c r="P536" s="57">
        <f t="shared" si="8"/>
        <v>1850</v>
      </c>
      <c r="Q536" s="58">
        <f>_xlfn.MAXIFS(Survey!$G$2:$G$3647,Survey!$M$2:$M$3647,Survey!$M536)-Survey!$G536</f>
        <v>1322.6135359948951</v>
      </c>
      <c r="R536" s="59">
        <f>Survey!$P536+(Survey!$Q536*0.433)</f>
        <v>2422.6916610857897</v>
      </c>
    </row>
    <row r="537" spans="1:18" x14ac:dyDescent="0.25">
      <c r="A537" s="60" t="s">
        <v>17</v>
      </c>
      <c r="B537" s="61" t="s">
        <v>18</v>
      </c>
      <c r="C537" s="62" t="s">
        <v>19</v>
      </c>
      <c r="D537" s="63">
        <v>231.09560212362857</v>
      </c>
      <c r="E537" s="79">
        <v>1248289</v>
      </c>
      <c r="F537" s="80">
        <v>1221201.1686747018</v>
      </c>
      <c r="G537" s="66">
        <v>1463.9461426735209</v>
      </c>
      <c r="H537" s="67">
        <v>3</v>
      </c>
      <c r="I537" s="68" t="s">
        <v>20</v>
      </c>
      <c r="J537" s="69">
        <v>40</v>
      </c>
      <c r="K537" s="70">
        <v>3</v>
      </c>
      <c r="L537" s="68">
        <v>1</v>
      </c>
      <c r="M537" s="68">
        <f>_xlfn.XLOOKUP(Survey!$F537,sections[Start],sections[Test Section],,-1,1)</f>
        <v>2</v>
      </c>
      <c r="N537" s="55">
        <f>_xlfn.XLOOKUP(Survey!$K537,pipedata[ID],pipedata[WT])</f>
        <v>0.88800000000000001</v>
      </c>
      <c r="O537" s="56">
        <f>_xlfn.XLOOKUP(Survey!$K537,pipedata[ID],pipedata[104%])</f>
        <v>3078.4</v>
      </c>
      <c r="P537" s="57">
        <f t="shared" si="8"/>
        <v>1850</v>
      </c>
      <c r="Q537" s="58">
        <f>_xlfn.MAXIFS(Survey!$G$2:$G$3647,Survey!$M$2:$M$3647,Survey!$M537)-Survey!$G537</f>
        <v>1299.7201015282214</v>
      </c>
      <c r="R537" s="59">
        <f>Survey!$P537+(Survey!$Q537*0.433)</f>
        <v>2412.7788039617199</v>
      </c>
    </row>
    <row r="538" spans="1:18" x14ac:dyDescent="0.25">
      <c r="A538" s="71" t="s">
        <v>17</v>
      </c>
      <c r="B538" s="72" t="s">
        <v>18</v>
      </c>
      <c r="C538" s="73" t="s">
        <v>19</v>
      </c>
      <c r="D538" s="74">
        <v>231.10201336431393</v>
      </c>
      <c r="E538" s="64">
        <v>1248329</v>
      </c>
      <c r="F538" s="65">
        <v>1221238.2289156658</v>
      </c>
      <c r="G538" s="75">
        <v>1487.5612979622224</v>
      </c>
      <c r="H538" s="76">
        <v>3</v>
      </c>
      <c r="I538" s="54" t="s">
        <v>20</v>
      </c>
      <c r="J538" s="77">
        <v>40</v>
      </c>
      <c r="K538" s="78">
        <v>3</v>
      </c>
      <c r="L538" s="54">
        <v>1</v>
      </c>
      <c r="M538" s="54">
        <f>_xlfn.XLOOKUP(Survey!$F538,sections[Start],sections[Test Section],,-1,1)</f>
        <v>2</v>
      </c>
      <c r="N538" s="55">
        <f>_xlfn.XLOOKUP(Survey!$K538,pipedata[ID],pipedata[WT])</f>
        <v>0.88800000000000001</v>
      </c>
      <c r="O538" s="56">
        <f>_xlfn.XLOOKUP(Survey!$K538,pipedata[ID],pipedata[104%])</f>
        <v>3078.4</v>
      </c>
      <c r="P538" s="57">
        <f t="shared" si="8"/>
        <v>1850</v>
      </c>
      <c r="Q538" s="58">
        <f>_xlfn.MAXIFS(Survey!$G$2:$G$3647,Survey!$M$2:$M$3647,Survey!$M538)-Survey!$G538</f>
        <v>1276.1049462395199</v>
      </c>
      <c r="R538" s="59">
        <f>Survey!$P538+(Survey!$Q538*0.433)</f>
        <v>2402.5534417217123</v>
      </c>
    </row>
    <row r="539" spans="1:18" x14ac:dyDescent="0.25">
      <c r="A539" s="60" t="s">
        <v>17</v>
      </c>
      <c r="B539" s="61" t="s">
        <v>18</v>
      </c>
      <c r="C539" s="62" t="s">
        <v>19</v>
      </c>
      <c r="D539" s="63">
        <v>231.10795027371606</v>
      </c>
      <c r="E539" s="79">
        <v>1248369</v>
      </c>
      <c r="F539" s="80">
        <v>1221275.2891566297</v>
      </c>
      <c r="G539" s="66">
        <v>1510.7282080387058</v>
      </c>
      <c r="H539" s="67">
        <v>3</v>
      </c>
      <c r="I539" s="68" t="s">
        <v>20</v>
      </c>
      <c r="J539" s="69">
        <v>40</v>
      </c>
      <c r="K539" s="70">
        <v>3</v>
      </c>
      <c r="L539" s="68">
        <v>1</v>
      </c>
      <c r="M539" s="68">
        <f>_xlfn.XLOOKUP(Survey!$F539,sections[Start],sections[Test Section],,-1,1)</f>
        <v>2</v>
      </c>
      <c r="N539" s="55">
        <f>_xlfn.XLOOKUP(Survey!$K539,pipedata[ID],pipedata[WT])</f>
        <v>0.88800000000000001</v>
      </c>
      <c r="O539" s="56">
        <f>_xlfn.XLOOKUP(Survey!$K539,pipedata[ID],pipedata[104%])</f>
        <v>3078.4</v>
      </c>
      <c r="P539" s="57">
        <f t="shared" si="8"/>
        <v>1850</v>
      </c>
      <c r="Q539" s="58">
        <f>_xlfn.MAXIFS(Survey!$G$2:$G$3647,Survey!$M$2:$M$3647,Survey!$M539)-Survey!$G539</f>
        <v>1252.9380361630365</v>
      </c>
      <c r="R539" s="59">
        <f>Survey!$P539+(Survey!$Q539*0.433)</f>
        <v>2392.522169658595</v>
      </c>
    </row>
    <row r="540" spans="1:18" x14ac:dyDescent="0.25">
      <c r="A540" s="71" t="s">
        <v>17</v>
      </c>
      <c r="B540" s="72" t="s">
        <v>18</v>
      </c>
      <c r="C540" s="73" t="s">
        <v>19</v>
      </c>
      <c r="D540" s="74">
        <v>231.1146769284075</v>
      </c>
      <c r="E540" s="64">
        <v>1248409</v>
      </c>
      <c r="F540" s="65">
        <v>1221312.3493975936</v>
      </c>
      <c r="G540" s="75">
        <v>1532.8348943874837</v>
      </c>
      <c r="H540" s="76">
        <v>3</v>
      </c>
      <c r="I540" s="54" t="s">
        <v>20</v>
      </c>
      <c r="J540" s="77">
        <v>40</v>
      </c>
      <c r="K540" s="78">
        <v>3</v>
      </c>
      <c r="L540" s="54">
        <v>1</v>
      </c>
      <c r="M540" s="54">
        <f>_xlfn.XLOOKUP(Survey!$F540,sections[Start],sections[Test Section],,-1,1)</f>
        <v>2</v>
      </c>
      <c r="N540" s="55">
        <f>_xlfn.XLOOKUP(Survey!$K540,pipedata[ID],pipedata[WT])</f>
        <v>0.88800000000000001</v>
      </c>
      <c r="O540" s="56">
        <f>_xlfn.XLOOKUP(Survey!$K540,pipedata[ID],pipedata[104%])</f>
        <v>3078.4</v>
      </c>
      <c r="P540" s="57">
        <f t="shared" si="8"/>
        <v>1850</v>
      </c>
      <c r="Q540" s="58">
        <f>_xlfn.MAXIFS(Survey!$G$2:$G$3647,Survey!$M$2:$M$3647,Survey!$M540)-Survey!$G540</f>
        <v>1230.8313498142586</v>
      </c>
      <c r="R540" s="59">
        <f>Survey!$P540+(Survey!$Q540*0.433)</f>
        <v>2382.949974469574</v>
      </c>
    </row>
    <row r="541" spans="1:18" x14ac:dyDescent="0.25">
      <c r="A541" s="60" t="s">
        <v>17</v>
      </c>
      <c r="B541" s="61" t="s">
        <v>18</v>
      </c>
      <c r="C541" s="62" t="s">
        <v>19</v>
      </c>
      <c r="D541" s="63">
        <v>231.12126219691783</v>
      </c>
      <c r="E541" s="64">
        <v>1248449</v>
      </c>
      <c r="F541" s="65">
        <v>1221349.4096385576</v>
      </c>
      <c r="G541" s="66">
        <v>1551.1600731569529</v>
      </c>
      <c r="H541" s="67">
        <v>3</v>
      </c>
      <c r="I541" s="68" t="s">
        <v>20</v>
      </c>
      <c r="J541" s="69">
        <v>40</v>
      </c>
      <c r="K541" s="70">
        <v>3</v>
      </c>
      <c r="L541" s="68">
        <v>1</v>
      </c>
      <c r="M541" s="68">
        <f>_xlfn.XLOOKUP(Survey!$F541,sections[Start],sections[Test Section],,-1,1)</f>
        <v>2</v>
      </c>
      <c r="N541" s="55">
        <f>_xlfn.XLOOKUP(Survey!$K541,pipedata[ID],pipedata[WT])</f>
        <v>0.88800000000000001</v>
      </c>
      <c r="O541" s="56">
        <f>_xlfn.XLOOKUP(Survey!$K541,pipedata[ID],pipedata[104%])</f>
        <v>3078.4</v>
      </c>
      <c r="P541" s="57">
        <f t="shared" si="8"/>
        <v>1850</v>
      </c>
      <c r="Q541" s="58">
        <f>_xlfn.MAXIFS(Survey!$G$2:$G$3647,Survey!$M$2:$M$3647,Survey!$M541)-Survey!$G541</f>
        <v>1212.5061710447894</v>
      </c>
      <c r="R541" s="59">
        <f>Survey!$P541+(Survey!$Q541*0.433)</f>
        <v>2375.015172062394</v>
      </c>
    </row>
    <row r="542" spans="1:18" x14ac:dyDescent="0.25">
      <c r="A542" s="71" t="s">
        <v>17</v>
      </c>
      <c r="B542" s="72" t="s">
        <v>18</v>
      </c>
      <c r="C542" s="73" t="s">
        <v>19</v>
      </c>
      <c r="D542" s="74">
        <v>231.12837930851552</v>
      </c>
      <c r="E542" s="81">
        <v>1248489</v>
      </c>
      <c r="F542" s="82">
        <v>1221386.4698795215</v>
      </c>
      <c r="G542" s="75">
        <v>1575.1299230520149</v>
      </c>
      <c r="H542" s="76">
        <v>3</v>
      </c>
      <c r="I542" s="54" t="s">
        <v>20</v>
      </c>
      <c r="J542" s="77">
        <v>40</v>
      </c>
      <c r="K542" s="78">
        <v>3</v>
      </c>
      <c r="L542" s="54">
        <v>1</v>
      </c>
      <c r="M542" s="54">
        <f>_xlfn.XLOOKUP(Survey!$F542,sections[Start],sections[Test Section],,-1,1)</f>
        <v>2</v>
      </c>
      <c r="N542" s="55">
        <f>_xlfn.XLOOKUP(Survey!$K542,pipedata[ID],pipedata[WT])</f>
        <v>0.88800000000000001</v>
      </c>
      <c r="O542" s="56">
        <f>_xlfn.XLOOKUP(Survey!$K542,pipedata[ID],pipedata[104%])</f>
        <v>3078.4</v>
      </c>
      <c r="P542" s="57">
        <f t="shared" si="8"/>
        <v>1850</v>
      </c>
      <c r="Q542" s="58">
        <f>_xlfn.MAXIFS(Survey!$G$2:$G$3647,Survey!$M$2:$M$3647,Survey!$M542)-Survey!$G542</f>
        <v>1188.5363211497274</v>
      </c>
      <c r="R542" s="59">
        <f>Survey!$P542+(Survey!$Q542*0.433)</f>
        <v>2364.636227057832</v>
      </c>
    </row>
    <row r="543" spans="1:18" x14ac:dyDescent="0.25">
      <c r="A543" s="60" t="s">
        <v>17</v>
      </c>
      <c r="B543" s="61" t="s">
        <v>18</v>
      </c>
      <c r="C543" s="62" t="s">
        <v>19</v>
      </c>
      <c r="D543" s="63">
        <v>231.13442493379327</v>
      </c>
      <c r="E543" s="64">
        <v>1248529</v>
      </c>
      <c r="F543" s="65">
        <v>1221423.5301204855</v>
      </c>
      <c r="G543" s="66">
        <v>1593.5700842708932</v>
      </c>
      <c r="H543" s="67">
        <v>3</v>
      </c>
      <c r="I543" s="68" t="s">
        <v>20</v>
      </c>
      <c r="J543" s="69">
        <v>40</v>
      </c>
      <c r="K543" s="70">
        <v>3</v>
      </c>
      <c r="L543" s="68">
        <v>1</v>
      </c>
      <c r="M543" s="68">
        <f>_xlfn.XLOOKUP(Survey!$F543,sections[Start],sections[Test Section],,-1,1)</f>
        <v>2</v>
      </c>
      <c r="N543" s="55">
        <f>_xlfn.XLOOKUP(Survey!$K543,pipedata[ID],pipedata[WT])</f>
        <v>0.88800000000000001</v>
      </c>
      <c r="O543" s="56">
        <f>_xlfn.XLOOKUP(Survey!$K543,pipedata[ID],pipedata[104%])</f>
        <v>3078.4</v>
      </c>
      <c r="P543" s="57">
        <f t="shared" si="8"/>
        <v>1850</v>
      </c>
      <c r="Q543" s="58">
        <f>_xlfn.MAXIFS(Survey!$G$2:$G$3647,Survey!$M$2:$M$3647,Survey!$M543)-Survey!$G543</f>
        <v>1170.0961599308491</v>
      </c>
      <c r="R543" s="59">
        <f>Survey!$P543+(Survey!$Q543*0.433)</f>
        <v>2356.6516372500578</v>
      </c>
    </row>
    <row r="544" spans="1:18" x14ac:dyDescent="0.25">
      <c r="A544" s="71" t="s">
        <v>17</v>
      </c>
      <c r="B544" s="72" t="s">
        <v>18</v>
      </c>
      <c r="C544" s="73" t="s">
        <v>19</v>
      </c>
      <c r="D544" s="74">
        <v>231.14047055907088</v>
      </c>
      <c r="E544" s="81">
        <v>1248569</v>
      </c>
      <c r="F544" s="82">
        <v>1221460.5903614494</v>
      </c>
      <c r="G544" s="75">
        <v>1610.2096124105342</v>
      </c>
      <c r="H544" s="76">
        <v>3</v>
      </c>
      <c r="I544" s="54" t="s">
        <v>20</v>
      </c>
      <c r="J544" s="77">
        <v>40</v>
      </c>
      <c r="K544" s="78">
        <v>3</v>
      </c>
      <c r="L544" s="54">
        <v>1</v>
      </c>
      <c r="M544" s="54">
        <f>_xlfn.XLOOKUP(Survey!$F544,sections[Start],sections[Test Section],,-1,1)</f>
        <v>2</v>
      </c>
      <c r="N544" s="55">
        <f>_xlfn.XLOOKUP(Survey!$K544,pipedata[ID],pipedata[WT])</f>
        <v>0.88800000000000001</v>
      </c>
      <c r="O544" s="56">
        <f>_xlfn.XLOOKUP(Survey!$K544,pipedata[ID],pipedata[104%])</f>
        <v>3078.4</v>
      </c>
      <c r="P544" s="57">
        <f t="shared" si="8"/>
        <v>1850</v>
      </c>
      <c r="Q544" s="58">
        <f>_xlfn.MAXIFS(Survey!$G$2:$G$3647,Survey!$M$2:$M$3647,Survey!$M544)-Survey!$G544</f>
        <v>1153.4566317912081</v>
      </c>
      <c r="R544" s="59">
        <f>Survey!$P544+(Survey!$Q544*0.433)</f>
        <v>2349.4467215655932</v>
      </c>
    </row>
    <row r="545" spans="1:18" x14ac:dyDescent="0.25">
      <c r="A545" s="60" t="s">
        <v>17</v>
      </c>
      <c r="B545" s="61" t="s">
        <v>18</v>
      </c>
      <c r="C545" s="62" t="s">
        <v>19</v>
      </c>
      <c r="D545" s="63">
        <v>231.1484394420356</v>
      </c>
      <c r="E545" s="79">
        <v>1248609</v>
      </c>
      <c r="F545" s="80">
        <v>1221497.6506024133</v>
      </c>
      <c r="G545" s="66">
        <v>1627.1027567346971</v>
      </c>
      <c r="H545" s="67">
        <v>3</v>
      </c>
      <c r="I545" s="68" t="s">
        <v>20</v>
      </c>
      <c r="J545" s="69">
        <v>40</v>
      </c>
      <c r="K545" s="70">
        <v>3</v>
      </c>
      <c r="L545" s="68">
        <v>1</v>
      </c>
      <c r="M545" s="68">
        <f>_xlfn.XLOOKUP(Survey!$F545,sections[Start],sections[Test Section],,-1,1)</f>
        <v>2</v>
      </c>
      <c r="N545" s="55">
        <f>_xlfn.XLOOKUP(Survey!$K545,pipedata[ID],pipedata[WT])</f>
        <v>0.88800000000000001</v>
      </c>
      <c r="O545" s="56">
        <f>_xlfn.XLOOKUP(Survey!$K545,pipedata[ID],pipedata[104%])</f>
        <v>3078.4</v>
      </c>
      <c r="P545" s="57">
        <f t="shared" si="8"/>
        <v>1850</v>
      </c>
      <c r="Q545" s="58">
        <f>_xlfn.MAXIFS(Survey!$G$2:$G$3647,Survey!$M$2:$M$3647,Survey!$M545)-Survey!$G545</f>
        <v>1136.5634874670452</v>
      </c>
      <c r="R545" s="59">
        <f>Survey!$P545+(Survey!$Q545*0.433)</f>
        <v>2342.1319900732306</v>
      </c>
    </row>
    <row r="546" spans="1:18" x14ac:dyDescent="0.25">
      <c r="A546" s="71" t="s">
        <v>17</v>
      </c>
      <c r="B546" s="72" t="s">
        <v>18</v>
      </c>
      <c r="C546" s="73" t="s">
        <v>19</v>
      </c>
      <c r="D546" s="74">
        <v>231.15412471170688</v>
      </c>
      <c r="E546" s="81">
        <v>1248649</v>
      </c>
      <c r="F546" s="82">
        <v>1221534.7108433773</v>
      </c>
      <c r="G546" s="75">
        <v>1645.3170208621905</v>
      </c>
      <c r="H546" s="76">
        <v>3</v>
      </c>
      <c r="I546" s="54" t="s">
        <v>20</v>
      </c>
      <c r="J546" s="77">
        <v>40</v>
      </c>
      <c r="K546" s="78">
        <v>3</v>
      </c>
      <c r="L546" s="54">
        <v>1</v>
      </c>
      <c r="M546" s="54">
        <f>_xlfn.XLOOKUP(Survey!$F546,sections[Start],sections[Test Section],,-1,1)</f>
        <v>2</v>
      </c>
      <c r="N546" s="55">
        <f>_xlfn.XLOOKUP(Survey!$K546,pipedata[ID],pipedata[WT])</f>
        <v>0.88800000000000001</v>
      </c>
      <c r="O546" s="56">
        <f>_xlfn.XLOOKUP(Survey!$K546,pipedata[ID],pipedata[104%])</f>
        <v>3078.4</v>
      </c>
      <c r="P546" s="57">
        <f t="shared" si="8"/>
        <v>1850</v>
      </c>
      <c r="Q546" s="58">
        <f>_xlfn.MAXIFS(Survey!$G$2:$G$3647,Survey!$M$2:$M$3647,Survey!$M546)-Survey!$G546</f>
        <v>1118.3492233395518</v>
      </c>
      <c r="R546" s="59">
        <f>Survey!$P546+(Survey!$Q546*0.433)</f>
        <v>2334.2452137060259</v>
      </c>
    </row>
    <row r="547" spans="1:18" x14ac:dyDescent="0.25">
      <c r="A547" s="60" t="s">
        <v>17</v>
      </c>
      <c r="B547" s="61" t="s">
        <v>18</v>
      </c>
      <c r="C547" s="62" t="s">
        <v>19</v>
      </c>
      <c r="D547" s="63">
        <v>231.16171236295256</v>
      </c>
      <c r="E547" s="79">
        <v>1248689</v>
      </c>
      <c r="F547" s="80">
        <v>1221571.7710843412</v>
      </c>
      <c r="G547" s="66">
        <v>1662.4098698616028</v>
      </c>
      <c r="H547" s="67">
        <v>3</v>
      </c>
      <c r="I547" s="68" t="s">
        <v>20</v>
      </c>
      <c r="J547" s="69">
        <v>40</v>
      </c>
      <c r="K547" s="70">
        <v>3</v>
      </c>
      <c r="L547" s="68">
        <v>1</v>
      </c>
      <c r="M547" s="68">
        <f>_xlfn.XLOOKUP(Survey!$F547,sections[Start],sections[Test Section],,-1,1)</f>
        <v>2</v>
      </c>
      <c r="N547" s="55">
        <f>_xlfn.XLOOKUP(Survey!$K547,pipedata[ID],pipedata[WT])</f>
        <v>0.88800000000000001</v>
      </c>
      <c r="O547" s="56">
        <f>_xlfn.XLOOKUP(Survey!$K547,pipedata[ID],pipedata[104%])</f>
        <v>3078.4</v>
      </c>
      <c r="P547" s="57">
        <f t="shared" si="8"/>
        <v>1850</v>
      </c>
      <c r="Q547" s="58">
        <f>_xlfn.MAXIFS(Survey!$G$2:$G$3647,Survey!$M$2:$M$3647,Survey!$M547)-Survey!$G547</f>
        <v>1101.2563743401395</v>
      </c>
      <c r="R547" s="59">
        <f>Survey!$P547+(Survey!$Q547*0.433)</f>
        <v>2326.8440100892803</v>
      </c>
    </row>
    <row r="548" spans="1:18" x14ac:dyDescent="0.25">
      <c r="A548" s="71" t="s">
        <v>17</v>
      </c>
      <c r="B548" s="72" t="s">
        <v>18</v>
      </c>
      <c r="C548" s="73" t="s">
        <v>19</v>
      </c>
      <c r="D548" s="74">
        <v>231.16938430450787</v>
      </c>
      <c r="E548" s="81">
        <v>1248729</v>
      </c>
      <c r="F548" s="82">
        <v>1221608.8313253052</v>
      </c>
      <c r="G548" s="75">
        <v>1675.9261113014743</v>
      </c>
      <c r="H548" s="76">
        <v>3</v>
      </c>
      <c r="I548" s="54" t="s">
        <v>20</v>
      </c>
      <c r="J548" s="77">
        <v>40</v>
      </c>
      <c r="K548" s="78">
        <v>3</v>
      </c>
      <c r="L548" s="54">
        <v>1</v>
      </c>
      <c r="M548" s="54">
        <f>_xlfn.XLOOKUP(Survey!$F548,sections[Start],sections[Test Section],,-1,1)</f>
        <v>2</v>
      </c>
      <c r="N548" s="55">
        <f>_xlfn.XLOOKUP(Survey!$K548,pipedata[ID],pipedata[WT])</f>
        <v>0.88800000000000001</v>
      </c>
      <c r="O548" s="56">
        <f>_xlfn.XLOOKUP(Survey!$K548,pipedata[ID],pipedata[104%])</f>
        <v>3078.4</v>
      </c>
      <c r="P548" s="57">
        <f t="shared" si="8"/>
        <v>1850</v>
      </c>
      <c r="Q548" s="58">
        <f>_xlfn.MAXIFS(Survey!$G$2:$G$3647,Survey!$M$2:$M$3647,Survey!$M548)-Survey!$G548</f>
        <v>1087.740132900268</v>
      </c>
      <c r="R548" s="59">
        <f>Survey!$P548+(Survey!$Q548*0.433)</f>
        <v>2320.991477545816</v>
      </c>
    </row>
    <row r="549" spans="1:18" x14ac:dyDescent="0.25">
      <c r="A549" s="60" t="s">
        <v>17</v>
      </c>
      <c r="B549" s="61" t="s">
        <v>18</v>
      </c>
      <c r="C549" s="62" t="s">
        <v>19</v>
      </c>
      <c r="D549" s="63">
        <v>231.17509191129102</v>
      </c>
      <c r="E549" s="79">
        <v>1248769</v>
      </c>
      <c r="F549" s="80">
        <v>1221645.8915662691</v>
      </c>
      <c r="G549" s="66">
        <v>1696.9724362655877</v>
      </c>
      <c r="H549" s="67">
        <v>3</v>
      </c>
      <c r="I549" s="68" t="s">
        <v>20</v>
      </c>
      <c r="J549" s="69">
        <v>40</v>
      </c>
      <c r="K549" s="70">
        <v>3</v>
      </c>
      <c r="L549" s="68">
        <v>1</v>
      </c>
      <c r="M549" s="68">
        <f>_xlfn.XLOOKUP(Survey!$F549,sections[Start],sections[Test Section],,-1,1)</f>
        <v>2</v>
      </c>
      <c r="N549" s="55">
        <f>_xlfn.XLOOKUP(Survey!$K549,pipedata[ID],pipedata[WT])</f>
        <v>0.88800000000000001</v>
      </c>
      <c r="O549" s="56">
        <f>_xlfn.XLOOKUP(Survey!$K549,pipedata[ID],pipedata[104%])</f>
        <v>3078.4</v>
      </c>
      <c r="P549" s="57">
        <f t="shared" si="8"/>
        <v>1850</v>
      </c>
      <c r="Q549" s="58">
        <f>_xlfn.MAXIFS(Survey!$G$2:$G$3647,Survey!$M$2:$M$3647,Survey!$M549)-Survey!$G549</f>
        <v>1066.6938079361546</v>
      </c>
      <c r="R549" s="59">
        <f>Survey!$P549+(Survey!$Q549*0.433)</f>
        <v>2311.8784188363547</v>
      </c>
    </row>
    <row r="550" spans="1:18" x14ac:dyDescent="0.25">
      <c r="A550" s="71" t="s">
        <v>17</v>
      </c>
      <c r="B550" s="72" t="s">
        <v>18</v>
      </c>
      <c r="C550" s="73" t="s">
        <v>19</v>
      </c>
      <c r="D550" s="74">
        <v>231.18245810173673</v>
      </c>
      <c r="E550" s="81">
        <v>1248809</v>
      </c>
      <c r="F550" s="82">
        <v>1221682.951807233</v>
      </c>
      <c r="G550" s="75">
        <v>1720.5303847686444</v>
      </c>
      <c r="H550" s="76">
        <v>3</v>
      </c>
      <c r="I550" s="54" t="s">
        <v>20</v>
      </c>
      <c r="J550" s="77">
        <v>40</v>
      </c>
      <c r="K550" s="78">
        <v>3</v>
      </c>
      <c r="L550" s="54">
        <v>1</v>
      </c>
      <c r="M550" s="54">
        <f>_xlfn.XLOOKUP(Survey!$F550,sections[Start],sections[Test Section],,-1,1)</f>
        <v>2</v>
      </c>
      <c r="N550" s="55">
        <f>_xlfn.XLOOKUP(Survey!$K550,pipedata[ID],pipedata[WT])</f>
        <v>0.88800000000000001</v>
      </c>
      <c r="O550" s="56">
        <f>_xlfn.XLOOKUP(Survey!$K550,pipedata[ID],pipedata[104%])</f>
        <v>3078.4</v>
      </c>
      <c r="P550" s="57">
        <f t="shared" si="8"/>
        <v>1850</v>
      </c>
      <c r="Q550" s="58">
        <f>_xlfn.MAXIFS(Survey!$G$2:$G$3647,Survey!$M$2:$M$3647,Survey!$M550)-Survey!$G550</f>
        <v>1043.1358594330979</v>
      </c>
      <c r="R550" s="59">
        <f>Survey!$P550+(Survey!$Q550*0.433)</f>
        <v>2301.6778271345315</v>
      </c>
    </row>
    <row r="551" spans="1:18" x14ac:dyDescent="0.25">
      <c r="A551" s="60" t="s">
        <v>17</v>
      </c>
      <c r="B551" s="61" t="s">
        <v>18</v>
      </c>
      <c r="C551" s="62" t="s">
        <v>19</v>
      </c>
      <c r="D551" s="63">
        <v>231.18908438090924</v>
      </c>
      <c r="E551" s="79">
        <v>1248849</v>
      </c>
      <c r="F551" s="80">
        <v>1221720.012048197</v>
      </c>
      <c r="G551" s="66">
        <v>1739.6645236045108</v>
      </c>
      <c r="H551" s="67">
        <v>3</v>
      </c>
      <c r="I551" s="68" t="s">
        <v>20</v>
      </c>
      <c r="J551" s="69">
        <v>40</v>
      </c>
      <c r="K551" s="70">
        <v>3</v>
      </c>
      <c r="L551" s="68">
        <v>1</v>
      </c>
      <c r="M551" s="68">
        <f>_xlfn.XLOOKUP(Survey!$F551,sections[Start],sections[Test Section],,-1,1)</f>
        <v>2</v>
      </c>
      <c r="N551" s="55">
        <f>_xlfn.XLOOKUP(Survey!$K551,pipedata[ID],pipedata[WT])</f>
        <v>0.88800000000000001</v>
      </c>
      <c r="O551" s="56">
        <f>_xlfn.XLOOKUP(Survey!$K551,pipedata[ID],pipedata[104%])</f>
        <v>3078.4</v>
      </c>
      <c r="P551" s="57">
        <f t="shared" si="8"/>
        <v>1850</v>
      </c>
      <c r="Q551" s="58">
        <f>_xlfn.MAXIFS(Survey!$G$2:$G$3647,Survey!$M$2:$M$3647,Survey!$M551)-Survey!$G551</f>
        <v>1024.0017205972315</v>
      </c>
      <c r="R551" s="59">
        <f>Survey!$P551+(Survey!$Q551*0.433)</f>
        <v>2293.3927450186011</v>
      </c>
    </row>
    <row r="552" spans="1:18" x14ac:dyDescent="0.25">
      <c r="A552" s="71" t="s">
        <v>17</v>
      </c>
      <c r="B552" s="72" t="s">
        <v>18</v>
      </c>
      <c r="C552" s="73" t="s">
        <v>19</v>
      </c>
      <c r="D552" s="74">
        <v>231.19597206815732</v>
      </c>
      <c r="E552" s="81">
        <v>1248889</v>
      </c>
      <c r="F552" s="82">
        <v>1221757.0722891609</v>
      </c>
      <c r="G552" s="75">
        <v>1759.1445190332829</v>
      </c>
      <c r="H552" s="76">
        <v>3</v>
      </c>
      <c r="I552" s="54" t="s">
        <v>20</v>
      </c>
      <c r="J552" s="77">
        <v>40</v>
      </c>
      <c r="K552" s="78">
        <v>3</v>
      </c>
      <c r="L552" s="54">
        <v>1</v>
      </c>
      <c r="M552" s="54">
        <f>_xlfn.XLOOKUP(Survey!$F552,sections[Start],sections[Test Section],,-1,1)</f>
        <v>2</v>
      </c>
      <c r="N552" s="55">
        <f>_xlfn.XLOOKUP(Survey!$K552,pipedata[ID],pipedata[WT])</f>
        <v>0.88800000000000001</v>
      </c>
      <c r="O552" s="56">
        <f>_xlfn.XLOOKUP(Survey!$K552,pipedata[ID],pipedata[104%])</f>
        <v>3078.4</v>
      </c>
      <c r="P552" s="57">
        <f t="shared" si="8"/>
        <v>1850</v>
      </c>
      <c r="Q552" s="58">
        <f>_xlfn.MAXIFS(Survey!$G$2:$G$3647,Survey!$M$2:$M$3647,Survey!$M552)-Survey!$G552</f>
        <v>1004.5217251684594</v>
      </c>
      <c r="R552" s="59">
        <f>Survey!$P552+(Survey!$Q552*0.433)</f>
        <v>2284.9579069979427</v>
      </c>
    </row>
    <row r="553" spans="1:18" x14ac:dyDescent="0.25">
      <c r="A553" s="60" t="s">
        <v>17</v>
      </c>
      <c r="B553" s="61" t="s">
        <v>18</v>
      </c>
      <c r="C553" s="62" t="s">
        <v>19</v>
      </c>
      <c r="D553" s="63">
        <v>231.20176376805219</v>
      </c>
      <c r="E553" s="79">
        <v>1248929</v>
      </c>
      <c r="F553" s="80">
        <v>1221794.1325301249</v>
      </c>
      <c r="G553" s="66">
        <v>1779.9302282989174</v>
      </c>
      <c r="H553" s="67">
        <v>3</v>
      </c>
      <c r="I553" s="68" t="s">
        <v>20</v>
      </c>
      <c r="J553" s="69">
        <v>40</v>
      </c>
      <c r="K553" s="70">
        <v>3</v>
      </c>
      <c r="L553" s="68">
        <v>1</v>
      </c>
      <c r="M553" s="68">
        <f>_xlfn.XLOOKUP(Survey!$F553,sections[Start],sections[Test Section],,-1,1)</f>
        <v>2</v>
      </c>
      <c r="N553" s="55">
        <f>_xlfn.XLOOKUP(Survey!$K553,pipedata[ID],pipedata[WT])</f>
        <v>0.88800000000000001</v>
      </c>
      <c r="O553" s="56">
        <f>_xlfn.XLOOKUP(Survey!$K553,pipedata[ID],pipedata[104%])</f>
        <v>3078.4</v>
      </c>
      <c r="P553" s="57">
        <f t="shared" si="8"/>
        <v>1850</v>
      </c>
      <c r="Q553" s="58">
        <f>_xlfn.MAXIFS(Survey!$G$2:$G$3647,Survey!$M$2:$M$3647,Survey!$M553)-Survey!$G553</f>
        <v>983.73601590282487</v>
      </c>
      <c r="R553" s="59">
        <f>Survey!$P553+(Survey!$Q553*0.433)</f>
        <v>2275.957694885923</v>
      </c>
    </row>
    <row r="554" spans="1:18" x14ac:dyDescent="0.25">
      <c r="A554" s="71" t="s">
        <v>17</v>
      </c>
      <c r="B554" s="72" t="s">
        <v>18</v>
      </c>
      <c r="C554" s="73" t="s">
        <v>19</v>
      </c>
      <c r="D554" s="74">
        <v>231.20940270532728</v>
      </c>
      <c r="E554" s="81">
        <v>1248969</v>
      </c>
      <c r="F554" s="82">
        <v>1221831.1927710888</v>
      </c>
      <c r="G554" s="75">
        <v>1799.6817481147871</v>
      </c>
      <c r="H554" s="76">
        <v>3</v>
      </c>
      <c r="I554" s="54" t="s">
        <v>20</v>
      </c>
      <c r="J554" s="77">
        <v>40</v>
      </c>
      <c r="K554" s="78">
        <v>3</v>
      </c>
      <c r="L554" s="54">
        <v>1</v>
      </c>
      <c r="M554" s="54">
        <f>_xlfn.XLOOKUP(Survey!$F554,sections[Start],sections[Test Section],,-1,1)</f>
        <v>2</v>
      </c>
      <c r="N554" s="55">
        <f>_xlfn.XLOOKUP(Survey!$K554,pipedata[ID],pipedata[WT])</f>
        <v>0.88800000000000001</v>
      </c>
      <c r="O554" s="56">
        <f>_xlfn.XLOOKUP(Survey!$K554,pipedata[ID],pipedata[104%])</f>
        <v>3078.4</v>
      </c>
      <c r="P554" s="57">
        <f t="shared" si="8"/>
        <v>1850</v>
      </c>
      <c r="Q554" s="58">
        <f>_xlfn.MAXIFS(Survey!$G$2:$G$3647,Survey!$M$2:$M$3647,Survey!$M554)-Survey!$G554</f>
        <v>963.98449608695523</v>
      </c>
      <c r="R554" s="59">
        <f>Survey!$P554+(Survey!$Q554*0.433)</f>
        <v>2267.4052868056515</v>
      </c>
    </row>
    <row r="555" spans="1:18" x14ac:dyDescent="0.25">
      <c r="A555" s="60" t="s">
        <v>17</v>
      </c>
      <c r="B555" s="61" t="s">
        <v>18</v>
      </c>
      <c r="C555" s="62" t="s">
        <v>19</v>
      </c>
      <c r="D555" s="63">
        <v>231.21619494076612</v>
      </c>
      <c r="E555" s="79">
        <v>1249009</v>
      </c>
      <c r="F555" s="80">
        <v>1221868.2530120527</v>
      </c>
      <c r="G555" s="66">
        <v>1819.1421047889553</v>
      </c>
      <c r="H555" s="67">
        <v>3</v>
      </c>
      <c r="I555" s="68" t="s">
        <v>20</v>
      </c>
      <c r="J555" s="69">
        <v>40</v>
      </c>
      <c r="K555" s="70">
        <v>3</v>
      </c>
      <c r="L555" s="68">
        <v>1</v>
      </c>
      <c r="M555" s="68">
        <f>_xlfn.XLOOKUP(Survey!$F555,sections[Start],sections[Test Section],,-1,1)</f>
        <v>2</v>
      </c>
      <c r="N555" s="55">
        <f>_xlfn.XLOOKUP(Survey!$K555,pipedata[ID],pipedata[WT])</f>
        <v>0.88800000000000001</v>
      </c>
      <c r="O555" s="56">
        <f>_xlfn.XLOOKUP(Survey!$K555,pipedata[ID],pipedata[104%])</f>
        <v>3078.4</v>
      </c>
      <c r="P555" s="57">
        <f t="shared" si="8"/>
        <v>1850</v>
      </c>
      <c r="Q555" s="58">
        <f>_xlfn.MAXIFS(Survey!$G$2:$G$3647,Survey!$M$2:$M$3647,Survey!$M555)-Survey!$G555</f>
        <v>944.52413941278701</v>
      </c>
      <c r="R555" s="59">
        <f>Survey!$P555+(Survey!$Q555*0.433)</f>
        <v>2258.9789523657369</v>
      </c>
    </row>
    <row r="556" spans="1:18" x14ac:dyDescent="0.25">
      <c r="A556" s="71" t="s">
        <v>17</v>
      </c>
      <c r="B556" s="72" t="s">
        <v>18</v>
      </c>
      <c r="C556" s="73" t="s">
        <v>19</v>
      </c>
      <c r="D556" s="74">
        <v>231.22272379909754</v>
      </c>
      <c r="E556" s="81">
        <v>1249049</v>
      </c>
      <c r="F556" s="82">
        <v>1221905.3132530167</v>
      </c>
      <c r="G556" s="75">
        <v>1837.365608937582</v>
      </c>
      <c r="H556" s="76">
        <v>3</v>
      </c>
      <c r="I556" s="54" t="s">
        <v>20</v>
      </c>
      <c r="J556" s="77">
        <v>40</v>
      </c>
      <c r="K556" s="78">
        <v>3</v>
      </c>
      <c r="L556" s="54">
        <v>1</v>
      </c>
      <c r="M556" s="54">
        <f>_xlfn.XLOOKUP(Survey!$F556,sections[Start],sections[Test Section],,-1,1)</f>
        <v>2</v>
      </c>
      <c r="N556" s="55">
        <f>_xlfn.XLOOKUP(Survey!$K556,pipedata[ID],pipedata[WT])</f>
        <v>0.88800000000000001</v>
      </c>
      <c r="O556" s="56">
        <f>_xlfn.XLOOKUP(Survey!$K556,pipedata[ID],pipedata[104%])</f>
        <v>3078.4</v>
      </c>
      <c r="P556" s="57">
        <f t="shared" si="8"/>
        <v>1850</v>
      </c>
      <c r="Q556" s="58">
        <f>_xlfn.MAXIFS(Survey!$G$2:$G$3647,Survey!$M$2:$M$3647,Survey!$M556)-Survey!$G556</f>
        <v>926.30063526416029</v>
      </c>
      <c r="R556" s="59">
        <f>Survey!$P556+(Survey!$Q556*0.433)</f>
        <v>2251.0881750693816</v>
      </c>
    </row>
    <row r="557" spans="1:18" x14ac:dyDescent="0.25">
      <c r="A557" s="60" t="s">
        <v>17</v>
      </c>
      <c r="B557" s="61" t="s">
        <v>18</v>
      </c>
      <c r="C557" s="62" t="s">
        <v>19</v>
      </c>
      <c r="D557" s="63">
        <v>231.22932643573148</v>
      </c>
      <c r="E557" s="79">
        <v>1249089</v>
      </c>
      <c r="F557" s="80">
        <v>1221942.3734939806</v>
      </c>
      <c r="G557" s="66">
        <v>1853.2768515655866</v>
      </c>
      <c r="H557" s="67">
        <v>3</v>
      </c>
      <c r="I557" s="68" t="s">
        <v>20</v>
      </c>
      <c r="J557" s="69">
        <v>40</v>
      </c>
      <c r="K557" s="70">
        <v>3</v>
      </c>
      <c r="L557" s="68">
        <v>1</v>
      </c>
      <c r="M557" s="68">
        <f>_xlfn.XLOOKUP(Survey!$F557,sections[Start],sections[Test Section],,-1,1)</f>
        <v>2</v>
      </c>
      <c r="N557" s="55">
        <f>_xlfn.XLOOKUP(Survey!$K557,pipedata[ID],pipedata[WT])</f>
        <v>0.88800000000000001</v>
      </c>
      <c r="O557" s="56">
        <f>_xlfn.XLOOKUP(Survey!$K557,pipedata[ID],pipedata[104%])</f>
        <v>3078.4</v>
      </c>
      <c r="P557" s="57">
        <f t="shared" si="8"/>
        <v>1850</v>
      </c>
      <c r="Q557" s="58">
        <f>_xlfn.MAXIFS(Survey!$G$2:$G$3647,Survey!$M$2:$M$3647,Survey!$M557)-Survey!$G557</f>
        <v>910.38939263615566</v>
      </c>
      <c r="R557" s="59">
        <f>Survey!$P557+(Survey!$Q557*0.433)</f>
        <v>2244.1986070114554</v>
      </c>
    </row>
    <row r="558" spans="1:18" x14ac:dyDescent="0.25">
      <c r="A558" s="71" t="s">
        <v>17</v>
      </c>
      <c r="B558" s="72" t="s">
        <v>18</v>
      </c>
      <c r="C558" s="73" t="s">
        <v>19</v>
      </c>
      <c r="D558" s="74">
        <v>231.23624463869425</v>
      </c>
      <c r="E558" s="81">
        <v>1249129</v>
      </c>
      <c r="F558" s="82">
        <v>1221979.4337349446</v>
      </c>
      <c r="G558" s="75">
        <v>1870.3011712170587</v>
      </c>
      <c r="H558" s="76">
        <v>3</v>
      </c>
      <c r="I558" s="54" t="s">
        <v>20</v>
      </c>
      <c r="J558" s="77">
        <v>40</v>
      </c>
      <c r="K558" s="78">
        <v>3</v>
      </c>
      <c r="L558" s="54">
        <v>1</v>
      </c>
      <c r="M558" s="54">
        <f>_xlfn.XLOOKUP(Survey!$F558,sections[Start],sections[Test Section],,-1,1)</f>
        <v>2</v>
      </c>
      <c r="N558" s="55">
        <f>_xlfn.XLOOKUP(Survey!$K558,pipedata[ID],pipedata[WT])</f>
        <v>0.88800000000000001</v>
      </c>
      <c r="O558" s="56">
        <f>_xlfn.XLOOKUP(Survey!$K558,pipedata[ID],pipedata[104%])</f>
        <v>3078.4</v>
      </c>
      <c r="P558" s="57">
        <f t="shared" si="8"/>
        <v>1850</v>
      </c>
      <c r="Q558" s="58">
        <f>_xlfn.MAXIFS(Survey!$G$2:$G$3647,Survey!$M$2:$M$3647,Survey!$M558)-Survey!$G558</f>
        <v>893.36507298468359</v>
      </c>
      <c r="R558" s="59">
        <f>Survey!$P558+(Survey!$Q558*0.433)</f>
        <v>2236.8270766023679</v>
      </c>
    </row>
    <row r="559" spans="1:18" x14ac:dyDescent="0.25">
      <c r="A559" s="60" t="s">
        <v>17</v>
      </c>
      <c r="B559" s="61" t="s">
        <v>18</v>
      </c>
      <c r="C559" s="62" t="s">
        <v>19</v>
      </c>
      <c r="D559" s="63">
        <v>231.24240956744597</v>
      </c>
      <c r="E559" s="79">
        <v>1249169</v>
      </c>
      <c r="F559" s="80">
        <v>1222016.4939759085</v>
      </c>
      <c r="G559" s="66">
        <v>1887.8390693662764</v>
      </c>
      <c r="H559" s="67">
        <v>3</v>
      </c>
      <c r="I559" s="68" t="s">
        <v>20</v>
      </c>
      <c r="J559" s="69">
        <v>40</v>
      </c>
      <c r="K559" s="70">
        <v>3</v>
      </c>
      <c r="L559" s="68">
        <v>1</v>
      </c>
      <c r="M559" s="68">
        <f>_xlfn.XLOOKUP(Survey!$F559,sections[Start],sections[Test Section],,-1,1)</f>
        <v>2</v>
      </c>
      <c r="N559" s="55">
        <f>_xlfn.XLOOKUP(Survey!$K559,pipedata[ID],pipedata[WT])</f>
        <v>0.88800000000000001</v>
      </c>
      <c r="O559" s="56">
        <f>_xlfn.XLOOKUP(Survey!$K559,pipedata[ID],pipedata[104%])</f>
        <v>3078.4</v>
      </c>
      <c r="P559" s="57">
        <f t="shared" si="8"/>
        <v>1850</v>
      </c>
      <c r="Q559" s="58">
        <f>_xlfn.MAXIFS(Survey!$G$2:$G$3647,Survey!$M$2:$M$3647,Survey!$M559)-Survey!$G559</f>
        <v>875.82717483546594</v>
      </c>
      <c r="R559" s="59">
        <f>Survey!$P559+(Survey!$Q559*0.433)</f>
        <v>2229.233166703757</v>
      </c>
    </row>
    <row r="560" spans="1:18" x14ac:dyDescent="0.25">
      <c r="A560" s="71" t="s">
        <v>17</v>
      </c>
      <c r="B560" s="72" t="s">
        <v>18</v>
      </c>
      <c r="C560" s="73" t="s">
        <v>19</v>
      </c>
      <c r="D560" s="74">
        <v>231.24964224013669</v>
      </c>
      <c r="E560" s="81">
        <v>1249209</v>
      </c>
      <c r="F560" s="82">
        <v>1222053.5542168724</v>
      </c>
      <c r="G560" s="75">
        <v>1901.1709569853545</v>
      </c>
      <c r="H560" s="76">
        <v>3</v>
      </c>
      <c r="I560" s="54" t="s">
        <v>20</v>
      </c>
      <c r="J560" s="77">
        <v>40</v>
      </c>
      <c r="K560" s="78">
        <v>3</v>
      </c>
      <c r="L560" s="54">
        <v>1</v>
      </c>
      <c r="M560" s="54">
        <f>_xlfn.XLOOKUP(Survey!$F560,sections[Start],sections[Test Section],,-1,1)</f>
        <v>2</v>
      </c>
      <c r="N560" s="55">
        <f>_xlfn.XLOOKUP(Survey!$K560,pipedata[ID],pipedata[WT])</f>
        <v>0.88800000000000001</v>
      </c>
      <c r="O560" s="56">
        <f>_xlfn.XLOOKUP(Survey!$K560,pipedata[ID],pipedata[104%])</f>
        <v>3078.4</v>
      </c>
      <c r="P560" s="57">
        <f t="shared" si="8"/>
        <v>1850</v>
      </c>
      <c r="Q560" s="58">
        <f>_xlfn.MAXIFS(Survey!$G$2:$G$3647,Survey!$M$2:$M$3647,Survey!$M560)-Survey!$G560</f>
        <v>862.49528721638785</v>
      </c>
      <c r="R560" s="59">
        <f>Survey!$P560+(Survey!$Q560*0.433)</f>
        <v>2223.4604593646959</v>
      </c>
    </row>
    <row r="561" spans="1:18" x14ac:dyDescent="0.25">
      <c r="A561" s="60" t="s">
        <v>17</v>
      </c>
      <c r="B561" s="61" t="s">
        <v>18</v>
      </c>
      <c r="C561" s="62" t="s">
        <v>19</v>
      </c>
      <c r="D561" s="63">
        <v>231.25724924202837</v>
      </c>
      <c r="E561" s="79">
        <v>1249249</v>
      </c>
      <c r="F561" s="80">
        <v>1222090.6144578364</v>
      </c>
      <c r="G561" s="66">
        <v>1921.5005339490101</v>
      </c>
      <c r="H561" s="67">
        <v>3</v>
      </c>
      <c r="I561" s="68" t="s">
        <v>20</v>
      </c>
      <c r="J561" s="69">
        <v>40</v>
      </c>
      <c r="K561" s="70">
        <v>3</v>
      </c>
      <c r="L561" s="68">
        <v>1</v>
      </c>
      <c r="M561" s="68">
        <f>_xlfn.XLOOKUP(Survey!$F561,sections[Start],sections[Test Section],,-1,1)</f>
        <v>2</v>
      </c>
      <c r="N561" s="55">
        <f>_xlfn.XLOOKUP(Survey!$K561,pipedata[ID],pipedata[WT])</f>
        <v>0.88800000000000001</v>
      </c>
      <c r="O561" s="56">
        <f>_xlfn.XLOOKUP(Survey!$K561,pipedata[ID],pipedata[104%])</f>
        <v>3078.4</v>
      </c>
      <c r="P561" s="57">
        <f t="shared" si="8"/>
        <v>1850</v>
      </c>
      <c r="Q561" s="58">
        <f>_xlfn.MAXIFS(Survey!$G$2:$G$3647,Survey!$M$2:$M$3647,Survey!$M561)-Survey!$G561</f>
        <v>842.1657102527322</v>
      </c>
      <c r="R561" s="59">
        <f>Survey!$P561+(Survey!$Q561*0.433)</f>
        <v>2214.6577525394332</v>
      </c>
    </row>
    <row r="562" spans="1:18" x14ac:dyDescent="0.25">
      <c r="A562" s="71" t="s">
        <v>17</v>
      </c>
      <c r="B562" s="72" t="s">
        <v>18</v>
      </c>
      <c r="C562" s="73" t="s">
        <v>19</v>
      </c>
      <c r="D562" s="74">
        <v>231.26364206661336</v>
      </c>
      <c r="E562" s="81">
        <v>1249289</v>
      </c>
      <c r="F562" s="82">
        <v>1222127.6746988003</v>
      </c>
      <c r="G562" s="75">
        <v>1935.7462369999987</v>
      </c>
      <c r="H562" s="76">
        <v>3</v>
      </c>
      <c r="I562" s="54" t="s">
        <v>20</v>
      </c>
      <c r="J562" s="77">
        <v>40</v>
      </c>
      <c r="K562" s="78">
        <v>3</v>
      </c>
      <c r="L562" s="54">
        <v>1</v>
      </c>
      <c r="M562" s="54">
        <f>_xlfn.XLOOKUP(Survey!$F562,sections[Start],sections[Test Section],,-1,1)</f>
        <v>2</v>
      </c>
      <c r="N562" s="55">
        <f>_xlfn.XLOOKUP(Survey!$K562,pipedata[ID],pipedata[WT])</f>
        <v>0.88800000000000001</v>
      </c>
      <c r="O562" s="56">
        <f>_xlfn.XLOOKUP(Survey!$K562,pipedata[ID],pipedata[104%])</f>
        <v>3078.4</v>
      </c>
      <c r="P562" s="57">
        <f t="shared" si="8"/>
        <v>1850</v>
      </c>
      <c r="Q562" s="58">
        <f>_xlfn.MAXIFS(Survey!$G$2:$G$3647,Survey!$M$2:$M$3647,Survey!$M562)-Survey!$G562</f>
        <v>827.9200072017436</v>
      </c>
      <c r="R562" s="59">
        <f>Survey!$P562+(Survey!$Q562*0.433)</f>
        <v>2208.489363118355</v>
      </c>
    </row>
    <row r="563" spans="1:18" x14ac:dyDescent="0.25">
      <c r="A563" s="60" t="s">
        <v>17</v>
      </c>
      <c r="B563" s="61" t="s">
        <v>18</v>
      </c>
      <c r="C563" s="62" t="s">
        <v>19</v>
      </c>
      <c r="D563" s="63">
        <v>231.27104388805006</v>
      </c>
      <c r="E563" s="79">
        <v>1249329</v>
      </c>
      <c r="F563" s="80">
        <v>1222164.7349397643</v>
      </c>
      <c r="G563" s="66">
        <v>1946.4698779497985</v>
      </c>
      <c r="H563" s="67">
        <v>3</v>
      </c>
      <c r="I563" s="68" t="s">
        <v>20</v>
      </c>
      <c r="J563" s="69">
        <v>40</v>
      </c>
      <c r="K563" s="70">
        <v>3</v>
      </c>
      <c r="L563" s="68">
        <v>1</v>
      </c>
      <c r="M563" s="68">
        <f>_xlfn.XLOOKUP(Survey!$F563,sections[Start],sections[Test Section],,-1,1)</f>
        <v>2</v>
      </c>
      <c r="N563" s="55">
        <f>_xlfn.XLOOKUP(Survey!$K563,pipedata[ID],pipedata[WT])</f>
        <v>0.88800000000000001</v>
      </c>
      <c r="O563" s="56">
        <f>_xlfn.XLOOKUP(Survey!$K563,pipedata[ID],pipedata[104%])</f>
        <v>3078.4</v>
      </c>
      <c r="P563" s="57">
        <f t="shared" si="8"/>
        <v>1850</v>
      </c>
      <c r="Q563" s="58">
        <f>_xlfn.MAXIFS(Survey!$G$2:$G$3647,Survey!$M$2:$M$3647,Survey!$M563)-Survey!$G563</f>
        <v>817.1963662519438</v>
      </c>
      <c r="R563" s="59">
        <f>Survey!$P563+(Survey!$Q563*0.433)</f>
        <v>2203.8460265870917</v>
      </c>
    </row>
    <row r="564" spans="1:18" x14ac:dyDescent="0.25">
      <c r="A564" s="71" t="s">
        <v>17</v>
      </c>
      <c r="B564" s="72" t="s">
        <v>18</v>
      </c>
      <c r="C564" s="73" t="s">
        <v>19</v>
      </c>
      <c r="D564" s="74">
        <v>231.27823837103915</v>
      </c>
      <c r="E564" s="81">
        <v>1249369</v>
      </c>
      <c r="F564" s="82">
        <v>1222201.7951807282</v>
      </c>
      <c r="G564" s="75">
        <v>1958.498599291936</v>
      </c>
      <c r="H564" s="76">
        <v>3</v>
      </c>
      <c r="I564" s="54" t="s">
        <v>20</v>
      </c>
      <c r="J564" s="77">
        <v>40</v>
      </c>
      <c r="K564" s="78">
        <v>3</v>
      </c>
      <c r="L564" s="54">
        <v>1</v>
      </c>
      <c r="M564" s="54">
        <f>_xlfn.XLOOKUP(Survey!$F564,sections[Start],sections[Test Section],,-1,1)</f>
        <v>2</v>
      </c>
      <c r="N564" s="55">
        <f>_xlfn.XLOOKUP(Survey!$K564,pipedata[ID],pipedata[WT])</f>
        <v>0.88800000000000001</v>
      </c>
      <c r="O564" s="56">
        <f>_xlfn.XLOOKUP(Survey!$K564,pipedata[ID],pipedata[104%])</f>
        <v>3078.4</v>
      </c>
      <c r="P564" s="57">
        <f t="shared" si="8"/>
        <v>1850</v>
      </c>
      <c r="Q564" s="58">
        <f>_xlfn.MAXIFS(Survey!$G$2:$G$3647,Survey!$M$2:$M$3647,Survey!$M564)-Survey!$G564</f>
        <v>805.16764490980631</v>
      </c>
      <c r="R564" s="59">
        <f>Survey!$P564+(Survey!$Q564*0.433)</f>
        <v>2198.6375902459463</v>
      </c>
    </row>
    <row r="565" spans="1:18" x14ac:dyDescent="0.25">
      <c r="A565" s="60" t="s">
        <v>17</v>
      </c>
      <c r="B565" s="61" t="s">
        <v>18</v>
      </c>
      <c r="C565" s="62" t="s">
        <v>19</v>
      </c>
      <c r="D565" s="63">
        <v>231.28525745981818</v>
      </c>
      <c r="E565" s="79">
        <v>1249409</v>
      </c>
      <c r="F565" s="80">
        <v>1222238.8554216921</v>
      </c>
      <c r="G565" s="66">
        <v>1968.1667431392661</v>
      </c>
      <c r="H565" s="67">
        <v>3</v>
      </c>
      <c r="I565" s="68" t="s">
        <v>20</v>
      </c>
      <c r="J565" s="69">
        <v>40</v>
      </c>
      <c r="K565" s="70">
        <v>3</v>
      </c>
      <c r="L565" s="68">
        <v>1</v>
      </c>
      <c r="M565" s="68">
        <f>_xlfn.XLOOKUP(Survey!$F565,sections[Start],sections[Test Section],,-1,1)</f>
        <v>2</v>
      </c>
      <c r="N565" s="55">
        <f>_xlfn.XLOOKUP(Survey!$K565,pipedata[ID],pipedata[WT])</f>
        <v>0.88800000000000001</v>
      </c>
      <c r="O565" s="56">
        <f>_xlfn.XLOOKUP(Survey!$K565,pipedata[ID],pipedata[104%])</f>
        <v>3078.4</v>
      </c>
      <c r="P565" s="57">
        <f t="shared" si="8"/>
        <v>1850</v>
      </c>
      <c r="Q565" s="58">
        <f>_xlfn.MAXIFS(Survey!$G$2:$G$3647,Survey!$M$2:$M$3647,Survey!$M565)-Survey!$G565</f>
        <v>795.49950106247616</v>
      </c>
      <c r="R565" s="59">
        <f>Survey!$P565+(Survey!$Q565*0.433)</f>
        <v>2194.451283960052</v>
      </c>
    </row>
    <row r="566" spans="1:18" x14ac:dyDescent="0.25">
      <c r="A566" s="71" t="s">
        <v>17</v>
      </c>
      <c r="B566" s="72" t="s">
        <v>18</v>
      </c>
      <c r="C566" s="73" t="s">
        <v>19</v>
      </c>
      <c r="D566" s="74">
        <v>231.29266192312713</v>
      </c>
      <c r="E566" s="81">
        <v>1249449</v>
      </c>
      <c r="F566" s="82">
        <v>1222275.9156626561</v>
      </c>
      <c r="G566" s="75">
        <v>1977.5370477584602</v>
      </c>
      <c r="H566" s="76">
        <v>3</v>
      </c>
      <c r="I566" s="54" t="s">
        <v>20</v>
      </c>
      <c r="J566" s="77">
        <v>40</v>
      </c>
      <c r="K566" s="78">
        <v>3</v>
      </c>
      <c r="L566" s="54">
        <v>1</v>
      </c>
      <c r="M566" s="54">
        <f>_xlfn.XLOOKUP(Survey!$F566,sections[Start],sections[Test Section],,-1,1)</f>
        <v>2</v>
      </c>
      <c r="N566" s="55">
        <f>_xlfn.XLOOKUP(Survey!$K566,pipedata[ID],pipedata[WT])</f>
        <v>0.88800000000000001</v>
      </c>
      <c r="O566" s="56">
        <f>_xlfn.XLOOKUP(Survey!$K566,pipedata[ID],pipedata[104%])</f>
        <v>3078.4</v>
      </c>
      <c r="P566" s="57">
        <f t="shared" si="8"/>
        <v>1850</v>
      </c>
      <c r="Q566" s="58">
        <f>_xlfn.MAXIFS(Survey!$G$2:$G$3647,Survey!$M$2:$M$3647,Survey!$M566)-Survey!$G566</f>
        <v>786.12919644328213</v>
      </c>
      <c r="R566" s="59">
        <f>Survey!$P566+(Survey!$Q566*0.433)</f>
        <v>2190.3939420599413</v>
      </c>
    </row>
    <row r="567" spans="1:18" x14ac:dyDescent="0.25">
      <c r="A567" s="60" t="s">
        <v>17</v>
      </c>
      <c r="B567" s="61" t="s">
        <v>18</v>
      </c>
      <c r="C567" s="62" t="s">
        <v>19</v>
      </c>
      <c r="D567" s="63">
        <v>231.29916331862904</v>
      </c>
      <c r="E567" s="79">
        <v>1249489</v>
      </c>
      <c r="F567" s="80">
        <v>1222312.97590362</v>
      </c>
      <c r="G567" s="66">
        <v>1987.8153425987196</v>
      </c>
      <c r="H567" s="67">
        <v>3</v>
      </c>
      <c r="I567" s="68" t="s">
        <v>20</v>
      </c>
      <c r="J567" s="69">
        <v>40</v>
      </c>
      <c r="K567" s="70">
        <v>3</v>
      </c>
      <c r="L567" s="68">
        <v>1</v>
      </c>
      <c r="M567" s="68">
        <f>_xlfn.XLOOKUP(Survey!$F567,sections[Start],sections[Test Section],,-1,1)</f>
        <v>2</v>
      </c>
      <c r="N567" s="55">
        <f>_xlfn.XLOOKUP(Survey!$K567,pipedata[ID],pipedata[WT])</f>
        <v>0.88800000000000001</v>
      </c>
      <c r="O567" s="56">
        <f>_xlfn.XLOOKUP(Survey!$K567,pipedata[ID],pipedata[104%])</f>
        <v>3078.4</v>
      </c>
      <c r="P567" s="57">
        <f t="shared" si="8"/>
        <v>1850</v>
      </c>
      <c r="Q567" s="58">
        <f>_xlfn.MAXIFS(Survey!$G$2:$G$3647,Survey!$M$2:$M$3647,Survey!$M567)-Survey!$G567</f>
        <v>775.85090160302275</v>
      </c>
      <c r="R567" s="59">
        <f>Survey!$P567+(Survey!$Q567*0.433)</f>
        <v>2185.9434403941086</v>
      </c>
    </row>
    <row r="568" spans="1:18" x14ac:dyDescent="0.25">
      <c r="A568" s="71" t="s">
        <v>17</v>
      </c>
      <c r="B568" s="72" t="s">
        <v>18</v>
      </c>
      <c r="C568" s="73" t="s">
        <v>19</v>
      </c>
      <c r="D568" s="74">
        <v>231.30719404691052</v>
      </c>
      <c r="E568" s="81">
        <v>1249529</v>
      </c>
      <c r="F568" s="82">
        <v>1222350.036144584</v>
      </c>
      <c r="G568" s="75">
        <v>1998.5270771489647</v>
      </c>
      <c r="H568" s="76">
        <v>3</v>
      </c>
      <c r="I568" s="54" t="s">
        <v>20</v>
      </c>
      <c r="J568" s="77">
        <v>40</v>
      </c>
      <c r="K568" s="78">
        <v>3</v>
      </c>
      <c r="L568" s="54">
        <v>1</v>
      </c>
      <c r="M568" s="54">
        <f>_xlfn.XLOOKUP(Survey!$F568,sections[Start],sections[Test Section],,-1,1)</f>
        <v>2</v>
      </c>
      <c r="N568" s="55">
        <f>_xlfn.XLOOKUP(Survey!$K568,pipedata[ID],pipedata[WT])</f>
        <v>0.88800000000000001</v>
      </c>
      <c r="O568" s="56">
        <f>_xlfn.XLOOKUP(Survey!$K568,pipedata[ID],pipedata[104%])</f>
        <v>3078.4</v>
      </c>
      <c r="P568" s="57">
        <f t="shared" si="8"/>
        <v>1850</v>
      </c>
      <c r="Q568" s="58">
        <f>_xlfn.MAXIFS(Survey!$G$2:$G$3647,Survey!$M$2:$M$3647,Survey!$M568)-Survey!$G568</f>
        <v>765.13916705277757</v>
      </c>
      <c r="R568" s="59">
        <f>Survey!$P568+(Survey!$Q568*0.433)</f>
        <v>2181.3052593338525</v>
      </c>
    </row>
    <row r="569" spans="1:18" x14ac:dyDescent="0.25">
      <c r="A569" s="60" t="s">
        <v>17</v>
      </c>
      <c r="B569" s="61" t="s">
        <v>18</v>
      </c>
      <c r="C569" s="62" t="s">
        <v>19</v>
      </c>
      <c r="D569" s="63">
        <v>231.31449028437325</v>
      </c>
      <c r="E569" s="79">
        <v>1249569</v>
      </c>
      <c r="F569" s="80">
        <v>1222387.0963855479</v>
      </c>
      <c r="G569" s="66">
        <v>2007.1014813335728</v>
      </c>
      <c r="H569" s="67">
        <v>3</v>
      </c>
      <c r="I569" s="68" t="s">
        <v>20</v>
      </c>
      <c r="J569" s="69">
        <v>40</v>
      </c>
      <c r="K569" s="70">
        <v>3</v>
      </c>
      <c r="L569" s="68">
        <v>1</v>
      </c>
      <c r="M569" s="68">
        <f>_xlfn.XLOOKUP(Survey!$F569,sections[Start],sections[Test Section],,-1,1)</f>
        <v>2</v>
      </c>
      <c r="N569" s="55">
        <f>_xlfn.XLOOKUP(Survey!$K569,pipedata[ID],pipedata[WT])</f>
        <v>0.88800000000000001</v>
      </c>
      <c r="O569" s="56">
        <f>_xlfn.XLOOKUP(Survey!$K569,pipedata[ID],pipedata[104%])</f>
        <v>3078.4</v>
      </c>
      <c r="P569" s="57">
        <f t="shared" si="8"/>
        <v>1850</v>
      </c>
      <c r="Q569" s="58">
        <f>_xlfn.MAXIFS(Survey!$G$2:$G$3647,Survey!$M$2:$M$3647,Survey!$M569)-Survey!$G569</f>
        <v>756.56476286816951</v>
      </c>
      <c r="R569" s="59">
        <f>Survey!$P569+(Survey!$Q569*0.433)</f>
        <v>2177.5925423219173</v>
      </c>
    </row>
    <row r="570" spans="1:18" x14ac:dyDescent="0.25">
      <c r="A570" s="71" t="s">
        <v>17</v>
      </c>
      <c r="B570" s="72" t="s">
        <v>18</v>
      </c>
      <c r="C570" s="73" t="s">
        <v>19</v>
      </c>
      <c r="D570" s="74">
        <v>231.32085237776914</v>
      </c>
      <c r="E570" s="81">
        <v>1249609</v>
      </c>
      <c r="F570" s="82">
        <v>1222424.1566265118</v>
      </c>
      <c r="G570" s="75">
        <v>2011.8379847296628</v>
      </c>
      <c r="H570" s="76">
        <v>3</v>
      </c>
      <c r="I570" s="54" t="s">
        <v>20</v>
      </c>
      <c r="J570" s="77">
        <v>40</v>
      </c>
      <c r="K570" s="78">
        <v>3</v>
      </c>
      <c r="L570" s="54">
        <v>1</v>
      </c>
      <c r="M570" s="54">
        <f>_xlfn.XLOOKUP(Survey!$F570,sections[Start],sections[Test Section],,-1,1)</f>
        <v>2</v>
      </c>
      <c r="N570" s="55">
        <f>_xlfn.XLOOKUP(Survey!$K570,pipedata[ID],pipedata[WT])</f>
        <v>0.88800000000000001</v>
      </c>
      <c r="O570" s="56">
        <f>_xlfn.XLOOKUP(Survey!$K570,pipedata[ID],pipedata[104%])</f>
        <v>3078.4</v>
      </c>
      <c r="P570" s="57">
        <f t="shared" si="8"/>
        <v>1850</v>
      </c>
      <c r="Q570" s="58">
        <f>_xlfn.MAXIFS(Survey!$G$2:$G$3647,Survey!$M$2:$M$3647,Survey!$M570)-Survey!$G570</f>
        <v>751.82825947207948</v>
      </c>
      <c r="R570" s="59">
        <f>Survey!$P570+(Survey!$Q570*0.433)</f>
        <v>2175.5416363514105</v>
      </c>
    </row>
    <row r="571" spans="1:18" x14ac:dyDescent="0.25">
      <c r="A571" s="60" t="s">
        <v>17</v>
      </c>
      <c r="B571" s="61" t="s">
        <v>18</v>
      </c>
      <c r="C571" s="62" t="s">
        <v>19</v>
      </c>
      <c r="D571" s="63">
        <v>231.32907576334017</v>
      </c>
      <c r="E571" s="79">
        <v>1249649</v>
      </c>
      <c r="F571" s="80">
        <v>1222461.2168674758</v>
      </c>
      <c r="G571" s="66">
        <v>2011.9408060411979</v>
      </c>
      <c r="H571" s="67">
        <v>3</v>
      </c>
      <c r="I571" s="68" t="s">
        <v>20</v>
      </c>
      <c r="J571" s="69">
        <v>40</v>
      </c>
      <c r="K571" s="70">
        <v>3</v>
      </c>
      <c r="L571" s="68">
        <v>1</v>
      </c>
      <c r="M571" s="68">
        <f>_xlfn.XLOOKUP(Survey!$F571,sections[Start],sections[Test Section],,-1,1)</f>
        <v>2</v>
      </c>
      <c r="N571" s="55">
        <f>_xlfn.XLOOKUP(Survey!$K571,pipedata[ID],pipedata[WT])</f>
        <v>0.88800000000000001</v>
      </c>
      <c r="O571" s="56">
        <f>_xlfn.XLOOKUP(Survey!$K571,pipedata[ID],pipedata[104%])</f>
        <v>3078.4</v>
      </c>
      <c r="P571" s="57">
        <f t="shared" si="8"/>
        <v>1850</v>
      </c>
      <c r="Q571" s="58">
        <f>_xlfn.MAXIFS(Survey!$G$2:$G$3647,Survey!$M$2:$M$3647,Survey!$M571)-Survey!$G571</f>
        <v>751.7254381605444</v>
      </c>
      <c r="R571" s="59">
        <f>Survey!$P571+(Survey!$Q571*0.433)</f>
        <v>2175.4971147235156</v>
      </c>
    </row>
    <row r="572" spans="1:18" x14ac:dyDescent="0.25">
      <c r="A572" s="71" t="s">
        <v>17</v>
      </c>
      <c r="B572" s="72" t="s">
        <v>18</v>
      </c>
      <c r="C572" s="73" t="s">
        <v>19</v>
      </c>
      <c r="D572" s="74">
        <v>231.3369730550302</v>
      </c>
      <c r="E572" s="81">
        <v>1249689</v>
      </c>
      <c r="F572" s="82">
        <v>1222498.2771084397</v>
      </c>
      <c r="G572" s="75">
        <v>2014.6891611666606</v>
      </c>
      <c r="H572" s="76">
        <v>3</v>
      </c>
      <c r="I572" s="54" t="s">
        <v>20</v>
      </c>
      <c r="J572" s="77">
        <v>40</v>
      </c>
      <c r="K572" s="78">
        <v>3</v>
      </c>
      <c r="L572" s="54">
        <v>1</v>
      </c>
      <c r="M572" s="54">
        <f>_xlfn.XLOOKUP(Survey!$F572,sections[Start],sections[Test Section],,-1,1)</f>
        <v>2</v>
      </c>
      <c r="N572" s="55">
        <f>_xlfn.XLOOKUP(Survey!$K572,pipedata[ID],pipedata[WT])</f>
        <v>0.88800000000000001</v>
      </c>
      <c r="O572" s="56">
        <f>_xlfn.XLOOKUP(Survey!$K572,pipedata[ID],pipedata[104%])</f>
        <v>3078.4</v>
      </c>
      <c r="P572" s="57">
        <f t="shared" si="8"/>
        <v>1850</v>
      </c>
      <c r="Q572" s="58">
        <f>_xlfn.MAXIFS(Survey!$G$2:$G$3647,Survey!$M$2:$M$3647,Survey!$M572)-Survey!$G572</f>
        <v>748.97708303508171</v>
      </c>
      <c r="R572" s="59">
        <f>Survey!$P572+(Survey!$Q572*0.433)</f>
        <v>2174.3070769541905</v>
      </c>
    </row>
    <row r="573" spans="1:18" x14ac:dyDescent="0.25">
      <c r="A573" s="60" t="s">
        <v>17</v>
      </c>
      <c r="B573" s="61" t="s">
        <v>18</v>
      </c>
      <c r="C573" s="62" t="s">
        <v>19</v>
      </c>
      <c r="D573" s="63">
        <v>231.34487034672017</v>
      </c>
      <c r="E573" s="79">
        <v>1249729</v>
      </c>
      <c r="F573" s="80">
        <v>1222535.3373494036</v>
      </c>
      <c r="G573" s="66">
        <v>2019.9035899995658</v>
      </c>
      <c r="H573" s="67">
        <v>3</v>
      </c>
      <c r="I573" s="68" t="s">
        <v>20</v>
      </c>
      <c r="J573" s="69">
        <v>40</v>
      </c>
      <c r="K573" s="70">
        <v>3</v>
      </c>
      <c r="L573" s="68">
        <v>1</v>
      </c>
      <c r="M573" s="68">
        <f>_xlfn.XLOOKUP(Survey!$F573,sections[Start],sections[Test Section],,-1,1)</f>
        <v>2</v>
      </c>
      <c r="N573" s="55">
        <f>_xlfn.XLOOKUP(Survey!$K573,pipedata[ID],pipedata[WT])</f>
        <v>0.88800000000000001</v>
      </c>
      <c r="O573" s="56">
        <f>_xlfn.XLOOKUP(Survey!$K573,pipedata[ID],pipedata[104%])</f>
        <v>3078.4</v>
      </c>
      <c r="P573" s="57">
        <f t="shared" si="8"/>
        <v>1850</v>
      </c>
      <c r="Q573" s="58">
        <f>_xlfn.MAXIFS(Survey!$G$2:$G$3647,Survey!$M$2:$M$3647,Survey!$M573)-Survey!$G573</f>
        <v>743.76265420217646</v>
      </c>
      <c r="R573" s="59">
        <f>Survey!$P573+(Survey!$Q573*0.433)</f>
        <v>2172.0492292695426</v>
      </c>
    </row>
    <row r="574" spans="1:18" x14ac:dyDescent="0.25">
      <c r="A574" s="71" t="s">
        <v>17</v>
      </c>
      <c r="B574" s="72" t="s">
        <v>18</v>
      </c>
      <c r="C574" s="73" t="s">
        <v>19</v>
      </c>
      <c r="D574" s="74">
        <v>231.35236940123625</v>
      </c>
      <c r="E574" s="81">
        <v>1249769</v>
      </c>
      <c r="F574" s="82">
        <v>1222572.3975903676</v>
      </c>
      <c r="G574" s="75">
        <v>2021.9855204001924</v>
      </c>
      <c r="H574" s="76">
        <v>3</v>
      </c>
      <c r="I574" s="54" t="s">
        <v>20</v>
      </c>
      <c r="J574" s="77">
        <v>40</v>
      </c>
      <c r="K574" s="78">
        <v>3</v>
      </c>
      <c r="L574" s="54">
        <v>1</v>
      </c>
      <c r="M574" s="54">
        <f>_xlfn.XLOOKUP(Survey!$F574,sections[Start],sections[Test Section],,-1,1)</f>
        <v>2</v>
      </c>
      <c r="N574" s="55">
        <f>_xlfn.XLOOKUP(Survey!$K574,pipedata[ID],pipedata[WT])</f>
        <v>0.88800000000000001</v>
      </c>
      <c r="O574" s="56">
        <f>_xlfn.XLOOKUP(Survey!$K574,pipedata[ID],pipedata[104%])</f>
        <v>3078.4</v>
      </c>
      <c r="P574" s="57">
        <f t="shared" si="8"/>
        <v>1850</v>
      </c>
      <c r="Q574" s="58">
        <f>_xlfn.MAXIFS(Survey!$G$2:$G$3647,Survey!$M$2:$M$3647,Survey!$M574)-Survey!$G574</f>
        <v>741.6807238015499</v>
      </c>
      <c r="R574" s="59">
        <f>Survey!$P574+(Survey!$Q574*0.433)</f>
        <v>2171.1477534060709</v>
      </c>
    </row>
    <row r="575" spans="1:18" x14ac:dyDescent="0.25">
      <c r="A575" s="60" t="s">
        <v>17</v>
      </c>
      <c r="B575" s="61" t="s">
        <v>18</v>
      </c>
      <c r="C575" s="62" t="s">
        <v>19</v>
      </c>
      <c r="D575" s="63">
        <v>231.35930021531641</v>
      </c>
      <c r="E575" s="79">
        <v>1249809</v>
      </c>
      <c r="F575" s="80">
        <v>1222609.4578313315</v>
      </c>
      <c r="G575" s="66">
        <v>2023.4726677151425</v>
      </c>
      <c r="H575" s="67">
        <v>3</v>
      </c>
      <c r="I575" s="68" t="s">
        <v>20</v>
      </c>
      <c r="J575" s="69">
        <v>40</v>
      </c>
      <c r="K575" s="70">
        <v>3</v>
      </c>
      <c r="L575" s="68">
        <v>1</v>
      </c>
      <c r="M575" s="68">
        <f>_xlfn.XLOOKUP(Survey!$F575,sections[Start],sections[Test Section],,-1,1)</f>
        <v>2</v>
      </c>
      <c r="N575" s="55">
        <f>_xlfn.XLOOKUP(Survey!$K575,pipedata[ID],pipedata[WT])</f>
        <v>0.88800000000000001</v>
      </c>
      <c r="O575" s="56">
        <f>_xlfn.XLOOKUP(Survey!$K575,pipedata[ID],pipedata[104%])</f>
        <v>3078.4</v>
      </c>
      <c r="P575" s="57">
        <f t="shared" si="8"/>
        <v>1850</v>
      </c>
      <c r="Q575" s="58">
        <f>_xlfn.MAXIFS(Survey!$G$2:$G$3647,Survey!$M$2:$M$3647,Survey!$M575)-Survey!$G575</f>
        <v>740.1935764865998</v>
      </c>
      <c r="R575" s="59">
        <f>Survey!$P575+(Survey!$Q575*0.433)</f>
        <v>2170.5038186186976</v>
      </c>
    </row>
    <row r="576" spans="1:18" x14ac:dyDescent="0.25">
      <c r="A576" s="71" t="s">
        <v>17</v>
      </c>
      <c r="B576" s="72" t="s">
        <v>18</v>
      </c>
      <c r="C576" s="73" t="s">
        <v>19</v>
      </c>
      <c r="D576" s="74">
        <v>231.36618407985344</v>
      </c>
      <c r="E576" s="81">
        <v>1249849</v>
      </c>
      <c r="F576" s="82">
        <v>1222646.5180722955</v>
      </c>
      <c r="G576" s="75">
        <v>2023.5363689639216</v>
      </c>
      <c r="H576" s="76">
        <v>3</v>
      </c>
      <c r="I576" s="54" t="s">
        <v>20</v>
      </c>
      <c r="J576" s="77">
        <v>40</v>
      </c>
      <c r="K576" s="78">
        <v>3</v>
      </c>
      <c r="L576" s="54">
        <v>1</v>
      </c>
      <c r="M576" s="54">
        <f>_xlfn.XLOOKUP(Survey!$F576,sections[Start],sections[Test Section],,-1,1)</f>
        <v>2</v>
      </c>
      <c r="N576" s="55">
        <f>_xlfn.XLOOKUP(Survey!$K576,pipedata[ID],pipedata[WT])</f>
        <v>0.88800000000000001</v>
      </c>
      <c r="O576" s="56">
        <f>_xlfn.XLOOKUP(Survey!$K576,pipedata[ID],pipedata[104%])</f>
        <v>3078.4</v>
      </c>
      <c r="P576" s="57">
        <f t="shared" si="8"/>
        <v>1850</v>
      </c>
      <c r="Q576" s="58">
        <f>_xlfn.MAXIFS(Survey!$G$2:$G$3647,Survey!$M$2:$M$3647,Survey!$M576)-Survey!$G576</f>
        <v>740.12987523782067</v>
      </c>
      <c r="R576" s="59">
        <f>Survey!$P576+(Survey!$Q576*0.433)</f>
        <v>2170.4762359779761</v>
      </c>
    </row>
    <row r="577" spans="1:18" x14ac:dyDescent="0.25">
      <c r="A577" s="60" t="s">
        <v>17</v>
      </c>
      <c r="B577" s="61" t="s">
        <v>18</v>
      </c>
      <c r="C577" s="62" t="s">
        <v>19</v>
      </c>
      <c r="D577" s="63">
        <v>231.37459983371232</v>
      </c>
      <c r="E577" s="79">
        <v>1249889</v>
      </c>
      <c r="F577" s="80">
        <v>1222683.5783132594</v>
      </c>
      <c r="G577" s="66">
        <v>2023.7835362015423</v>
      </c>
      <c r="H577" s="67">
        <v>3</v>
      </c>
      <c r="I577" s="68" t="s">
        <v>20</v>
      </c>
      <c r="J577" s="69">
        <v>40</v>
      </c>
      <c r="K577" s="70">
        <v>3</v>
      </c>
      <c r="L577" s="68">
        <v>1</v>
      </c>
      <c r="M577" s="68">
        <f>_xlfn.XLOOKUP(Survey!$F577,sections[Start],sections[Test Section],,-1,1)</f>
        <v>2</v>
      </c>
      <c r="N577" s="55">
        <f>_xlfn.XLOOKUP(Survey!$K577,pipedata[ID],pipedata[WT])</f>
        <v>0.88800000000000001</v>
      </c>
      <c r="O577" s="56">
        <f>_xlfn.XLOOKUP(Survey!$K577,pipedata[ID],pipedata[104%])</f>
        <v>3078.4</v>
      </c>
      <c r="P577" s="57">
        <f t="shared" si="8"/>
        <v>1850</v>
      </c>
      <c r="Q577" s="58">
        <f>_xlfn.MAXIFS(Survey!$G$2:$G$3647,Survey!$M$2:$M$3647,Survey!$M577)-Survey!$G577</f>
        <v>739.88270800019995</v>
      </c>
      <c r="R577" s="59">
        <f>Survey!$P577+(Survey!$Q577*0.433)</f>
        <v>2170.3692125640864</v>
      </c>
    </row>
    <row r="578" spans="1:18" x14ac:dyDescent="0.25">
      <c r="A578" s="71" t="s">
        <v>17</v>
      </c>
      <c r="B578" s="72" t="s">
        <v>18</v>
      </c>
      <c r="C578" s="73" t="s">
        <v>19</v>
      </c>
      <c r="D578" s="74">
        <v>231.382200623259</v>
      </c>
      <c r="E578" s="81">
        <v>1249929</v>
      </c>
      <c r="F578" s="82">
        <v>1222720.6385542233</v>
      </c>
      <c r="G578" s="75">
        <v>2023.4404528979771</v>
      </c>
      <c r="H578" s="76">
        <v>3</v>
      </c>
      <c r="I578" s="54" t="s">
        <v>20</v>
      </c>
      <c r="J578" s="77">
        <v>40</v>
      </c>
      <c r="K578" s="78">
        <v>3</v>
      </c>
      <c r="L578" s="54">
        <v>1</v>
      </c>
      <c r="M578" s="54">
        <f>_xlfn.XLOOKUP(Survey!$F578,sections[Start],sections[Test Section],,-1,1)</f>
        <v>2</v>
      </c>
      <c r="N578" s="55">
        <f>_xlfn.XLOOKUP(Survey!$K578,pipedata[ID],pipedata[WT])</f>
        <v>0.88800000000000001</v>
      </c>
      <c r="O578" s="56">
        <f>_xlfn.XLOOKUP(Survey!$K578,pipedata[ID],pipedata[104%])</f>
        <v>3078.4</v>
      </c>
      <c r="P578" s="57">
        <f t="shared" ref="P578:P641" si="9">IF(L578=1,1850,IF(L578=2,1850,2220))</f>
        <v>1850</v>
      </c>
      <c r="Q578" s="58">
        <f>_xlfn.MAXIFS(Survey!$G$2:$G$3647,Survey!$M$2:$M$3647,Survey!$M578)-Survey!$G578</f>
        <v>740.22579130376516</v>
      </c>
      <c r="R578" s="59">
        <f>Survey!$P578+(Survey!$Q578*0.433)</f>
        <v>2170.5177676345302</v>
      </c>
    </row>
    <row r="579" spans="1:18" x14ac:dyDescent="0.25">
      <c r="A579" s="60" t="s">
        <v>17</v>
      </c>
      <c r="B579" s="61" t="s">
        <v>18</v>
      </c>
      <c r="C579" s="62" t="s">
        <v>19</v>
      </c>
      <c r="D579" s="63">
        <v>231.38904324978631</v>
      </c>
      <c r="E579" s="79">
        <v>1249969</v>
      </c>
      <c r="F579" s="80">
        <v>1222757.6987951873</v>
      </c>
      <c r="G579" s="66">
        <v>2025.7652305033935</v>
      </c>
      <c r="H579" s="67">
        <v>3</v>
      </c>
      <c r="I579" s="68" t="s">
        <v>20</v>
      </c>
      <c r="J579" s="69">
        <v>40</v>
      </c>
      <c r="K579" s="70">
        <v>3</v>
      </c>
      <c r="L579" s="68">
        <v>1</v>
      </c>
      <c r="M579" s="68">
        <f>_xlfn.XLOOKUP(Survey!$F579,sections[Start],sections[Test Section],,-1,1)</f>
        <v>2</v>
      </c>
      <c r="N579" s="55">
        <f>_xlfn.XLOOKUP(Survey!$K579,pipedata[ID],pipedata[WT])</f>
        <v>0.88800000000000001</v>
      </c>
      <c r="O579" s="56">
        <f>_xlfn.XLOOKUP(Survey!$K579,pipedata[ID],pipedata[104%])</f>
        <v>3078.4</v>
      </c>
      <c r="P579" s="57">
        <f t="shared" si="9"/>
        <v>1850</v>
      </c>
      <c r="Q579" s="58">
        <f>_xlfn.MAXIFS(Survey!$G$2:$G$3647,Survey!$M$2:$M$3647,Survey!$M579)-Survey!$G579</f>
        <v>737.90101369834883</v>
      </c>
      <c r="R579" s="59">
        <f>Survey!$P579+(Survey!$Q579*0.433)</f>
        <v>2169.5111389313852</v>
      </c>
    </row>
    <row r="580" spans="1:18" x14ac:dyDescent="0.25">
      <c r="A580" s="71" t="s">
        <v>17</v>
      </c>
      <c r="B580" s="72" t="s">
        <v>18</v>
      </c>
      <c r="C580" s="73" t="s">
        <v>19</v>
      </c>
      <c r="D580" s="74">
        <v>231.39693518627772</v>
      </c>
      <c r="E580" s="81">
        <v>1250009</v>
      </c>
      <c r="F580" s="82">
        <v>1222794.7590361512</v>
      </c>
      <c r="G580" s="75">
        <v>2026.6048359906301</v>
      </c>
      <c r="H580" s="76">
        <v>3</v>
      </c>
      <c r="I580" s="54" t="s">
        <v>20</v>
      </c>
      <c r="J580" s="77">
        <v>40</v>
      </c>
      <c r="K580" s="78">
        <v>3</v>
      </c>
      <c r="L580" s="54">
        <v>1</v>
      </c>
      <c r="M580" s="54">
        <f>_xlfn.XLOOKUP(Survey!$F580,sections[Start],sections[Test Section],,-1,1)</f>
        <v>2</v>
      </c>
      <c r="N580" s="55">
        <f>_xlfn.XLOOKUP(Survey!$K580,pipedata[ID],pipedata[WT])</f>
        <v>0.88800000000000001</v>
      </c>
      <c r="O580" s="56">
        <f>_xlfn.XLOOKUP(Survey!$K580,pipedata[ID],pipedata[104%])</f>
        <v>3078.4</v>
      </c>
      <c r="P580" s="57">
        <f t="shared" si="9"/>
        <v>1850</v>
      </c>
      <c r="Q580" s="58">
        <f>_xlfn.MAXIFS(Survey!$G$2:$G$3647,Survey!$M$2:$M$3647,Survey!$M580)-Survey!$G580</f>
        <v>737.06140821111217</v>
      </c>
      <c r="R580" s="59">
        <f>Survey!$P580+(Survey!$Q580*0.433)</f>
        <v>2169.1475897554114</v>
      </c>
    </row>
    <row r="581" spans="1:18" x14ac:dyDescent="0.25">
      <c r="A581" s="60" t="s">
        <v>17</v>
      </c>
      <c r="B581" s="61" t="s">
        <v>18</v>
      </c>
      <c r="C581" s="62" t="s">
        <v>19</v>
      </c>
      <c r="D581" s="63">
        <v>231.40501990177768</v>
      </c>
      <c r="E581" s="79">
        <v>1250049</v>
      </c>
      <c r="F581" s="80">
        <v>1222831.8192771152</v>
      </c>
      <c r="G581" s="66">
        <v>2028.9218798401953</v>
      </c>
      <c r="H581" s="67">
        <v>3</v>
      </c>
      <c r="I581" s="68" t="s">
        <v>20</v>
      </c>
      <c r="J581" s="69">
        <v>40</v>
      </c>
      <c r="K581" s="70">
        <v>3</v>
      </c>
      <c r="L581" s="68">
        <v>1</v>
      </c>
      <c r="M581" s="68">
        <f>_xlfn.XLOOKUP(Survey!$F581,sections[Start],sections[Test Section],,-1,1)</f>
        <v>2</v>
      </c>
      <c r="N581" s="55">
        <f>_xlfn.XLOOKUP(Survey!$K581,pipedata[ID],pipedata[WT])</f>
        <v>0.88800000000000001</v>
      </c>
      <c r="O581" s="56">
        <f>_xlfn.XLOOKUP(Survey!$K581,pipedata[ID],pipedata[104%])</f>
        <v>3078.4</v>
      </c>
      <c r="P581" s="57">
        <f t="shared" si="9"/>
        <v>1850</v>
      </c>
      <c r="Q581" s="58">
        <f>_xlfn.MAXIFS(Survey!$G$2:$G$3647,Survey!$M$2:$M$3647,Survey!$M581)-Survey!$G581</f>
        <v>734.74436436154701</v>
      </c>
      <c r="R581" s="59">
        <f>Survey!$P581+(Survey!$Q581*0.433)</f>
        <v>2168.1443097685496</v>
      </c>
    </row>
    <row r="582" spans="1:18" x14ac:dyDescent="0.25">
      <c r="A582" s="71" t="s">
        <v>17</v>
      </c>
      <c r="B582" s="72" t="s">
        <v>18</v>
      </c>
      <c r="C582" s="73" t="s">
        <v>19</v>
      </c>
      <c r="D582" s="74">
        <v>231.4118904345022</v>
      </c>
      <c r="E582" s="81">
        <v>1250089</v>
      </c>
      <c r="F582" s="82">
        <v>1222868.8795180791</v>
      </c>
      <c r="G582" s="75">
        <v>2033.0357181329264</v>
      </c>
      <c r="H582" s="76">
        <v>3</v>
      </c>
      <c r="I582" s="54" t="s">
        <v>20</v>
      </c>
      <c r="J582" s="77">
        <v>40</v>
      </c>
      <c r="K582" s="78">
        <v>3</v>
      </c>
      <c r="L582" s="54">
        <v>1</v>
      </c>
      <c r="M582" s="54">
        <f>_xlfn.XLOOKUP(Survey!$F582,sections[Start],sections[Test Section],,-1,1)</f>
        <v>2</v>
      </c>
      <c r="N582" s="55">
        <f>_xlfn.XLOOKUP(Survey!$K582,pipedata[ID],pipedata[WT])</f>
        <v>0.88800000000000001</v>
      </c>
      <c r="O582" s="56">
        <f>_xlfn.XLOOKUP(Survey!$K582,pipedata[ID],pipedata[104%])</f>
        <v>3078.4</v>
      </c>
      <c r="P582" s="57">
        <f t="shared" si="9"/>
        <v>1850</v>
      </c>
      <c r="Q582" s="58">
        <f>_xlfn.MAXIFS(Survey!$G$2:$G$3647,Survey!$M$2:$M$3647,Survey!$M582)-Survey!$G582</f>
        <v>730.63052606881593</v>
      </c>
      <c r="R582" s="59">
        <f>Survey!$P582+(Survey!$Q582*0.433)</f>
        <v>2166.3630177877972</v>
      </c>
    </row>
    <row r="583" spans="1:18" x14ac:dyDescent="0.25">
      <c r="A583" s="60" t="s">
        <v>17</v>
      </c>
      <c r="B583" s="61" t="s">
        <v>18</v>
      </c>
      <c r="C583" s="62" t="s">
        <v>19</v>
      </c>
      <c r="D583" s="63">
        <v>231.41947912885797</v>
      </c>
      <c r="E583" s="79">
        <v>1250129</v>
      </c>
      <c r="F583" s="80">
        <v>1222905.939759043</v>
      </c>
      <c r="G583" s="66">
        <v>2037.1412508070282</v>
      </c>
      <c r="H583" s="67">
        <v>3</v>
      </c>
      <c r="I583" s="68" t="s">
        <v>20</v>
      </c>
      <c r="J583" s="69">
        <v>39</v>
      </c>
      <c r="K583" s="70">
        <v>3</v>
      </c>
      <c r="L583" s="68">
        <v>1</v>
      </c>
      <c r="M583" s="68">
        <f>_xlfn.XLOOKUP(Survey!$F583,sections[Start],sections[Test Section],,-1,1)</f>
        <v>2</v>
      </c>
      <c r="N583" s="55">
        <f>_xlfn.XLOOKUP(Survey!$K583,pipedata[ID],pipedata[WT])</f>
        <v>0.88800000000000001</v>
      </c>
      <c r="O583" s="56">
        <f>_xlfn.XLOOKUP(Survey!$K583,pipedata[ID],pipedata[104%])</f>
        <v>3078.4</v>
      </c>
      <c r="P583" s="57">
        <f t="shared" si="9"/>
        <v>1850</v>
      </c>
      <c r="Q583" s="58">
        <f>_xlfn.MAXIFS(Survey!$G$2:$G$3647,Survey!$M$2:$M$3647,Survey!$M583)-Survey!$G583</f>
        <v>726.5249933947141</v>
      </c>
      <c r="R583" s="59">
        <f>Survey!$P583+(Survey!$Q583*0.433)</f>
        <v>2164.5853221399111</v>
      </c>
    </row>
    <row r="584" spans="1:18" x14ac:dyDescent="0.25">
      <c r="A584" s="71" t="s">
        <v>17</v>
      </c>
      <c r="B584" s="72" t="s">
        <v>18</v>
      </c>
      <c r="C584" s="73" t="s">
        <v>19</v>
      </c>
      <c r="D584" s="74">
        <v>231.42730198991632</v>
      </c>
      <c r="E584" s="81">
        <v>1250168</v>
      </c>
      <c r="F584" s="82">
        <v>1222943</v>
      </c>
      <c r="G584" s="75">
        <v>2044.8032347783148</v>
      </c>
      <c r="H584" s="76">
        <v>2</v>
      </c>
      <c r="I584" s="54" t="s">
        <v>20</v>
      </c>
      <c r="J584" s="77">
        <v>41</v>
      </c>
      <c r="K584" s="78">
        <v>2</v>
      </c>
      <c r="L584" s="54">
        <v>1</v>
      </c>
      <c r="M584" s="54">
        <f>_xlfn.XLOOKUP(Survey!$F584,sections[Start],sections[Test Section],,-1,1)</f>
        <v>2</v>
      </c>
      <c r="N584" s="55">
        <f>_xlfn.XLOOKUP(Survey!$K584,pipedata[ID],pipedata[WT])</f>
        <v>0.74</v>
      </c>
      <c r="O584" s="56">
        <f>_xlfn.XLOOKUP(Survey!$K584,pipedata[ID],pipedata[104%])</f>
        <v>2565.3333333333335</v>
      </c>
      <c r="P584" s="57">
        <f t="shared" si="9"/>
        <v>1850</v>
      </c>
      <c r="Q584" s="58">
        <f>_xlfn.MAXIFS(Survey!$G$2:$G$3647,Survey!$M$2:$M$3647,Survey!$M584)-Survey!$G584</f>
        <v>718.86300942342746</v>
      </c>
      <c r="R584" s="59">
        <f>Survey!$P584+(Survey!$Q584*0.433)</f>
        <v>2161.2676830803439</v>
      </c>
    </row>
    <row r="585" spans="1:18" x14ac:dyDescent="0.25">
      <c r="A585" s="60" t="s">
        <v>17</v>
      </c>
      <c r="B585" s="61" t="s">
        <v>18</v>
      </c>
      <c r="C585" s="62" t="s">
        <v>19</v>
      </c>
      <c r="D585" s="63">
        <v>231.43472965694664</v>
      </c>
      <c r="E585" s="79">
        <v>1250209</v>
      </c>
      <c r="F585" s="80">
        <v>1222981.3907563025</v>
      </c>
      <c r="G585" s="66">
        <v>2051.9616495576779</v>
      </c>
      <c r="H585" s="67">
        <v>2</v>
      </c>
      <c r="I585" s="68" t="s">
        <v>20</v>
      </c>
      <c r="J585" s="69">
        <v>40</v>
      </c>
      <c r="K585" s="70">
        <v>2</v>
      </c>
      <c r="L585" s="68">
        <v>1</v>
      </c>
      <c r="M585" s="68">
        <f>_xlfn.XLOOKUP(Survey!$F585,sections[Start],sections[Test Section],,-1,1)</f>
        <v>2</v>
      </c>
      <c r="N585" s="55">
        <f>_xlfn.XLOOKUP(Survey!$K585,pipedata[ID],pipedata[WT])</f>
        <v>0.74</v>
      </c>
      <c r="O585" s="56">
        <f>_xlfn.XLOOKUP(Survey!$K585,pipedata[ID],pipedata[104%])</f>
        <v>2565.3333333333335</v>
      </c>
      <c r="P585" s="57">
        <f t="shared" si="9"/>
        <v>1850</v>
      </c>
      <c r="Q585" s="58">
        <f>_xlfn.MAXIFS(Survey!$G$2:$G$3647,Survey!$M$2:$M$3647,Survey!$M585)-Survey!$G585</f>
        <v>711.7045946440644</v>
      </c>
      <c r="R585" s="59">
        <f>Survey!$P585+(Survey!$Q585*0.433)</f>
        <v>2158.1680894808796</v>
      </c>
    </row>
    <row r="586" spans="1:18" x14ac:dyDescent="0.25">
      <c r="A586" s="71" t="s">
        <v>17</v>
      </c>
      <c r="B586" s="72" t="s">
        <v>18</v>
      </c>
      <c r="C586" s="73" t="s">
        <v>19</v>
      </c>
      <c r="D586" s="74">
        <v>231.44235625048367</v>
      </c>
      <c r="E586" s="81">
        <v>1250249</v>
      </c>
      <c r="F586" s="82">
        <v>1223019.781512605</v>
      </c>
      <c r="G586" s="75">
        <v>2061.9632299998866</v>
      </c>
      <c r="H586" s="76">
        <v>2</v>
      </c>
      <c r="I586" s="54" t="s">
        <v>20</v>
      </c>
      <c r="J586" s="77">
        <v>40</v>
      </c>
      <c r="K586" s="78">
        <v>2</v>
      </c>
      <c r="L586" s="54">
        <v>1</v>
      </c>
      <c r="M586" s="54">
        <f>_xlfn.XLOOKUP(Survey!$F586,sections[Start],sections[Test Section],,-1,1)</f>
        <v>2</v>
      </c>
      <c r="N586" s="55">
        <f>_xlfn.XLOOKUP(Survey!$K586,pipedata[ID],pipedata[WT])</f>
        <v>0.74</v>
      </c>
      <c r="O586" s="56">
        <f>_xlfn.XLOOKUP(Survey!$K586,pipedata[ID],pipedata[104%])</f>
        <v>2565.3333333333335</v>
      </c>
      <c r="P586" s="57">
        <f t="shared" si="9"/>
        <v>1850</v>
      </c>
      <c r="Q586" s="58">
        <f>_xlfn.MAXIFS(Survey!$G$2:$G$3647,Survey!$M$2:$M$3647,Survey!$M586)-Survey!$G586</f>
        <v>701.70301420185569</v>
      </c>
      <c r="R586" s="59">
        <f>Survey!$P586+(Survey!$Q586*0.433)</f>
        <v>2153.8374051494034</v>
      </c>
    </row>
    <row r="587" spans="1:18" x14ac:dyDescent="0.25">
      <c r="A587" s="60" t="s">
        <v>17</v>
      </c>
      <c r="B587" s="61" t="s">
        <v>18</v>
      </c>
      <c r="C587" s="62" t="s">
        <v>19</v>
      </c>
      <c r="D587" s="63">
        <v>231.44868917632724</v>
      </c>
      <c r="E587" s="79">
        <v>1250289</v>
      </c>
      <c r="F587" s="80">
        <v>1223058.1722689075</v>
      </c>
      <c r="G587" s="66">
        <v>2074.4317303823746</v>
      </c>
      <c r="H587" s="67">
        <v>2</v>
      </c>
      <c r="I587" s="68" t="s">
        <v>20</v>
      </c>
      <c r="J587" s="69">
        <v>40</v>
      </c>
      <c r="K587" s="70">
        <v>2</v>
      </c>
      <c r="L587" s="68">
        <v>1</v>
      </c>
      <c r="M587" s="68">
        <f>_xlfn.XLOOKUP(Survey!$F587,sections[Start],sections[Test Section],,-1,1)</f>
        <v>2</v>
      </c>
      <c r="N587" s="55">
        <f>_xlfn.XLOOKUP(Survey!$K587,pipedata[ID],pipedata[WT])</f>
        <v>0.74</v>
      </c>
      <c r="O587" s="56">
        <f>_xlfn.XLOOKUP(Survey!$K587,pipedata[ID],pipedata[104%])</f>
        <v>2565.3333333333335</v>
      </c>
      <c r="P587" s="57">
        <f t="shared" si="9"/>
        <v>1850</v>
      </c>
      <c r="Q587" s="58">
        <f>_xlfn.MAXIFS(Survey!$G$2:$G$3647,Survey!$M$2:$M$3647,Survey!$M587)-Survey!$G587</f>
        <v>689.23451381936775</v>
      </c>
      <c r="R587" s="59">
        <f>Survey!$P587+(Survey!$Q587*0.433)</f>
        <v>2148.4385444837862</v>
      </c>
    </row>
    <row r="588" spans="1:18" x14ac:dyDescent="0.25">
      <c r="A588" s="71" t="s">
        <v>17</v>
      </c>
      <c r="B588" s="72" t="s">
        <v>18</v>
      </c>
      <c r="C588" s="73" t="s">
        <v>19</v>
      </c>
      <c r="D588" s="74">
        <v>231.45571391701986</v>
      </c>
      <c r="E588" s="81">
        <v>1250329</v>
      </c>
      <c r="F588" s="82">
        <v>1223096.5630252101</v>
      </c>
      <c r="G588" s="75">
        <v>2086.3221131226701</v>
      </c>
      <c r="H588" s="76">
        <v>2</v>
      </c>
      <c r="I588" s="54" t="s">
        <v>20</v>
      </c>
      <c r="J588" s="77">
        <v>40</v>
      </c>
      <c r="K588" s="78">
        <v>2</v>
      </c>
      <c r="L588" s="54">
        <v>1</v>
      </c>
      <c r="M588" s="54">
        <f>_xlfn.XLOOKUP(Survey!$F588,sections[Start],sections[Test Section],,-1,1)</f>
        <v>2</v>
      </c>
      <c r="N588" s="55">
        <f>_xlfn.XLOOKUP(Survey!$K588,pipedata[ID],pipedata[WT])</f>
        <v>0.74</v>
      </c>
      <c r="O588" s="56">
        <f>_xlfn.XLOOKUP(Survey!$K588,pipedata[ID],pipedata[104%])</f>
        <v>2565.3333333333335</v>
      </c>
      <c r="P588" s="57">
        <f t="shared" si="9"/>
        <v>1850</v>
      </c>
      <c r="Q588" s="58">
        <f>_xlfn.MAXIFS(Survey!$G$2:$G$3647,Survey!$M$2:$M$3647,Survey!$M588)-Survey!$G588</f>
        <v>677.34413107907221</v>
      </c>
      <c r="R588" s="59">
        <f>Survey!$P588+(Survey!$Q588*0.433)</f>
        <v>2143.2900087572384</v>
      </c>
    </row>
    <row r="589" spans="1:18" x14ac:dyDescent="0.25">
      <c r="A589" s="60" t="s">
        <v>17</v>
      </c>
      <c r="B589" s="61" t="s">
        <v>18</v>
      </c>
      <c r="C589" s="62" t="s">
        <v>19</v>
      </c>
      <c r="D589" s="63">
        <v>231.46394123405256</v>
      </c>
      <c r="E589" s="79">
        <v>1250369</v>
      </c>
      <c r="F589" s="80">
        <v>1223134.9537815126</v>
      </c>
      <c r="G589" s="66">
        <v>2099.9839373402988</v>
      </c>
      <c r="H589" s="67">
        <v>2</v>
      </c>
      <c r="I589" s="68" t="s">
        <v>20</v>
      </c>
      <c r="J589" s="69">
        <v>40</v>
      </c>
      <c r="K589" s="70">
        <v>2</v>
      </c>
      <c r="L589" s="68">
        <v>1</v>
      </c>
      <c r="M589" s="68">
        <f>_xlfn.XLOOKUP(Survey!$F589,sections[Start],sections[Test Section],,-1,1)</f>
        <v>2</v>
      </c>
      <c r="N589" s="55">
        <f>_xlfn.XLOOKUP(Survey!$K589,pipedata[ID],pipedata[WT])</f>
        <v>0.74</v>
      </c>
      <c r="O589" s="56">
        <f>_xlfn.XLOOKUP(Survey!$K589,pipedata[ID],pipedata[104%])</f>
        <v>2565.3333333333335</v>
      </c>
      <c r="P589" s="57">
        <f t="shared" si="9"/>
        <v>1850</v>
      </c>
      <c r="Q589" s="58">
        <f>_xlfn.MAXIFS(Survey!$G$2:$G$3647,Survey!$M$2:$M$3647,Survey!$M589)-Survey!$G589</f>
        <v>663.68230686144352</v>
      </c>
      <c r="R589" s="59">
        <f>Survey!$P589+(Survey!$Q589*0.433)</f>
        <v>2137.3744388710052</v>
      </c>
    </row>
    <row r="590" spans="1:18" x14ac:dyDescent="0.25">
      <c r="A590" s="71" t="s">
        <v>17</v>
      </c>
      <c r="B590" s="72" t="s">
        <v>18</v>
      </c>
      <c r="C590" s="73" t="s">
        <v>19</v>
      </c>
      <c r="D590" s="74">
        <v>231.47098436845849</v>
      </c>
      <c r="E590" s="81">
        <v>1250409</v>
      </c>
      <c r="F590" s="82">
        <v>1223173.3445378151</v>
      </c>
      <c r="G590" s="75">
        <v>2111.4595248127221</v>
      </c>
      <c r="H590" s="76">
        <v>2</v>
      </c>
      <c r="I590" s="54" t="s">
        <v>20</v>
      </c>
      <c r="J590" s="77">
        <v>40</v>
      </c>
      <c r="K590" s="78">
        <v>2</v>
      </c>
      <c r="L590" s="54">
        <v>1</v>
      </c>
      <c r="M590" s="54">
        <f>_xlfn.XLOOKUP(Survey!$F590,sections[Start],sections[Test Section],,-1,1)</f>
        <v>2</v>
      </c>
      <c r="N590" s="55">
        <f>_xlfn.XLOOKUP(Survey!$K590,pipedata[ID],pipedata[WT])</f>
        <v>0.74</v>
      </c>
      <c r="O590" s="56">
        <f>_xlfn.XLOOKUP(Survey!$K590,pipedata[ID],pipedata[104%])</f>
        <v>2565.3333333333335</v>
      </c>
      <c r="P590" s="57">
        <f t="shared" si="9"/>
        <v>1850</v>
      </c>
      <c r="Q590" s="58">
        <f>_xlfn.MAXIFS(Survey!$G$2:$G$3647,Survey!$M$2:$M$3647,Survey!$M590)-Survey!$G590</f>
        <v>652.20671938902024</v>
      </c>
      <c r="R590" s="59">
        <f>Survey!$P590+(Survey!$Q590*0.433)</f>
        <v>2132.4055094954456</v>
      </c>
    </row>
    <row r="591" spans="1:18" x14ac:dyDescent="0.25">
      <c r="A591" s="60" t="s">
        <v>17</v>
      </c>
      <c r="B591" s="61" t="s">
        <v>18</v>
      </c>
      <c r="C591" s="62" t="s">
        <v>19</v>
      </c>
      <c r="D591" s="63">
        <v>231.47862024448659</v>
      </c>
      <c r="E591" s="79">
        <v>1250449</v>
      </c>
      <c r="F591" s="80">
        <v>1223211.7352941176</v>
      </c>
      <c r="G591" s="66">
        <v>2121.8522053604388</v>
      </c>
      <c r="H591" s="67">
        <v>2</v>
      </c>
      <c r="I591" s="68" t="s">
        <v>20</v>
      </c>
      <c r="J591" s="69">
        <v>40</v>
      </c>
      <c r="K591" s="70">
        <v>2</v>
      </c>
      <c r="L591" s="68">
        <v>1</v>
      </c>
      <c r="M591" s="68">
        <f>_xlfn.XLOOKUP(Survey!$F591,sections[Start],sections[Test Section],,-1,1)</f>
        <v>2</v>
      </c>
      <c r="N591" s="55">
        <f>_xlfn.XLOOKUP(Survey!$K591,pipedata[ID],pipedata[WT])</f>
        <v>0.74</v>
      </c>
      <c r="O591" s="56">
        <f>_xlfn.XLOOKUP(Survey!$K591,pipedata[ID],pipedata[104%])</f>
        <v>2565.3333333333335</v>
      </c>
      <c r="P591" s="57">
        <f t="shared" si="9"/>
        <v>1850</v>
      </c>
      <c r="Q591" s="58">
        <f>_xlfn.MAXIFS(Survey!$G$2:$G$3647,Survey!$M$2:$M$3647,Survey!$M591)-Survey!$G591</f>
        <v>641.8140388413035</v>
      </c>
      <c r="R591" s="59">
        <f>Survey!$P591+(Survey!$Q591*0.433)</f>
        <v>2127.9054788182843</v>
      </c>
    </row>
    <row r="592" spans="1:18" x14ac:dyDescent="0.25">
      <c r="A592" s="71" t="s">
        <v>17</v>
      </c>
      <c r="B592" s="72" t="s">
        <v>18</v>
      </c>
      <c r="C592" s="73" t="s">
        <v>19</v>
      </c>
      <c r="D592" s="74">
        <v>231.48590334589892</v>
      </c>
      <c r="E592" s="81">
        <v>1250489</v>
      </c>
      <c r="F592" s="82">
        <v>1223250.1260504201</v>
      </c>
      <c r="G592" s="75">
        <v>2133.1487134240251</v>
      </c>
      <c r="H592" s="76">
        <v>2</v>
      </c>
      <c r="I592" s="54" t="s">
        <v>20</v>
      </c>
      <c r="J592" s="77">
        <v>40</v>
      </c>
      <c r="K592" s="78">
        <v>2</v>
      </c>
      <c r="L592" s="54">
        <v>1</v>
      </c>
      <c r="M592" s="54">
        <f>_xlfn.XLOOKUP(Survey!$F592,sections[Start],sections[Test Section],,-1,1)</f>
        <v>2</v>
      </c>
      <c r="N592" s="55">
        <f>_xlfn.XLOOKUP(Survey!$K592,pipedata[ID],pipedata[WT])</f>
        <v>0.74</v>
      </c>
      <c r="O592" s="56">
        <f>_xlfn.XLOOKUP(Survey!$K592,pipedata[ID],pipedata[104%])</f>
        <v>2565.3333333333335</v>
      </c>
      <c r="P592" s="57">
        <f t="shared" si="9"/>
        <v>1850</v>
      </c>
      <c r="Q592" s="58">
        <f>_xlfn.MAXIFS(Survey!$G$2:$G$3647,Survey!$M$2:$M$3647,Survey!$M592)-Survey!$G592</f>
        <v>630.51753077771718</v>
      </c>
      <c r="R592" s="59">
        <f>Survey!$P592+(Survey!$Q592*0.433)</f>
        <v>2123.0140908267517</v>
      </c>
    </row>
    <row r="593" spans="1:18" x14ac:dyDescent="0.25">
      <c r="A593" s="60" t="s">
        <v>17</v>
      </c>
      <c r="B593" s="61" t="s">
        <v>18</v>
      </c>
      <c r="C593" s="62" t="s">
        <v>19</v>
      </c>
      <c r="D593" s="63">
        <v>231.49267442547676</v>
      </c>
      <c r="E593" s="79">
        <v>1250529</v>
      </c>
      <c r="F593" s="80">
        <v>1223288.5168067226</v>
      </c>
      <c r="G593" s="66">
        <v>2147.448056000097</v>
      </c>
      <c r="H593" s="67">
        <v>2</v>
      </c>
      <c r="I593" s="68" t="s">
        <v>20</v>
      </c>
      <c r="J593" s="69">
        <v>40</v>
      </c>
      <c r="K593" s="70">
        <v>2</v>
      </c>
      <c r="L593" s="68">
        <v>1</v>
      </c>
      <c r="M593" s="68">
        <f>_xlfn.XLOOKUP(Survey!$F593,sections[Start],sections[Test Section],,-1,1)</f>
        <v>2</v>
      </c>
      <c r="N593" s="55">
        <f>_xlfn.XLOOKUP(Survey!$K593,pipedata[ID],pipedata[WT])</f>
        <v>0.74</v>
      </c>
      <c r="O593" s="56">
        <f>_xlfn.XLOOKUP(Survey!$K593,pipedata[ID],pipedata[104%])</f>
        <v>2565.3333333333335</v>
      </c>
      <c r="P593" s="57">
        <f t="shared" si="9"/>
        <v>1850</v>
      </c>
      <c r="Q593" s="58">
        <f>_xlfn.MAXIFS(Survey!$G$2:$G$3647,Survey!$M$2:$M$3647,Survey!$M593)-Survey!$G593</f>
        <v>616.21818820164526</v>
      </c>
      <c r="R593" s="59">
        <f>Survey!$P593+(Survey!$Q593*0.433)</f>
        <v>2116.8224754913126</v>
      </c>
    </row>
    <row r="594" spans="1:18" x14ac:dyDescent="0.25">
      <c r="A594" s="71" t="s">
        <v>17</v>
      </c>
      <c r="B594" s="72" t="s">
        <v>18</v>
      </c>
      <c r="C594" s="73" t="s">
        <v>19</v>
      </c>
      <c r="D594" s="74">
        <v>231.49959538675961</v>
      </c>
      <c r="E594" s="81">
        <v>1250569</v>
      </c>
      <c r="F594" s="82">
        <v>1223326.9075630251</v>
      </c>
      <c r="G594" s="75">
        <v>2156.6063796468602</v>
      </c>
      <c r="H594" s="76">
        <v>2</v>
      </c>
      <c r="I594" s="54" t="s">
        <v>20</v>
      </c>
      <c r="J594" s="77">
        <v>40</v>
      </c>
      <c r="K594" s="78">
        <v>2</v>
      </c>
      <c r="L594" s="54">
        <v>1</v>
      </c>
      <c r="M594" s="54">
        <f>_xlfn.XLOOKUP(Survey!$F594,sections[Start],sections[Test Section],,-1,1)</f>
        <v>2</v>
      </c>
      <c r="N594" s="55">
        <f>_xlfn.XLOOKUP(Survey!$K594,pipedata[ID],pipedata[WT])</f>
        <v>0.74</v>
      </c>
      <c r="O594" s="56">
        <f>_xlfn.XLOOKUP(Survey!$K594,pipedata[ID],pipedata[104%])</f>
        <v>2565.3333333333335</v>
      </c>
      <c r="P594" s="57">
        <f t="shared" si="9"/>
        <v>1850</v>
      </c>
      <c r="Q594" s="58">
        <f>_xlfn.MAXIFS(Survey!$G$2:$G$3647,Survey!$M$2:$M$3647,Survey!$M594)-Survey!$G594</f>
        <v>607.0598645548821</v>
      </c>
      <c r="R594" s="59">
        <f>Survey!$P594+(Survey!$Q594*0.433)</f>
        <v>2112.8569213522642</v>
      </c>
    </row>
    <row r="595" spans="1:18" x14ac:dyDescent="0.25">
      <c r="A595" s="60" t="s">
        <v>17</v>
      </c>
      <c r="B595" s="61" t="s">
        <v>18</v>
      </c>
      <c r="C595" s="62" t="s">
        <v>19</v>
      </c>
      <c r="D595" s="63">
        <v>231.50717232113601</v>
      </c>
      <c r="E595" s="79">
        <v>1250609</v>
      </c>
      <c r="F595" s="80">
        <v>1223365.2983193276</v>
      </c>
      <c r="G595" s="66">
        <v>2166.5898648136504</v>
      </c>
      <c r="H595" s="67">
        <v>2</v>
      </c>
      <c r="I595" s="68" t="s">
        <v>20</v>
      </c>
      <c r="J595" s="69">
        <v>40</v>
      </c>
      <c r="K595" s="70">
        <v>2</v>
      </c>
      <c r="L595" s="68">
        <v>1</v>
      </c>
      <c r="M595" s="68">
        <f>_xlfn.XLOOKUP(Survey!$F595,sections[Start],sections[Test Section],,-1,1)</f>
        <v>2</v>
      </c>
      <c r="N595" s="55">
        <f>_xlfn.XLOOKUP(Survey!$K595,pipedata[ID],pipedata[WT])</f>
        <v>0.74</v>
      </c>
      <c r="O595" s="56">
        <f>_xlfn.XLOOKUP(Survey!$K595,pipedata[ID],pipedata[104%])</f>
        <v>2565.3333333333335</v>
      </c>
      <c r="P595" s="57">
        <f t="shared" si="9"/>
        <v>1850</v>
      </c>
      <c r="Q595" s="58">
        <f>_xlfn.MAXIFS(Survey!$G$2:$G$3647,Survey!$M$2:$M$3647,Survey!$M595)-Survey!$G595</f>
        <v>597.07637938809194</v>
      </c>
      <c r="R595" s="59">
        <f>Survey!$P595+(Survey!$Q595*0.433)</f>
        <v>2108.5340722750439</v>
      </c>
    </row>
    <row r="596" spans="1:18" x14ac:dyDescent="0.25">
      <c r="A596" s="71" t="s">
        <v>17</v>
      </c>
      <c r="B596" s="72" t="s">
        <v>18</v>
      </c>
      <c r="C596" s="73" t="s">
        <v>19</v>
      </c>
      <c r="D596" s="74">
        <v>231.51384764975154</v>
      </c>
      <c r="E596" s="81">
        <v>1250649</v>
      </c>
      <c r="F596" s="82">
        <v>1223403.6890756302</v>
      </c>
      <c r="G596" s="75">
        <v>2178.8242020486787</v>
      </c>
      <c r="H596" s="76">
        <v>2</v>
      </c>
      <c r="I596" s="54" t="s">
        <v>20</v>
      </c>
      <c r="J596" s="77">
        <v>40</v>
      </c>
      <c r="K596" s="78">
        <v>2</v>
      </c>
      <c r="L596" s="54">
        <v>1</v>
      </c>
      <c r="M596" s="54">
        <f>_xlfn.XLOOKUP(Survey!$F596,sections[Start],sections[Test Section],,-1,1)</f>
        <v>2</v>
      </c>
      <c r="N596" s="55">
        <f>_xlfn.XLOOKUP(Survey!$K596,pipedata[ID],pipedata[WT])</f>
        <v>0.74</v>
      </c>
      <c r="O596" s="56">
        <f>_xlfn.XLOOKUP(Survey!$K596,pipedata[ID],pipedata[104%])</f>
        <v>2565.3333333333335</v>
      </c>
      <c r="P596" s="57">
        <f t="shared" si="9"/>
        <v>1850</v>
      </c>
      <c r="Q596" s="58">
        <f>_xlfn.MAXIFS(Survey!$G$2:$G$3647,Survey!$M$2:$M$3647,Survey!$M596)-Survey!$G596</f>
        <v>584.84204215306363</v>
      </c>
      <c r="R596" s="59">
        <f>Survey!$P596+(Survey!$Q596*0.433)</f>
        <v>2103.2366042522767</v>
      </c>
    </row>
    <row r="597" spans="1:18" x14ac:dyDescent="0.25">
      <c r="A597" s="60" t="s">
        <v>17</v>
      </c>
      <c r="B597" s="61" t="s">
        <v>18</v>
      </c>
      <c r="C597" s="62" t="s">
        <v>19</v>
      </c>
      <c r="D597" s="63">
        <v>231.52197790225605</v>
      </c>
      <c r="E597" s="79">
        <v>1250689</v>
      </c>
      <c r="F597" s="80">
        <v>1223442.0798319327</v>
      </c>
      <c r="G597" s="66">
        <v>2185.2029677834689</v>
      </c>
      <c r="H597" s="67">
        <v>2</v>
      </c>
      <c r="I597" s="68" t="s">
        <v>20</v>
      </c>
      <c r="J597" s="69">
        <v>40</v>
      </c>
      <c r="K597" s="70">
        <v>2</v>
      </c>
      <c r="L597" s="68">
        <v>1</v>
      </c>
      <c r="M597" s="68">
        <f>_xlfn.XLOOKUP(Survey!$F597,sections[Start],sections[Test Section],,-1,1)</f>
        <v>2</v>
      </c>
      <c r="N597" s="55">
        <f>_xlfn.XLOOKUP(Survey!$K597,pipedata[ID],pipedata[WT])</f>
        <v>0.74</v>
      </c>
      <c r="O597" s="56">
        <f>_xlfn.XLOOKUP(Survey!$K597,pipedata[ID],pipedata[104%])</f>
        <v>2565.3333333333335</v>
      </c>
      <c r="P597" s="57">
        <f t="shared" si="9"/>
        <v>1850</v>
      </c>
      <c r="Q597" s="58">
        <f>_xlfn.MAXIFS(Survey!$G$2:$G$3647,Survey!$M$2:$M$3647,Survey!$M597)-Survey!$G597</f>
        <v>578.46327641827338</v>
      </c>
      <c r="R597" s="59">
        <f>Survey!$P597+(Survey!$Q597*0.433)</f>
        <v>2100.4745986891126</v>
      </c>
    </row>
    <row r="598" spans="1:18" x14ac:dyDescent="0.25">
      <c r="A598" s="71" t="s">
        <v>17</v>
      </c>
      <c r="B598" s="72" t="s">
        <v>18</v>
      </c>
      <c r="C598" s="73" t="s">
        <v>19</v>
      </c>
      <c r="D598" s="74">
        <v>231.52931675634278</v>
      </c>
      <c r="E598" s="81">
        <v>1250729</v>
      </c>
      <c r="F598" s="82">
        <v>1223480.4705882352</v>
      </c>
      <c r="G598" s="75">
        <v>2188.3710392730118</v>
      </c>
      <c r="H598" s="76">
        <v>2</v>
      </c>
      <c r="I598" s="54" t="s">
        <v>20</v>
      </c>
      <c r="J598" s="77">
        <v>40</v>
      </c>
      <c r="K598" s="78">
        <v>2</v>
      </c>
      <c r="L598" s="54">
        <v>1</v>
      </c>
      <c r="M598" s="54">
        <f>_xlfn.XLOOKUP(Survey!$F598,sections[Start],sections[Test Section],,-1,1)</f>
        <v>2</v>
      </c>
      <c r="N598" s="55">
        <f>_xlfn.XLOOKUP(Survey!$K598,pipedata[ID],pipedata[WT])</f>
        <v>0.74</v>
      </c>
      <c r="O598" s="56">
        <f>_xlfn.XLOOKUP(Survey!$K598,pipedata[ID],pipedata[104%])</f>
        <v>2565.3333333333335</v>
      </c>
      <c r="P598" s="57">
        <f t="shared" si="9"/>
        <v>1850</v>
      </c>
      <c r="Q598" s="58">
        <f>_xlfn.MAXIFS(Survey!$G$2:$G$3647,Survey!$M$2:$M$3647,Survey!$M598)-Survey!$G598</f>
        <v>575.29520492873053</v>
      </c>
      <c r="R598" s="59">
        <f>Survey!$P598+(Survey!$Q598*0.433)</f>
        <v>2099.1028237341402</v>
      </c>
    </row>
    <row r="599" spans="1:18" x14ac:dyDescent="0.25">
      <c r="A599" s="60" t="s">
        <v>17</v>
      </c>
      <c r="B599" s="61" t="s">
        <v>18</v>
      </c>
      <c r="C599" s="62" t="s">
        <v>19</v>
      </c>
      <c r="D599" s="63">
        <v>231.53643225997467</v>
      </c>
      <c r="E599" s="64">
        <v>1250769</v>
      </c>
      <c r="F599" s="65">
        <v>1223518.8613445377</v>
      </c>
      <c r="G599" s="66">
        <v>2195.8669939040874</v>
      </c>
      <c r="H599" s="67">
        <v>2</v>
      </c>
      <c r="I599" s="68" t="s">
        <v>20</v>
      </c>
      <c r="J599" s="69">
        <v>40</v>
      </c>
      <c r="K599" s="70">
        <v>2</v>
      </c>
      <c r="L599" s="68">
        <v>1</v>
      </c>
      <c r="M599" s="68">
        <f>_xlfn.XLOOKUP(Survey!$F599,sections[Start],sections[Test Section],,-1,1)</f>
        <v>2</v>
      </c>
      <c r="N599" s="55">
        <f>_xlfn.XLOOKUP(Survey!$K599,pipedata[ID],pipedata[WT])</f>
        <v>0.74</v>
      </c>
      <c r="O599" s="56">
        <f>_xlfn.XLOOKUP(Survey!$K599,pipedata[ID],pipedata[104%])</f>
        <v>2565.3333333333335</v>
      </c>
      <c r="P599" s="57">
        <f t="shared" si="9"/>
        <v>1850</v>
      </c>
      <c r="Q599" s="58">
        <f>_xlfn.MAXIFS(Survey!$G$2:$G$3647,Survey!$M$2:$M$3647,Survey!$M599)-Survey!$G599</f>
        <v>567.79925029765491</v>
      </c>
      <c r="R599" s="59">
        <f>Survey!$P599+(Survey!$Q599*0.433)</f>
        <v>2095.8570753788845</v>
      </c>
    </row>
    <row r="600" spans="1:18" x14ac:dyDescent="0.25">
      <c r="A600" s="71" t="s">
        <v>17</v>
      </c>
      <c r="B600" s="72" t="s">
        <v>18</v>
      </c>
      <c r="C600" s="73" t="s">
        <v>19</v>
      </c>
      <c r="D600" s="74">
        <v>231.54415210210931</v>
      </c>
      <c r="E600" s="81">
        <v>1250809</v>
      </c>
      <c r="F600" s="82">
        <v>1223557.2521008402</v>
      </c>
      <c r="G600" s="75">
        <v>2204.28394392067</v>
      </c>
      <c r="H600" s="76">
        <v>2</v>
      </c>
      <c r="I600" s="54" t="s">
        <v>20</v>
      </c>
      <c r="J600" s="77">
        <v>40</v>
      </c>
      <c r="K600" s="78">
        <v>2</v>
      </c>
      <c r="L600" s="54">
        <v>1</v>
      </c>
      <c r="M600" s="54">
        <f>_xlfn.XLOOKUP(Survey!$F600,sections[Start],sections[Test Section],,-1,1)</f>
        <v>2</v>
      </c>
      <c r="N600" s="55">
        <f>_xlfn.XLOOKUP(Survey!$K600,pipedata[ID],pipedata[WT])</f>
        <v>0.74</v>
      </c>
      <c r="O600" s="56">
        <f>_xlfn.XLOOKUP(Survey!$K600,pipedata[ID],pipedata[104%])</f>
        <v>2565.3333333333335</v>
      </c>
      <c r="P600" s="57">
        <f t="shared" si="9"/>
        <v>1850</v>
      </c>
      <c r="Q600" s="58">
        <f>_xlfn.MAXIFS(Survey!$G$2:$G$3647,Survey!$M$2:$M$3647,Survey!$M600)-Survey!$G600</f>
        <v>559.38230028107228</v>
      </c>
      <c r="R600" s="59">
        <f>Survey!$P600+(Survey!$Q600*0.433)</f>
        <v>2092.2125360217042</v>
      </c>
    </row>
    <row r="601" spans="1:18" x14ac:dyDescent="0.25">
      <c r="A601" s="60" t="s">
        <v>17</v>
      </c>
      <c r="B601" s="61" t="s">
        <v>18</v>
      </c>
      <c r="C601" s="62" t="s">
        <v>19</v>
      </c>
      <c r="D601" s="63">
        <v>231.55029861540649</v>
      </c>
      <c r="E601" s="64">
        <v>1250849</v>
      </c>
      <c r="F601" s="65">
        <v>1223595.6428571427</v>
      </c>
      <c r="G601" s="66">
        <v>2215.0767320000414</v>
      </c>
      <c r="H601" s="67">
        <v>2</v>
      </c>
      <c r="I601" s="68" t="s">
        <v>20</v>
      </c>
      <c r="J601" s="69">
        <v>40</v>
      </c>
      <c r="K601" s="70">
        <v>2</v>
      </c>
      <c r="L601" s="68">
        <v>1</v>
      </c>
      <c r="M601" s="68">
        <f>_xlfn.XLOOKUP(Survey!$F601,sections[Start],sections[Test Section],,-1,1)</f>
        <v>2</v>
      </c>
      <c r="N601" s="55">
        <f>_xlfn.XLOOKUP(Survey!$K601,pipedata[ID],pipedata[WT])</f>
        <v>0.74</v>
      </c>
      <c r="O601" s="56">
        <f>_xlfn.XLOOKUP(Survey!$K601,pipedata[ID],pipedata[104%])</f>
        <v>2565.3333333333335</v>
      </c>
      <c r="P601" s="57">
        <f t="shared" si="9"/>
        <v>1850</v>
      </c>
      <c r="Q601" s="58">
        <f>_xlfn.MAXIFS(Survey!$G$2:$G$3647,Survey!$M$2:$M$3647,Survey!$M601)-Survey!$G601</f>
        <v>548.58951220170093</v>
      </c>
      <c r="R601" s="59">
        <f>Survey!$P601+(Survey!$Q601*0.433)</f>
        <v>2087.5392587833367</v>
      </c>
    </row>
    <row r="602" spans="1:18" x14ac:dyDescent="0.25">
      <c r="A602" s="71" t="s">
        <v>17</v>
      </c>
      <c r="B602" s="72" t="s">
        <v>18</v>
      </c>
      <c r="C602" s="73" t="s">
        <v>19</v>
      </c>
      <c r="D602" s="74">
        <v>231.55868322549085</v>
      </c>
      <c r="E602" s="64">
        <v>1250889</v>
      </c>
      <c r="F602" s="65">
        <v>1223634.0336134452</v>
      </c>
      <c r="G602" s="75">
        <v>2226.1053940405614</v>
      </c>
      <c r="H602" s="76">
        <v>2</v>
      </c>
      <c r="I602" s="54" t="s">
        <v>20</v>
      </c>
      <c r="J602" s="77">
        <v>40</v>
      </c>
      <c r="K602" s="78">
        <v>2</v>
      </c>
      <c r="L602" s="54">
        <v>1</v>
      </c>
      <c r="M602" s="54">
        <f>_xlfn.XLOOKUP(Survey!$F602,sections[Start],sections[Test Section],,-1,1)</f>
        <v>2</v>
      </c>
      <c r="N602" s="55">
        <f>_xlfn.XLOOKUP(Survey!$K602,pipedata[ID],pipedata[WT])</f>
        <v>0.74</v>
      </c>
      <c r="O602" s="56">
        <f>_xlfn.XLOOKUP(Survey!$K602,pipedata[ID],pipedata[104%])</f>
        <v>2565.3333333333335</v>
      </c>
      <c r="P602" s="57">
        <f t="shared" si="9"/>
        <v>1850</v>
      </c>
      <c r="Q602" s="58">
        <f>_xlfn.MAXIFS(Survey!$G$2:$G$3647,Survey!$M$2:$M$3647,Survey!$M602)-Survey!$G602</f>
        <v>537.56085016118095</v>
      </c>
      <c r="R602" s="59">
        <f>Survey!$P602+(Survey!$Q602*0.433)</f>
        <v>2082.7638481197914</v>
      </c>
    </row>
    <row r="603" spans="1:18" x14ac:dyDescent="0.25">
      <c r="A603" s="60" t="s">
        <v>17</v>
      </c>
      <c r="B603" s="61" t="s">
        <v>18</v>
      </c>
      <c r="C603" s="62" t="s">
        <v>19</v>
      </c>
      <c r="D603" s="63">
        <v>231.56597659028705</v>
      </c>
      <c r="E603" s="79">
        <v>1250929</v>
      </c>
      <c r="F603" s="80">
        <v>1223672.4243697478</v>
      </c>
      <c r="G603" s="66">
        <v>2239.7201530002681</v>
      </c>
      <c r="H603" s="67">
        <v>2</v>
      </c>
      <c r="I603" s="68" t="s">
        <v>20</v>
      </c>
      <c r="J603" s="69">
        <v>40</v>
      </c>
      <c r="K603" s="70">
        <v>2</v>
      </c>
      <c r="L603" s="68">
        <v>1</v>
      </c>
      <c r="M603" s="68">
        <f>_xlfn.XLOOKUP(Survey!$F603,sections[Start],sections[Test Section],,-1,1)</f>
        <v>2</v>
      </c>
      <c r="N603" s="55">
        <f>_xlfn.XLOOKUP(Survey!$K603,pipedata[ID],pipedata[WT])</f>
        <v>0.74</v>
      </c>
      <c r="O603" s="56">
        <f>_xlfn.XLOOKUP(Survey!$K603,pipedata[ID],pipedata[104%])</f>
        <v>2565.3333333333335</v>
      </c>
      <c r="P603" s="57">
        <f t="shared" si="9"/>
        <v>1850</v>
      </c>
      <c r="Q603" s="58">
        <f>_xlfn.MAXIFS(Survey!$G$2:$G$3647,Survey!$M$2:$M$3647,Survey!$M603)-Survey!$G603</f>
        <v>523.94609120147425</v>
      </c>
      <c r="R603" s="59">
        <f>Survey!$P603+(Survey!$Q603*0.433)</f>
        <v>2076.8686574902385</v>
      </c>
    </row>
    <row r="604" spans="1:18" x14ac:dyDescent="0.25">
      <c r="A604" s="71" t="s">
        <v>17</v>
      </c>
      <c r="B604" s="72" t="s">
        <v>18</v>
      </c>
      <c r="C604" s="73" t="s">
        <v>19</v>
      </c>
      <c r="D604" s="74">
        <v>231.57315029036641</v>
      </c>
      <c r="E604" s="81">
        <v>1250969</v>
      </c>
      <c r="F604" s="82">
        <v>1223710.8151260503</v>
      </c>
      <c r="G604" s="75">
        <v>2251.1995831065929</v>
      </c>
      <c r="H604" s="76">
        <v>2</v>
      </c>
      <c r="I604" s="54" t="s">
        <v>20</v>
      </c>
      <c r="J604" s="77">
        <v>40</v>
      </c>
      <c r="K604" s="78">
        <v>2</v>
      </c>
      <c r="L604" s="54">
        <v>1</v>
      </c>
      <c r="M604" s="54">
        <f>_xlfn.XLOOKUP(Survey!$F604,sections[Start],sections[Test Section],,-1,1)</f>
        <v>2</v>
      </c>
      <c r="N604" s="55">
        <f>_xlfn.XLOOKUP(Survey!$K604,pipedata[ID],pipedata[WT])</f>
        <v>0.74</v>
      </c>
      <c r="O604" s="56">
        <f>_xlfn.XLOOKUP(Survey!$K604,pipedata[ID],pipedata[104%])</f>
        <v>2565.3333333333335</v>
      </c>
      <c r="P604" s="57">
        <f t="shared" si="9"/>
        <v>1850</v>
      </c>
      <c r="Q604" s="58">
        <f>_xlfn.MAXIFS(Survey!$G$2:$G$3647,Survey!$M$2:$M$3647,Survey!$M604)-Survey!$G604</f>
        <v>512.46666109514945</v>
      </c>
      <c r="R604" s="59">
        <f>Survey!$P604+(Survey!$Q604*0.433)</f>
        <v>2071.8980642541997</v>
      </c>
    </row>
    <row r="605" spans="1:18" x14ac:dyDescent="0.25">
      <c r="A605" s="60" t="s">
        <v>17</v>
      </c>
      <c r="B605" s="61" t="s">
        <v>18</v>
      </c>
      <c r="C605" s="62" t="s">
        <v>19</v>
      </c>
      <c r="D605" s="63">
        <v>231.57985281072246</v>
      </c>
      <c r="E605" s="79">
        <v>1251009</v>
      </c>
      <c r="F605" s="80">
        <v>1223749.2058823528</v>
      </c>
      <c r="G605" s="66">
        <v>2264.2685839482565</v>
      </c>
      <c r="H605" s="67">
        <v>2</v>
      </c>
      <c r="I605" s="68" t="s">
        <v>20</v>
      </c>
      <c r="J605" s="69">
        <v>40</v>
      </c>
      <c r="K605" s="70">
        <v>2</v>
      </c>
      <c r="L605" s="68">
        <v>1</v>
      </c>
      <c r="M605" s="68">
        <f>_xlfn.XLOOKUP(Survey!$F605,sections[Start],sections[Test Section],,-1,1)</f>
        <v>2</v>
      </c>
      <c r="N605" s="55">
        <f>_xlfn.XLOOKUP(Survey!$K605,pipedata[ID],pipedata[WT])</f>
        <v>0.74</v>
      </c>
      <c r="O605" s="56">
        <f>_xlfn.XLOOKUP(Survey!$K605,pipedata[ID],pipedata[104%])</f>
        <v>2565.3333333333335</v>
      </c>
      <c r="P605" s="57">
        <f t="shared" si="9"/>
        <v>1850</v>
      </c>
      <c r="Q605" s="58">
        <f>_xlfn.MAXIFS(Survey!$G$2:$G$3647,Survey!$M$2:$M$3647,Survey!$M605)-Survey!$G605</f>
        <v>499.39766025348581</v>
      </c>
      <c r="R605" s="59">
        <f>Survey!$P605+(Survey!$Q605*0.433)</f>
        <v>2066.2391868897594</v>
      </c>
    </row>
    <row r="606" spans="1:18" x14ac:dyDescent="0.25">
      <c r="A606" s="71" t="s">
        <v>17</v>
      </c>
      <c r="B606" s="72" t="s">
        <v>18</v>
      </c>
      <c r="C606" s="73" t="s">
        <v>19</v>
      </c>
      <c r="D606" s="74">
        <v>231.58664607231643</v>
      </c>
      <c r="E606" s="81">
        <v>1251049</v>
      </c>
      <c r="F606" s="82">
        <v>1223787.5966386553</v>
      </c>
      <c r="G606" s="75">
        <v>2275.6811868595423</v>
      </c>
      <c r="H606" s="76">
        <v>2</v>
      </c>
      <c r="I606" s="54" t="s">
        <v>20</v>
      </c>
      <c r="J606" s="77">
        <v>40</v>
      </c>
      <c r="K606" s="78">
        <v>2</v>
      </c>
      <c r="L606" s="54">
        <v>1</v>
      </c>
      <c r="M606" s="54">
        <f>_xlfn.XLOOKUP(Survey!$F606,sections[Start],sections[Test Section],,-1,1)</f>
        <v>2</v>
      </c>
      <c r="N606" s="55">
        <f>_xlfn.XLOOKUP(Survey!$K606,pipedata[ID],pipedata[WT])</f>
        <v>0.74</v>
      </c>
      <c r="O606" s="56">
        <f>_xlfn.XLOOKUP(Survey!$K606,pipedata[ID],pipedata[104%])</f>
        <v>2565.3333333333335</v>
      </c>
      <c r="P606" s="57">
        <f t="shared" si="9"/>
        <v>1850</v>
      </c>
      <c r="Q606" s="58">
        <f>_xlfn.MAXIFS(Survey!$G$2:$G$3647,Survey!$M$2:$M$3647,Survey!$M606)-Survey!$G606</f>
        <v>487.98505734219998</v>
      </c>
      <c r="R606" s="59">
        <f>Survey!$P606+(Survey!$Q606*0.433)</f>
        <v>2061.2975298291726</v>
      </c>
    </row>
    <row r="607" spans="1:18" x14ac:dyDescent="0.25">
      <c r="A607" s="60" t="s">
        <v>17</v>
      </c>
      <c r="B607" s="61" t="s">
        <v>18</v>
      </c>
      <c r="C607" s="62" t="s">
        <v>19</v>
      </c>
      <c r="D607" s="63">
        <v>231.59495770484673</v>
      </c>
      <c r="E607" s="79">
        <v>1251089</v>
      </c>
      <c r="F607" s="80">
        <v>1223825.9873949578</v>
      </c>
      <c r="G607" s="66">
        <v>2286.8982137981434</v>
      </c>
      <c r="H607" s="67">
        <v>2</v>
      </c>
      <c r="I607" s="68" t="s">
        <v>20</v>
      </c>
      <c r="J607" s="69">
        <v>40</v>
      </c>
      <c r="K607" s="70">
        <v>2</v>
      </c>
      <c r="L607" s="68">
        <v>1</v>
      </c>
      <c r="M607" s="68">
        <f>_xlfn.XLOOKUP(Survey!$F607,sections[Start],sections[Test Section],,-1,1)</f>
        <v>2</v>
      </c>
      <c r="N607" s="55">
        <f>_xlfn.XLOOKUP(Survey!$K607,pipedata[ID],pipedata[WT])</f>
        <v>0.74</v>
      </c>
      <c r="O607" s="56">
        <f>_xlfn.XLOOKUP(Survey!$K607,pipedata[ID],pipedata[104%])</f>
        <v>2565.3333333333335</v>
      </c>
      <c r="P607" s="57">
        <f t="shared" si="9"/>
        <v>1850</v>
      </c>
      <c r="Q607" s="58">
        <f>_xlfn.MAXIFS(Survey!$G$2:$G$3647,Survey!$M$2:$M$3647,Survey!$M607)-Survey!$G607</f>
        <v>476.76803040359891</v>
      </c>
      <c r="R607" s="59">
        <f>Survey!$P607+(Survey!$Q607*0.433)</f>
        <v>2056.4405571647585</v>
      </c>
    </row>
    <row r="608" spans="1:18" x14ac:dyDescent="0.25">
      <c r="A608" s="71" t="s">
        <v>17</v>
      </c>
      <c r="B608" s="72" t="s">
        <v>18</v>
      </c>
      <c r="C608" s="73" t="s">
        <v>19</v>
      </c>
      <c r="D608" s="74">
        <v>231.60209688982854</v>
      </c>
      <c r="E608" s="81">
        <v>1251129</v>
      </c>
      <c r="F608" s="82">
        <v>1223864.3781512603</v>
      </c>
      <c r="G608" s="75">
        <v>2298.1702549313191</v>
      </c>
      <c r="H608" s="76">
        <v>2</v>
      </c>
      <c r="I608" s="54" t="s">
        <v>20</v>
      </c>
      <c r="J608" s="77">
        <v>40</v>
      </c>
      <c r="K608" s="78">
        <v>2</v>
      </c>
      <c r="L608" s="54">
        <v>1</v>
      </c>
      <c r="M608" s="54">
        <f>_xlfn.XLOOKUP(Survey!$F608,sections[Start],sections[Test Section],,-1,1)</f>
        <v>2</v>
      </c>
      <c r="N608" s="55">
        <f>_xlfn.XLOOKUP(Survey!$K608,pipedata[ID],pipedata[WT])</f>
        <v>0.74</v>
      </c>
      <c r="O608" s="56">
        <f>_xlfn.XLOOKUP(Survey!$K608,pipedata[ID],pipedata[104%])</f>
        <v>2565.3333333333335</v>
      </c>
      <c r="P608" s="57">
        <f t="shared" si="9"/>
        <v>1850</v>
      </c>
      <c r="Q608" s="58">
        <f>_xlfn.MAXIFS(Survey!$G$2:$G$3647,Survey!$M$2:$M$3647,Survey!$M608)-Survey!$G608</f>
        <v>465.49598927042325</v>
      </c>
      <c r="R608" s="59">
        <f>Survey!$P608+(Survey!$Q608*0.433)</f>
        <v>2051.5597633540933</v>
      </c>
    </row>
    <row r="609" spans="1:18" x14ac:dyDescent="0.25">
      <c r="A609" s="60" t="s">
        <v>17</v>
      </c>
      <c r="B609" s="61" t="s">
        <v>18</v>
      </c>
      <c r="C609" s="62" t="s">
        <v>19</v>
      </c>
      <c r="D609" s="63">
        <v>231.60881649519536</v>
      </c>
      <c r="E609" s="79">
        <v>1251169</v>
      </c>
      <c r="F609" s="80">
        <v>1223902.7689075628</v>
      </c>
      <c r="G609" s="66">
        <v>2312.7960558580539</v>
      </c>
      <c r="H609" s="67">
        <v>2</v>
      </c>
      <c r="I609" s="68" t="s">
        <v>20</v>
      </c>
      <c r="J609" s="69">
        <v>40</v>
      </c>
      <c r="K609" s="70">
        <v>2</v>
      </c>
      <c r="L609" s="68">
        <v>1</v>
      </c>
      <c r="M609" s="68">
        <f>_xlfn.XLOOKUP(Survey!$F609,sections[Start],sections[Test Section],,-1,1)</f>
        <v>2</v>
      </c>
      <c r="N609" s="55">
        <f>_xlfn.XLOOKUP(Survey!$K609,pipedata[ID],pipedata[WT])</f>
        <v>0.74</v>
      </c>
      <c r="O609" s="56">
        <f>_xlfn.XLOOKUP(Survey!$K609,pipedata[ID],pipedata[104%])</f>
        <v>2565.3333333333335</v>
      </c>
      <c r="P609" s="57">
        <f t="shared" si="9"/>
        <v>1850</v>
      </c>
      <c r="Q609" s="58">
        <f>_xlfn.MAXIFS(Survey!$G$2:$G$3647,Survey!$M$2:$M$3647,Survey!$M609)-Survey!$G609</f>
        <v>450.87018834368837</v>
      </c>
      <c r="R609" s="59">
        <f>Survey!$P609+(Survey!$Q609*0.433)</f>
        <v>2045.2267915528171</v>
      </c>
    </row>
    <row r="610" spans="1:18" x14ac:dyDescent="0.25">
      <c r="A610" s="71" t="s">
        <v>17</v>
      </c>
      <c r="B610" s="72" t="s">
        <v>18</v>
      </c>
      <c r="C610" s="73" t="s">
        <v>19</v>
      </c>
      <c r="D610" s="74">
        <v>231.61630956997669</v>
      </c>
      <c r="E610" s="81">
        <v>1251209</v>
      </c>
      <c r="F610" s="82">
        <v>1223941.1596638653</v>
      </c>
      <c r="G610" s="75">
        <v>2325.4003771683015</v>
      </c>
      <c r="H610" s="76">
        <v>2</v>
      </c>
      <c r="I610" s="54" t="s">
        <v>20</v>
      </c>
      <c r="J610" s="77">
        <v>40</v>
      </c>
      <c r="K610" s="78">
        <v>2</v>
      </c>
      <c r="L610" s="54">
        <v>1</v>
      </c>
      <c r="M610" s="54">
        <f>_xlfn.XLOOKUP(Survey!$F610,sections[Start],sections[Test Section],,-1,1)</f>
        <v>2</v>
      </c>
      <c r="N610" s="55">
        <f>_xlfn.XLOOKUP(Survey!$K610,pipedata[ID],pipedata[WT])</f>
        <v>0.74</v>
      </c>
      <c r="O610" s="56">
        <f>_xlfn.XLOOKUP(Survey!$K610,pipedata[ID],pipedata[104%])</f>
        <v>2565.3333333333335</v>
      </c>
      <c r="P610" s="57">
        <f t="shared" si="9"/>
        <v>1850</v>
      </c>
      <c r="Q610" s="58">
        <f>_xlfn.MAXIFS(Survey!$G$2:$G$3647,Survey!$M$2:$M$3647,Survey!$M610)-Survey!$G610</f>
        <v>438.26586703344083</v>
      </c>
      <c r="R610" s="59">
        <f>Survey!$P610+(Survey!$Q610*0.433)</f>
        <v>2039.76912042548</v>
      </c>
    </row>
    <row r="611" spans="1:18" x14ac:dyDescent="0.25">
      <c r="A611" s="60" t="s">
        <v>17</v>
      </c>
      <c r="B611" s="61" t="s">
        <v>18</v>
      </c>
      <c r="C611" s="62" t="s">
        <v>19</v>
      </c>
      <c r="D611" s="63">
        <v>231.62380264475797</v>
      </c>
      <c r="E611" s="79">
        <v>1251249</v>
      </c>
      <c r="F611" s="80">
        <v>1223979.5504201679</v>
      </c>
      <c r="G611" s="66">
        <v>2335.9136185929515</v>
      </c>
      <c r="H611" s="67">
        <v>2</v>
      </c>
      <c r="I611" s="68" t="s">
        <v>20</v>
      </c>
      <c r="J611" s="69">
        <v>40</v>
      </c>
      <c r="K611" s="70">
        <v>2</v>
      </c>
      <c r="L611" s="68">
        <v>1</v>
      </c>
      <c r="M611" s="68">
        <f>_xlfn.XLOOKUP(Survey!$F611,sections[Start],sections[Test Section],,-1,1)</f>
        <v>2</v>
      </c>
      <c r="N611" s="55">
        <f>_xlfn.XLOOKUP(Survey!$K611,pipedata[ID],pipedata[WT])</f>
        <v>0.74</v>
      </c>
      <c r="O611" s="56">
        <f>_xlfn.XLOOKUP(Survey!$K611,pipedata[ID],pipedata[104%])</f>
        <v>2565.3333333333335</v>
      </c>
      <c r="P611" s="57">
        <f t="shared" si="9"/>
        <v>1850</v>
      </c>
      <c r="Q611" s="58">
        <f>_xlfn.MAXIFS(Survey!$G$2:$G$3647,Survey!$M$2:$M$3647,Survey!$M611)-Survey!$G611</f>
        <v>427.75262560879082</v>
      </c>
      <c r="R611" s="59">
        <f>Survey!$P611+(Survey!$Q611*0.433)</f>
        <v>2035.2168868886065</v>
      </c>
    </row>
    <row r="612" spans="1:18" x14ac:dyDescent="0.25">
      <c r="A612" s="71" t="s">
        <v>17</v>
      </c>
      <c r="B612" s="72" t="s">
        <v>18</v>
      </c>
      <c r="C612" s="73" t="s">
        <v>19</v>
      </c>
      <c r="D612" s="74">
        <v>231.6305559338615</v>
      </c>
      <c r="E612" s="81">
        <v>1251289</v>
      </c>
      <c r="F612" s="82">
        <v>1224017.9411764704</v>
      </c>
      <c r="G612" s="75">
        <v>2347.5958836888353</v>
      </c>
      <c r="H612" s="76">
        <v>2</v>
      </c>
      <c r="I612" s="54" t="s">
        <v>20</v>
      </c>
      <c r="J612" s="77">
        <v>40</v>
      </c>
      <c r="K612" s="78">
        <v>2</v>
      </c>
      <c r="L612" s="54">
        <v>1</v>
      </c>
      <c r="M612" s="54">
        <f>_xlfn.XLOOKUP(Survey!$F612,sections[Start],sections[Test Section],,-1,1)</f>
        <v>2</v>
      </c>
      <c r="N612" s="55">
        <f>_xlfn.XLOOKUP(Survey!$K612,pipedata[ID],pipedata[WT])</f>
        <v>0.74</v>
      </c>
      <c r="O612" s="56">
        <f>_xlfn.XLOOKUP(Survey!$K612,pipedata[ID],pipedata[104%])</f>
        <v>2565.3333333333335</v>
      </c>
      <c r="P612" s="57">
        <f t="shared" si="9"/>
        <v>1850</v>
      </c>
      <c r="Q612" s="58">
        <f>_xlfn.MAXIFS(Survey!$G$2:$G$3647,Survey!$M$2:$M$3647,Survey!$M612)-Survey!$G612</f>
        <v>416.07036051290697</v>
      </c>
      <c r="R612" s="59">
        <f>Survey!$P612+(Survey!$Q612*0.433)</f>
        <v>2030.1584661020888</v>
      </c>
    </row>
    <row r="613" spans="1:18" x14ac:dyDescent="0.25">
      <c r="A613" s="60" t="s">
        <v>17</v>
      </c>
      <c r="B613" s="61" t="s">
        <v>18</v>
      </c>
      <c r="C613" s="62" t="s">
        <v>19</v>
      </c>
      <c r="D613" s="63">
        <v>231.63716064397406</v>
      </c>
      <c r="E613" s="79">
        <v>1251329</v>
      </c>
      <c r="F613" s="80">
        <v>1224056.3319327729</v>
      </c>
      <c r="G613" s="66">
        <v>2354.6459914280913</v>
      </c>
      <c r="H613" s="67">
        <v>2</v>
      </c>
      <c r="I613" s="68" t="s">
        <v>20</v>
      </c>
      <c r="J613" s="69">
        <v>40</v>
      </c>
      <c r="K613" s="70">
        <v>2</v>
      </c>
      <c r="L613" s="68">
        <v>1</v>
      </c>
      <c r="M613" s="68">
        <f>_xlfn.XLOOKUP(Survey!$F613,sections[Start],sections[Test Section],,-1,1)</f>
        <v>2</v>
      </c>
      <c r="N613" s="55">
        <f>_xlfn.XLOOKUP(Survey!$K613,pipedata[ID],pipedata[WT])</f>
        <v>0.74</v>
      </c>
      <c r="O613" s="56">
        <f>_xlfn.XLOOKUP(Survey!$K613,pipedata[ID],pipedata[104%])</f>
        <v>2565.3333333333335</v>
      </c>
      <c r="P613" s="57">
        <f t="shared" si="9"/>
        <v>1850</v>
      </c>
      <c r="Q613" s="58">
        <f>_xlfn.MAXIFS(Survey!$G$2:$G$3647,Survey!$M$2:$M$3647,Survey!$M613)-Survey!$G613</f>
        <v>409.02025277365101</v>
      </c>
      <c r="R613" s="59">
        <f>Survey!$P613+(Survey!$Q613*0.433)</f>
        <v>2027.1057694509909</v>
      </c>
    </row>
    <row r="614" spans="1:18" x14ac:dyDescent="0.25">
      <c r="A614" s="71" t="s">
        <v>17</v>
      </c>
      <c r="B614" s="72" t="s">
        <v>18</v>
      </c>
      <c r="C614" s="73" t="s">
        <v>19</v>
      </c>
      <c r="D614" s="74">
        <v>231.64531848343185</v>
      </c>
      <c r="E614" s="81">
        <v>1251369</v>
      </c>
      <c r="F614" s="82">
        <v>1224094.7226890754</v>
      </c>
      <c r="G614" s="75">
        <v>2363.7701206905454</v>
      </c>
      <c r="H614" s="76">
        <v>2</v>
      </c>
      <c r="I614" s="54" t="s">
        <v>20</v>
      </c>
      <c r="J614" s="77">
        <v>40</v>
      </c>
      <c r="K614" s="78">
        <v>2</v>
      </c>
      <c r="L614" s="54">
        <v>1</v>
      </c>
      <c r="M614" s="54">
        <f>_xlfn.XLOOKUP(Survey!$F614,sections[Start],sections[Test Section],,-1,1)</f>
        <v>2</v>
      </c>
      <c r="N614" s="55">
        <f>_xlfn.XLOOKUP(Survey!$K614,pipedata[ID],pipedata[WT])</f>
        <v>0.74</v>
      </c>
      <c r="O614" s="56">
        <f>_xlfn.XLOOKUP(Survey!$K614,pipedata[ID],pipedata[104%])</f>
        <v>2565.3333333333335</v>
      </c>
      <c r="P614" s="57">
        <f t="shared" si="9"/>
        <v>1850</v>
      </c>
      <c r="Q614" s="58">
        <f>_xlfn.MAXIFS(Survey!$G$2:$G$3647,Survey!$M$2:$M$3647,Survey!$M614)-Survey!$G614</f>
        <v>399.89612351119695</v>
      </c>
      <c r="R614" s="59">
        <f>Survey!$P614+(Survey!$Q614*0.433)</f>
        <v>2023.1550214803483</v>
      </c>
    </row>
    <row r="615" spans="1:18" x14ac:dyDescent="0.25">
      <c r="A615" s="60" t="s">
        <v>17</v>
      </c>
      <c r="B615" s="61" t="s">
        <v>18</v>
      </c>
      <c r="C615" s="62" t="s">
        <v>19</v>
      </c>
      <c r="D615" s="63">
        <v>231.65239111888121</v>
      </c>
      <c r="E615" s="79">
        <v>1251409</v>
      </c>
      <c r="F615" s="80">
        <v>1224133.1134453779</v>
      </c>
      <c r="G615" s="66">
        <v>2374.3428411308528</v>
      </c>
      <c r="H615" s="67">
        <v>2</v>
      </c>
      <c r="I615" s="68" t="s">
        <v>20</v>
      </c>
      <c r="J615" s="69">
        <v>40</v>
      </c>
      <c r="K615" s="70">
        <v>2</v>
      </c>
      <c r="L615" s="68">
        <v>1</v>
      </c>
      <c r="M615" s="68">
        <f>_xlfn.XLOOKUP(Survey!$F615,sections[Start],sections[Test Section],,-1,1)</f>
        <v>2</v>
      </c>
      <c r="N615" s="55">
        <f>_xlfn.XLOOKUP(Survey!$K615,pipedata[ID],pipedata[WT])</f>
        <v>0.74</v>
      </c>
      <c r="O615" s="56">
        <f>_xlfn.XLOOKUP(Survey!$K615,pipedata[ID],pipedata[104%])</f>
        <v>2565.3333333333335</v>
      </c>
      <c r="P615" s="57">
        <f t="shared" si="9"/>
        <v>1850</v>
      </c>
      <c r="Q615" s="58">
        <f>_xlfn.MAXIFS(Survey!$G$2:$G$3647,Survey!$M$2:$M$3647,Survey!$M615)-Survey!$G615</f>
        <v>389.32340307088953</v>
      </c>
      <c r="R615" s="59">
        <f>Survey!$P615+(Survey!$Q615*0.433)</f>
        <v>2018.5770335296952</v>
      </c>
    </row>
    <row r="616" spans="1:18" x14ac:dyDescent="0.25">
      <c r="A616" s="71" t="s">
        <v>17</v>
      </c>
      <c r="B616" s="72" t="s">
        <v>18</v>
      </c>
      <c r="C616" s="73" t="s">
        <v>19</v>
      </c>
      <c r="D616" s="74">
        <v>231.66015036865932</v>
      </c>
      <c r="E616" s="81">
        <v>1251449</v>
      </c>
      <c r="F616" s="82">
        <v>1224171.5042016804</v>
      </c>
      <c r="G616" s="75">
        <v>2382.6620393527996</v>
      </c>
      <c r="H616" s="76">
        <v>2</v>
      </c>
      <c r="I616" s="54" t="s">
        <v>20</v>
      </c>
      <c r="J616" s="77">
        <v>40</v>
      </c>
      <c r="K616" s="78">
        <v>2</v>
      </c>
      <c r="L616" s="54">
        <v>1</v>
      </c>
      <c r="M616" s="54">
        <f>_xlfn.XLOOKUP(Survey!$F616,sections[Start],sections[Test Section],,-1,1)</f>
        <v>2</v>
      </c>
      <c r="N616" s="55">
        <f>_xlfn.XLOOKUP(Survey!$K616,pipedata[ID],pipedata[WT])</f>
        <v>0.74</v>
      </c>
      <c r="O616" s="56">
        <f>_xlfn.XLOOKUP(Survey!$K616,pipedata[ID],pipedata[104%])</f>
        <v>2565.3333333333335</v>
      </c>
      <c r="P616" s="57">
        <f t="shared" si="9"/>
        <v>1850</v>
      </c>
      <c r="Q616" s="58">
        <f>_xlfn.MAXIFS(Survey!$G$2:$G$3647,Survey!$M$2:$M$3647,Survey!$M616)-Survey!$G616</f>
        <v>381.00420484894266</v>
      </c>
      <c r="R616" s="59">
        <f>Survey!$P616+(Survey!$Q616*0.433)</f>
        <v>2014.9748206995921</v>
      </c>
    </row>
    <row r="617" spans="1:18" x14ac:dyDescent="0.25">
      <c r="A617" s="60" t="s">
        <v>17</v>
      </c>
      <c r="B617" s="61" t="s">
        <v>18</v>
      </c>
      <c r="C617" s="62" t="s">
        <v>19</v>
      </c>
      <c r="D617" s="63">
        <v>231.66708905704877</v>
      </c>
      <c r="E617" s="79">
        <v>1251489</v>
      </c>
      <c r="F617" s="80">
        <v>1224209.8949579829</v>
      </c>
      <c r="G617" s="66">
        <v>2383.0740894766291</v>
      </c>
      <c r="H617" s="67">
        <v>2</v>
      </c>
      <c r="I617" s="68" t="s">
        <v>20</v>
      </c>
      <c r="J617" s="69">
        <v>40</v>
      </c>
      <c r="K617" s="70">
        <v>2</v>
      </c>
      <c r="L617" s="68">
        <v>1</v>
      </c>
      <c r="M617" s="68">
        <f>_xlfn.XLOOKUP(Survey!$F617,sections[Start],sections[Test Section],,-1,1)</f>
        <v>2</v>
      </c>
      <c r="N617" s="55">
        <f>_xlfn.XLOOKUP(Survey!$K617,pipedata[ID],pipedata[WT])</f>
        <v>0.74</v>
      </c>
      <c r="O617" s="56">
        <f>_xlfn.XLOOKUP(Survey!$K617,pipedata[ID],pipedata[104%])</f>
        <v>2565.3333333333335</v>
      </c>
      <c r="P617" s="57">
        <f t="shared" si="9"/>
        <v>1850</v>
      </c>
      <c r="Q617" s="58">
        <f>_xlfn.MAXIFS(Survey!$G$2:$G$3647,Survey!$M$2:$M$3647,Survey!$M617)-Survey!$G617</f>
        <v>380.59215472511323</v>
      </c>
      <c r="R617" s="59">
        <f>Survey!$P617+(Survey!$Q617*0.433)</f>
        <v>2014.7964029959739</v>
      </c>
    </row>
    <row r="618" spans="1:18" x14ac:dyDescent="0.25">
      <c r="A618" s="71" t="s">
        <v>17</v>
      </c>
      <c r="B618" s="72" t="s">
        <v>18</v>
      </c>
      <c r="C618" s="73" t="s">
        <v>19</v>
      </c>
      <c r="D618" s="74">
        <v>231.67494397895149</v>
      </c>
      <c r="E618" s="81">
        <v>1251529</v>
      </c>
      <c r="F618" s="82">
        <v>1224248.2857142854</v>
      </c>
      <c r="G618" s="75">
        <v>2379.0963130548485</v>
      </c>
      <c r="H618" s="76">
        <v>2</v>
      </c>
      <c r="I618" s="54" t="s">
        <v>20</v>
      </c>
      <c r="J618" s="77">
        <v>40</v>
      </c>
      <c r="K618" s="78">
        <v>2</v>
      </c>
      <c r="L618" s="54">
        <v>1</v>
      </c>
      <c r="M618" s="54">
        <f>_xlfn.XLOOKUP(Survey!$F618,sections[Start],sections[Test Section],,-1,1)</f>
        <v>2</v>
      </c>
      <c r="N618" s="55">
        <f>_xlfn.XLOOKUP(Survey!$K618,pipedata[ID],pipedata[WT])</f>
        <v>0.74</v>
      </c>
      <c r="O618" s="56">
        <f>_xlfn.XLOOKUP(Survey!$K618,pipedata[ID],pipedata[104%])</f>
        <v>2565.3333333333335</v>
      </c>
      <c r="P618" s="57">
        <f t="shared" si="9"/>
        <v>1850</v>
      </c>
      <c r="Q618" s="58">
        <f>_xlfn.MAXIFS(Survey!$G$2:$G$3647,Survey!$M$2:$M$3647,Survey!$M618)-Survey!$G618</f>
        <v>384.56993114689385</v>
      </c>
      <c r="R618" s="59">
        <f>Survey!$P618+(Survey!$Q618*0.433)</f>
        <v>2016.518780186605</v>
      </c>
    </row>
    <row r="619" spans="1:18" x14ac:dyDescent="0.25">
      <c r="A619" s="60" t="s">
        <v>17</v>
      </c>
      <c r="B619" s="61" t="s">
        <v>18</v>
      </c>
      <c r="C619" s="62" t="s">
        <v>19</v>
      </c>
      <c r="D619" s="63">
        <v>231.68249089734402</v>
      </c>
      <c r="E619" s="79">
        <v>1251569</v>
      </c>
      <c r="F619" s="80">
        <v>1224286.676470588</v>
      </c>
      <c r="G619" s="66">
        <v>2373.5945300116464</v>
      </c>
      <c r="H619" s="67">
        <v>2</v>
      </c>
      <c r="I619" s="68" t="s">
        <v>20</v>
      </c>
      <c r="J619" s="69">
        <v>40</v>
      </c>
      <c r="K619" s="70">
        <v>2</v>
      </c>
      <c r="L619" s="68">
        <v>1</v>
      </c>
      <c r="M619" s="68">
        <f>_xlfn.XLOOKUP(Survey!$F619,sections[Start],sections[Test Section],,-1,1)</f>
        <v>2</v>
      </c>
      <c r="N619" s="55">
        <f>_xlfn.XLOOKUP(Survey!$K619,pipedata[ID],pipedata[WT])</f>
        <v>0.74</v>
      </c>
      <c r="O619" s="56">
        <f>_xlfn.XLOOKUP(Survey!$K619,pipedata[ID],pipedata[104%])</f>
        <v>2565.3333333333335</v>
      </c>
      <c r="P619" s="57">
        <f t="shared" si="9"/>
        <v>1850</v>
      </c>
      <c r="Q619" s="58">
        <f>_xlfn.MAXIFS(Survey!$G$2:$G$3647,Survey!$M$2:$M$3647,Survey!$M619)-Survey!$G619</f>
        <v>390.07171419009592</v>
      </c>
      <c r="R619" s="59">
        <f>Survey!$P619+(Survey!$Q619*0.433)</f>
        <v>2018.9010522443116</v>
      </c>
    </row>
    <row r="620" spans="1:18" x14ac:dyDescent="0.25">
      <c r="A620" s="71" t="s">
        <v>17</v>
      </c>
      <c r="B620" s="72" t="s">
        <v>18</v>
      </c>
      <c r="C620" s="73" t="s">
        <v>19</v>
      </c>
      <c r="D620" s="74">
        <v>231.68988753292331</v>
      </c>
      <c r="E620" s="81">
        <v>1251609</v>
      </c>
      <c r="F620" s="82">
        <v>1224325.0672268905</v>
      </c>
      <c r="G620" s="75">
        <v>2371.8077182985608</v>
      </c>
      <c r="H620" s="76">
        <v>2</v>
      </c>
      <c r="I620" s="54" t="s">
        <v>20</v>
      </c>
      <c r="J620" s="77">
        <v>40</v>
      </c>
      <c r="K620" s="78">
        <v>2</v>
      </c>
      <c r="L620" s="54">
        <v>1</v>
      </c>
      <c r="M620" s="54">
        <f>_xlfn.XLOOKUP(Survey!$F620,sections[Start],sections[Test Section],,-1,1)</f>
        <v>2</v>
      </c>
      <c r="N620" s="55">
        <f>_xlfn.XLOOKUP(Survey!$K620,pipedata[ID],pipedata[WT])</f>
        <v>0.74</v>
      </c>
      <c r="O620" s="56">
        <f>_xlfn.XLOOKUP(Survey!$K620,pipedata[ID],pipedata[104%])</f>
        <v>2565.3333333333335</v>
      </c>
      <c r="P620" s="57">
        <f t="shared" si="9"/>
        <v>1850</v>
      </c>
      <c r="Q620" s="58">
        <f>_xlfn.MAXIFS(Survey!$G$2:$G$3647,Survey!$M$2:$M$3647,Survey!$M620)-Survey!$G620</f>
        <v>391.85852590318154</v>
      </c>
      <c r="R620" s="59">
        <f>Survey!$P620+(Survey!$Q620*0.433)</f>
        <v>2019.6747417160777</v>
      </c>
    </row>
    <row r="621" spans="1:18" x14ac:dyDescent="0.25">
      <c r="A621" s="60" t="s">
        <v>17</v>
      </c>
      <c r="B621" s="61" t="s">
        <v>18</v>
      </c>
      <c r="C621" s="62" t="s">
        <v>19</v>
      </c>
      <c r="D621" s="63">
        <v>231.69673559311477</v>
      </c>
      <c r="E621" s="79">
        <v>1251649</v>
      </c>
      <c r="F621" s="80">
        <v>1224363.457983193</v>
      </c>
      <c r="G621" s="66">
        <v>2373.0821763009076</v>
      </c>
      <c r="H621" s="67">
        <v>2</v>
      </c>
      <c r="I621" s="68" t="s">
        <v>20</v>
      </c>
      <c r="J621" s="69">
        <v>40</v>
      </c>
      <c r="K621" s="70">
        <v>2</v>
      </c>
      <c r="L621" s="68">
        <v>1</v>
      </c>
      <c r="M621" s="68">
        <f>_xlfn.XLOOKUP(Survey!$F621,sections[Start],sections[Test Section],,-1,1)</f>
        <v>2</v>
      </c>
      <c r="N621" s="55">
        <f>_xlfn.XLOOKUP(Survey!$K621,pipedata[ID],pipedata[WT])</f>
        <v>0.74</v>
      </c>
      <c r="O621" s="56">
        <f>_xlfn.XLOOKUP(Survey!$K621,pipedata[ID],pipedata[104%])</f>
        <v>2565.3333333333335</v>
      </c>
      <c r="P621" s="57">
        <f t="shared" si="9"/>
        <v>1850</v>
      </c>
      <c r="Q621" s="58">
        <f>_xlfn.MAXIFS(Survey!$G$2:$G$3647,Survey!$M$2:$M$3647,Survey!$M621)-Survey!$G621</f>
        <v>390.58406790083473</v>
      </c>
      <c r="R621" s="59">
        <f>Survey!$P621+(Survey!$Q621*0.433)</f>
        <v>2019.1229014010614</v>
      </c>
    </row>
    <row r="622" spans="1:18" x14ac:dyDescent="0.25">
      <c r="A622" s="71" t="s">
        <v>17</v>
      </c>
      <c r="B622" s="72" t="s">
        <v>18</v>
      </c>
      <c r="C622" s="73" t="s">
        <v>19</v>
      </c>
      <c r="D622" s="74">
        <v>231.70526165038328</v>
      </c>
      <c r="E622" s="81">
        <v>1251689</v>
      </c>
      <c r="F622" s="82">
        <v>1224401.8487394955</v>
      </c>
      <c r="G622" s="75">
        <v>2376.0991379997618</v>
      </c>
      <c r="H622" s="76">
        <v>2</v>
      </c>
      <c r="I622" s="54" t="s">
        <v>20</v>
      </c>
      <c r="J622" s="77">
        <v>40</v>
      </c>
      <c r="K622" s="78">
        <v>2</v>
      </c>
      <c r="L622" s="54">
        <v>1</v>
      </c>
      <c r="M622" s="54">
        <f>_xlfn.XLOOKUP(Survey!$F622,sections[Start],sections[Test Section],,-1,1)</f>
        <v>2</v>
      </c>
      <c r="N622" s="55">
        <f>_xlfn.XLOOKUP(Survey!$K622,pipedata[ID],pipedata[WT])</f>
        <v>0.74</v>
      </c>
      <c r="O622" s="56">
        <f>_xlfn.XLOOKUP(Survey!$K622,pipedata[ID],pipedata[104%])</f>
        <v>2565.3333333333335</v>
      </c>
      <c r="P622" s="57">
        <f t="shared" si="9"/>
        <v>1850</v>
      </c>
      <c r="Q622" s="58">
        <f>_xlfn.MAXIFS(Survey!$G$2:$G$3647,Survey!$M$2:$M$3647,Survey!$M622)-Survey!$G622</f>
        <v>387.56710620198055</v>
      </c>
      <c r="R622" s="59">
        <f>Survey!$P622+(Survey!$Q622*0.433)</f>
        <v>2017.8165569854575</v>
      </c>
    </row>
    <row r="623" spans="1:18" x14ac:dyDescent="0.25">
      <c r="A623" s="60" t="s">
        <v>17</v>
      </c>
      <c r="B623" s="61" t="s">
        <v>18</v>
      </c>
      <c r="C623" s="62" t="s">
        <v>19</v>
      </c>
      <c r="D623" s="63">
        <v>231.7128431822839</v>
      </c>
      <c r="E623" s="79">
        <v>1251729</v>
      </c>
      <c r="F623" s="80">
        <v>1224440.239495798</v>
      </c>
      <c r="G623" s="66">
        <v>2382.9800375985351</v>
      </c>
      <c r="H623" s="67">
        <v>2</v>
      </c>
      <c r="I623" s="68" t="s">
        <v>20</v>
      </c>
      <c r="J623" s="69">
        <v>40</v>
      </c>
      <c r="K623" s="70">
        <v>2</v>
      </c>
      <c r="L623" s="68">
        <v>1</v>
      </c>
      <c r="M623" s="68">
        <f>_xlfn.XLOOKUP(Survey!$F623,sections[Start],sections[Test Section],,-1,1)</f>
        <v>2</v>
      </c>
      <c r="N623" s="55">
        <f>_xlfn.XLOOKUP(Survey!$K623,pipedata[ID],pipedata[WT])</f>
        <v>0.74</v>
      </c>
      <c r="O623" s="56">
        <f>_xlfn.XLOOKUP(Survey!$K623,pipedata[ID],pipedata[104%])</f>
        <v>2565.3333333333335</v>
      </c>
      <c r="P623" s="57">
        <f t="shared" si="9"/>
        <v>1850</v>
      </c>
      <c r="Q623" s="58">
        <f>_xlfn.MAXIFS(Survey!$G$2:$G$3647,Survey!$M$2:$M$3647,Survey!$M623)-Survey!$G623</f>
        <v>380.68620660320721</v>
      </c>
      <c r="R623" s="59">
        <f>Survey!$P623+(Survey!$Q623*0.433)</f>
        <v>2014.8371274591887</v>
      </c>
    </row>
    <row r="624" spans="1:18" x14ac:dyDescent="0.25">
      <c r="A624" s="71" t="s">
        <v>17</v>
      </c>
      <c r="B624" s="72" t="s">
        <v>18</v>
      </c>
      <c r="C624" s="73" t="s">
        <v>19</v>
      </c>
      <c r="D624" s="74">
        <v>231.7195682095454</v>
      </c>
      <c r="E624" s="81">
        <v>1251769</v>
      </c>
      <c r="F624" s="82">
        <v>1224478.6302521005</v>
      </c>
      <c r="G624" s="75">
        <v>2386.8869036859951</v>
      </c>
      <c r="H624" s="76">
        <v>2</v>
      </c>
      <c r="I624" s="54" t="s">
        <v>20</v>
      </c>
      <c r="J624" s="77">
        <v>40</v>
      </c>
      <c r="K624" s="78">
        <v>2</v>
      </c>
      <c r="L624" s="54">
        <v>1</v>
      </c>
      <c r="M624" s="54">
        <f>_xlfn.XLOOKUP(Survey!$F624,sections[Start],sections[Test Section],,-1,1)</f>
        <v>2</v>
      </c>
      <c r="N624" s="55">
        <f>_xlfn.XLOOKUP(Survey!$K624,pipedata[ID],pipedata[WT])</f>
        <v>0.74</v>
      </c>
      <c r="O624" s="56">
        <f>_xlfn.XLOOKUP(Survey!$K624,pipedata[ID],pipedata[104%])</f>
        <v>2565.3333333333335</v>
      </c>
      <c r="P624" s="57">
        <f t="shared" si="9"/>
        <v>1850</v>
      </c>
      <c r="Q624" s="58">
        <f>_xlfn.MAXIFS(Survey!$G$2:$G$3647,Survey!$M$2:$M$3647,Survey!$M624)-Survey!$G624</f>
        <v>376.77934051574721</v>
      </c>
      <c r="R624" s="59">
        <f>Survey!$P624+(Survey!$Q624*0.433)</f>
        <v>2013.1454544433186</v>
      </c>
    </row>
    <row r="625" spans="1:18" x14ac:dyDescent="0.25">
      <c r="A625" s="60" t="s">
        <v>17</v>
      </c>
      <c r="B625" s="61" t="s">
        <v>18</v>
      </c>
      <c r="C625" s="62" t="s">
        <v>19</v>
      </c>
      <c r="D625" s="63">
        <v>231.72737448747714</v>
      </c>
      <c r="E625" s="79">
        <v>1251809</v>
      </c>
      <c r="F625" s="80">
        <v>1224517.021008403</v>
      </c>
      <c r="G625" s="66">
        <v>2387.0034696475063</v>
      </c>
      <c r="H625" s="67">
        <v>2</v>
      </c>
      <c r="I625" s="68" t="s">
        <v>20</v>
      </c>
      <c r="J625" s="69">
        <v>40</v>
      </c>
      <c r="K625" s="70">
        <v>2</v>
      </c>
      <c r="L625" s="68">
        <v>1</v>
      </c>
      <c r="M625" s="68">
        <f>_xlfn.XLOOKUP(Survey!$F625,sections[Start],sections[Test Section],,-1,1)</f>
        <v>2</v>
      </c>
      <c r="N625" s="55">
        <f>_xlfn.XLOOKUP(Survey!$K625,pipedata[ID],pipedata[WT])</f>
        <v>0.74</v>
      </c>
      <c r="O625" s="56">
        <f>_xlfn.XLOOKUP(Survey!$K625,pipedata[ID],pipedata[104%])</f>
        <v>2565.3333333333335</v>
      </c>
      <c r="P625" s="57">
        <f t="shared" si="9"/>
        <v>1850</v>
      </c>
      <c r="Q625" s="58">
        <f>_xlfn.MAXIFS(Survey!$G$2:$G$3647,Survey!$M$2:$M$3647,Survey!$M625)-Survey!$G625</f>
        <v>376.66277455423597</v>
      </c>
      <c r="R625" s="59">
        <f>Survey!$P625+(Survey!$Q625*0.433)</f>
        <v>2013.0949813819841</v>
      </c>
    </row>
    <row r="626" spans="1:18" x14ac:dyDescent="0.25">
      <c r="A626" s="71" t="s">
        <v>17</v>
      </c>
      <c r="B626" s="72" t="s">
        <v>18</v>
      </c>
      <c r="C626" s="73" t="s">
        <v>19</v>
      </c>
      <c r="D626" s="74">
        <v>231.73542141835961</v>
      </c>
      <c r="E626" s="81">
        <v>1251849</v>
      </c>
      <c r="F626" s="82">
        <v>1224555.4117647056</v>
      </c>
      <c r="G626" s="75">
        <v>2384.7592716389768</v>
      </c>
      <c r="H626" s="76">
        <v>2</v>
      </c>
      <c r="I626" s="54" t="s">
        <v>20</v>
      </c>
      <c r="J626" s="77">
        <v>40</v>
      </c>
      <c r="K626" s="78">
        <v>2</v>
      </c>
      <c r="L626" s="54">
        <v>1</v>
      </c>
      <c r="M626" s="54">
        <f>_xlfn.XLOOKUP(Survey!$F626,sections[Start],sections[Test Section],,-1,1)</f>
        <v>2</v>
      </c>
      <c r="N626" s="55">
        <f>_xlfn.XLOOKUP(Survey!$K626,pipedata[ID],pipedata[WT])</f>
        <v>0.74</v>
      </c>
      <c r="O626" s="56">
        <f>_xlfn.XLOOKUP(Survey!$K626,pipedata[ID],pipedata[104%])</f>
        <v>2565.3333333333335</v>
      </c>
      <c r="P626" s="57">
        <f t="shared" si="9"/>
        <v>1850</v>
      </c>
      <c r="Q626" s="58">
        <f>_xlfn.MAXIFS(Survey!$G$2:$G$3647,Survey!$M$2:$M$3647,Survey!$M626)-Survey!$G626</f>
        <v>378.90697256276553</v>
      </c>
      <c r="R626" s="59">
        <f>Survey!$P626+(Survey!$Q626*0.433)</f>
        <v>2014.0667191196776</v>
      </c>
    </row>
    <row r="627" spans="1:18" x14ac:dyDescent="0.25">
      <c r="A627" s="60" t="s">
        <v>17</v>
      </c>
      <c r="B627" s="61" t="s">
        <v>18</v>
      </c>
      <c r="C627" s="62" t="s">
        <v>19</v>
      </c>
      <c r="D627" s="63">
        <v>231.74294399868879</v>
      </c>
      <c r="E627" s="79">
        <v>1251889</v>
      </c>
      <c r="F627" s="80">
        <v>1224593.8025210081</v>
      </c>
      <c r="G627" s="66">
        <v>2383.3113026799856</v>
      </c>
      <c r="H627" s="67">
        <v>2</v>
      </c>
      <c r="I627" s="68" t="s">
        <v>20</v>
      </c>
      <c r="J627" s="69">
        <v>40</v>
      </c>
      <c r="K627" s="70">
        <v>2</v>
      </c>
      <c r="L627" s="68">
        <v>1</v>
      </c>
      <c r="M627" s="68">
        <f>_xlfn.XLOOKUP(Survey!$F627,sections[Start],sections[Test Section],,-1,1)</f>
        <v>2</v>
      </c>
      <c r="N627" s="55">
        <f>_xlfn.XLOOKUP(Survey!$K627,pipedata[ID],pipedata[WT])</f>
        <v>0.74</v>
      </c>
      <c r="O627" s="56">
        <f>_xlfn.XLOOKUP(Survey!$K627,pipedata[ID],pipedata[104%])</f>
        <v>2565.3333333333335</v>
      </c>
      <c r="P627" s="57">
        <f t="shared" si="9"/>
        <v>1850</v>
      </c>
      <c r="Q627" s="58">
        <f>_xlfn.MAXIFS(Survey!$G$2:$G$3647,Survey!$M$2:$M$3647,Survey!$M627)-Survey!$G627</f>
        <v>380.3549415217567</v>
      </c>
      <c r="R627" s="59">
        <f>Survey!$P627+(Survey!$Q627*0.433)</f>
        <v>2014.6936896789207</v>
      </c>
    </row>
    <row r="628" spans="1:18" x14ac:dyDescent="0.25">
      <c r="A628" s="71" t="s">
        <v>17</v>
      </c>
      <c r="B628" s="72" t="s">
        <v>18</v>
      </c>
      <c r="C628" s="73" t="s">
        <v>19</v>
      </c>
      <c r="D628" s="74">
        <v>231.75035025193696</v>
      </c>
      <c r="E628" s="81">
        <v>1251929</v>
      </c>
      <c r="F628" s="82">
        <v>1224632.1932773106</v>
      </c>
      <c r="G628" s="75">
        <v>2384.3770876699036</v>
      </c>
      <c r="H628" s="76">
        <v>2</v>
      </c>
      <c r="I628" s="54" t="s">
        <v>20</v>
      </c>
      <c r="J628" s="77">
        <v>40</v>
      </c>
      <c r="K628" s="78">
        <v>2</v>
      </c>
      <c r="L628" s="54">
        <v>1</v>
      </c>
      <c r="M628" s="54">
        <f>_xlfn.XLOOKUP(Survey!$F628,sections[Start],sections[Test Section],,-1,1)</f>
        <v>2</v>
      </c>
      <c r="N628" s="55">
        <f>_xlfn.XLOOKUP(Survey!$K628,pipedata[ID],pipedata[WT])</f>
        <v>0.74</v>
      </c>
      <c r="O628" s="56">
        <f>_xlfn.XLOOKUP(Survey!$K628,pipedata[ID],pipedata[104%])</f>
        <v>2565.3333333333335</v>
      </c>
      <c r="P628" s="57">
        <f t="shared" si="9"/>
        <v>1850</v>
      </c>
      <c r="Q628" s="58">
        <f>_xlfn.MAXIFS(Survey!$G$2:$G$3647,Survey!$M$2:$M$3647,Survey!$M628)-Survey!$G628</f>
        <v>379.28915653183867</v>
      </c>
      <c r="R628" s="59">
        <f>Survey!$P628+(Survey!$Q628*0.433)</f>
        <v>2014.2322047782861</v>
      </c>
    </row>
    <row r="629" spans="1:18" x14ac:dyDescent="0.25">
      <c r="A629" s="60" t="s">
        <v>17</v>
      </c>
      <c r="B629" s="61" t="s">
        <v>18</v>
      </c>
      <c r="C629" s="62" t="s">
        <v>19</v>
      </c>
      <c r="D629" s="63">
        <v>231.75775650518489</v>
      </c>
      <c r="E629" s="79">
        <v>1251969</v>
      </c>
      <c r="F629" s="80">
        <v>1224670.5840336131</v>
      </c>
      <c r="G629" s="66">
        <v>2388.6141664761712</v>
      </c>
      <c r="H629" s="67">
        <v>2</v>
      </c>
      <c r="I629" s="68" t="s">
        <v>20</v>
      </c>
      <c r="J629" s="69">
        <v>40</v>
      </c>
      <c r="K629" s="70">
        <v>2</v>
      </c>
      <c r="L629" s="68">
        <v>1</v>
      </c>
      <c r="M629" s="68">
        <f>_xlfn.XLOOKUP(Survey!$F629,sections[Start],sections[Test Section],,-1,1)</f>
        <v>2</v>
      </c>
      <c r="N629" s="55">
        <f>_xlfn.XLOOKUP(Survey!$K629,pipedata[ID],pipedata[WT])</f>
        <v>0.74</v>
      </c>
      <c r="O629" s="56">
        <f>_xlfn.XLOOKUP(Survey!$K629,pipedata[ID],pipedata[104%])</f>
        <v>2565.3333333333335</v>
      </c>
      <c r="P629" s="57">
        <f t="shared" si="9"/>
        <v>1850</v>
      </c>
      <c r="Q629" s="58">
        <f>_xlfn.MAXIFS(Survey!$G$2:$G$3647,Survey!$M$2:$M$3647,Survey!$M629)-Survey!$G629</f>
        <v>375.05207772557105</v>
      </c>
      <c r="R629" s="59">
        <f>Survey!$P629+(Survey!$Q629*0.433)</f>
        <v>2012.3975496551723</v>
      </c>
    </row>
    <row r="630" spans="1:18" x14ac:dyDescent="0.25">
      <c r="A630" s="71" t="s">
        <v>17</v>
      </c>
      <c r="B630" s="72" t="s">
        <v>18</v>
      </c>
      <c r="C630" s="73" t="s">
        <v>19</v>
      </c>
      <c r="D630" s="74">
        <v>231.76559740916861</v>
      </c>
      <c r="E630" s="81">
        <v>1252009</v>
      </c>
      <c r="F630" s="82">
        <v>1224708.9747899156</v>
      </c>
      <c r="G630" s="75">
        <v>2396.2206224272381</v>
      </c>
      <c r="H630" s="76">
        <v>2</v>
      </c>
      <c r="I630" s="54" t="s">
        <v>20</v>
      </c>
      <c r="J630" s="77">
        <v>40</v>
      </c>
      <c r="K630" s="78">
        <v>2</v>
      </c>
      <c r="L630" s="54">
        <v>1</v>
      </c>
      <c r="M630" s="54">
        <f>_xlfn.XLOOKUP(Survey!$F630,sections[Start],sections[Test Section],,-1,1)</f>
        <v>2</v>
      </c>
      <c r="N630" s="55">
        <f>_xlfn.XLOOKUP(Survey!$K630,pipedata[ID],pipedata[WT])</f>
        <v>0.74</v>
      </c>
      <c r="O630" s="56">
        <f>_xlfn.XLOOKUP(Survey!$K630,pipedata[ID],pipedata[104%])</f>
        <v>2565.3333333333335</v>
      </c>
      <c r="P630" s="57">
        <f t="shared" si="9"/>
        <v>1850</v>
      </c>
      <c r="Q630" s="58">
        <f>_xlfn.MAXIFS(Survey!$G$2:$G$3647,Survey!$M$2:$M$3647,Survey!$M630)-Survey!$G630</f>
        <v>367.44562177450416</v>
      </c>
      <c r="R630" s="59">
        <f>Survey!$P630+(Survey!$Q630*0.433)</f>
        <v>2009.1039542283602</v>
      </c>
    </row>
    <row r="631" spans="1:18" x14ac:dyDescent="0.25">
      <c r="A631" s="60" t="s">
        <v>17</v>
      </c>
      <c r="B631" s="61" t="s">
        <v>18</v>
      </c>
      <c r="C631" s="62" t="s">
        <v>19</v>
      </c>
      <c r="D631" s="63">
        <v>231.77291213912804</v>
      </c>
      <c r="E631" s="79">
        <v>1252049</v>
      </c>
      <c r="F631" s="80">
        <v>1224747.3655462181</v>
      </c>
      <c r="G631" s="66">
        <v>2402.068906996798</v>
      </c>
      <c r="H631" s="67">
        <v>2</v>
      </c>
      <c r="I631" s="68" t="s">
        <v>20</v>
      </c>
      <c r="J631" s="69">
        <v>40</v>
      </c>
      <c r="K631" s="70">
        <v>2</v>
      </c>
      <c r="L631" s="68">
        <v>1</v>
      </c>
      <c r="M631" s="68">
        <f>_xlfn.XLOOKUP(Survey!$F631,sections[Start],sections[Test Section],,-1,1)</f>
        <v>2</v>
      </c>
      <c r="N631" s="55">
        <f>_xlfn.XLOOKUP(Survey!$K631,pipedata[ID],pipedata[WT])</f>
        <v>0.74</v>
      </c>
      <c r="O631" s="56">
        <f>_xlfn.XLOOKUP(Survey!$K631,pipedata[ID],pipedata[104%])</f>
        <v>2565.3333333333335</v>
      </c>
      <c r="P631" s="57">
        <f t="shared" si="9"/>
        <v>1850</v>
      </c>
      <c r="Q631" s="58">
        <f>_xlfn.MAXIFS(Survey!$G$2:$G$3647,Survey!$M$2:$M$3647,Survey!$M631)-Survey!$G631</f>
        <v>361.59733720494432</v>
      </c>
      <c r="R631" s="59">
        <f>Survey!$P631+(Survey!$Q631*0.433)</f>
        <v>2006.5716470097409</v>
      </c>
    </row>
    <row r="632" spans="1:18" x14ac:dyDescent="0.25">
      <c r="A632" s="71" t="s">
        <v>17</v>
      </c>
      <c r="B632" s="72" t="s">
        <v>18</v>
      </c>
      <c r="C632" s="73" t="s">
        <v>19</v>
      </c>
      <c r="D632" s="74">
        <v>231.78073685435621</v>
      </c>
      <c r="E632" s="81">
        <v>1252089</v>
      </c>
      <c r="F632" s="82">
        <v>1224785.7563025206</v>
      </c>
      <c r="G632" s="75">
        <v>2406.7334411684778</v>
      </c>
      <c r="H632" s="76">
        <v>2</v>
      </c>
      <c r="I632" s="54" t="s">
        <v>20</v>
      </c>
      <c r="J632" s="77">
        <v>40</v>
      </c>
      <c r="K632" s="78">
        <v>2</v>
      </c>
      <c r="L632" s="54">
        <v>1</v>
      </c>
      <c r="M632" s="54">
        <f>_xlfn.XLOOKUP(Survey!$F632,sections[Start],sections[Test Section],,-1,1)</f>
        <v>2</v>
      </c>
      <c r="N632" s="55">
        <f>_xlfn.XLOOKUP(Survey!$K632,pipedata[ID],pipedata[WT])</f>
        <v>0.74</v>
      </c>
      <c r="O632" s="56">
        <f>_xlfn.XLOOKUP(Survey!$K632,pipedata[ID],pipedata[104%])</f>
        <v>2565.3333333333335</v>
      </c>
      <c r="P632" s="57">
        <f t="shared" si="9"/>
        <v>1850</v>
      </c>
      <c r="Q632" s="58">
        <f>_xlfn.MAXIFS(Survey!$G$2:$G$3647,Survey!$M$2:$M$3647,Survey!$M632)-Survey!$G632</f>
        <v>356.93280303326446</v>
      </c>
      <c r="R632" s="59">
        <f>Survey!$P632+(Survey!$Q632*0.433)</f>
        <v>2004.5519037134036</v>
      </c>
    </row>
    <row r="633" spans="1:18" x14ac:dyDescent="0.25">
      <c r="A633" s="60" t="s">
        <v>17</v>
      </c>
      <c r="B633" s="61" t="s">
        <v>18</v>
      </c>
      <c r="C633" s="62" t="s">
        <v>19</v>
      </c>
      <c r="D633" s="63">
        <v>231.78780419469734</v>
      </c>
      <c r="E633" s="79">
        <v>1252129</v>
      </c>
      <c r="F633" s="80">
        <v>1224824.1470588231</v>
      </c>
      <c r="G633" s="66">
        <v>2411.4490042705238</v>
      </c>
      <c r="H633" s="67">
        <v>2</v>
      </c>
      <c r="I633" s="68" t="s">
        <v>20</v>
      </c>
      <c r="J633" s="69">
        <v>40</v>
      </c>
      <c r="K633" s="70">
        <v>2</v>
      </c>
      <c r="L633" s="68">
        <v>1</v>
      </c>
      <c r="M633" s="68">
        <f>_xlfn.XLOOKUP(Survey!$F633,sections[Start],sections[Test Section],,-1,1)</f>
        <v>2</v>
      </c>
      <c r="N633" s="55">
        <f>_xlfn.XLOOKUP(Survey!$K633,pipedata[ID],pipedata[WT])</f>
        <v>0.74</v>
      </c>
      <c r="O633" s="56">
        <f>_xlfn.XLOOKUP(Survey!$K633,pipedata[ID],pipedata[104%])</f>
        <v>2565.3333333333335</v>
      </c>
      <c r="P633" s="57">
        <f t="shared" si="9"/>
        <v>1850</v>
      </c>
      <c r="Q633" s="58">
        <f>_xlfn.MAXIFS(Survey!$G$2:$G$3647,Survey!$M$2:$M$3647,Survey!$M633)-Survey!$G633</f>
        <v>352.2172399312185</v>
      </c>
      <c r="R633" s="59">
        <f>Survey!$P633+(Survey!$Q633*0.433)</f>
        <v>2002.5100648902176</v>
      </c>
    </row>
    <row r="634" spans="1:18" x14ac:dyDescent="0.25">
      <c r="A634" s="71" t="s">
        <v>17</v>
      </c>
      <c r="B634" s="72" t="s">
        <v>18</v>
      </c>
      <c r="C634" s="73" t="s">
        <v>19</v>
      </c>
      <c r="D634" s="74">
        <v>231.79517929222183</v>
      </c>
      <c r="E634" s="81">
        <v>1252169</v>
      </c>
      <c r="F634" s="82">
        <v>1224862.5378151257</v>
      </c>
      <c r="G634" s="75">
        <v>2420.0807149895654</v>
      </c>
      <c r="H634" s="76">
        <v>2</v>
      </c>
      <c r="I634" s="54" t="s">
        <v>20</v>
      </c>
      <c r="J634" s="77">
        <v>40</v>
      </c>
      <c r="K634" s="78">
        <v>2</v>
      </c>
      <c r="L634" s="54">
        <v>1</v>
      </c>
      <c r="M634" s="54">
        <f>_xlfn.XLOOKUP(Survey!$F634,sections[Start],sections[Test Section],,-1,1)</f>
        <v>2</v>
      </c>
      <c r="N634" s="55">
        <f>_xlfn.XLOOKUP(Survey!$K634,pipedata[ID],pipedata[WT])</f>
        <v>0.74</v>
      </c>
      <c r="O634" s="56">
        <f>_xlfn.XLOOKUP(Survey!$K634,pipedata[ID],pipedata[104%])</f>
        <v>2565.3333333333335</v>
      </c>
      <c r="P634" s="57">
        <f t="shared" si="9"/>
        <v>1850</v>
      </c>
      <c r="Q634" s="58">
        <f>_xlfn.MAXIFS(Survey!$G$2:$G$3647,Survey!$M$2:$M$3647,Survey!$M634)-Survey!$G634</f>
        <v>343.58552921217688</v>
      </c>
      <c r="R634" s="59">
        <f>Survey!$P634+(Survey!$Q634*0.433)</f>
        <v>1998.7725341488726</v>
      </c>
    </row>
    <row r="635" spans="1:18" x14ac:dyDescent="0.25">
      <c r="A635" s="60" t="s">
        <v>17</v>
      </c>
      <c r="B635" s="61" t="s">
        <v>18</v>
      </c>
      <c r="C635" s="62" t="s">
        <v>19</v>
      </c>
      <c r="D635" s="63">
        <v>231.80278528566669</v>
      </c>
      <c r="E635" s="79">
        <v>1252209</v>
      </c>
      <c r="F635" s="80">
        <v>1224900.9285714282</v>
      </c>
      <c r="G635" s="66">
        <v>2428.7503984734449</v>
      </c>
      <c r="H635" s="67">
        <v>2</v>
      </c>
      <c r="I635" s="68" t="s">
        <v>20</v>
      </c>
      <c r="J635" s="69">
        <v>40</v>
      </c>
      <c r="K635" s="70">
        <v>2</v>
      </c>
      <c r="L635" s="68">
        <v>1</v>
      </c>
      <c r="M635" s="68">
        <f>_xlfn.XLOOKUP(Survey!$F635,sections[Start],sections[Test Section],,-1,1)</f>
        <v>2</v>
      </c>
      <c r="N635" s="55">
        <f>_xlfn.XLOOKUP(Survey!$K635,pipedata[ID],pipedata[WT])</f>
        <v>0.74</v>
      </c>
      <c r="O635" s="56">
        <f>_xlfn.XLOOKUP(Survey!$K635,pipedata[ID],pipedata[104%])</f>
        <v>2565.3333333333335</v>
      </c>
      <c r="P635" s="57">
        <f t="shared" si="9"/>
        <v>1850</v>
      </c>
      <c r="Q635" s="58">
        <f>_xlfn.MAXIFS(Survey!$G$2:$G$3647,Survey!$M$2:$M$3647,Survey!$M635)-Survey!$G635</f>
        <v>334.91584572829743</v>
      </c>
      <c r="R635" s="59">
        <f>Survey!$P635+(Survey!$Q635*0.433)</f>
        <v>1995.0185612003529</v>
      </c>
    </row>
    <row r="636" spans="1:18" x14ac:dyDescent="0.25">
      <c r="A636" s="71" t="s">
        <v>17</v>
      </c>
      <c r="B636" s="72" t="s">
        <v>18</v>
      </c>
      <c r="C636" s="73" t="s">
        <v>19</v>
      </c>
      <c r="D636" s="74">
        <v>231.81017240432732</v>
      </c>
      <c r="E636" s="81">
        <v>1252249</v>
      </c>
      <c r="F636" s="82">
        <v>1224939.3193277307</v>
      </c>
      <c r="G636" s="75">
        <v>2436.7797799998011</v>
      </c>
      <c r="H636" s="76">
        <v>2</v>
      </c>
      <c r="I636" s="54" t="s">
        <v>20</v>
      </c>
      <c r="J636" s="77">
        <v>40</v>
      </c>
      <c r="K636" s="78">
        <v>2</v>
      </c>
      <c r="L636" s="54">
        <v>1</v>
      </c>
      <c r="M636" s="54">
        <f>_xlfn.XLOOKUP(Survey!$F636,sections[Start],sections[Test Section],,-1,1)</f>
        <v>2</v>
      </c>
      <c r="N636" s="55">
        <f>_xlfn.XLOOKUP(Survey!$K636,pipedata[ID],pipedata[WT])</f>
        <v>0.74</v>
      </c>
      <c r="O636" s="56">
        <f>_xlfn.XLOOKUP(Survey!$K636,pipedata[ID],pipedata[104%])</f>
        <v>2565.3333333333335</v>
      </c>
      <c r="P636" s="57">
        <f t="shared" si="9"/>
        <v>1850</v>
      </c>
      <c r="Q636" s="58">
        <f>_xlfn.MAXIFS(Survey!$G$2:$G$3647,Survey!$M$2:$M$3647,Survey!$M636)-Survey!$G636</f>
        <v>326.88646420194118</v>
      </c>
      <c r="R636" s="59">
        <f>Survey!$P636+(Survey!$Q636*0.433)</f>
        <v>1991.5418389994406</v>
      </c>
    </row>
    <row r="637" spans="1:18" x14ac:dyDescent="0.25">
      <c r="A637" s="60" t="s">
        <v>17</v>
      </c>
      <c r="B637" s="61" t="s">
        <v>18</v>
      </c>
      <c r="C637" s="62" t="s">
        <v>19</v>
      </c>
      <c r="D637" s="63">
        <v>231.81747911553856</v>
      </c>
      <c r="E637" s="79">
        <v>1252289</v>
      </c>
      <c r="F637" s="80">
        <v>1224977.7100840332</v>
      </c>
      <c r="G637" s="66">
        <v>2444.237847680296</v>
      </c>
      <c r="H637" s="67">
        <v>2</v>
      </c>
      <c r="I637" s="68" t="s">
        <v>20</v>
      </c>
      <c r="J637" s="69">
        <v>40</v>
      </c>
      <c r="K637" s="70">
        <v>2</v>
      </c>
      <c r="L637" s="68">
        <v>1</v>
      </c>
      <c r="M637" s="68">
        <f>_xlfn.XLOOKUP(Survey!$F637,sections[Start],sections[Test Section],,-1,1)</f>
        <v>2</v>
      </c>
      <c r="N637" s="55">
        <f>_xlfn.XLOOKUP(Survey!$K637,pipedata[ID],pipedata[WT])</f>
        <v>0.74</v>
      </c>
      <c r="O637" s="56">
        <f>_xlfn.XLOOKUP(Survey!$K637,pipedata[ID],pipedata[104%])</f>
        <v>2565.3333333333335</v>
      </c>
      <c r="P637" s="57">
        <f t="shared" si="9"/>
        <v>1850</v>
      </c>
      <c r="Q637" s="58">
        <f>_xlfn.MAXIFS(Survey!$G$2:$G$3647,Survey!$M$2:$M$3647,Survey!$M637)-Survey!$G637</f>
        <v>319.4283965214463</v>
      </c>
      <c r="R637" s="59">
        <f>Survey!$P637+(Survey!$Q637*0.433)</f>
        <v>1988.3124956937863</v>
      </c>
    </row>
    <row r="638" spans="1:18" x14ac:dyDescent="0.25">
      <c r="A638" s="71" t="s">
        <v>17</v>
      </c>
      <c r="B638" s="72" t="s">
        <v>18</v>
      </c>
      <c r="C638" s="73" t="s">
        <v>19</v>
      </c>
      <c r="D638" s="74">
        <v>231.82441415863798</v>
      </c>
      <c r="E638" s="81">
        <v>1252329</v>
      </c>
      <c r="F638" s="82">
        <v>1225016.1008403357</v>
      </c>
      <c r="G638" s="75">
        <v>2454.9718288190752</v>
      </c>
      <c r="H638" s="76">
        <v>2</v>
      </c>
      <c r="I638" s="54" t="s">
        <v>20</v>
      </c>
      <c r="J638" s="77">
        <v>40</v>
      </c>
      <c r="K638" s="78">
        <v>2</v>
      </c>
      <c r="L638" s="54">
        <v>1</v>
      </c>
      <c r="M638" s="54">
        <f>_xlfn.XLOOKUP(Survey!$F638,sections[Start],sections[Test Section],,-1,1)</f>
        <v>2</v>
      </c>
      <c r="N638" s="55">
        <f>_xlfn.XLOOKUP(Survey!$K638,pipedata[ID],pipedata[WT])</f>
        <v>0.74</v>
      </c>
      <c r="O638" s="56">
        <f>_xlfn.XLOOKUP(Survey!$K638,pipedata[ID],pipedata[104%])</f>
        <v>2565.3333333333335</v>
      </c>
      <c r="P638" s="57">
        <f t="shared" si="9"/>
        <v>1850</v>
      </c>
      <c r="Q638" s="58">
        <f>_xlfn.MAXIFS(Survey!$G$2:$G$3647,Survey!$M$2:$M$3647,Survey!$M638)-Survey!$G638</f>
        <v>308.6944153826671</v>
      </c>
      <c r="R638" s="59">
        <f>Survey!$P638+(Survey!$Q638*0.433)</f>
        <v>1983.6646818606948</v>
      </c>
    </row>
    <row r="639" spans="1:18" x14ac:dyDescent="0.25">
      <c r="A639" s="60" t="s">
        <v>17</v>
      </c>
      <c r="B639" s="61" t="s">
        <v>18</v>
      </c>
      <c r="C639" s="62" t="s">
        <v>19</v>
      </c>
      <c r="D639" s="63">
        <v>231.83192553846797</v>
      </c>
      <c r="E639" s="79">
        <v>1252369</v>
      </c>
      <c r="F639" s="80">
        <v>1225054.4915966382</v>
      </c>
      <c r="G639" s="66">
        <v>2465.2162220437081</v>
      </c>
      <c r="H639" s="67">
        <v>2</v>
      </c>
      <c r="I639" s="68" t="s">
        <v>20</v>
      </c>
      <c r="J639" s="69">
        <v>40</v>
      </c>
      <c r="K639" s="70">
        <v>2</v>
      </c>
      <c r="L639" s="68">
        <v>1</v>
      </c>
      <c r="M639" s="68">
        <f>_xlfn.XLOOKUP(Survey!$F639,sections[Start],sections[Test Section],,-1,1)</f>
        <v>2</v>
      </c>
      <c r="N639" s="55">
        <f>_xlfn.XLOOKUP(Survey!$K639,pipedata[ID],pipedata[WT])</f>
        <v>0.74</v>
      </c>
      <c r="O639" s="56">
        <f>_xlfn.XLOOKUP(Survey!$K639,pipedata[ID],pipedata[104%])</f>
        <v>2565.3333333333335</v>
      </c>
      <c r="P639" s="57">
        <f t="shared" si="9"/>
        <v>1850</v>
      </c>
      <c r="Q639" s="58">
        <f>_xlfn.MAXIFS(Survey!$G$2:$G$3647,Survey!$M$2:$M$3647,Survey!$M639)-Survey!$G639</f>
        <v>298.45002215803424</v>
      </c>
      <c r="R639" s="59">
        <f>Survey!$P639+(Survey!$Q639*0.433)</f>
        <v>1979.2288595944287</v>
      </c>
    </row>
    <row r="640" spans="1:18" x14ac:dyDescent="0.25">
      <c r="A640" s="71" t="s">
        <v>17</v>
      </c>
      <c r="B640" s="72" t="s">
        <v>18</v>
      </c>
      <c r="C640" s="73" t="s">
        <v>19</v>
      </c>
      <c r="D640" s="74">
        <v>231.8386863489323</v>
      </c>
      <c r="E640" s="81">
        <v>1252409</v>
      </c>
      <c r="F640" s="82">
        <v>1225092.8823529407</v>
      </c>
      <c r="G640" s="75">
        <v>2476.627537762467</v>
      </c>
      <c r="H640" s="76">
        <v>2</v>
      </c>
      <c r="I640" s="54" t="s">
        <v>20</v>
      </c>
      <c r="J640" s="77">
        <v>40</v>
      </c>
      <c r="K640" s="78">
        <v>2</v>
      </c>
      <c r="L640" s="54">
        <v>1</v>
      </c>
      <c r="M640" s="54">
        <f>_xlfn.XLOOKUP(Survey!$F640,sections[Start],sections[Test Section],,-1,1)</f>
        <v>2</v>
      </c>
      <c r="N640" s="55">
        <f>_xlfn.XLOOKUP(Survey!$K640,pipedata[ID],pipedata[WT])</f>
        <v>0.74</v>
      </c>
      <c r="O640" s="56">
        <f>_xlfn.XLOOKUP(Survey!$K640,pipedata[ID],pipedata[104%])</f>
        <v>2565.3333333333335</v>
      </c>
      <c r="P640" s="57">
        <f t="shared" si="9"/>
        <v>1850</v>
      </c>
      <c r="Q640" s="58">
        <f>_xlfn.MAXIFS(Survey!$G$2:$G$3647,Survey!$M$2:$M$3647,Survey!$M640)-Survey!$G640</f>
        <v>287.0387064392753</v>
      </c>
      <c r="R640" s="59">
        <f>Survey!$P640+(Survey!$Q640*0.433)</f>
        <v>1974.2877598882062</v>
      </c>
    </row>
    <row r="641" spans="1:18" x14ac:dyDescent="0.25">
      <c r="A641" s="60" t="s">
        <v>17</v>
      </c>
      <c r="B641" s="61" t="s">
        <v>18</v>
      </c>
      <c r="C641" s="62" t="s">
        <v>19</v>
      </c>
      <c r="D641" s="63">
        <v>231.84593063074269</v>
      </c>
      <c r="E641" s="79">
        <v>1252449</v>
      </c>
      <c r="F641" s="80">
        <v>1225131.2731092433</v>
      </c>
      <c r="G641" s="66">
        <v>2490.5688321935454</v>
      </c>
      <c r="H641" s="67">
        <v>2</v>
      </c>
      <c r="I641" s="68" t="s">
        <v>20</v>
      </c>
      <c r="J641" s="69">
        <v>40</v>
      </c>
      <c r="K641" s="70">
        <v>2</v>
      </c>
      <c r="L641" s="68">
        <v>1</v>
      </c>
      <c r="M641" s="68">
        <f>_xlfn.XLOOKUP(Survey!$F641,sections[Start],sections[Test Section],,-1,1)</f>
        <v>2</v>
      </c>
      <c r="N641" s="55">
        <f>_xlfn.XLOOKUP(Survey!$K641,pipedata[ID],pipedata[WT])</f>
        <v>0.74</v>
      </c>
      <c r="O641" s="56">
        <f>_xlfn.XLOOKUP(Survey!$K641,pipedata[ID],pipedata[104%])</f>
        <v>2565.3333333333335</v>
      </c>
      <c r="P641" s="57">
        <f t="shared" si="9"/>
        <v>1850</v>
      </c>
      <c r="Q641" s="58">
        <f>_xlfn.MAXIFS(Survey!$G$2:$G$3647,Survey!$M$2:$M$3647,Survey!$M641)-Survey!$G641</f>
        <v>273.0974120081969</v>
      </c>
      <c r="R641" s="59">
        <f>Survey!$P641+(Survey!$Q641*0.433)</f>
        <v>1968.2511793995493</v>
      </c>
    </row>
    <row r="642" spans="1:18" x14ac:dyDescent="0.25">
      <c r="A642" s="71" t="s">
        <v>17</v>
      </c>
      <c r="B642" s="72" t="s">
        <v>18</v>
      </c>
      <c r="C642" s="73" t="s">
        <v>19</v>
      </c>
      <c r="D642" s="74">
        <v>231.85380157939375</v>
      </c>
      <c r="E642" s="81">
        <v>1252489</v>
      </c>
      <c r="F642" s="82">
        <v>1225169.6638655458</v>
      </c>
      <c r="G642" s="75">
        <v>2501.128021536108</v>
      </c>
      <c r="H642" s="76">
        <v>2</v>
      </c>
      <c r="I642" s="54" t="s">
        <v>20</v>
      </c>
      <c r="J642" s="77">
        <v>40</v>
      </c>
      <c r="K642" s="78">
        <v>2</v>
      </c>
      <c r="L642" s="54">
        <v>1</v>
      </c>
      <c r="M642" s="54">
        <f>_xlfn.XLOOKUP(Survey!$F642,sections[Start],sections[Test Section],,-1,1)</f>
        <v>2</v>
      </c>
      <c r="N642" s="55">
        <f>_xlfn.XLOOKUP(Survey!$K642,pipedata[ID],pipedata[WT])</f>
        <v>0.74</v>
      </c>
      <c r="O642" s="56">
        <f>_xlfn.XLOOKUP(Survey!$K642,pipedata[ID],pipedata[104%])</f>
        <v>2565.3333333333335</v>
      </c>
      <c r="P642" s="57">
        <f t="shared" ref="P642:P705" si="10">IF(L642=1,1850,IF(L642=2,1850,2220))</f>
        <v>1850</v>
      </c>
      <c r="Q642" s="58">
        <f>_xlfn.MAXIFS(Survey!$G$2:$G$3647,Survey!$M$2:$M$3647,Survey!$M642)-Survey!$G642</f>
        <v>262.53822266563429</v>
      </c>
      <c r="R642" s="59">
        <f>Survey!$P642+(Survey!$Q642*0.433)</f>
        <v>1963.6790504142195</v>
      </c>
    </row>
    <row r="643" spans="1:18" x14ac:dyDescent="0.25">
      <c r="A643" s="60" t="s">
        <v>17</v>
      </c>
      <c r="B643" s="61" t="s">
        <v>18</v>
      </c>
      <c r="C643" s="62" t="s">
        <v>19</v>
      </c>
      <c r="D643" s="63">
        <v>231.86030185495824</v>
      </c>
      <c r="E643" s="79">
        <v>1252529</v>
      </c>
      <c r="F643" s="80">
        <v>1225208.0546218483</v>
      </c>
      <c r="G643" s="66">
        <v>2515.547421514214</v>
      </c>
      <c r="H643" s="67">
        <v>2</v>
      </c>
      <c r="I643" s="68" t="s">
        <v>20</v>
      </c>
      <c r="J643" s="69">
        <v>40</v>
      </c>
      <c r="K643" s="70">
        <v>2</v>
      </c>
      <c r="L643" s="68">
        <v>1</v>
      </c>
      <c r="M643" s="68">
        <f>_xlfn.XLOOKUP(Survey!$F643,sections[Start],sections[Test Section],,-1,1)</f>
        <v>2</v>
      </c>
      <c r="N643" s="55">
        <f>_xlfn.XLOOKUP(Survey!$K643,pipedata[ID],pipedata[WT])</f>
        <v>0.74</v>
      </c>
      <c r="O643" s="56">
        <f>_xlfn.XLOOKUP(Survey!$K643,pipedata[ID],pipedata[104%])</f>
        <v>2565.3333333333335</v>
      </c>
      <c r="P643" s="57">
        <f t="shared" si="10"/>
        <v>1850</v>
      </c>
      <c r="Q643" s="58">
        <f>_xlfn.MAXIFS(Survey!$G$2:$G$3647,Survey!$M$2:$M$3647,Survey!$M643)-Survey!$G643</f>
        <v>248.11882268752834</v>
      </c>
      <c r="R643" s="59">
        <f>Survey!$P643+(Survey!$Q643*0.433)</f>
        <v>1957.4354502236997</v>
      </c>
    </row>
    <row r="644" spans="1:18" x14ac:dyDescent="0.25">
      <c r="A644" s="71" t="s">
        <v>17</v>
      </c>
      <c r="B644" s="72" t="s">
        <v>18</v>
      </c>
      <c r="C644" s="73" t="s">
        <v>19</v>
      </c>
      <c r="D644" s="74">
        <v>231.86785686202617</v>
      </c>
      <c r="E644" s="81">
        <v>1252569</v>
      </c>
      <c r="F644" s="82">
        <v>1225246.4453781508</v>
      </c>
      <c r="G644" s="75">
        <v>2529.9033145550998</v>
      </c>
      <c r="H644" s="76">
        <v>2</v>
      </c>
      <c r="I644" s="54" t="s">
        <v>20</v>
      </c>
      <c r="J644" s="77">
        <v>40</v>
      </c>
      <c r="K644" s="78">
        <v>2</v>
      </c>
      <c r="L644" s="54">
        <v>1</v>
      </c>
      <c r="M644" s="54">
        <f>_xlfn.XLOOKUP(Survey!$F644,sections[Start],sections[Test Section],,-1,1)</f>
        <v>2</v>
      </c>
      <c r="N644" s="55">
        <f>_xlfn.XLOOKUP(Survey!$K644,pipedata[ID],pipedata[WT])</f>
        <v>0.74</v>
      </c>
      <c r="O644" s="56">
        <f>_xlfn.XLOOKUP(Survey!$K644,pipedata[ID],pipedata[104%])</f>
        <v>2565.3333333333335</v>
      </c>
      <c r="P644" s="57">
        <f t="shared" si="10"/>
        <v>1850</v>
      </c>
      <c r="Q644" s="58">
        <f>_xlfn.MAXIFS(Survey!$G$2:$G$3647,Survey!$M$2:$M$3647,Survey!$M644)-Survey!$G644</f>
        <v>233.76292964664253</v>
      </c>
      <c r="R644" s="59">
        <f>Survey!$P644+(Survey!$Q644*0.433)</f>
        <v>1951.2193485369962</v>
      </c>
    </row>
    <row r="645" spans="1:18" x14ac:dyDescent="0.25">
      <c r="A645" s="60" t="s">
        <v>17</v>
      </c>
      <c r="B645" s="61" t="s">
        <v>18</v>
      </c>
      <c r="C645" s="62" t="s">
        <v>19</v>
      </c>
      <c r="D645" s="63">
        <v>231.87413662520424</v>
      </c>
      <c r="E645" s="79">
        <v>1252609</v>
      </c>
      <c r="F645" s="80">
        <v>1225284.8361344533</v>
      </c>
      <c r="G645" s="66">
        <v>2545.9887977008366</v>
      </c>
      <c r="H645" s="67">
        <v>2</v>
      </c>
      <c r="I645" s="68" t="s">
        <v>20</v>
      </c>
      <c r="J645" s="69">
        <v>40</v>
      </c>
      <c r="K645" s="70">
        <v>2</v>
      </c>
      <c r="L645" s="68">
        <v>1</v>
      </c>
      <c r="M645" s="68">
        <f>_xlfn.XLOOKUP(Survey!$F645,sections[Start],sections[Test Section],,-1,1)</f>
        <v>2</v>
      </c>
      <c r="N645" s="55">
        <f>_xlfn.XLOOKUP(Survey!$K645,pipedata[ID],pipedata[WT])</f>
        <v>0.74</v>
      </c>
      <c r="O645" s="56">
        <f>_xlfn.XLOOKUP(Survey!$K645,pipedata[ID],pipedata[104%])</f>
        <v>2565.3333333333335</v>
      </c>
      <c r="P645" s="57">
        <f t="shared" si="10"/>
        <v>1850</v>
      </c>
      <c r="Q645" s="58">
        <f>_xlfn.MAXIFS(Survey!$G$2:$G$3647,Survey!$M$2:$M$3647,Survey!$M645)-Survey!$G645</f>
        <v>217.67744650090572</v>
      </c>
      <c r="R645" s="59">
        <f>Survey!$P645+(Survey!$Q645*0.433)</f>
        <v>1944.2543343348921</v>
      </c>
    </row>
    <row r="646" spans="1:18" x14ac:dyDescent="0.25">
      <c r="A646" s="71" t="s">
        <v>17</v>
      </c>
      <c r="B646" s="72" t="s">
        <v>18</v>
      </c>
      <c r="C646" s="73" t="s">
        <v>19</v>
      </c>
      <c r="D646" s="74">
        <v>231.88090813673489</v>
      </c>
      <c r="E646" s="81">
        <v>1252649</v>
      </c>
      <c r="F646" s="82">
        <v>1225323.2268907558</v>
      </c>
      <c r="G646" s="75">
        <v>2564.0611584836242</v>
      </c>
      <c r="H646" s="76">
        <v>2</v>
      </c>
      <c r="I646" s="54" t="s">
        <v>20</v>
      </c>
      <c r="J646" s="77">
        <v>40</v>
      </c>
      <c r="K646" s="78">
        <v>2</v>
      </c>
      <c r="L646" s="54">
        <v>1</v>
      </c>
      <c r="M646" s="54">
        <f>_xlfn.XLOOKUP(Survey!$F646,sections[Start],sections[Test Section],,-1,1)</f>
        <v>2</v>
      </c>
      <c r="N646" s="55">
        <f>_xlfn.XLOOKUP(Survey!$K646,pipedata[ID],pipedata[WT])</f>
        <v>0.74</v>
      </c>
      <c r="O646" s="56">
        <f>_xlfn.XLOOKUP(Survey!$K646,pipedata[ID],pipedata[104%])</f>
        <v>2565.3333333333335</v>
      </c>
      <c r="P646" s="57">
        <f t="shared" si="10"/>
        <v>1850</v>
      </c>
      <c r="Q646" s="58">
        <f>_xlfn.MAXIFS(Survey!$G$2:$G$3647,Survey!$M$2:$M$3647,Survey!$M646)-Survey!$G646</f>
        <v>199.60508571811806</v>
      </c>
      <c r="R646" s="59">
        <f>Survey!$P646+(Survey!$Q646*0.433)</f>
        <v>1936.4290021159452</v>
      </c>
    </row>
    <row r="647" spans="1:18" x14ac:dyDescent="0.25">
      <c r="A647" s="60" t="s">
        <v>17</v>
      </c>
      <c r="B647" s="61" t="s">
        <v>18</v>
      </c>
      <c r="C647" s="62" t="s">
        <v>19</v>
      </c>
      <c r="D647" s="63">
        <v>231.88846984664917</v>
      </c>
      <c r="E647" s="79">
        <v>1252689</v>
      </c>
      <c r="F647" s="80">
        <v>1225361.6176470583</v>
      </c>
      <c r="G647" s="66">
        <v>2581.4572752092286</v>
      </c>
      <c r="H647" s="67">
        <v>2</v>
      </c>
      <c r="I647" s="68" t="s">
        <v>20</v>
      </c>
      <c r="J647" s="69">
        <v>40</v>
      </c>
      <c r="K647" s="70">
        <v>2</v>
      </c>
      <c r="L647" s="68">
        <v>1</v>
      </c>
      <c r="M647" s="68">
        <f>_xlfn.XLOOKUP(Survey!$F647,sections[Start],sections[Test Section],,-1,1)</f>
        <v>2</v>
      </c>
      <c r="N647" s="55">
        <f>_xlfn.XLOOKUP(Survey!$K647,pipedata[ID],pipedata[WT])</f>
        <v>0.74</v>
      </c>
      <c r="O647" s="56">
        <f>_xlfn.XLOOKUP(Survey!$K647,pipedata[ID],pipedata[104%])</f>
        <v>2565.3333333333335</v>
      </c>
      <c r="P647" s="57">
        <f t="shared" si="10"/>
        <v>1850</v>
      </c>
      <c r="Q647" s="58">
        <f>_xlfn.MAXIFS(Survey!$G$2:$G$3647,Survey!$M$2:$M$3647,Survey!$M647)-Survey!$G647</f>
        <v>182.20896899251375</v>
      </c>
      <c r="R647" s="59">
        <f>Survey!$P647+(Survey!$Q647*0.433)</f>
        <v>1928.8964835737584</v>
      </c>
    </row>
    <row r="648" spans="1:18" x14ac:dyDescent="0.25">
      <c r="A648" s="71" t="s">
        <v>17</v>
      </c>
      <c r="B648" s="72" t="s">
        <v>18</v>
      </c>
      <c r="C648" s="73" t="s">
        <v>19</v>
      </c>
      <c r="D648" s="74">
        <v>231.89517973915804</v>
      </c>
      <c r="E648" s="81">
        <v>1252729</v>
      </c>
      <c r="F648" s="82">
        <v>1225400.0084033608</v>
      </c>
      <c r="G648" s="75">
        <v>2598.2997282190145</v>
      </c>
      <c r="H648" s="76">
        <v>2</v>
      </c>
      <c r="I648" s="54" t="s">
        <v>20</v>
      </c>
      <c r="J648" s="77">
        <v>40</v>
      </c>
      <c r="K648" s="78">
        <v>2</v>
      </c>
      <c r="L648" s="54">
        <v>1</v>
      </c>
      <c r="M648" s="54">
        <f>_xlfn.XLOOKUP(Survey!$F648,sections[Start],sections[Test Section],,-1,1)</f>
        <v>2</v>
      </c>
      <c r="N648" s="55">
        <f>_xlfn.XLOOKUP(Survey!$K648,pipedata[ID],pipedata[WT])</f>
        <v>0.74</v>
      </c>
      <c r="O648" s="56">
        <f>_xlfn.XLOOKUP(Survey!$K648,pipedata[ID],pipedata[104%])</f>
        <v>2565.3333333333335</v>
      </c>
      <c r="P648" s="57">
        <f t="shared" si="10"/>
        <v>1850</v>
      </c>
      <c r="Q648" s="58">
        <f>_xlfn.MAXIFS(Survey!$G$2:$G$3647,Survey!$M$2:$M$3647,Survey!$M648)-Survey!$G648</f>
        <v>165.36651598272783</v>
      </c>
      <c r="R648" s="59">
        <f>Survey!$P648+(Survey!$Q648*0.433)</f>
        <v>1921.6037014205212</v>
      </c>
    </row>
    <row r="649" spans="1:18" x14ac:dyDescent="0.25">
      <c r="A649" s="60" t="s">
        <v>17</v>
      </c>
      <c r="B649" s="61" t="s">
        <v>18</v>
      </c>
      <c r="C649" s="62" t="s">
        <v>19</v>
      </c>
      <c r="D649" s="63">
        <v>231.90261142239677</v>
      </c>
      <c r="E649" s="79">
        <v>1252769</v>
      </c>
      <c r="F649" s="80">
        <v>1225438.3991596634</v>
      </c>
      <c r="G649" s="66">
        <v>2611.9800430002147</v>
      </c>
      <c r="H649" s="67">
        <v>2</v>
      </c>
      <c r="I649" s="68" t="s">
        <v>20</v>
      </c>
      <c r="J649" s="69">
        <v>40</v>
      </c>
      <c r="K649" s="70">
        <v>2</v>
      </c>
      <c r="L649" s="68">
        <v>1</v>
      </c>
      <c r="M649" s="68">
        <f>_xlfn.XLOOKUP(Survey!$F649,sections[Start],sections[Test Section],,-1,1)</f>
        <v>2</v>
      </c>
      <c r="N649" s="55">
        <f>_xlfn.XLOOKUP(Survey!$K649,pipedata[ID],pipedata[WT])</f>
        <v>0.74</v>
      </c>
      <c r="O649" s="56">
        <f>_xlfn.XLOOKUP(Survey!$K649,pipedata[ID],pipedata[104%])</f>
        <v>2565.3333333333335</v>
      </c>
      <c r="P649" s="57">
        <f t="shared" si="10"/>
        <v>1850</v>
      </c>
      <c r="Q649" s="58">
        <f>_xlfn.MAXIFS(Survey!$G$2:$G$3647,Survey!$M$2:$M$3647,Survey!$M649)-Survey!$G649</f>
        <v>151.68620120152764</v>
      </c>
      <c r="R649" s="59">
        <f>Survey!$P649+(Survey!$Q649*0.433)</f>
        <v>1915.6801251202614</v>
      </c>
    </row>
    <row r="650" spans="1:18" x14ac:dyDescent="0.25">
      <c r="A650" s="71" t="s">
        <v>17</v>
      </c>
      <c r="B650" s="72" t="s">
        <v>18</v>
      </c>
      <c r="C650" s="73" t="s">
        <v>19</v>
      </c>
      <c r="D650" s="74">
        <v>231.90905218312287</v>
      </c>
      <c r="E650" s="81">
        <v>1252809</v>
      </c>
      <c r="F650" s="82">
        <v>1225476.7899159659</v>
      </c>
      <c r="G650" s="75">
        <v>2620.813180875331</v>
      </c>
      <c r="H650" s="76">
        <v>2</v>
      </c>
      <c r="I650" s="54" t="s">
        <v>20</v>
      </c>
      <c r="J650" s="77">
        <v>40</v>
      </c>
      <c r="K650" s="78">
        <v>2</v>
      </c>
      <c r="L650" s="54">
        <v>1</v>
      </c>
      <c r="M650" s="54">
        <f>_xlfn.XLOOKUP(Survey!$F650,sections[Start],sections[Test Section],,-1,1)</f>
        <v>2</v>
      </c>
      <c r="N650" s="55">
        <f>_xlfn.XLOOKUP(Survey!$K650,pipedata[ID],pipedata[WT])</f>
        <v>0.74</v>
      </c>
      <c r="O650" s="56">
        <f>_xlfn.XLOOKUP(Survey!$K650,pipedata[ID],pipedata[104%])</f>
        <v>2565.3333333333335</v>
      </c>
      <c r="P650" s="57">
        <f t="shared" si="10"/>
        <v>1850</v>
      </c>
      <c r="Q650" s="58">
        <f>_xlfn.MAXIFS(Survey!$G$2:$G$3647,Survey!$M$2:$M$3647,Survey!$M650)-Survey!$G650</f>
        <v>142.8530633264113</v>
      </c>
      <c r="R650" s="59">
        <f>Survey!$P650+(Survey!$Q650*0.433)</f>
        <v>1911.8553764203361</v>
      </c>
    </row>
    <row r="651" spans="1:18" x14ac:dyDescent="0.25">
      <c r="A651" s="60" t="s">
        <v>17</v>
      </c>
      <c r="B651" s="61" t="s">
        <v>18</v>
      </c>
      <c r="C651" s="62" t="s">
        <v>19</v>
      </c>
      <c r="D651" s="63">
        <v>231.91678174007015</v>
      </c>
      <c r="E651" s="79">
        <v>1252849</v>
      </c>
      <c r="F651" s="80">
        <v>1225515.1806722684</v>
      </c>
      <c r="G651" s="66">
        <v>2629.1265669390787</v>
      </c>
      <c r="H651" s="67">
        <v>2</v>
      </c>
      <c r="I651" s="68" t="s">
        <v>20</v>
      </c>
      <c r="J651" s="69">
        <v>40</v>
      </c>
      <c r="K651" s="70">
        <v>2</v>
      </c>
      <c r="L651" s="68">
        <v>1</v>
      </c>
      <c r="M651" s="68">
        <f>_xlfn.XLOOKUP(Survey!$F651,sections[Start],sections[Test Section],,-1,1)</f>
        <v>2</v>
      </c>
      <c r="N651" s="55">
        <f>_xlfn.XLOOKUP(Survey!$K651,pipedata[ID],pipedata[WT])</f>
        <v>0.74</v>
      </c>
      <c r="O651" s="56">
        <f>_xlfn.XLOOKUP(Survey!$K651,pipedata[ID],pipedata[104%])</f>
        <v>2565.3333333333335</v>
      </c>
      <c r="P651" s="57">
        <f t="shared" si="10"/>
        <v>1850</v>
      </c>
      <c r="Q651" s="58">
        <f>_xlfn.MAXIFS(Survey!$G$2:$G$3647,Survey!$M$2:$M$3647,Survey!$M651)-Survey!$G651</f>
        <v>134.53967726266364</v>
      </c>
      <c r="R651" s="59">
        <f>Survey!$P651+(Survey!$Q651*0.433)</f>
        <v>1908.2556802547333</v>
      </c>
    </row>
    <row r="652" spans="1:18" x14ac:dyDescent="0.25">
      <c r="A652" s="71" t="s">
        <v>17</v>
      </c>
      <c r="B652" s="72" t="s">
        <v>18</v>
      </c>
      <c r="C652" s="73" t="s">
        <v>19</v>
      </c>
      <c r="D652" s="74">
        <v>231.92423054074976</v>
      </c>
      <c r="E652" s="81">
        <v>1252889</v>
      </c>
      <c r="F652" s="82">
        <v>1225553.5714285709</v>
      </c>
      <c r="G652" s="75">
        <v>2638.5220516660775</v>
      </c>
      <c r="H652" s="76">
        <v>2</v>
      </c>
      <c r="I652" s="54" t="s">
        <v>20</v>
      </c>
      <c r="J652" s="77">
        <v>40</v>
      </c>
      <c r="K652" s="78">
        <v>2</v>
      </c>
      <c r="L652" s="54">
        <v>1</v>
      </c>
      <c r="M652" s="54">
        <f>_xlfn.XLOOKUP(Survey!$F652,sections[Start],sections[Test Section],,-1,1)</f>
        <v>2</v>
      </c>
      <c r="N652" s="55">
        <f>_xlfn.XLOOKUP(Survey!$K652,pipedata[ID],pipedata[WT])</f>
        <v>0.74</v>
      </c>
      <c r="O652" s="56">
        <f>_xlfn.XLOOKUP(Survey!$K652,pipedata[ID],pipedata[104%])</f>
        <v>2565.3333333333335</v>
      </c>
      <c r="P652" s="57">
        <f t="shared" si="10"/>
        <v>1850</v>
      </c>
      <c r="Q652" s="58">
        <f>_xlfn.MAXIFS(Survey!$G$2:$G$3647,Survey!$M$2:$M$3647,Survey!$M652)-Survey!$G652</f>
        <v>125.14419253566484</v>
      </c>
      <c r="R652" s="59">
        <f>Survey!$P652+(Survey!$Q652*0.433)</f>
        <v>1904.187435367943</v>
      </c>
    </row>
    <row r="653" spans="1:18" x14ac:dyDescent="0.25">
      <c r="A653" s="60" t="s">
        <v>17</v>
      </c>
      <c r="B653" s="61" t="s">
        <v>18</v>
      </c>
      <c r="C653" s="62" t="s">
        <v>19</v>
      </c>
      <c r="D653" s="63">
        <v>231.93197236965298</v>
      </c>
      <c r="E653" s="79">
        <v>1252929</v>
      </c>
      <c r="F653" s="80">
        <v>1225591.9621848734</v>
      </c>
      <c r="G653" s="66">
        <v>2648.2011015432527</v>
      </c>
      <c r="H653" s="67">
        <v>2</v>
      </c>
      <c r="I653" s="68" t="s">
        <v>20</v>
      </c>
      <c r="J653" s="69">
        <v>40</v>
      </c>
      <c r="K653" s="70">
        <v>2</v>
      </c>
      <c r="L653" s="68">
        <v>1</v>
      </c>
      <c r="M653" s="68">
        <f>_xlfn.XLOOKUP(Survey!$F653,sections[Start],sections[Test Section],,-1,1)</f>
        <v>2</v>
      </c>
      <c r="N653" s="55">
        <f>_xlfn.XLOOKUP(Survey!$K653,pipedata[ID],pipedata[WT])</f>
        <v>0.74</v>
      </c>
      <c r="O653" s="56">
        <f>_xlfn.XLOOKUP(Survey!$K653,pipedata[ID],pipedata[104%])</f>
        <v>2565.3333333333335</v>
      </c>
      <c r="P653" s="57">
        <f t="shared" si="10"/>
        <v>1850</v>
      </c>
      <c r="Q653" s="58">
        <f>_xlfn.MAXIFS(Survey!$G$2:$G$3647,Survey!$M$2:$M$3647,Survey!$M653)-Survey!$G653</f>
        <v>115.46514265848964</v>
      </c>
      <c r="R653" s="59">
        <f>Survey!$P653+(Survey!$Q653*0.433)</f>
        <v>1899.996406771126</v>
      </c>
    </row>
    <row r="654" spans="1:18" x14ac:dyDescent="0.25">
      <c r="A654" s="71" t="s">
        <v>17</v>
      </c>
      <c r="B654" s="72" t="s">
        <v>18</v>
      </c>
      <c r="C654" s="73" t="s">
        <v>19</v>
      </c>
      <c r="D654" s="74">
        <v>231.9397141985564</v>
      </c>
      <c r="E654" s="81">
        <v>1252969</v>
      </c>
      <c r="F654" s="82">
        <v>1225630.3529411759</v>
      </c>
      <c r="G654" s="75">
        <v>2658.2248360808794</v>
      </c>
      <c r="H654" s="76">
        <v>2</v>
      </c>
      <c r="I654" s="54" t="s">
        <v>20</v>
      </c>
      <c r="J654" s="77">
        <v>40</v>
      </c>
      <c r="K654" s="78">
        <v>2</v>
      </c>
      <c r="L654" s="54">
        <v>1</v>
      </c>
      <c r="M654" s="54">
        <f>_xlfn.XLOOKUP(Survey!$F654,sections[Start],sections[Test Section],,-1,1)</f>
        <v>2</v>
      </c>
      <c r="N654" s="55">
        <f>_xlfn.XLOOKUP(Survey!$K654,pipedata[ID],pipedata[WT])</f>
        <v>0.74</v>
      </c>
      <c r="O654" s="56">
        <f>_xlfn.XLOOKUP(Survey!$K654,pipedata[ID],pipedata[104%])</f>
        <v>2565.3333333333335</v>
      </c>
      <c r="P654" s="57">
        <f t="shared" si="10"/>
        <v>1850</v>
      </c>
      <c r="Q654" s="58">
        <f>_xlfn.MAXIFS(Survey!$G$2:$G$3647,Survey!$M$2:$M$3647,Survey!$M654)-Survey!$G654</f>
        <v>105.44140812086289</v>
      </c>
      <c r="R654" s="59">
        <f>Survey!$P654+(Survey!$Q654*0.433)</f>
        <v>1895.6561297163337</v>
      </c>
    </row>
    <row r="655" spans="1:18" x14ac:dyDescent="0.25">
      <c r="A655" s="60" t="s">
        <v>17</v>
      </c>
      <c r="B655" s="61" t="s">
        <v>18</v>
      </c>
      <c r="C655" s="62" t="s">
        <v>19</v>
      </c>
      <c r="D655" s="63">
        <v>231.94682505980498</v>
      </c>
      <c r="E655" s="79">
        <v>1253009</v>
      </c>
      <c r="F655" s="80">
        <v>1225668.7436974784</v>
      </c>
      <c r="G655" s="66">
        <v>2665.9271710001553</v>
      </c>
      <c r="H655" s="67">
        <v>2</v>
      </c>
      <c r="I655" s="68" t="s">
        <v>20</v>
      </c>
      <c r="J655" s="69">
        <v>40</v>
      </c>
      <c r="K655" s="70">
        <v>2</v>
      </c>
      <c r="L655" s="68">
        <v>1</v>
      </c>
      <c r="M655" s="68">
        <f>_xlfn.XLOOKUP(Survey!$F655,sections[Start],sections[Test Section],,-1,1)</f>
        <v>2</v>
      </c>
      <c r="N655" s="55">
        <f>_xlfn.XLOOKUP(Survey!$K655,pipedata[ID],pipedata[WT])</f>
        <v>0.74</v>
      </c>
      <c r="O655" s="56">
        <f>_xlfn.XLOOKUP(Survey!$K655,pipedata[ID],pipedata[104%])</f>
        <v>2565.3333333333335</v>
      </c>
      <c r="P655" s="57">
        <f t="shared" si="10"/>
        <v>1850</v>
      </c>
      <c r="Q655" s="58">
        <f>_xlfn.MAXIFS(Survey!$G$2:$G$3647,Survey!$M$2:$M$3647,Survey!$M655)-Survey!$G655</f>
        <v>97.739073201586962</v>
      </c>
      <c r="R655" s="59">
        <f>Survey!$P655+(Survey!$Q655*0.433)</f>
        <v>1892.3210186962872</v>
      </c>
    </row>
    <row r="656" spans="1:18" x14ac:dyDescent="0.25">
      <c r="A656" s="71" t="s">
        <v>17</v>
      </c>
      <c r="B656" s="72" t="s">
        <v>18</v>
      </c>
      <c r="C656" s="73" t="s">
        <v>19</v>
      </c>
      <c r="D656" s="74">
        <v>231.95433312070901</v>
      </c>
      <c r="E656" s="81">
        <v>1253049</v>
      </c>
      <c r="F656" s="82">
        <v>1225707.1344537809</v>
      </c>
      <c r="G656" s="75">
        <v>2676.3815748591255</v>
      </c>
      <c r="H656" s="76">
        <v>2</v>
      </c>
      <c r="I656" s="54" t="s">
        <v>20</v>
      </c>
      <c r="J656" s="77">
        <v>40</v>
      </c>
      <c r="K656" s="78">
        <v>2</v>
      </c>
      <c r="L656" s="54">
        <v>1</v>
      </c>
      <c r="M656" s="54">
        <f>_xlfn.XLOOKUP(Survey!$F656,sections[Start],sections[Test Section],,-1,1)</f>
        <v>2</v>
      </c>
      <c r="N656" s="55">
        <f>_xlfn.XLOOKUP(Survey!$K656,pipedata[ID],pipedata[WT])</f>
        <v>0.74</v>
      </c>
      <c r="O656" s="56">
        <f>_xlfn.XLOOKUP(Survey!$K656,pipedata[ID],pipedata[104%])</f>
        <v>2565.3333333333335</v>
      </c>
      <c r="P656" s="57">
        <f t="shared" si="10"/>
        <v>1850</v>
      </c>
      <c r="Q656" s="58">
        <f>_xlfn.MAXIFS(Survey!$G$2:$G$3647,Survey!$M$2:$M$3647,Survey!$M656)-Survey!$G656</f>
        <v>87.28466934261678</v>
      </c>
      <c r="R656" s="59">
        <f>Survey!$P656+(Survey!$Q656*0.433)</f>
        <v>1887.794261825353</v>
      </c>
    </row>
    <row r="657" spans="1:18" x14ac:dyDescent="0.25">
      <c r="A657" s="60" t="s">
        <v>17</v>
      </c>
      <c r="B657" s="61" t="s">
        <v>18</v>
      </c>
      <c r="C657" s="62" t="s">
        <v>19</v>
      </c>
      <c r="D657" s="63">
        <v>231.96144730941361</v>
      </c>
      <c r="E657" s="79">
        <v>1253089</v>
      </c>
      <c r="F657" s="80">
        <v>1225745.5252100835</v>
      </c>
      <c r="G657" s="66">
        <v>2684.2638606876335</v>
      </c>
      <c r="H657" s="67">
        <v>2</v>
      </c>
      <c r="I657" s="68" t="s">
        <v>20</v>
      </c>
      <c r="J657" s="69">
        <v>40</v>
      </c>
      <c r="K657" s="70">
        <v>2</v>
      </c>
      <c r="L657" s="68">
        <v>1</v>
      </c>
      <c r="M657" s="68">
        <f>_xlfn.XLOOKUP(Survey!$F657,sections[Start],sections[Test Section],,-1,1)</f>
        <v>2</v>
      </c>
      <c r="N657" s="55">
        <f>_xlfn.XLOOKUP(Survey!$K657,pipedata[ID],pipedata[WT])</f>
        <v>0.74</v>
      </c>
      <c r="O657" s="56">
        <f>_xlfn.XLOOKUP(Survey!$K657,pipedata[ID],pipedata[104%])</f>
        <v>2565.3333333333335</v>
      </c>
      <c r="P657" s="57">
        <f t="shared" si="10"/>
        <v>1850</v>
      </c>
      <c r="Q657" s="58">
        <f>_xlfn.MAXIFS(Survey!$G$2:$G$3647,Survey!$M$2:$M$3647,Survey!$M657)-Survey!$G657</f>
        <v>79.402383514108806</v>
      </c>
      <c r="R657" s="59">
        <f>Survey!$P657+(Survey!$Q657*0.433)</f>
        <v>1884.3812320616091</v>
      </c>
    </row>
    <row r="658" spans="1:18" x14ac:dyDescent="0.25">
      <c r="A658" s="71" t="s">
        <v>17</v>
      </c>
      <c r="B658" s="72" t="s">
        <v>18</v>
      </c>
      <c r="C658" s="73" t="s">
        <v>19</v>
      </c>
      <c r="D658" s="74">
        <v>231.9692244436863</v>
      </c>
      <c r="E658" s="81">
        <v>1253129</v>
      </c>
      <c r="F658" s="82">
        <v>1225783.915966386</v>
      </c>
      <c r="G658" s="75">
        <v>2692.3642728177924</v>
      </c>
      <c r="H658" s="76">
        <v>2</v>
      </c>
      <c r="I658" s="54" t="s">
        <v>20</v>
      </c>
      <c r="J658" s="77">
        <v>40</v>
      </c>
      <c r="K658" s="78">
        <v>2</v>
      </c>
      <c r="L658" s="54">
        <v>1</v>
      </c>
      <c r="M658" s="54">
        <f>_xlfn.XLOOKUP(Survey!$F658,sections[Start],sections[Test Section],,-1,1)</f>
        <v>2</v>
      </c>
      <c r="N658" s="55">
        <f>_xlfn.XLOOKUP(Survey!$K658,pipedata[ID],pipedata[WT])</f>
        <v>0.74</v>
      </c>
      <c r="O658" s="56">
        <f>_xlfn.XLOOKUP(Survey!$K658,pipedata[ID],pipedata[104%])</f>
        <v>2565.3333333333335</v>
      </c>
      <c r="P658" s="57">
        <f t="shared" si="10"/>
        <v>1850</v>
      </c>
      <c r="Q658" s="58">
        <f>_xlfn.MAXIFS(Survey!$G$2:$G$3647,Survey!$M$2:$M$3647,Survey!$M658)-Survey!$G658</f>
        <v>71.301971383949876</v>
      </c>
      <c r="R658" s="59">
        <f>Survey!$P658+(Survey!$Q658*0.433)</f>
        <v>1880.8737536092503</v>
      </c>
    </row>
    <row r="659" spans="1:18" x14ac:dyDescent="0.25">
      <c r="A659" s="60" t="s">
        <v>17</v>
      </c>
      <c r="B659" s="61" t="s">
        <v>18</v>
      </c>
      <c r="C659" s="62" t="s">
        <v>19</v>
      </c>
      <c r="D659" s="63">
        <v>231.97638112861191</v>
      </c>
      <c r="E659" s="79">
        <v>1253169</v>
      </c>
      <c r="F659" s="80">
        <v>1225822.3067226885</v>
      </c>
      <c r="G659" s="66">
        <v>2698.7539734254256</v>
      </c>
      <c r="H659" s="67">
        <v>2</v>
      </c>
      <c r="I659" s="68" t="s">
        <v>20</v>
      </c>
      <c r="J659" s="69">
        <v>40</v>
      </c>
      <c r="K659" s="70">
        <v>2</v>
      </c>
      <c r="L659" s="68">
        <v>1</v>
      </c>
      <c r="M659" s="68">
        <f>_xlfn.XLOOKUP(Survey!$F659,sections[Start],sections[Test Section],,-1,1)</f>
        <v>2</v>
      </c>
      <c r="N659" s="55">
        <f>_xlfn.XLOOKUP(Survey!$K659,pipedata[ID],pipedata[WT])</f>
        <v>0.74</v>
      </c>
      <c r="O659" s="56">
        <f>_xlfn.XLOOKUP(Survey!$K659,pipedata[ID],pipedata[104%])</f>
        <v>2565.3333333333335</v>
      </c>
      <c r="P659" s="57">
        <f t="shared" si="10"/>
        <v>1850</v>
      </c>
      <c r="Q659" s="58">
        <f>_xlfn.MAXIFS(Survey!$G$2:$G$3647,Survey!$M$2:$M$3647,Survey!$M659)-Survey!$G659</f>
        <v>64.912270776316745</v>
      </c>
      <c r="R659" s="59">
        <f>Survey!$P659+(Survey!$Q659*0.433)</f>
        <v>1878.1070132461452</v>
      </c>
    </row>
    <row r="660" spans="1:18" x14ac:dyDescent="0.25">
      <c r="A660" s="71" t="s">
        <v>17</v>
      </c>
      <c r="B660" s="72" t="s">
        <v>18</v>
      </c>
      <c r="C660" s="73" t="s">
        <v>19</v>
      </c>
      <c r="D660" s="74">
        <v>231.98395604149422</v>
      </c>
      <c r="E660" s="81">
        <v>1253209</v>
      </c>
      <c r="F660" s="82">
        <v>1225860.697478991</v>
      </c>
      <c r="G660" s="75">
        <v>2703.9333154339402</v>
      </c>
      <c r="H660" s="76">
        <v>2</v>
      </c>
      <c r="I660" s="54" t="s">
        <v>20</v>
      </c>
      <c r="J660" s="77">
        <v>40</v>
      </c>
      <c r="K660" s="78">
        <v>2</v>
      </c>
      <c r="L660" s="54">
        <v>1</v>
      </c>
      <c r="M660" s="54">
        <f>_xlfn.XLOOKUP(Survey!$F660,sections[Start],sections[Test Section],,-1,1)</f>
        <v>2</v>
      </c>
      <c r="N660" s="55">
        <f>_xlfn.XLOOKUP(Survey!$K660,pipedata[ID],pipedata[WT])</f>
        <v>0.74</v>
      </c>
      <c r="O660" s="56">
        <f>_xlfn.XLOOKUP(Survey!$K660,pipedata[ID],pipedata[104%])</f>
        <v>2565.3333333333335</v>
      </c>
      <c r="P660" s="57">
        <f t="shared" si="10"/>
        <v>1850</v>
      </c>
      <c r="Q660" s="58">
        <f>_xlfn.MAXIFS(Survey!$G$2:$G$3647,Survey!$M$2:$M$3647,Survey!$M660)-Survey!$G660</f>
        <v>59.73292876780215</v>
      </c>
      <c r="R660" s="59">
        <f>Survey!$P660+(Survey!$Q660*0.433)</f>
        <v>1875.8643581564584</v>
      </c>
    </row>
    <row r="661" spans="1:18" x14ac:dyDescent="0.25">
      <c r="A661" s="60" t="s">
        <v>17</v>
      </c>
      <c r="B661" s="61" t="s">
        <v>18</v>
      </c>
      <c r="C661" s="62" t="s">
        <v>19</v>
      </c>
      <c r="D661" s="63">
        <v>231.99161160417583</v>
      </c>
      <c r="E661" s="79">
        <v>1253249</v>
      </c>
      <c r="F661" s="80">
        <v>1225899.0882352935</v>
      </c>
      <c r="G661" s="66">
        <v>2709.7607680956835</v>
      </c>
      <c r="H661" s="67">
        <v>2</v>
      </c>
      <c r="I661" s="68" t="s">
        <v>20</v>
      </c>
      <c r="J661" s="69">
        <v>40</v>
      </c>
      <c r="K661" s="70">
        <v>2</v>
      </c>
      <c r="L661" s="68">
        <v>1</v>
      </c>
      <c r="M661" s="68">
        <f>_xlfn.XLOOKUP(Survey!$F661,sections[Start],sections[Test Section],,-1,1)</f>
        <v>2</v>
      </c>
      <c r="N661" s="55">
        <f>_xlfn.XLOOKUP(Survey!$K661,pipedata[ID],pipedata[WT])</f>
        <v>0.74</v>
      </c>
      <c r="O661" s="56">
        <f>_xlfn.XLOOKUP(Survey!$K661,pipedata[ID],pipedata[104%])</f>
        <v>2565.3333333333335</v>
      </c>
      <c r="P661" s="57">
        <f t="shared" si="10"/>
        <v>1850</v>
      </c>
      <c r="Q661" s="58">
        <f>_xlfn.MAXIFS(Survey!$G$2:$G$3647,Survey!$M$2:$M$3647,Survey!$M661)-Survey!$G661</f>
        <v>53.905476106058813</v>
      </c>
      <c r="R661" s="59">
        <f>Survey!$P661+(Survey!$Q661*0.433)</f>
        <v>1873.3410711539234</v>
      </c>
    </row>
    <row r="662" spans="1:18" x14ac:dyDescent="0.25">
      <c r="A662" s="71" t="s">
        <v>17</v>
      </c>
      <c r="B662" s="72" t="s">
        <v>18</v>
      </c>
      <c r="C662" s="73" t="s">
        <v>19</v>
      </c>
      <c r="D662" s="74">
        <v>231.99894653660581</v>
      </c>
      <c r="E662" s="81">
        <v>1253289</v>
      </c>
      <c r="F662" s="82">
        <v>1225937.478991596</v>
      </c>
      <c r="G662" s="75">
        <v>2715.0654001946746</v>
      </c>
      <c r="H662" s="76">
        <v>2</v>
      </c>
      <c r="I662" s="54" t="s">
        <v>20</v>
      </c>
      <c r="J662" s="77">
        <v>40</v>
      </c>
      <c r="K662" s="78">
        <v>2</v>
      </c>
      <c r="L662" s="54">
        <v>1</v>
      </c>
      <c r="M662" s="54">
        <f>_xlfn.XLOOKUP(Survey!$F662,sections[Start],sections[Test Section],,-1,1)</f>
        <v>2</v>
      </c>
      <c r="N662" s="55">
        <f>_xlfn.XLOOKUP(Survey!$K662,pipedata[ID],pipedata[WT])</f>
        <v>0.74</v>
      </c>
      <c r="O662" s="56">
        <f>_xlfn.XLOOKUP(Survey!$K662,pipedata[ID],pipedata[104%])</f>
        <v>2565.3333333333335</v>
      </c>
      <c r="P662" s="57">
        <f t="shared" si="10"/>
        <v>1850</v>
      </c>
      <c r="Q662" s="58">
        <f>_xlfn.MAXIFS(Survey!$G$2:$G$3647,Survey!$M$2:$M$3647,Survey!$M662)-Survey!$G662</f>
        <v>48.600844007067735</v>
      </c>
      <c r="R662" s="59">
        <f>Survey!$P662+(Survey!$Q662*0.433)</f>
        <v>1871.0441654550602</v>
      </c>
    </row>
    <row r="663" spans="1:18" x14ac:dyDescent="0.25">
      <c r="A663" s="60" t="s">
        <v>17</v>
      </c>
      <c r="B663" s="61" t="s">
        <v>18</v>
      </c>
      <c r="C663" s="62" t="s">
        <v>19</v>
      </c>
      <c r="D663" s="63">
        <v>232.00689665721589</v>
      </c>
      <c r="E663" s="79">
        <v>1253329</v>
      </c>
      <c r="F663" s="80">
        <v>1225975.8697478985</v>
      </c>
      <c r="G663" s="66">
        <v>2718.0950008697919</v>
      </c>
      <c r="H663" s="67">
        <v>2</v>
      </c>
      <c r="I663" s="68" t="s">
        <v>20</v>
      </c>
      <c r="J663" s="69">
        <v>40</v>
      </c>
      <c r="K663" s="70">
        <v>2</v>
      </c>
      <c r="L663" s="68">
        <v>1</v>
      </c>
      <c r="M663" s="68">
        <f>_xlfn.XLOOKUP(Survey!$F663,sections[Start],sections[Test Section],,-1,1)</f>
        <v>2</v>
      </c>
      <c r="N663" s="55">
        <f>_xlfn.XLOOKUP(Survey!$K663,pipedata[ID],pipedata[WT])</f>
        <v>0.74</v>
      </c>
      <c r="O663" s="56">
        <f>_xlfn.XLOOKUP(Survey!$K663,pipedata[ID],pipedata[104%])</f>
        <v>2565.3333333333335</v>
      </c>
      <c r="P663" s="57">
        <f t="shared" si="10"/>
        <v>1850</v>
      </c>
      <c r="Q663" s="58">
        <f>_xlfn.MAXIFS(Survey!$G$2:$G$3647,Survey!$M$2:$M$3647,Survey!$M663)-Survey!$G663</f>
        <v>45.571243331950427</v>
      </c>
      <c r="R663" s="59">
        <f>Survey!$P663+(Survey!$Q663*0.433)</f>
        <v>1869.7323483627345</v>
      </c>
    </row>
    <row r="664" spans="1:18" x14ac:dyDescent="0.25">
      <c r="A664" s="71" t="s">
        <v>17</v>
      </c>
      <c r="B664" s="72" t="s">
        <v>18</v>
      </c>
      <c r="C664" s="73" t="s">
        <v>19</v>
      </c>
      <c r="D664" s="74">
        <v>232.01427083568416</v>
      </c>
      <c r="E664" s="81">
        <v>1253369</v>
      </c>
      <c r="F664" s="82">
        <v>1226014.2605042011</v>
      </c>
      <c r="G664" s="75">
        <v>2717.0668053260224</v>
      </c>
      <c r="H664" s="76">
        <v>2</v>
      </c>
      <c r="I664" s="54" t="s">
        <v>20</v>
      </c>
      <c r="J664" s="77">
        <v>40</v>
      </c>
      <c r="K664" s="78">
        <v>2</v>
      </c>
      <c r="L664" s="54">
        <v>1</v>
      </c>
      <c r="M664" s="54">
        <f>_xlfn.XLOOKUP(Survey!$F664,sections[Start],sections[Test Section],,-1,1)</f>
        <v>2</v>
      </c>
      <c r="N664" s="55">
        <f>_xlfn.XLOOKUP(Survey!$K664,pipedata[ID],pipedata[WT])</f>
        <v>0.74</v>
      </c>
      <c r="O664" s="56">
        <f>_xlfn.XLOOKUP(Survey!$K664,pipedata[ID],pipedata[104%])</f>
        <v>2565.3333333333335</v>
      </c>
      <c r="P664" s="57">
        <f t="shared" si="10"/>
        <v>1850</v>
      </c>
      <c r="Q664" s="58">
        <f>_xlfn.MAXIFS(Survey!$G$2:$G$3647,Survey!$M$2:$M$3647,Survey!$M664)-Survey!$G664</f>
        <v>46.599438875719898</v>
      </c>
      <c r="R664" s="59">
        <f>Survey!$P664+(Survey!$Q664*0.433)</f>
        <v>1870.1775570331868</v>
      </c>
    </row>
    <row r="665" spans="1:18" x14ac:dyDescent="0.25">
      <c r="A665" s="60" t="s">
        <v>17</v>
      </c>
      <c r="B665" s="61" t="s">
        <v>18</v>
      </c>
      <c r="C665" s="62" t="s">
        <v>19</v>
      </c>
      <c r="D665" s="63">
        <v>232.02193082524434</v>
      </c>
      <c r="E665" s="79">
        <v>1253409</v>
      </c>
      <c r="F665" s="80">
        <v>1226052.6512605036</v>
      </c>
      <c r="G665" s="66">
        <v>2715.3202288314865</v>
      </c>
      <c r="H665" s="67">
        <v>2</v>
      </c>
      <c r="I665" s="68" t="s">
        <v>20</v>
      </c>
      <c r="J665" s="69">
        <v>40</v>
      </c>
      <c r="K665" s="70">
        <v>2</v>
      </c>
      <c r="L665" s="68">
        <v>1</v>
      </c>
      <c r="M665" s="68">
        <f>_xlfn.XLOOKUP(Survey!$F665,sections[Start],sections[Test Section],,-1,1)</f>
        <v>2</v>
      </c>
      <c r="N665" s="55">
        <f>_xlfn.XLOOKUP(Survey!$K665,pipedata[ID],pipedata[WT])</f>
        <v>0.74</v>
      </c>
      <c r="O665" s="56">
        <f>_xlfn.XLOOKUP(Survey!$K665,pipedata[ID],pipedata[104%])</f>
        <v>2565.3333333333335</v>
      </c>
      <c r="P665" s="57">
        <f t="shared" si="10"/>
        <v>1850</v>
      </c>
      <c r="Q665" s="58">
        <f>_xlfn.MAXIFS(Survey!$G$2:$G$3647,Survey!$M$2:$M$3647,Survey!$M665)-Survey!$G665</f>
        <v>48.346015370255827</v>
      </c>
      <c r="R665" s="59">
        <f>Survey!$P665+(Survey!$Q665*0.433)</f>
        <v>1870.9338246553207</v>
      </c>
    </row>
    <row r="666" spans="1:18" x14ac:dyDescent="0.25">
      <c r="A666" s="71" t="s">
        <v>17</v>
      </c>
      <c r="B666" s="72" t="s">
        <v>18</v>
      </c>
      <c r="C666" s="73" t="s">
        <v>19</v>
      </c>
      <c r="D666" s="74">
        <v>232.02870954613323</v>
      </c>
      <c r="E666" s="81">
        <v>1253449</v>
      </c>
      <c r="F666" s="82">
        <v>1226091.0420168061</v>
      </c>
      <c r="G666" s="75">
        <v>2713.1547339054955</v>
      </c>
      <c r="H666" s="76">
        <v>2</v>
      </c>
      <c r="I666" s="54" t="s">
        <v>20</v>
      </c>
      <c r="J666" s="77">
        <v>40</v>
      </c>
      <c r="K666" s="78">
        <v>2</v>
      </c>
      <c r="L666" s="54">
        <v>1</v>
      </c>
      <c r="M666" s="54">
        <f>_xlfn.XLOOKUP(Survey!$F666,sections[Start],sections[Test Section],,-1,1)</f>
        <v>2</v>
      </c>
      <c r="N666" s="55">
        <f>_xlfn.XLOOKUP(Survey!$K666,pipedata[ID],pipedata[WT])</f>
        <v>0.74</v>
      </c>
      <c r="O666" s="56">
        <f>_xlfn.XLOOKUP(Survey!$K666,pipedata[ID],pipedata[104%])</f>
        <v>2565.3333333333335</v>
      </c>
      <c r="P666" s="57">
        <f t="shared" si="10"/>
        <v>1850</v>
      </c>
      <c r="Q666" s="58">
        <f>_xlfn.MAXIFS(Survey!$G$2:$G$3647,Survey!$M$2:$M$3647,Survey!$M666)-Survey!$G666</f>
        <v>50.511510296246797</v>
      </c>
      <c r="R666" s="59">
        <f>Survey!$P666+(Survey!$Q666*0.433)</f>
        <v>1871.8714839582749</v>
      </c>
    </row>
    <row r="667" spans="1:18" x14ac:dyDescent="0.25">
      <c r="A667" s="60" t="s">
        <v>17</v>
      </c>
      <c r="B667" s="61" t="s">
        <v>18</v>
      </c>
      <c r="C667" s="62" t="s">
        <v>19</v>
      </c>
      <c r="D667" s="63">
        <v>232.03646137640254</v>
      </c>
      <c r="E667" s="79">
        <v>1253489</v>
      </c>
      <c r="F667" s="80">
        <v>1226129.4327731086</v>
      </c>
      <c r="G667" s="66">
        <v>2711.1794364470575</v>
      </c>
      <c r="H667" s="67">
        <v>2</v>
      </c>
      <c r="I667" s="68" t="s">
        <v>20</v>
      </c>
      <c r="J667" s="69">
        <v>40</v>
      </c>
      <c r="K667" s="70">
        <v>2</v>
      </c>
      <c r="L667" s="68">
        <v>1</v>
      </c>
      <c r="M667" s="68">
        <f>_xlfn.XLOOKUP(Survey!$F667,sections[Start],sections[Test Section],,-1,1)</f>
        <v>2</v>
      </c>
      <c r="N667" s="55">
        <f>_xlfn.XLOOKUP(Survey!$K667,pipedata[ID],pipedata[WT])</f>
        <v>0.74</v>
      </c>
      <c r="O667" s="56">
        <f>_xlfn.XLOOKUP(Survey!$K667,pipedata[ID],pipedata[104%])</f>
        <v>2565.3333333333335</v>
      </c>
      <c r="P667" s="57">
        <f t="shared" si="10"/>
        <v>1850</v>
      </c>
      <c r="Q667" s="58">
        <f>_xlfn.MAXIFS(Survey!$G$2:$G$3647,Survey!$M$2:$M$3647,Survey!$M667)-Survey!$G667</f>
        <v>52.486807754684833</v>
      </c>
      <c r="R667" s="59">
        <f>Survey!$P667+(Survey!$Q667*0.433)</f>
        <v>1872.7267877577785</v>
      </c>
    </row>
    <row r="668" spans="1:18" x14ac:dyDescent="0.25">
      <c r="A668" s="71" t="s">
        <v>17</v>
      </c>
      <c r="B668" s="72" t="s">
        <v>18</v>
      </c>
      <c r="C668" s="73" t="s">
        <v>19</v>
      </c>
      <c r="D668" s="74">
        <v>232.04404365276312</v>
      </c>
      <c r="E668" s="81">
        <v>1253529</v>
      </c>
      <c r="F668" s="82">
        <v>1226167.8235294111</v>
      </c>
      <c r="G668" s="75">
        <v>2710.6821768452937</v>
      </c>
      <c r="H668" s="76">
        <v>2</v>
      </c>
      <c r="I668" s="54" t="s">
        <v>20</v>
      </c>
      <c r="J668" s="77">
        <v>40</v>
      </c>
      <c r="K668" s="78">
        <v>2</v>
      </c>
      <c r="L668" s="54">
        <v>1</v>
      </c>
      <c r="M668" s="54">
        <f>_xlfn.XLOOKUP(Survey!$F668,sections[Start],sections[Test Section],,-1,1)</f>
        <v>2</v>
      </c>
      <c r="N668" s="55">
        <f>_xlfn.XLOOKUP(Survey!$K668,pipedata[ID],pipedata[WT])</f>
        <v>0.74</v>
      </c>
      <c r="O668" s="56">
        <f>_xlfn.XLOOKUP(Survey!$K668,pipedata[ID],pipedata[104%])</f>
        <v>2565.3333333333335</v>
      </c>
      <c r="P668" s="57">
        <f t="shared" si="10"/>
        <v>1850</v>
      </c>
      <c r="Q668" s="58">
        <f>_xlfn.MAXIFS(Survey!$G$2:$G$3647,Survey!$M$2:$M$3647,Survey!$M668)-Survey!$G668</f>
        <v>52.984067356448577</v>
      </c>
      <c r="R668" s="59">
        <f>Survey!$P668+(Survey!$Q668*0.433)</f>
        <v>1872.9421011653421</v>
      </c>
    </row>
    <row r="669" spans="1:18" x14ac:dyDescent="0.25">
      <c r="A669" s="60" t="s">
        <v>17</v>
      </c>
      <c r="B669" s="61" t="s">
        <v>18</v>
      </c>
      <c r="C669" s="62" t="s">
        <v>19</v>
      </c>
      <c r="D669" s="63">
        <v>232.05208468095179</v>
      </c>
      <c r="E669" s="79">
        <v>1253569</v>
      </c>
      <c r="F669" s="80">
        <v>1226206.2142857136</v>
      </c>
      <c r="G669" s="66">
        <v>2710.306183970783</v>
      </c>
      <c r="H669" s="67">
        <v>2</v>
      </c>
      <c r="I669" s="68" t="s">
        <v>20</v>
      </c>
      <c r="J669" s="69">
        <v>40</v>
      </c>
      <c r="K669" s="70">
        <v>2</v>
      </c>
      <c r="L669" s="68">
        <v>1</v>
      </c>
      <c r="M669" s="68">
        <f>_xlfn.XLOOKUP(Survey!$F669,sections[Start],sections[Test Section],,-1,1)</f>
        <v>2</v>
      </c>
      <c r="N669" s="55">
        <f>_xlfn.XLOOKUP(Survey!$K669,pipedata[ID],pipedata[WT])</f>
        <v>0.74</v>
      </c>
      <c r="O669" s="56">
        <f>_xlfn.XLOOKUP(Survey!$K669,pipedata[ID],pipedata[104%])</f>
        <v>2565.3333333333335</v>
      </c>
      <c r="P669" s="57">
        <f t="shared" si="10"/>
        <v>1850</v>
      </c>
      <c r="Q669" s="58">
        <f>_xlfn.MAXIFS(Survey!$G$2:$G$3647,Survey!$M$2:$M$3647,Survey!$M669)-Survey!$G669</f>
        <v>53.360060230959334</v>
      </c>
      <c r="R669" s="59">
        <f>Survey!$P669+(Survey!$Q669*0.433)</f>
        <v>1873.1049060800053</v>
      </c>
    </row>
    <row r="670" spans="1:18" x14ac:dyDescent="0.25">
      <c r="A670" s="71" t="s">
        <v>17</v>
      </c>
      <c r="B670" s="72" t="s">
        <v>18</v>
      </c>
      <c r="C670" s="73" t="s">
        <v>19</v>
      </c>
      <c r="D670" s="74">
        <v>232.05984612519521</v>
      </c>
      <c r="E670" s="81">
        <v>1253609</v>
      </c>
      <c r="F670" s="82">
        <v>1226244.6050420161</v>
      </c>
      <c r="G670" s="75">
        <v>2710.5317196232354</v>
      </c>
      <c r="H670" s="76">
        <v>2</v>
      </c>
      <c r="I670" s="54" t="s">
        <v>20</v>
      </c>
      <c r="J670" s="77">
        <v>40</v>
      </c>
      <c r="K670" s="78">
        <v>2</v>
      </c>
      <c r="L670" s="54">
        <v>1</v>
      </c>
      <c r="M670" s="54">
        <f>_xlfn.XLOOKUP(Survey!$F670,sections[Start],sections[Test Section],,-1,1)</f>
        <v>2</v>
      </c>
      <c r="N670" s="55">
        <f>_xlfn.XLOOKUP(Survey!$K670,pipedata[ID],pipedata[WT])</f>
        <v>0.74</v>
      </c>
      <c r="O670" s="56">
        <f>_xlfn.XLOOKUP(Survey!$K670,pipedata[ID],pipedata[104%])</f>
        <v>2565.3333333333335</v>
      </c>
      <c r="P670" s="57">
        <f t="shared" si="10"/>
        <v>1850</v>
      </c>
      <c r="Q670" s="58">
        <f>_xlfn.MAXIFS(Survey!$G$2:$G$3647,Survey!$M$2:$M$3647,Survey!$M670)-Survey!$G670</f>
        <v>53.134524578506898</v>
      </c>
      <c r="R670" s="59">
        <f>Survey!$P670+(Survey!$Q670*0.433)</f>
        <v>1873.0072491424935</v>
      </c>
    </row>
    <row r="671" spans="1:18" x14ac:dyDescent="0.25">
      <c r="A671" s="60" t="s">
        <v>17</v>
      </c>
      <c r="B671" s="61" t="s">
        <v>18</v>
      </c>
      <c r="C671" s="62" t="s">
        <v>19</v>
      </c>
      <c r="D671" s="63">
        <v>232.0671205196019</v>
      </c>
      <c r="E671" s="79">
        <v>1253649</v>
      </c>
      <c r="F671" s="80">
        <v>1226282.9957983186</v>
      </c>
      <c r="G671" s="66">
        <v>2712.960196157152</v>
      </c>
      <c r="H671" s="67">
        <v>2</v>
      </c>
      <c r="I671" s="68" t="s">
        <v>20</v>
      </c>
      <c r="J671" s="69">
        <v>40</v>
      </c>
      <c r="K671" s="70">
        <v>2</v>
      </c>
      <c r="L671" s="68">
        <v>1</v>
      </c>
      <c r="M671" s="68">
        <f>_xlfn.XLOOKUP(Survey!$F671,sections[Start],sections[Test Section],,-1,1)</f>
        <v>2</v>
      </c>
      <c r="N671" s="55">
        <f>_xlfn.XLOOKUP(Survey!$K671,pipedata[ID],pipedata[WT])</f>
        <v>0.74</v>
      </c>
      <c r="O671" s="56">
        <f>_xlfn.XLOOKUP(Survey!$K671,pipedata[ID],pipedata[104%])</f>
        <v>2565.3333333333335</v>
      </c>
      <c r="P671" s="57">
        <f t="shared" si="10"/>
        <v>1850</v>
      </c>
      <c r="Q671" s="58">
        <f>_xlfn.MAXIFS(Survey!$G$2:$G$3647,Survey!$M$2:$M$3647,Survey!$M671)-Survey!$G671</f>
        <v>50.706048044590261</v>
      </c>
      <c r="R671" s="59">
        <f>Survey!$P671+(Survey!$Q671*0.433)</f>
        <v>1871.9557188033075</v>
      </c>
    </row>
    <row r="672" spans="1:18" x14ac:dyDescent="0.25">
      <c r="A672" s="71" t="s">
        <v>17</v>
      </c>
      <c r="B672" s="72" t="s">
        <v>18</v>
      </c>
      <c r="C672" s="73" t="s">
        <v>19</v>
      </c>
      <c r="D672" s="74">
        <v>232.07402173740499</v>
      </c>
      <c r="E672" s="81">
        <v>1253689</v>
      </c>
      <c r="F672" s="82">
        <v>1226321.3865546212</v>
      </c>
      <c r="G672" s="75">
        <v>2715.3021141154582</v>
      </c>
      <c r="H672" s="76">
        <v>2</v>
      </c>
      <c r="I672" s="54" t="s">
        <v>20</v>
      </c>
      <c r="J672" s="77">
        <v>40</v>
      </c>
      <c r="K672" s="78">
        <v>2</v>
      </c>
      <c r="L672" s="54">
        <v>1</v>
      </c>
      <c r="M672" s="54">
        <f>_xlfn.XLOOKUP(Survey!$F672,sections[Start],sections[Test Section],,-1,1)</f>
        <v>2</v>
      </c>
      <c r="N672" s="55">
        <f>_xlfn.XLOOKUP(Survey!$K672,pipedata[ID],pipedata[WT])</f>
        <v>0.74</v>
      </c>
      <c r="O672" s="56">
        <f>_xlfn.XLOOKUP(Survey!$K672,pipedata[ID],pipedata[104%])</f>
        <v>2565.3333333333335</v>
      </c>
      <c r="P672" s="57">
        <f t="shared" si="10"/>
        <v>1850</v>
      </c>
      <c r="Q672" s="58">
        <f>_xlfn.MAXIFS(Survey!$G$2:$G$3647,Survey!$M$2:$M$3647,Survey!$M672)-Survey!$G672</f>
        <v>48.364130086284149</v>
      </c>
      <c r="R672" s="59">
        <f>Survey!$P672+(Survey!$Q672*0.433)</f>
        <v>1870.941668327361</v>
      </c>
    </row>
    <row r="673" spans="1:18" x14ac:dyDescent="0.25">
      <c r="A673" s="60" t="s">
        <v>17</v>
      </c>
      <c r="B673" s="61" t="s">
        <v>18</v>
      </c>
      <c r="C673" s="62" t="s">
        <v>19</v>
      </c>
      <c r="D673" s="63">
        <v>232.08230319876898</v>
      </c>
      <c r="E673" s="79">
        <v>1253729</v>
      </c>
      <c r="F673" s="80">
        <v>1226359.7773109237</v>
      </c>
      <c r="G673" s="66">
        <v>2718.731213547067</v>
      </c>
      <c r="H673" s="67">
        <v>2</v>
      </c>
      <c r="I673" s="68" t="s">
        <v>20</v>
      </c>
      <c r="J673" s="69">
        <v>40</v>
      </c>
      <c r="K673" s="70">
        <v>2</v>
      </c>
      <c r="L673" s="68">
        <v>1</v>
      </c>
      <c r="M673" s="68">
        <f>_xlfn.XLOOKUP(Survey!$F673,sections[Start],sections[Test Section],,-1,1)</f>
        <v>2</v>
      </c>
      <c r="N673" s="55">
        <f>_xlfn.XLOOKUP(Survey!$K673,pipedata[ID],pipedata[WT])</f>
        <v>0.74</v>
      </c>
      <c r="O673" s="56">
        <f>_xlfn.XLOOKUP(Survey!$K673,pipedata[ID],pipedata[104%])</f>
        <v>2565.3333333333335</v>
      </c>
      <c r="P673" s="57">
        <f t="shared" si="10"/>
        <v>1850</v>
      </c>
      <c r="Q673" s="58">
        <f>_xlfn.MAXIFS(Survey!$G$2:$G$3647,Survey!$M$2:$M$3647,Survey!$M673)-Survey!$G673</f>
        <v>44.935030654675302</v>
      </c>
      <c r="R673" s="59">
        <f>Survey!$P673+(Survey!$Q673*0.433)</f>
        <v>1869.4568682734744</v>
      </c>
    </row>
    <row r="674" spans="1:18" x14ac:dyDescent="0.25">
      <c r="A674" s="71" t="s">
        <v>17</v>
      </c>
      <c r="B674" s="72" t="s">
        <v>18</v>
      </c>
      <c r="C674" s="73" t="s">
        <v>19</v>
      </c>
      <c r="D674" s="74">
        <v>232.08920441657239</v>
      </c>
      <c r="E674" s="81">
        <v>1253769</v>
      </c>
      <c r="F674" s="82">
        <v>1226398.1680672262</v>
      </c>
      <c r="G674" s="75">
        <v>2722.5588973360077</v>
      </c>
      <c r="H674" s="76">
        <v>2</v>
      </c>
      <c r="I674" s="54" t="s">
        <v>20</v>
      </c>
      <c r="J674" s="77">
        <v>40</v>
      </c>
      <c r="K674" s="78">
        <v>2</v>
      </c>
      <c r="L674" s="54">
        <v>1</v>
      </c>
      <c r="M674" s="54">
        <f>_xlfn.XLOOKUP(Survey!$F674,sections[Start],sections[Test Section],,-1,1)</f>
        <v>2</v>
      </c>
      <c r="N674" s="55">
        <f>_xlfn.XLOOKUP(Survey!$K674,pipedata[ID],pipedata[WT])</f>
        <v>0.74</v>
      </c>
      <c r="O674" s="56">
        <f>_xlfn.XLOOKUP(Survey!$K674,pipedata[ID],pipedata[104%])</f>
        <v>2565.3333333333335</v>
      </c>
      <c r="P674" s="57">
        <f t="shared" si="10"/>
        <v>1850</v>
      </c>
      <c r="Q674" s="58">
        <f>_xlfn.MAXIFS(Survey!$G$2:$G$3647,Survey!$M$2:$M$3647,Survey!$M674)-Survey!$G674</f>
        <v>41.107346865734598</v>
      </c>
      <c r="R674" s="59">
        <f>Survey!$P674+(Survey!$Q674*0.433)</f>
        <v>1867.7994811928631</v>
      </c>
    </row>
    <row r="675" spans="1:18" x14ac:dyDescent="0.25">
      <c r="A675" s="60" t="s">
        <v>17</v>
      </c>
      <c r="B675" s="61" t="s">
        <v>18</v>
      </c>
      <c r="C675" s="62" t="s">
        <v>19</v>
      </c>
      <c r="D675" s="63">
        <v>232.09748587793663</v>
      </c>
      <c r="E675" s="79">
        <v>1253809</v>
      </c>
      <c r="F675" s="80">
        <v>1226436.5588235287</v>
      </c>
      <c r="G675" s="66">
        <v>2725.4862040695843</v>
      </c>
      <c r="H675" s="67">
        <v>2</v>
      </c>
      <c r="I675" s="68" t="s">
        <v>20</v>
      </c>
      <c r="J675" s="69">
        <v>40</v>
      </c>
      <c r="K675" s="70">
        <v>2</v>
      </c>
      <c r="L675" s="68">
        <v>1</v>
      </c>
      <c r="M675" s="68">
        <f>_xlfn.XLOOKUP(Survey!$F675,sections[Start],sections[Test Section],,-1,1)</f>
        <v>2</v>
      </c>
      <c r="N675" s="55">
        <f>_xlfn.XLOOKUP(Survey!$K675,pipedata[ID],pipedata[WT])</f>
        <v>0.74</v>
      </c>
      <c r="O675" s="56">
        <f>_xlfn.XLOOKUP(Survey!$K675,pipedata[ID],pipedata[104%])</f>
        <v>2565.3333333333335</v>
      </c>
      <c r="P675" s="57">
        <f t="shared" si="10"/>
        <v>1850</v>
      </c>
      <c r="Q675" s="58">
        <f>_xlfn.MAXIFS(Survey!$G$2:$G$3647,Survey!$M$2:$M$3647,Survey!$M675)-Survey!$G675</f>
        <v>38.180040132157956</v>
      </c>
      <c r="R675" s="59">
        <f>Survey!$P675+(Survey!$Q675*0.433)</f>
        <v>1866.5319573772244</v>
      </c>
    </row>
    <row r="676" spans="1:18" x14ac:dyDescent="0.25">
      <c r="A676" s="71" t="s">
        <v>17</v>
      </c>
      <c r="B676" s="72" t="s">
        <v>18</v>
      </c>
      <c r="C676" s="73" t="s">
        <v>19</v>
      </c>
      <c r="D676" s="74">
        <v>232.10445099244407</v>
      </c>
      <c r="E676" s="81">
        <v>1253849</v>
      </c>
      <c r="F676" s="82">
        <v>1226474.9495798312</v>
      </c>
      <c r="G676" s="75">
        <v>2730.6003584842051</v>
      </c>
      <c r="H676" s="76">
        <v>2</v>
      </c>
      <c r="I676" s="54" t="s">
        <v>20</v>
      </c>
      <c r="J676" s="77">
        <v>40</v>
      </c>
      <c r="K676" s="78">
        <v>2</v>
      </c>
      <c r="L676" s="54">
        <v>1</v>
      </c>
      <c r="M676" s="54">
        <f>_xlfn.XLOOKUP(Survey!$F676,sections[Start],sections[Test Section],,-1,1)</f>
        <v>2</v>
      </c>
      <c r="N676" s="55">
        <f>_xlfn.XLOOKUP(Survey!$K676,pipedata[ID],pipedata[WT])</f>
        <v>0.74</v>
      </c>
      <c r="O676" s="56">
        <f>_xlfn.XLOOKUP(Survey!$K676,pipedata[ID],pipedata[104%])</f>
        <v>2565.3333333333335</v>
      </c>
      <c r="P676" s="57">
        <f t="shared" si="10"/>
        <v>1850</v>
      </c>
      <c r="Q676" s="58">
        <f>_xlfn.MAXIFS(Survey!$G$2:$G$3647,Survey!$M$2:$M$3647,Survey!$M676)-Survey!$G676</f>
        <v>33.065885717537185</v>
      </c>
      <c r="R676" s="59">
        <f>Survey!$P676+(Survey!$Q676*0.433)</f>
        <v>1864.3175285156935</v>
      </c>
    </row>
    <row r="677" spans="1:18" x14ac:dyDescent="0.25">
      <c r="A677" s="60" t="s">
        <v>17</v>
      </c>
      <c r="B677" s="61" t="s">
        <v>18</v>
      </c>
      <c r="C677" s="62" t="s">
        <v>19</v>
      </c>
      <c r="D677" s="63">
        <v>232.1122992782407</v>
      </c>
      <c r="E677" s="79">
        <v>1253889</v>
      </c>
      <c r="F677" s="80">
        <v>1226513.3403361337</v>
      </c>
      <c r="G677" s="66">
        <v>2734.9178744315391</v>
      </c>
      <c r="H677" s="67">
        <v>2</v>
      </c>
      <c r="I677" s="68" t="s">
        <v>20</v>
      </c>
      <c r="J677" s="69">
        <v>40</v>
      </c>
      <c r="K677" s="70">
        <v>2</v>
      </c>
      <c r="L677" s="68">
        <v>1</v>
      </c>
      <c r="M677" s="68">
        <f>_xlfn.XLOOKUP(Survey!$F677,sections[Start],sections[Test Section],,-1,1)</f>
        <v>2</v>
      </c>
      <c r="N677" s="55">
        <f>_xlfn.XLOOKUP(Survey!$K677,pipedata[ID],pipedata[WT])</f>
        <v>0.74</v>
      </c>
      <c r="O677" s="56">
        <f>_xlfn.XLOOKUP(Survey!$K677,pipedata[ID],pipedata[104%])</f>
        <v>2565.3333333333335</v>
      </c>
      <c r="P677" s="57">
        <f t="shared" si="10"/>
        <v>1850</v>
      </c>
      <c r="Q677" s="58">
        <f>_xlfn.MAXIFS(Survey!$G$2:$G$3647,Survey!$M$2:$M$3647,Survey!$M677)-Survey!$G677</f>
        <v>28.748369770203226</v>
      </c>
      <c r="R677" s="59">
        <f>Survey!$P677+(Survey!$Q677*0.433)</f>
        <v>1862.4480441104979</v>
      </c>
    </row>
    <row r="678" spans="1:18" x14ac:dyDescent="0.25">
      <c r="A678" s="71" t="s">
        <v>17</v>
      </c>
      <c r="B678" s="72" t="s">
        <v>18</v>
      </c>
      <c r="C678" s="73" t="s">
        <v>19</v>
      </c>
      <c r="D678" s="74">
        <v>232.11911764147004</v>
      </c>
      <c r="E678" s="64">
        <v>1253929</v>
      </c>
      <c r="F678" s="65">
        <v>1226551.7310924362</v>
      </c>
      <c r="G678" s="75">
        <v>2742.4554825364494</v>
      </c>
      <c r="H678" s="76">
        <v>2</v>
      </c>
      <c r="I678" s="54" t="s">
        <v>20</v>
      </c>
      <c r="J678" s="77">
        <v>40</v>
      </c>
      <c r="K678" s="78">
        <v>2</v>
      </c>
      <c r="L678" s="54">
        <v>1</v>
      </c>
      <c r="M678" s="54">
        <f>_xlfn.XLOOKUP(Survey!$F678,sections[Start],sections[Test Section],,-1,1)</f>
        <v>2</v>
      </c>
      <c r="N678" s="55">
        <f>_xlfn.XLOOKUP(Survey!$K678,pipedata[ID],pipedata[WT])</f>
        <v>0.74</v>
      </c>
      <c r="O678" s="56">
        <f>_xlfn.XLOOKUP(Survey!$K678,pipedata[ID],pipedata[104%])</f>
        <v>2565.3333333333335</v>
      </c>
      <c r="P678" s="57">
        <f t="shared" si="10"/>
        <v>1850</v>
      </c>
      <c r="Q678" s="58">
        <f>_xlfn.MAXIFS(Survey!$G$2:$G$3647,Survey!$M$2:$M$3647,Survey!$M678)-Survey!$G678</f>
        <v>21.210761665292921</v>
      </c>
      <c r="R678" s="59">
        <f>Survey!$P678+(Survey!$Q678*0.433)</f>
        <v>1859.1842598010719</v>
      </c>
    </row>
    <row r="679" spans="1:18" x14ac:dyDescent="0.25">
      <c r="A679" s="60" t="s">
        <v>17</v>
      </c>
      <c r="B679" s="61" t="s">
        <v>18</v>
      </c>
      <c r="C679" s="62" t="s">
        <v>19</v>
      </c>
      <c r="D679" s="63">
        <v>232.12710611496874</v>
      </c>
      <c r="E679" s="79">
        <v>1253969</v>
      </c>
      <c r="F679" s="80">
        <v>1226590.1218487388</v>
      </c>
      <c r="G679" s="66">
        <v>2751.299724189093</v>
      </c>
      <c r="H679" s="67">
        <v>2</v>
      </c>
      <c r="I679" s="68" t="s">
        <v>20</v>
      </c>
      <c r="J679" s="69">
        <v>40</v>
      </c>
      <c r="K679" s="70">
        <v>2</v>
      </c>
      <c r="L679" s="68">
        <v>1</v>
      </c>
      <c r="M679" s="68">
        <f>_xlfn.XLOOKUP(Survey!$F679,sections[Start],sections[Test Section],,-1,1)</f>
        <v>2</v>
      </c>
      <c r="N679" s="55">
        <f>_xlfn.XLOOKUP(Survey!$K679,pipedata[ID],pipedata[WT])</f>
        <v>0.74</v>
      </c>
      <c r="O679" s="56">
        <f>_xlfn.XLOOKUP(Survey!$K679,pipedata[ID],pipedata[104%])</f>
        <v>2565.3333333333335</v>
      </c>
      <c r="P679" s="57">
        <f t="shared" si="10"/>
        <v>1850</v>
      </c>
      <c r="Q679" s="58">
        <f>_xlfn.MAXIFS(Survey!$G$2:$G$3647,Survey!$M$2:$M$3647,Survey!$M679)-Survey!$G679</f>
        <v>12.366520012649289</v>
      </c>
      <c r="R679" s="59">
        <f>Survey!$P679+(Survey!$Q679*0.433)</f>
        <v>1855.3547031654771</v>
      </c>
    </row>
    <row r="680" spans="1:18" x14ac:dyDescent="0.25">
      <c r="A680" s="71" t="s">
        <v>17</v>
      </c>
      <c r="B680" s="72" t="s">
        <v>18</v>
      </c>
      <c r="C680" s="73" t="s">
        <v>19</v>
      </c>
      <c r="D680" s="74">
        <v>232.13435373479342</v>
      </c>
      <c r="E680" s="81">
        <v>1254009</v>
      </c>
      <c r="F680" s="82">
        <v>1226628.5126050413</v>
      </c>
      <c r="G680" s="75">
        <v>2757.7208044697873</v>
      </c>
      <c r="H680" s="76">
        <v>2</v>
      </c>
      <c r="I680" s="54" t="s">
        <v>20</v>
      </c>
      <c r="J680" s="77">
        <v>40</v>
      </c>
      <c r="K680" s="78">
        <v>2</v>
      </c>
      <c r="L680" s="54">
        <v>1</v>
      </c>
      <c r="M680" s="54">
        <f>_xlfn.XLOOKUP(Survey!$F680,sections[Start],sections[Test Section],,-1,1)</f>
        <v>2</v>
      </c>
      <c r="N680" s="55">
        <f>_xlfn.XLOOKUP(Survey!$K680,pipedata[ID],pipedata[WT])</f>
        <v>0.74</v>
      </c>
      <c r="O680" s="56">
        <f>_xlfn.XLOOKUP(Survey!$K680,pipedata[ID],pipedata[104%])</f>
        <v>2565.3333333333335</v>
      </c>
      <c r="P680" s="57">
        <f t="shared" si="10"/>
        <v>1850</v>
      </c>
      <c r="Q680" s="58">
        <f>_xlfn.MAXIFS(Survey!$G$2:$G$3647,Survey!$M$2:$M$3647,Survey!$M680)-Survey!$G680</f>
        <v>5.945439731955048</v>
      </c>
      <c r="R680" s="59">
        <f>Survey!$P680+(Survey!$Q680*0.433)</f>
        <v>1852.5743754039365</v>
      </c>
    </row>
    <row r="681" spans="1:18" x14ac:dyDescent="0.25">
      <c r="A681" s="60" t="s">
        <v>17</v>
      </c>
      <c r="B681" s="61" t="s">
        <v>18</v>
      </c>
      <c r="C681" s="62" t="s">
        <v>19</v>
      </c>
      <c r="D681" s="63">
        <v>232.14196687692822</v>
      </c>
      <c r="E681" s="79">
        <v>1254049</v>
      </c>
      <c r="F681" s="80">
        <v>1226666.9033613438</v>
      </c>
      <c r="G681" s="66">
        <v>2756.8337064956636</v>
      </c>
      <c r="H681" s="67">
        <v>2</v>
      </c>
      <c r="I681" s="68" t="s">
        <v>20</v>
      </c>
      <c r="J681" s="69">
        <v>40</v>
      </c>
      <c r="K681" s="70">
        <v>2</v>
      </c>
      <c r="L681" s="68">
        <v>1</v>
      </c>
      <c r="M681" s="68">
        <f>_xlfn.XLOOKUP(Survey!$F681,sections[Start],sections[Test Section],,-1,1)</f>
        <v>2</v>
      </c>
      <c r="N681" s="55">
        <f>_xlfn.XLOOKUP(Survey!$K681,pipedata[ID],pipedata[WT])</f>
        <v>0.74</v>
      </c>
      <c r="O681" s="56">
        <f>_xlfn.XLOOKUP(Survey!$K681,pipedata[ID],pipedata[104%])</f>
        <v>2565.3333333333335</v>
      </c>
      <c r="P681" s="57">
        <f t="shared" si="10"/>
        <v>1850</v>
      </c>
      <c r="Q681" s="58">
        <f>_xlfn.MAXIFS(Survey!$G$2:$G$3647,Survey!$M$2:$M$3647,Survey!$M681)-Survey!$G681</f>
        <v>6.8325377060787105</v>
      </c>
      <c r="R681" s="59">
        <f>Survey!$P681+(Survey!$Q681*0.433)</f>
        <v>1852.958488826732</v>
      </c>
    </row>
    <row r="682" spans="1:18" x14ac:dyDescent="0.25">
      <c r="A682" s="71" t="s">
        <v>17</v>
      </c>
      <c r="B682" s="72" t="s">
        <v>18</v>
      </c>
      <c r="C682" s="73" t="s">
        <v>19</v>
      </c>
      <c r="D682" s="74">
        <v>232.14958001906308</v>
      </c>
      <c r="E682" s="81">
        <v>1254089</v>
      </c>
      <c r="F682" s="82">
        <v>1226705.2941176463</v>
      </c>
      <c r="G682" s="75">
        <v>2752.4569062885571</v>
      </c>
      <c r="H682" s="76">
        <v>2</v>
      </c>
      <c r="I682" s="54" t="s">
        <v>20</v>
      </c>
      <c r="J682" s="77">
        <v>40</v>
      </c>
      <c r="K682" s="78">
        <v>2</v>
      </c>
      <c r="L682" s="54">
        <v>1</v>
      </c>
      <c r="M682" s="54">
        <f>_xlfn.XLOOKUP(Survey!$F682,sections[Start],sections[Test Section],,-1,1)</f>
        <v>2</v>
      </c>
      <c r="N682" s="55">
        <f>_xlfn.XLOOKUP(Survey!$K682,pipedata[ID],pipedata[WT])</f>
        <v>0.74</v>
      </c>
      <c r="O682" s="56">
        <f>_xlfn.XLOOKUP(Survey!$K682,pipedata[ID],pipedata[104%])</f>
        <v>2565.3333333333335</v>
      </c>
      <c r="P682" s="57">
        <f t="shared" si="10"/>
        <v>1850</v>
      </c>
      <c r="Q682" s="58">
        <f>_xlfn.MAXIFS(Survey!$G$2:$G$3647,Survey!$M$2:$M$3647,Survey!$M682)-Survey!$G682</f>
        <v>11.209337913185209</v>
      </c>
      <c r="R682" s="59">
        <f>Survey!$P682+(Survey!$Q682*0.433)</f>
        <v>1854.8536433164093</v>
      </c>
    </row>
    <row r="683" spans="1:18" x14ac:dyDescent="0.25">
      <c r="A683" s="60" t="s">
        <v>17</v>
      </c>
      <c r="B683" s="61" t="s">
        <v>18</v>
      </c>
      <c r="C683" s="62" t="s">
        <v>19</v>
      </c>
      <c r="D683" s="63">
        <v>232.15719316119794</v>
      </c>
      <c r="E683" s="79">
        <v>1254129</v>
      </c>
      <c r="F683" s="80">
        <v>1226743.6848739488</v>
      </c>
      <c r="G683" s="66">
        <v>2749.8506503722269</v>
      </c>
      <c r="H683" s="67">
        <v>2</v>
      </c>
      <c r="I683" s="68" t="s">
        <v>20</v>
      </c>
      <c r="J683" s="69">
        <v>40</v>
      </c>
      <c r="K683" s="70">
        <v>2</v>
      </c>
      <c r="L683" s="68">
        <v>1</v>
      </c>
      <c r="M683" s="68">
        <f>_xlfn.XLOOKUP(Survey!$F683,sections[Start],sections[Test Section],,-1,1)</f>
        <v>2</v>
      </c>
      <c r="N683" s="55">
        <f>_xlfn.XLOOKUP(Survey!$K683,pipedata[ID],pipedata[WT])</f>
        <v>0.74</v>
      </c>
      <c r="O683" s="56">
        <f>_xlfn.XLOOKUP(Survey!$K683,pipedata[ID],pipedata[104%])</f>
        <v>2565.3333333333335</v>
      </c>
      <c r="P683" s="57">
        <f t="shared" si="10"/>
        <v>1850</v>
      </c>
      <c r="Q683" s="58">
        <f>_xlfn.MAXIFS(Survey!$G$2:$G$3647,Survey!$M$2:$M$3647,Survey!$M683)-Survey!$G683</f>
        <v>13.815593829515365</v>
      </c>
      <c r="R683" s="59">
        <f>Survey!$P683+(Survey!$Q683*0.433)</f>
        <v>1855.9821521281801</v>
      </c>
    </row>
    <row r="684" spans="1:18" x14ac:dyDescent="0.25">
      <c r="A684" s="71" t="s">
        <v>17</v>
      </c>
      <c r="B684" s="72" t="s">
        <v>18</v>
      </c>
      <c r="C684" s="73" t="s">
        <v>19</v>
      </c>
      <c r="D684" s="74">
        <v>232.16507181608992</v>
      </c>
      <c r="E684" s="81">
        <v>1254169</v>
      </c>
      <c r="F684" s="82">
        <v>1226782.0756302513</v>
      </c>
      <c r="G684" s="75">
        <v>2745.9566670538297</v>
      </c>
      <c r="H684" s="76">
        <v>2</v>
      </c>
      <c r="I684" s="54" t="s">
        <v>20</v>
      </c>
      <c r="J684" s="77">
        <v>40</v>
      </c>
      <c r="K684" s="78">
        <v>2</v>
      </c>
      <c r="L684" s="54">
        <v>1</v>
      </c>
      <c r="M684" s="54">
        <f>_xlfn.XLOOKUP(Survey!$F684,sections[Start],sections[Test Section],,-1,1)</f>
        <v>2</v>
      </c>
      <c r="N684" s="55">
        <f>_xlfn.XLOOKUP(Survey!$K684,pipedata[ID],pipedata[WT])</f>
        <v>0.74</v>
      </c>
      <c r="O684" s="56">
        <f>_xlfn.XLOOKUP(Survey!$K684,pipedata[ID],pipedata[104%])</f>
        <v>2565.3333333333335</v>
      </c>
      <c r="P684" s="57">
        <f t="shared" si="10"/>
        <v>1850</v>
      </c>
      <c r="Q684" s="58">
        <f>_xlfn.MAXIFS(Survey!$G$2:$G$3647,Survey!$M$2:$M$3647,Survey!$M684)-Survey!$G684</f>
        <v>17.709577147912569</v>
      </c>
      <c r="R684" s="59">
        <f>Survey!$P684+(Survey!$Q684*0.433)</f>
        <v>1857.6682469050461</v>
      </c>
    </row>
    <row r="685" spans="1:18" x14ac:dyDescent="0.25">
      <c r="A685" s="60" t="s">
        <v>17</v>
      </c>
      <c r="B685" s="61" t="s">
        <v>18</v>
      </c>
      <c r="C685" s="62" t="s">
        <v>19</v>
      </c>
      <c r="D685" s="63">
        <v>232.17241944546765</v>
      </c>
      <c r="E685" s="79">
        <v>1254209</v>
      </c>
      <c r="F685" s="80">
        <v>1226820.4663865538</v>
      </c>
      <c r="G685" s="66">
        <v>2742.2322361691145</v>
      </c>
      <c r="H685" s="67">
        <v>2</v>
      </c>
      <c r="I685" s="68" t="s">
        <v>20</v>
      </c>
      <c r="J685" s="69">
        <v>40</v>
      </c>
      <c r="K685" s="70">
        <v>2</v>
      </c>
      <c r="L685" s="68">
        <v>1</v>
      </c>
      <c r="M685" s="68">
        <f>_xlfn.XLOOKUP(Survey!$F685,sections[Start],sections[Test Section],,-1,1)</f>
        <v>2</v>
      </c>
      <c r="N685" s="55">
        <f>_xlfn.XLOOKUP(Survey!$K685,pipedata[ID],pipedata[WT])</f>
        <v>0.74</v>
      </c>
      <c r="O685" s="56">
        <f>_xlfn.XLOOKUP(Survey!$K685,pipedata[ID],pipedata[104%])</f>
        <v>2565.3333333333335</v>
      </c>
      <c r="P685" s="57">
        <f t="shared" si="10"/>
        <v>1850</v>
      </c>
      <c r="Q685" s="58">
        <f>_xlfn.MAXIFS(Survey!$G$2:$G$3647,Survey!$M$2:$M$3647,Survey!$M685)-Survey!$G685</f>
        <v>21.434008032627844</v>
      </c>
      <c r="R685" s="59">
        <f>Survey!$P685+(Survey!$Q685*0.433)</f>
        <v>1859.2809254781278</v>
      </c>
    </row>
    <row r="686" spans="1:18" x14ac:dyDescent="0.25">
      <c r="A686" s="71" t="s">
        <v>17</v>
      </c>
      <c r="B686" s="72" t="s">
        <v>18</v>
      </c>
      <c r="C686" s="73" t="s">
        <v>19</v>
      </c>
      <c r="D686" s="74">
        <v>232.18002731210797</v>
      </c>
      <c r="E686" s="81">
        <v>1254249</v>
      </c>
      <c r="F686" s="82">
        <v>1226858.8571428563</v>
      </c>
      <c r="G686" s="75">
        <v>2739.1062466249464</v>
      </c>
      <c r="H686" s="76">
        <v>2</v>
      </c>
      <c r="I686" s="54" t="s">
        <v>20</v>
      </c>
      <c r="J686" s="77">
        <v>40</v>
      </c>
      <c r="K686" s="78">
        <v>2</v>
      </c>
      <c r="L686" s="54">
        <v>1</v>
      </c>
      <c r="M686" s="54">
        <f>_xlfn.XLOOKUP(Survey!$F686,sections[Start],sections[Test Section],,-1,1)</f>
        <v>2</v>
      </c>
      <c r="N686" s="55">
        <f>_xlfn.XLOOKUP(Survey!$K686,pipedata[ID],pipedata[WT])</f>
        <v>0.74</v>
      </c>
      <c r="O686" s="56">
        <f>_xlfn.XLOOKUP(Survey!$K686,pipedata[ID],pipedata[104%])</f>
        <v>2565.3333333333335</v>
      </c>
      <c r="P686" s="57">
        <f t="shared" si="10"/>
        <v>1850</v>
      </c>
      <c r="Q686" s="58">
        <f>_xlfn.MAXIFS(Survey!$G$2:$G$3647,Survey!$M$2:$M$3647,Survey!$M686)-Survey!$G686</f>
        <v>24.559997576795922</v>
      </c>
      <c r="R686" s="59">
        <f>Survey!$P686+(Survey!$Q686*0.433)</f>
        <v>1860.6344789507527</v>
      </c>
    </row>
    <row r="687" spans="1:18" x14ac:dyDescent="0.25">
      <c r="A687" s="60" t="s">
        <v>17</v>
      </c>
      <c r="B687" s="61" t="s">
        <v>18</v>
      </c>
      <c r="C687" s="62" t="s">
        <v>19</v>
      </c>
      <c r="D687" s="63">
        <v>232.18760858777034</v>
      </c>
      <c r="E687" s="79">
        <v>1254289</v>
      </c>
      <c r="F687" s="80">
        <v>1226897.2478991589</v>
      </c>
      <c r="G687" s="66">
        <v>2736.4807875982306</v>
      </c>
      <c r="H687" s="67">
        <v>2</v>
      </c>
      <c r="I687" s="68" t="s">
        <v>20</v>
      </c>
      <c r="J687" s="69">
        <v>40</v>
      </c>
      <c r="K687" s="70">
        <v>2</v>
      </c>
      <c r="L687" s="68">
        <v>1</v>
      </c>
      <c r="M687" s="68">
        <f>_xlfn.XLOOKUP(Survey!$F687,sections[Start],sections[Test Section],,-1,1)</f>
        <v>2</v>
      </c>
      <c r="N687" s="55">
        <f>_xlfn.XLOOKUP(Survey!$K687,pipedata[ID],pipedata[WT])</f>
        <v>0.74</v>
      </c>
      <c r="O687" s="56">
        <f>_xlfn.XLOOKUP(Survey!$K687,pipedata[ID],pipedata[104%])</f>
        <v>2565.3333333333335</v>
      </c>
      <c r="P687" s="57">
        <f t="shared" si="10"/>
        <v>1850</v>
      </c>
      <c r="Q687" s="58">
        <f>_xlfn.MAXIFS(Survey!$G$2:$G$3647,Survey!$M$2:$M$3647,Survey!$M687)-Survey!$G687</f>
        <v>27.185456603511739</v>
      </c>
      <c r="R687" s="59">
        <f>Survey!$P687+(Survey!$Q687*0.433)</f>
        <v>1861.7713027093205</v>
      </c>
    </row>
    <row r="688" spans="1:18" x14ac:dyDescent="0.25">
      <c r="A688" s="71" t="s">
        <v>17</v>
      </c>
      <c r="B688" s="72" t="s">
        <v>18</v>
      </c>
      <c r="C688" s="73" t="s">
        <v>19</v>
      </c>
      <c r="D688" s="74">
        <v>232.19518986343272</v>
      </c>
      <c r="E688" s="81">
        <v>1254329</v>
      </c>
      <c r="F688" s="82">
        <v>1226935.6386554614</v>
      </c>
      <c r="G688" s="75">
        <v>2733.909481043137</v>
      </c>
      <c r="H688" s="76">
        <v>2</v>
      </c>
      <c r="I688" s="54" t="s">
        <v>20</v>
      </c>
      <c r="J688" s="77">
        <v>40</v>
      </c>
      <c r="K688" s="78">
        <v>2</v>
      </c>
      <c r="L688" s="54">
        <v>1</v>
      </c>
      <c r="M688" s="54">
        <f>_xlfn.XLOOKUP(Survey!$F688,sections[Start],sections[Test Section],,-1,1)</f>
        <v>2</v>
      </c>
      <c r="N688" s="55">
        <f>_xlfn.XLOOKUP(Survey!$K688,pipedata[ID],pipedata[WT])</f>
        <v>0.74</v>
      </c>
      <c r="O688" s="56">
        <f>_xlfn.XLOOKUP(Survey!$K688,pipedata[ID],pipedata[104%])</f>
        <v>2565.3333333333335</v>
      </c>
      <c r="P688" s="57">
        <f t="shared" si="10"/>
        <v>1850</v>
      </c>
      <c r="Q688" s="58">
        <f>_xlfn.MAXIFS(Survey!$G$2:$G$3647,Survey!$M$2:$M$3647,Survey!$M688)-Survey!$G688</f>
        <v>29.756763158605281</v>
      </c>
      <c r="R688" s="59">
        <f>Survey!$P688+(Survey!$Q688*0.433)</f>
        <v>1862.8846784476762</v>
      </c>
    </row>
    <row r="689" spans="1:18" x14ac:dyDescent="0.25">
      <c r="A689" s="60" t="s">
        <v>17</v>
      </c>
      <c r="B689" s="61" t="s">
        <v>18</v>
      </c>
      <c r="C689" s="62" t="s">
        <v>19</v>
      </c>
      <c r="D689" s="63">
        <v>232.20277113909506</v>
      </c>
      <c r="E689" s="79">
        <v>1254369</v>
      </c>
      <c r="F689" s="80">
        <v>1226974.0294117639</v>
      </c>
      <c r="G689" s="66">
        <v>2730.6707865329167</v>
      </c>
      <c r="H689" s="67">
        <v>2</v>
      </c>
      <c r="I689" s="68" t="s">
        <v>20</v>
      </c>
      <c r="J689" s="69">
        <v>40</v>
      </c>
      <c r="K689" s="70">
        <v>2</v>
      </c>
      <c r="L689" s="68">
        <v>1</v>
      </c>
      <c r="M689" s="68">
        <f>_xlfn.XLOOKUP(Survey!$F689,sections[Start],sections[Test Section],,-1,1)</f>
        <v>2</v>
      </c>
      <c r="N689" s="55">
        <f>_xlfn.XLOOKUP(Survey!$K689,pipedata[ID],pipedata[WT])</f>
        <v>0.74</v>
      </c>
      <c r="O689" s="56">
        <f>_xlfn.XLOOKUP(Survey!$K689,pipedata[ID],pipedata[104%])</f>
        <v>2565.3333333333335</v>
      </c>
      <c r="P689" s="57">
        <f t="shared" si="10"/>
        <v>1850</v>
      </c>
      <c r="Q689" s="58">
        <f>_xlfn.MAXIFS(Survey!$G$2:$G$3647,Survey!$M$2:$M$3647,Survey!$M689)-Survey!$G689</f>
        <v>32.995457668825566</v>
      </c>
      <c r="R689" s="59">
        <f>Survey!$P689+(Survey!$Q689*0.433)</f>
        <v>1864.2870331706015</v>
      </c>
    </row>
    <row r="690" spans="1:18" x14ac:dyDescent="0.25">
      <c r="A690" s="71" t="s">
        <v>17</v>
      </c>
      <c r="B690" s="72" t="s">
        <v>18</v>
      </c>
      <c r="C690" s="73" t="s">
        <v>19</v>
      </c>
      <c r="D690" s="74">
        <v>232.21035241475744</v>
      </c>
      <c r="E690" s="64">
        <v>1254409</v>
      </c>
      <c r="F690" s="65">
        <v>1227012.4201680664</v>
      </c>
      <c r="G690" s="75">
        <v>2727.504009196532</v>
      </c>
      <c r="H690" s="76">
        <v>2</v>
      </c>
      <c r="I690" s="54" t="s">
        <v>20</v>
      </c>
      <c r="J690" s="77">
        <v>40</v>
      </c>
      <c r="K690" s="78">
        <v>2</v>
      </c>
      <c r="L690" s="54">
        <v>1</v>
      </c>
      <c r="M690" s="54">
        <f>_xlfn.XLOOKUP(Survey!$F690,sections[Start],sections[Test Section],,-1,1)</f>
        <v>2</v>
      </c>
      <c r="N690" s="55">
        <f>_xlfn.XLOOKUP(Survey!$K690,pipedata[ID],pipedata[WT])</f>
        <v>0.74</v>
      </c>
      <c r="O690" s="56">
        <f>_xlfn.XLOOKUP(Survey!$K690,pipedata[ID],pipedata[104%])</f>
        <v>2565.3333333333335</v>
      </c>
      <c r="P690" s="57">
        <f t="shared" si="10"/>
        <v>1850</v>
      </c>
      <c r="Q690" s="58">
        <f>_xlfn.MAXIFS(Survey!$G$2:$G$3647,Survey!$M$2:$M$3647,Survey!$M690)-Survey!$G690</f>
        <v>36.162235005210277</v>
      </c>
      <c r="R690" s="59">
        <f>Survey!$P690+(Survey!$Q690*0.433)</f>
        <v>1865.658247757256</v>
      </c>
    </row>
    <row r="691" spans="1:18" x14ac:dyDescent="0.25">
      <c r="A691" s="60" t="s">
        <v>17</v>
      </c>
      <c r="B691" s="61" t="s">
        <v>18</v>
      </c>
      <c r="C691" s="62" t="s">
        <v>19</v>
      </c>
      <c r="D691" s="63">
        <v>232.21793369041984</v>
      </c>
      <c r="E691" s="64">
        <v>1254449</v>
      </c>
      <c r="F691" s="65">
        <v>1227050.8109243689</v>
      </c>
      <c r="G691" s="66">
        <v>2725.0959071224747</v>
      </c>
      <c r="H691" s="67">
        <v>2</v>
      </c>
      <c r="I691" s="68" t="s">
        <v>20</v>
      </c>
      <c r="J691" s="69">
        <v>40</v>
      </c>
      <c r="K691" s="70">
        <v>2</v>
      </c>
      <c r="L691" s="68">
        <v>1</v>
      </c>
      <c r="M691" s="68">
        <f>_xlfn.XLOOKUP(Survey!$F691,sections[Start],sections[Test Section],,-1,1)</f>
        <v>2</v>
      </c>
      <c r="N691" s="55">
        <f>_xlfn.XLOOKUP(Survey!$K691,pipedata[ID],pipedata[WT])</f>
        <v>0.74</v>
      </c>
      <c r="O691" s="56">
        <f>_xlfn.XLOOKUP(Survey!$K691,pipedata[ID],pipedata[104%])</f>
        <v>2565.3333333333335</v>
      </c>
      <c r="P691" s="57">
        <f t="shared" si="10"/>
        <v>1850</v>
      </c>
      <c r="Q691" s="58">
        <f>_xlfn.MAXIFS(Survey!$G$2:$G$3647,Survey!$M$2:$M$3647,Survey!$M691)-Survey!$G691</f>
        <v>38.570337079267574</v>
      </c>
      <c r="R691" s="59">
        <f>Survey!$P691+(Survey!$Q691*0.433)</f>
        <v>1866.7009559553228</v>
      </c>
    </row>
    <row r="692" spans="1:18" x14ac:dyDescent="0.25">
      <c r="A692" s="71" t="s">
        <v>17</v>
      </c>
      <c r="B692" s="72" t="s">
        <v>18</v>
      </c>
      <c r="C692" s="73" t="s">
        <v>19</v>
      </c>
      <c r="D692" s="74">
        <v>232.22551496608222</v>
      </c>
      <c r="E692" s="81">
        <v>1254489</v>
      </c>
      <c r="F692" s="82">
        <v>1227089.2016806714</v>
      </c>
      <c r="G692" s="75">
        <v>2723.4169147356774</v>
      </c>
      <c r="H692" s="76">
        <v>2</v>
      </c>
      <c r="I692" s="54" t="s">
        <v>20</v>
      </c>
      <c r="J692" s="77">
        <v>40</v>
      </c>
      <c r="K692" s="78">
        <v>2</v>
      </c>
      <c r="L692" s="54">
        <v>1</v>
      </c>
      <c r="M692" s="54">
        <f>_xlfn.XLOOKUP(Survey!$F692,sections[Start],sections[Test Section],,-1,1)</f>
        <v>2</v>
      </c>
      <c r="N692" s="55">
        <f>_xlfn.XLOOKUP(Survey!$K692,pipedata[ID],pipedata[WT])</f>
        <v>0.74</v>
      </c>
      <c r="O692" s="56">
        <f>_xlfn.XLOOKUP(Survey!$K692,pipedata[ID],pipedata[104%])</f>
        <v>2565.3333333333335</v>
      </c>
      <c r="P692" s="57">
        <f t="shared" si="10"/>
        <v>1850</v>
      </c>
      <c r="Q692" s="58">
        <f>_xlfn.MAXIFS(Survey!$G$2:$G$3647,Survey!$M$2:$M$3647,Survey!$M692)-Survey!$G692</f>
        <v>40.249329466064864</v>
      </c>
      <c r="R692" s="59">
        <f>Survey!$P692+(Survey!$Q692*0.433)</f>
        <v>1867.427959658806</v>
      </c>
    </row>
    <row r="693" spans="1:18" x14ac:dyDescent="0.25">
      <c r="A693" s="60" t="s">
        <v>17</v>
      </c>
      <c r="B693" s="61" t="s">
        <v>18</v>
      </c>
      <c r="C693" s="62" t="s">
        <v>19</v>
      </c>
      <c r="D693" s="63">
        <v>232.23309624174462</v>
      </c>
      <c r="E693" s="79">
        <v>1254529</v>
      </c>
      <c r="F693" s="80">
        <v>1227127.5924369739</v>
      </c>
      <c r="G693" s="66">
        <v>2723.2722143994442</v>
      </c>
      <c r="H693" s="67">
        <v>2</v>
      </c>
      <c r="I693" s="68" t="s">
        <v>20</v>
      </c>
      <c r="J693" s="69">
        <v>40</v>
      </c>
      <c r="K693" s="70">
        <v>2</v>
      </c>
      <c r="L693" s="68">
        <v>1</v>
      </c>
      <c r="M693" s="68">
        <f>_xlfn.XLOOKUP(Survey!$F693,sections[Start],sections[Test Section],,-1,1)</f>
        <v>2</v>
      </c>
      <c r="N693" s="55">
        <f>_xlfn.XLOOKUP(Survey!$K693,pipedata[ID],pipedata[WT])</f>
        <v>0.74</v>
      </c>
      <c r="O693" s="56">
        <f>_xlfn.XLOOKUP(Survey!$K693,pipedata[ID],pipedata[104%])</f>
        <v>2565.3333333333335</v>
      </c>
      <c r="P693" s="57">
        <f t="shared" si="10"/>
        <v>1850</v>
      </c>
      <c r="Q693" s="58">
        <f>_xlfn.MAXIFS(Survey!$G$2:$G$3647,Survey!$M$2:$M$3647,Survey!$M693)-Survey!$G693</f>
        <v>40.394029802298064</v>
      </c>
      <c r="R693" s="59">
        <f>Survey!$P693+(Survey!$Q693*0.433)</f>
        <v>1867.490614904395</v>
      </c>
    </row>
    <row r="694" spans="1:18" x14ac:dyDescent="0.25">
      <c r="A694" s="71" t="s">
        <v>17</v>
      </c>
      <c r="B694" s="72" t="s">
        <v>18</v>
      </c>
      <c r="C694" s="73" t="s">
        <v>19</v>
      </c>
      <c r="D694" s="74">
        <v>232.24016812323433</v>
      </c>
      <c r="E694" s="81">
        <v>1254569</v>
      </c>
      <c r="F694" s="82">
        <v>1227165.9831932765</v>
      </c>
      <c r="G694" s="75">
        <v>2724.9571549212933</v>
      </c>
      <c r="H694" s="76">
        <v>2</v>
      </c>
      <c r="I694" s="54" t="s">
        <v>20</v>
      </c>
      <c r="J694" s="77">
        <v>40</v>
      </c>
      <c r="K694" s="78">
        <v>2</v>
      </c>
      <c r="L694" s="54">
        <v>1</v>
      </c>
      <c r="M694" s="54">
        <f>_xlfn.XLOOKUP(Survey!$F694,sections[Start],sections[Test Section],,-1,1)</f>
        <v>2</v>
      </c>
      <c r="N694" s="55">
        <f>_xlfn.XLOOKUP(Survey!$K694,pipedata[ID],pipedata[WT])</f>
        <v>0.74</v>
      </c>
      <c r="O694" s="56">
        <f>_xlfn.XLOOKUP(Survey!$K694,pipedata[ID],pipedata[104%])</f>
        <v>2565.3333333333335</v>
      </c>
      <c r="P694" s="57">
        <f t="shared" si="10"/>
        <v>1850</v>
      </c>
      <c r="Q694" s="58">
        <f>_xlfn.MAXIFS(Survey!$G$2:$G$3647,Survey!$M$2:$M$3647,Survey!$M694)-Survey!$G694</f>
        <v>38.709089280449007</v>
      </c>
      <c r="R694" s="59">
        <f>Survey!$P694+(Survey!$Q694*0.433)</f>
        <v>1866.7610356584344</v>
      </c>
    </row>
    <row r="695" spans="1:18" x14ac:dyDescent="0.25">
      <c r="A695" s="60" t="s">
        <v>17</v>
      </c>
      <c r="B695" s="61" t="s">
        <v>18</v>
      </c>
      <c r="C695" s="62" t="s">
        <v>19</v>
      </c>
      <c r="D695" s="63">
        <v>232.24772793132794</v>
      </c>
      <c r="E695" s="79">
        <v>1254609</v>
      </c>
      <c r="F695" s="80">
        <v>1227204.373949579</v>
      </c>
      <c r="G695" s="66">
        <v>2726.8156000000981</v>
      </c>
      <c r="H695" s="67">
        <v>2</v>
      </c>
      <c r="I695" s="68" t="s">
        <v>20</v>
      </c>
      <c r="J695" s="69">
        <v>40</v>
      </c>
      <c r="K695" s="70">
        <v>2</v>
      </c>
      <c r="L695" s="68">
        <v>1</v>
      </c>
      <c r="M695" s="68">
        <f>_xlfn.XLOOKUP(Survey!$F695,sections[Start],sections[Test Section],,-1,1)</f>
        <v>2</v>
      </c>
      <c r="N695" s="55">
        <f>_xlfn.XLOOKUP(Survey!$K695,pipedata[ID],pipedata[WT])</f>
        <v>0.74</v>
      </c>
      <c r="O695" s="56">
        <f>_xlfn.XLOOKUP(Survey!$K695,pipedata[ID],pipedata[104%])</f>
        <v>2565.3333333333335</v>
      </c>
      <c r="P695" s="57">
        <f t="shared" si="10"/>
        <v>1850</v>
      </c>
      <c r="Q695" s="58">
        <f>_xlfn.MAXIFS(Survey!$G$2:$G$3647,Survey!$M$2:$M$3647,Survey!$M695)-Survey!$G695</f>
        <v>36.850644201644172</v>
      </c>
      <c r="R695" s="59">
        <f>Survey!$P695+(Survey!$Q695*0.433)</f>
        <v>1865.956328939312</v>
      </c>
    </row>
    <row r="696" spans="1:18" x14ac:dyDescent="0.25">
      <c r="A696" s="71" t="s">
        <v>17</v>
      </c>
      <c r="B696" s="72" t="s">
        <v>18</v>
      </c>
      <c r="C696" s="73" t="s">
        <v>19</v>
      </c>
      <c r="D696" s="74">
        <v>232.25528773942153</v>
      </c>
      <c r="E696" s="81">
        <v>1254649</v>
      </c>
      <c r="F696" s="82">
        <v>1227242.7647058815</v>
      </c>
      <c r="G696" s="75">
        <v>2727.8700904228726</v>
      </c>
      <c r="H696" s="76">
        <v>2</v>
      </c>
      <c r="I696" s="54" t="s">
        <v>20</v>
      </c>
      <c r="J696" s="77">
        <v>40</v>
      </c>
      <c r="K696" s="78">
        <v>2</v>
      </c>
      <c r="L696" s="54">
        <v>1</v>
      </c>
      <c r="M696" s="54">
        <f>_xlfn.XLOOKUP(Survey!$F696,sections[Start],sections[Test Section],,-1,1)</f>
        <v>2</v>
      </c>
      <c r="N696" s="55">
        <f>_xlfn.XLOOKUP(Survey!$K696,pipedata[ID],pipedata[WT])</f>
        <v>0.74</v>
      </c>
      <c r="O696" s="56">
        <f>_xlfn.XLOOKUP(Survey!$K696,pipedata[ID],pipedata[104%])</f>
        <v>2565.3333333333335</v>
      </c>
      <c r="P696" s="57">
        <f t="shared" si="10"/>
        <v>1850</v>
      </c>
      <c r="Q696" s="58">
        <f>_xlfn.MAXIFS(Survey!$G$2:$G$3647,Survey!$M$2:$M$3647,Survey!$M696)-Survey!$G696</f>
        <v>35.796153778869666</v>
      </c>
      <c r="R696" s="59">
        <f>Survey!$P696+(Survey!$Q696*0.433)</f>
        <v>1865.4997345862505</v>
      </c>
    </row>
    <row r="697" spans="1:18" x14ac:dyDescent="0.25">
      <c r="A697" s="60" t="s">
        <v>17</v>
      </c>
      <c r="B697" s="61" t="s">
        <v>18</v>
      </c>
      <c r="C697" s="62" t="s">
        <v>19</v>
      </c>
      <c r="D697" s="63">
        <v>232.2628856581907</v>
      </c>
      <c r="E697" s="79">
        <v>1254689</v>
      </c>
      <c r="F697" s="80">
        <v>1227281.155462184</v>
      </c>
      <c r="G697" s="66">
        <v>2728.7204239542707</v>
      </c>
      <c r="H697" s="67">
        <v>2</v>
      </c>
      <c r="I697" s="68" t="s">
        <v>20</v>
      </c>
      <c r="J697" s="69">
        <v>40</v>
      </c>
      <c r="K697" s="70">
        <v>2</v>
      </c>
      <c r="L697" s="68">
        <v>1</v>
      </c>
      <c r="M697" s="68">
        <f>_xlfn.XLOOKUP(Survey!$F697,sections[Start],sections[Test Section],,-1,1)</f>
        <v>2</v>
      </c>
      <c r="N697" s="55">
        <f>_xlfn.XLOOKUP(Survey!$K697,pipedata[ID],pipedata[WT])</f>
        <v>0.74</v>
      </c>
      <c r="O697" s="56">
        <f>_xlfn.XLOOKUP(Survey!$K697,pipedata[ID],pipedata[104%])</f>
        <v>2565.3333333333335</v>
      </c>
      <c r="P697" s="57">
        <f t="shared" si="10"/>
        <v>1850</v>
      </c>
      <c r="Q697" s="58">
        <f>_xlfn.MAXIFS(Survey!$G$2:$G$3647,Survey!$M$2:$M$3647,Survey!$M697)-Survey!$G697</f>
        <v>34.945820247471602</v>
      </c>
      <c r="R697" s="59">
        <f>Survey!$P697+(Survey!$Q697*0.433)</f>
        <v>1865.1315401671552</v>
      </c>
    </row>
    <row r="698" spans="1:18" x14ac:dyDescent="0.25">
      <c r="A698" s="71" t="s">
        <v>17</v>
      </c>
      <c r="B698" s="72" t="s">
        <v>18</v>
      </c>
      <c r="C698" s="73" t="s">
        <v>19</v>
      </c>
      <c r="D698" s="74">
        <v>232.27077225294778</v>
      </c>
      <c r="E698" s="81">
        <v>1254729</v>
      </c>
      <c r="F698" s="82">
        <v>1227319.5462184865</v>
      </c>
      <c r="G698" s="75">
        <v>2729.1374638414445</v>
      </c>
      <c r="H698" s="76">
        <v>2</v>
      </c>
      <c r="I698" s="54" t="s">
        <v>20</v>
      </c>
      <c r="J698" s="77">
        <v>40</v>
      </c>
      <c r="K698" s="78">
        <v>2</v>
      </c>
      <c r="L698" s="54">
        <v>1</v>
      </c>
      <c r="M698" s="54">
        <f>_xlfn.XLOOKUP(Survey!$F698,sections[Start],sections[Test Section],,-1,1)</f>
        <v>2</v>
      </c>
      <c r="N698" s="55">
        <f>_xlfn.XLOOKUP(Survey!$K698,pipedata[ID],pipedata[WT])</f>
        <v>0.74</v>
      </c>
      <c r="O698" s="56">
        <f>_xlfn.XLOOKUP(Survey!$K698,pipedata[ID],pipedata[104%])</f>
        <v>2565.3333333333335</v>
      </c>
      <c r="P698" s="57">
        <f t="shared" si="10"/>
        <v>1850</v>
      </c>
      <c r="Q698" s="58">
        <f>_xlfn.MAXIFS(Survey!$G$2:$G$3647,Survey!$M$2:$M$3647,Survey!$M698)-Survey!$G698</f>
        <v>34.528780360297787</v>
      </c>
      <c r="R698" s="59">
        <f>Survey!$P698+(Survey!$Q698*0.433)</f>
        <v>1864.9509618960089</v>
      </c>
    </row>
    <row r="699" spans="1:18" x14ac:dyDescent="0.25">
      <c r="A699" s="60" t="s">
        <v>17</v>
      </c>
      <c r="B699" s="61" t="s">
        <v>18</v>
      </c>
      <c r="C699" s="62" t="s">
        <v>19</v>
      </c>
      <c r="D699" s="63">
        <v>232.27796716370224</v>
      </c>
      <c r="E699" s="79">
        <v>1254769</v>
      </c>
      <c r="F699" s="80">
        <v>1227357.936974789</v>
      </c>
      <c r="G699" s="66">
        <v>2730.4106737381385</v>
      </c>
      <c r="H699" s="67">
        <v>2</v>
      </c>
      <c r="I699" s="68" t="s">
        <v>20</v>
      </c>
      <c r="J699" s="69">
        <v>40</v>
      </c>
      <c r="K699" s="70">
        <v>2</v>
      </c>
      <c r="L699" s="68">
        <v>1</v>
      </c>
      <c r="M699" s="68">
        <f>_xlfn.XLOOKUP(Survey!$F699,sections[Start],sections[Test Section],,-1,1)</f>
        <v>2</v>
      </c>
      <c r="N699" s="55">
        <f>_xlfn.XLOOKUP(Survey!$K699,pipedata[ID],pipedata[WT])</f>
        <v>0.74</v>
      </c>
      <c r="O699" s="56">
        <f>_xlfn.XLOOKUP(Survey!$K699,pipedata[ID],pipedata[104%])</f>
        <v>2565.3333333333335</v>
      </c>
      <c r="P699" s="57">
        <f t="shared" si="10"/>
        <v>1850</v>
      </c>
      <c r="Q699" s="58">
        <f>_xlfn.MAXIFS(Survey!$G$2:$G$3647,Survey!$M$2:$M$3647,Survey!$M699)-Survey!$G699</f>
        <v>33.255570463603817</v>
      </c>
      <c r="R699" s="59">
        <f>Survey!$P699+(Survey!$Q699*0.433)</f>
        <v>1864.3996620107405</v>
      </c>
    </row>
    <row r="700" spans="1:18" x14ac:dyDescent="0.25">
      <c r="A700" s="71" t="s">
        <v>17</v>
      </c>
      <c r="B700" s="72" t="s">
        <v>18</v>
      </c>
      <c r="C700" s="73" t="s">
        <v>19</v>
      </c>
      <c r="D700" s="74">
        <v>232.28552697179578</v>
      </c>
      <c r="E700" s="81">
        <v>1254809</v>
      </c>
      <c r="F700" s="82">
        <v>1227396.3277310915</v>
      </c>
      <c r="G700" s="75">
        <v>2731.7087341659021</v>
      </c>
      <c r="H700" s="76">
        <v>2</v>
      </c>
      <c r="I700" s="54" t="s">
        <v>20</v>
      </c>
      <c r="J700" s="77">
        <v>40</v>
      </c>
      <c r="K700" s="78">
        <v>2</v>
      </c>
      <c r="L700" s="54">
        <v>1</v>
      </c>
      <c r="M700" s="54">
        <f>_xlfn.XLOOKUP(Survey!$F700,sections[Start],sections[Test Section],,-1,1)</f>
        <v>2</v>
      </c>
      <c r="N700" s="55">
        <f>_xlfn.XLOOKUP(Survey!$K700,pipedata[ID],pipedata[WT])</f>
        <v>0.74</v>
      </c>
      <c r="O700" s="56">
        <f>_xlfn.XLOOKUP(Survey!$K700,pipedata[ID],pipedata[104%])</f>
        <v>2565.3333333333335</v>
      </c>
      <c r="P700" s="57">
        <f t="shared" si="10"/>
        <v>1850</v>
      </c>
      <c r="Q700" s="58">
        <f>_xlfn.MAXIFS(Survey!$G$2:$G$3647,Survey!$M$2:$M$3647,Survey!$M700)-Survey!$G700</f>
        <v>31.957510035840187</v>
      </c>
      <c r="R700" s="59">
        <f>Survey!$P700+(Survey!$Q700*0.433)</f>
        <v>1863.8376018455187</v>
      </c>
    </row>
    <row r="701" spans="1:18" x14ac:dyDescent="0.25">
      <c r="A701" s="60" t="s">
        <v>17</v>
      </c>
      <c r="B701" s="61" t="s">
        <v>18</v>
      </c>
      <c r="C701" s="62" t="s">
        <v>19</v>
      </c>
      <c r="D701" s="63">
        <v>232.29239521408144</v>
      </c>
      <c r="E701" s="79">
        <v>1254849</v>
      </c>
      <c r="F701" s="80">
        <v>1227434.718487394</v>
      </c>
      <c r="G701" s="66">
        <v>2732.5461439433652</v>
      </c>
      <c r="H701" s="67">
        <v>2</v>
      </c>
      <c r="I701" s="68" t="s">
        <v>20</v>
      </c>
      <c r="J701" s="69">
        <v>40</v>
      </c>
      <c r="K701" s="70">
        <v>2</v>
      </c>
      <c r="L701" s="68">
        <v>1</v>
      </c>
      <c r="M701" s="68">
        <f>_xlfn.XLOOKUP(Survey!$F701,sections[Start],sections[Test Section],,-1,1)</f>
        <v>2</v>
      </c>
      <c r="N701" s="55">
        <f>_xlfn.XLOOKUP(Survey!$K701,pipedata[ID],pipedata[WT])</f>
        <v>0.74</v>
      </c>
      <c r="O701" s="56">
        <f>_xlfn.XLOOKUP(Survey!$K701,pipedata[ID],pipedata[104%])</f>
        <v>2565.3333333333335</v>
      </c>
      <c r="P701" s="57">
        <f t="shared" si="10"/>
        <v>1850</v>
      </c>
      <c r="Q701" s="58">
        <f>_xlfn.MAXIFS(Survey!$G$2:$G$3647,Survey!$M$2:$M$3647,Survey!$M701)-Survey!$G701</f>
        <v>31.120100258377079</v>
      </c>
      <c r="R701" s="59">
        <f>Survey!$P701+(Survey!$Q701*0.433)</f>
        <v>1863.4750034118772</v>
      </c>
    </row>
    <row r="702" spans="1:18" x14ac:dyDescent="0.25">
      <c r="A702" s="71" t="s">
        <v>17</v>
      </c>
      <c r="B702" s="72" t="s">
        <v>18</v>
      </c>
      <c r="C702" s="73" t="s">
        <v>19</v>
      </c>
      <c r="D702" s="74">
        <v>232.30051186007418</v>
      </c>
      <c r="E702" s="81">
        <v>1254889</v>
      </c>
      <c r="F702" s="82">
        <v>1227473.1092436966</v>
      </c>
      <c r="G702" s="75">
        <v>2731.7510624126176</v>
      </c>
      <c r="H702" s="76">
        <v>2</v>
      </c>
      <c r="I702" s="54" t="s">
        <v>20</v>
      </c>
      <c r="J702" s="77">
        <v>40</v>
      </c>
      <c r="K702" s="78">
        <v>2</v>
      </c>
      <c r="L702" s="54">
        <v>1</v>
      </c>
      <c r="M702" s="54">
        <f>_xlfn.XLOOKUP(Survey!$F702,sections[Start],sections[Test Section],,-1,1)</f>
        <v>2</v>
      </c>
      <c r="N702" s="55">
        <f>_xlfn.XLOOKUP(Survey!$K702,pipedata[ID],pipedata[WT])</f>
        <v>0.74</v>
      </c>
      <c r="O702" s="56">
        <f>_xlfn.XLOOKUP(Survey!$K702,pipedata[ID],pipedata[104%])</f>
        <v>2565.3333333333335</v>
      </c>
      <c r="P702" s="57">
        <f t="shared" si="10"/>
        <v>1850</v>
      </c>
      <c r="Q702" s="58">
        <f>_xlfn.MAXIFS(Survey!$G$2:$G$3647,Survey!$M$2:$M$3647,Survey!$M702)-Survey!$G702</f>
        <v>31.915181789124745</v>
      </c>
      <c r="R702" s="59">
        <f>Survey!$P702+(Survey!$Q702*0.433)</f>
        <v>1863.819273714691</v>
      </c>
    </row>
    <row r="703" spans="1:18" x14ac:dyDescent="0.25">
      <c r="A703" s="60" t="s">
        <v>17</v>
      </c>
      <c r="B703" s="61" t="s">
        <v>18</v>
      </c>
      <c r="C703" s="62" t="s">
        <v>19</v>
      </c>
      <c r="D703" s="63">
        <v>232.30768203379549</v>
      </c>
      <c r="E703" s="79">
        <v>1254929</v>
      </c>
      <c r="F703" s="80">
        <v>1227511.4999999991</v>
      </c>
      <c r="G703" s="66">
        <v>2730.1365070198831</v>
      </c>
      <c r="H703" s="67">
        <v>2</v>
      </c>
      <c r="I703" s="68" t="s">
        <v>20</v>
      </c>
      <c r="J703" s="69">
        <v>40</v>
      </c>
      <c r="K703" s="70">
        <v>2</v>
      </c>
      <c r="L703" s="68">
        <v>1</v>
      </c>
      <c r="M703" s="68">
        <f>_xlfn.XLOOKUP(Survey!$F703,sections[Start],sections[Test Section],,-1,1)</f>
        <v>2</v>
      </c>
      <c r="N703" s="55">
        <f>_xlfn.XLOOKUP(Survey!$K703,pipedata[ID],pipedata[WT])</f>
        <v>0.74</v>
      </c>
      <c r="O703" s="56">
        <f>_xlfn.XLOOKUP(Survey!$K703,pipedata[ID],pipedata[104%])</f>
        <v>2565.3333333333335</v>
      </c>
      <c r="P703" s="57">
        <f t="shared" si="10"/>
        <v>1850</v>
      </c>
      <c r="Q703" s="58">
        <f>_xlfn.MAXIFS(Survey!$G$2:$G$3647,Survey!$M$2:$M$3647,Survey!$M703)-Survey!$G703</f>
        <v>33.529737181859218</v>
      </c>
      <c r="R703" s="59">
        <f>Survey!$P703+(Survey!$Q703*0.433)</f>
        <v>1864.518376199745</v>
      </c>
    </row>
    <row r="704" spans="1:18" x14ac:dyDescent="0.25">
      <c r="A704" s="71" t="s">
        <v>17</v>
      </c>
      <c r="B704" s="72" t="s">
        <v>18</v>
      </c>
      <c r="C704" s="73" t="s">
        <v>19</v>
      </c>
      <c r="D704" s="74">
        <v>232.31567815700586</v>
      </c>
      <c r="E704" s="81">
        <v>1254969</v>
      </c>
      <c r="F704" s="82">
        <v>1227549.8907563016</v>
      </c>
      <c r="G704" s="75">
        <v>2729.8181168779138</v>
      </c>
      <c r="H704" s="76">
        <v>2</v>
      </c>
      <c r="I704" s="54" t="s">
        <v>20</v>
      </c>
      <c r="J704" s="77">
        <v>40</v>
      </c>
      <c r="K704" s="78">
        <v>2</v>
      </c>
      <c r="L704" s="54">
        <v>1</v>
      </c>
      <c r="M704" s="54">
        <f>_xlfn.XLOOKUP(Survey!$F704,sections[Start],sections[Test Section],,-1,1)</f>
        <v>2</v>
      </c>
      <c r="N704" s="55">
        <f>_xlfn.XLOOKUP(Survey!$K704,pipedata[ID],pipedata[WT])</f>
        <v>0.74</v>
      </c>
      <c r="O704" s="56">
        <f>_xlfn.XLOOKUP(Survey!$K704,pipedata[ID],pipedata[104%])</f>
        <v>2565.3333333333335</v>
      </c>
      <c r="P704" s="57">
        <f t="shared" si="10"/>
        <v>1850</v>
      </c>
      <c r="Q704" s="58">
        <f>_xlfn.MAXIFS(Survey!$G$2:$G$3647,Survey!$M$2:$M$3647,Survey!$M704)-Survey!$G704</f>
        <v>33.848127323828521</v>
      </c>
      <c r="R704" s="59">
        <f>Survey!$P704+(Survey!$Q704*0.433)</f>
        <v>1864.6562391312177</v>
      </c>
    </row>
    <row r="705" spans="1:18" x14ac:dyDescent="0.25">
      <c r="A705" s="60" t="s">
        <v>17</v>
      </c>
      <c r="B705" s="61" t="s">
        <v>18</v>
      </c>
      <c r="C705" s="62" t="s">
        <v>19</v>
      </c>
      <c r="D705" s="63">
        <v>232.32296885350962</v>
      </c>
      <c r="E705" s="79">
        <v>1255009</v>
      </c>
      <c r="F705" s="80">
        <v>1227588.2815126041</v>
      </c>
      <c r="G705" s="66">
        <v>2729.0035571180656</v>
      </c>
      <c r="H705" s="67">
        <v>2</v>
      </c>
      <c r="I705" s="68" t="s">
        <v>20</v>
      </c>
      <c r="J705" s="69">
        <v>40</v>
      </c>
      <c r="K705" s="70">
        <v>2</v>
      </c>
      <c r="L705" s="68">
        <v>1</v>
      </c>
      <c r="M705" s="68">
        <f>_xlfn.XLOOKUP(Survey!$F705,sections[Start],sections[Test Section],,-1,1)</f>
        <v>2</v>
      </c>
      <c r="N705" s="55">
        <f>_xlfn.XLOOKUP(Survey!$K705,pipedata[ID],pipedata[WT])</f>
        <v>0.74</v>
      </c>
      <c r="O705" s="56">
        <f>_xlfn.XLOOKUP(Survey!$K705,pipedata[ID],pipedata[104%])</f>
        <v>2565.3333333333335</v>
      </c>
      <c r="P705" s="57">
        <f t="shared" si="10"/>
        <v>1850</v>
      </c>
      <c r="Q705" s="58">
        <f>_xlfn.MAXIFS(Survey!$G$2:$G$3647,Survey!$M$2:$M$3647,Survey!$M705)-Survey!$G705</f>
        <v>34.662687083676701</v>
      </c>
      <c r="R705" s="59">
        <f>Survey!$P705+(Survey!$Q705*0.433)</f>
        <v>1865.0089435072321</v>
      </c>
    </row>
    <row r="706" spans="1:18" x14ac:dyDescent="0.25">
      <c r="A706" s="71" t="s">
        <v>17</v>
      </c>
      <c r="B706" s="72" t="s">
        <v>18</v>
      </c>
      <c r="C706" s="73" t="s">
        <v>19</v>
      </c>
      <c r="D706" s="74">
        <v>232.33084445393698</v>
      </c>
      <c r="E706" s="81">
        <v>1255049</v>
      </c>
      <c r="F706" s="82">
        <v>1227626.6722689066</v>
      </c>
      <c r="G706" s="75">
        <v>2727.7437539951657</v>
      </c>
      <c r="H706" s="76">
        <v>2</v>
      </c>
      <c r="I706" s="54" t="s">
        <v>20</v>
      </c>
      <c r="J706" s="77">
        <v>40</v>
      </c>
      <c r="K706" s="78">
        <v>2</v>
      </c>
      <c r="L706" s="54">
        <v>1</v>
      </c>
      <c r="M706" s="54">
        <f>_xlfn.XLOOKUP(Survey!$F706,sections[Start],sections[Test Section],,-1,1)</f>
        <v>2</v>
      </c>
      <c r="N706" s="55">
        <f>_xlfn.XLOOKUP(Survey!$K706,pipedata[ID],pipedata[WT])</f>
        <v>0.74</v>
      </c>
      <c r="O706" s="56">
        <f>_xlfn.XLOOKUP(Survey!$K706,pipedata[ID],pipedata[104%])</f>
        <v>2565.3333333333335</v>
      </c>
      <c r="P706" s="57">
        <f t="shared" ref="P706:P769" si="11">IF(L706=1,1850,IF(L706=2,1850,2220))</f>
        <v>1850</v>
      </c>
      <c r="Q706" s="58">
        <f>_xlfn.MAXIFS(Survey!$G$2:$G$3647,Survey!$M$2:$M$3647,Survey!$M706)-Survey!$G706</f>
        <v>35.92249020657664</v>
      </c>
      <c r="R706" s="59">
        <f>Survey!$P706+(Survey!$Q706*0.433)</f>
        <v>1865.5544382594476</v>
      </c>
    </row>
    <row r="707" spans="1:18" x14ac:dyDescent="0.25">
      <c r="A707" s="60" t="s">
        <v>17</v>
      </c>
      <c r="B707" s="61" t="s">
        <v>18</v>
      </c>
      <c r="C707" s="62" t="s">
        <v>19</v>
      </c>
      <c r="D707" s="63">
        <v>232.33825567322373</v>
      </c>
      <c r="E707" s="79">
        <v>1255089</v>
      </c>
      <c r="F707" s="80">
        <v>1227665.0630252091</v>
      </c>
      <c r="G707" s="66">
        <v>2726.9237969394926</v>
      </c>
      <c r="H707" s="67">
        <v>2</v>
      </c>
      <c r="I707" s="68" t="s">
        <v>20</v>
      </c>
      <c r="J707" s="69">
        <v>40</v>
      </c>
      <c r="K707" s="70">
        <v>2</v>
      </c>
      <c r="L707" s="68">
        <v>1</v>
      </c>
      <c r="M707" s="68">
        <f>_xlfn.XLOOKUP(Survey!$F707,sections[Start],sections[Test Section],,-1,1)</f>
        <v>2</v>
      </c>
      <c r="N707" s="55">
        <f>_xlfn.XLOOKUP(Survey!$K707,pipedata[ID],pipedata[WT])</f>
        <v>0.74</v>
      </c>
      <c r="O707" s="56">
        <f>_xlfn.XLOOKUP(Survey!$K707,pipedata[ID],pipedata[104%])</f>
        <v>2565.3333333333335</v>
      </c>
      <c r="P707" s="57">
        <f t="shared" si="11"/>
        <v>1850</v>
      </c>
      <c r="Q707" s="58">
        <f>_xlfn.MAXIFS(Survey!$G$2:$G$3647,Survey!$M$2:$M$3647,Survey!$M707)-Survey!$G707</f>
        <v>36.742447262249698</v>
      </c>
      <c r="R707" s="59">
        <f>Survey!$P707+(Survey!$Q707*0.433)</f>
        <v>1865.9094796645541</v>
      </c>
    </row>
    <row r="708" spans="1:18" x14ac:dyDescent="0.25">
      <c r="A708" s="71" t="s">
        <v>17</v>
      </c>
      <c r="B708" s="72" t="s">
        <v>18</v>
      </c>
      <c r="C708" s="73" t="s">
        <v>19</v>
      </c>
      <c r="D708" s="74">
        <v>232.34662651307909</v>
      </c>
      <c r="E708" s="81">
        <v>1255129</v>
      </c>
      <c r="F708" s="82">
        <v>1227703.4537815116</v>
      </c>
      <c r="G708" s="75">
        <v>2725.4687020280958</v>
      </c>
      <c r="H708" s="76">
        <v>2</v>
      </c>
      <c r="I708" s="54" t="s">
        <v>20</v>
      </c>
      <c r="J708" s="77">
        <v>40</v>
      </c>
      <c r="K708" s="78">
        <v>2</v>
      </c>
      <c r="L708" s="54">
        <v>1</v>
      </c>
      <c r="M708" s="54">
        <f>_xlfn.XLOOKUP(Survey!$F708,sections[Start],sections[Test Section],,-1,1)</f>
        <v>2</v>
      </c>
      <c r="N708" s="55">
        <f>_xlfn.XLOOKUP(Survey!$K708,pipedata[ID],pipedata[WT])</f>
        <v>0.74</v>
      </c>
      <c r="O708" s="56">
        <f>_xlfn.XLOOKUP(Survey!$K708,pipedata[ID],pipedata[104%])</f>
        <v>2565.3333333333335</v>
      </c>
      <c r="P708" s="57">
        <f t="shared" si="11"/>
        <v>1850</v>
      </c>
      <c r="Q708" s="58">
        <f>_xlfn.MAXIFS(Survey!$G$2:$G$3647,Survey!$M$2:$M$3647,Survey!$M708)-Survey!$G708</f>
        <v>38.197542173646525</v>
      </c>
      <c r="R708" s="59">
        <f>Survey!$P708+(Survey!$Q708*0.433)</f>
        <v>1866.539535761189</v>
      </c>
    </row>
    <row r="709" spans="1:18" x14ac:dyDescent="0.25">
      <c r="A709" s="60" t="s">
        <v>17</v>
      </c>
      <c r="B709" s="61" t="s">
        <v>18</v>
      </c>
      <c r="C709" s="62" t="s">
        <v>19</v>
      </c>
      <c r="D709" s="63">
        <v>232.35367529976233</v>
      </c>
      <c r="E709" s="79">
        <v>1255169</v>
      </c>
      <c r="F709" s="80">
        <v>1227741.8445378141</v>
      </c>
      <c r="G709" s="66">
        <v>2725.488773861674</v>
      </c>
      <c r="H709" s="67">
        <v>2</v>
      </c>
      <c r="I709" s="68" t="s">
        <v>20</v>
      </c>
      <c r="J709" s="69">
        <v>40</v>
      </c>
      <c r="K709" s="70">
        <v>2</v>
      </c>
      <c r="L709" s="68">
        <v>1</v>
      </c>
      <c r="M709" s="68">
        <f>_xlfn.XLOOKUP(Survey!$F709,sections[Start],sections[Test Section],,-1,1)</f>
        <v>2</v>
      </c>
      <c r="N709" s="55">
        <f>_xlfn.XLOOKUP(Survey!$K709,pipedata[ID],pipedata[WT])</f>
        <v>0.74</v>
      </c>
      <c r="O709" s="56">
        <f>_xlfn.XLOOKUP(Survey!$K709,pipedata[ID],pipedata[104%])</f>
        <v>2565.3333333333335</v>
      </c>
      <c r="P709" s="57">
        <f t="shared" si="11"/>
        <v>1850</v>
      </c>
      <c r="Q709" s="58">
        <f>_xlfn.MAXIFS(Survey!$G$2:$G$3647,Survey!$M$2:$M$3647,Survey!$M709)-Survey!$G709</f>
        <v>38.177470340068339</v>
      </c>
      <c r="R709" s="59">
        <f>Survey!$P709+(Survey!$Q709*0.433)</f>
        <v>1866.5308446572496</v>
      </c>
    </row>
    <row r="710" spans="1:18" x14ac:dyDescent="0.25">
      <c r="A710" s="71" t="s">
        <v>17</v>
      </c>
      <c r="B710" s="72" t="s">
        <v>18</v>
      </c>
      <c r="C710" s="73" t="s">
        <v>19</v>
      </c>
      <c r="D710" s="74">
        <v>232.36127596604351</v>
      </c>
      <c r="E710" s="81">
        <v>1255209</v>
      </c>
      <c r="F710" s="82">
        <v>1227780.2352941167</v>
      </c>
      <c r="G710" s="75">
        <v>2726.3697464949164</v>
      </c>
      <c r="H710" s="76">
        <v>2</v>
      </c>
      <c r="I710" s="54" t="s">
        <v>20</v>
      </c>
      <c r="J710" s="77">
        <v>40</v>
      </c>
      <c r="K710" s="78">
        <v>2</v>
      </c>
      <c r="L710" s="54">
        <v>1</v>
      </c>
      <c r="M710" s="54">
        <f>_xlfn.XLOOKUP(Survey!$F710,sections[Start],sections[Test Section],,-1,1)</f>
        <v>2</v>
      </c>
      <c r="N710" s="55">
        <f>_xlfn.XLOOKUP(Survey!$K710,pipedata[ID],pipedata[WT])</f>
        <v>0.74</v>
      </c>
      <c r="O710" s="56">
        <f>_xlfn.XLOOKUP(Survey!$K710,pipedata[ID],pipedata[104%])</f>
        <v>2565.3333333333335</v>
      </c>
      <c r="P710" s="57">
        <f t="shared" si="11"/>
        <v>1850</v>
      </c>
      <c r="Q710" s="58">
        <f>_xlfn.MAXIFS(Survey!$G$2:$G$3647,Survey!$M$2:$M$3647,Survey!$M710)-Survey!$G710</f>
        <v>37.296497706825903</v>
      </c>
      <c r="R710" s="59">
        <f>Survey!$P710+(Survey!$Q710*0.433)</f>
        <v>1866.1493835070555</v>
      </c>
    </row>
    <row r="711" spans="1:18" x14ac:dyDescent="0.25">
      <c r="A711" s="60" t="s">
        <v>17</v>
      </c>
      <c r="B711" s="61" t="s">
        <v>18</v>
      </c>
      <c r="C711" s="62" t="s">
        <v>19</v>
      </c>
      <c r="D711" s="63">
        <v>232.36918263046633</v>
      </c>
      <c r="E711" s="79">
        <v>1255249</v>
      </c>
      <c r="F711" s="80">
        <v>1227818.6260504192</v>
      </c>
      <c r="G711" s="66">
        <v>2727.6036118683223</v>
      </c>
      <c r="H711" s="67">
        <v>2</v>
      </c>
      <c r="I711" s="68" t="s">
        <v>20</v>
      </c>
      <c r="J711" s="69">
        <v>40</v>
      </c>
      <c r="K711" s="70">
        <v>2</v>
      </c>
      <c r="L711" s="68">
        <v>1</v>
      </c>
      <c r="M711" s="68">
        <f>_xlfn.XLOOKUP(Survey!$F711,sections[Start],sections[Test Section],,-1,1)</f>
        <v>2</v>
      </c>
      <c r="N711" s="55">
        <f>_xlfn.XLOOKUP(Survey!$K711,pipedata[ID],pipedata[WT])</f>
        <v>0.74</v>
      </c>
      <c r="O711" s="56">
        <f>_xlfn.XLOOKUP(Survey!$K711,pipedata[ID],pipedata[104%])</f>
        <v>2565.3333333333335</v>
      </c>
      <c r="P711" s="57">
        <f t="shared" si="11"/>
        <v>1850</v>
      </c>
      <c r="Q711" s="58">
        <f>_xlfn.MAXIFS(Survey!$G$2:$G$3647,Survey!$M$2:$M$3647,Survey!$M711)-Survey!$G711</f>
        <v>36.06263233341997</v>
      </c>
      <c r="R711" s="59">
        <f>Survey!$P711+(Survey!$Q711*0.433)</f>
        <v>1865.6151198003708</v>
      </c>
    </row>
    <row r="712" spans="1:18" x14ac:dyDescent="0.25">
      <c r="A712" s="71" t="s">
        <v>17</v>
      </c>
      <c r="B712" s="72" t="s">
        <v>18</v>
      </c>
      <c r="C712" s="73" t="s">
        <v>19</v>
      </c>
      <c r="D712" s="74">
        <v>232.37643468124054</v>
      </c>
      <c r="E712" s="81">
        <v>1255289</v>
      </c>
      <c r="F712" s="82">
        <v>1227857.0168067217</v>
      </c>
      <c r="G712" s="75">
        <v>2728.979080069133</v>
      </c>
      <c r="H712" s="76">
        <v>2</v>
      </c>
      <c r="I712" s="54" t="s">
        <v>20</v>
      </c>
      <c r="J712" s="77">
        <v>40</v>
      </c>
      <c r="K712" s="78">
        <v>2</v>
      </c>
      <c r="L712" s="54">
        <v>1</v>
      </c>
      <c r="M712" s="54">
        <f>_xlfn.XLOOKUP(Survey!$F712,sections[Start],sections[Test Section],,-1,1)</f>
        <v>2</v>
      </c>
      <c r="N712" s="55">
        <f>_xlfn.XLOOKUP(Survey!$K712,pipedata[ID],pipedata[WT])</f>
        <v>0.74</v>
      </c>
      <c r="O712" s="56">
        <f>_xlfn.XLOOKUP(Survey!$K712,pipedata[ID],pipedata[104%])</f>
        <v>2565.3333333333335</v>
      </c>
      <c r="P712" s="57">
        <f t="shared" si="11"/>
        <v>1850</v>
      </c>
      <c r="Q712" s="58">
        <f>_xlfn.MAXIFS(Survey!$G$2:$G$3647,Survey!$M$2:$M$3647,Survey!$M712)-Survey!$G712</f>
        <v>34.687164132609269</v>
      </c>
      <c r="R712" s="59">
        <f>Survey!$P712+(Survey!$Q712*0.433)</f>
        <v>1865.0195420694199</v>
      </c>
    </row>
    <row r="713" spans="1:18" x14ac:dyDescent="0.25">
      <c r="A713" s="60" t="s">
        <v>17</v>
      </c>
      <c r="B713" s="61" t="s">
        <v>18</v>
      </c>
      <c r="C713" s="62" t="s">
        <v>19</v>
      </c>
      <c r="D713" s="63">
        <v>232.38328020383315</v>
      </c>
      <c r="E713" s="79">
        <v>1255329</v>
      </c>
      <c r="F713" s="80">
        <v>1227895.4075630242</v>
      </c>
      <c r="G713" s="66">
        <v>2731.4449336458956</v>
      </c>
      <c r="H713" s="67">
        <v>2</v>
      </c>
      <c r="I713" s="68" t="s">
        <v>20</v>
      </c>
      <c r="J713" s="69">
        <v>40</v>
      </c>
      <c r="K713" s="70">
        <v>2</v>
      </c>
      <c r="L713" s="68">
        <v>1</v>
      </c>
      <c r="M713" s="68">
        <f>_xlfn.XLOOKUP(Survey!$F713,sections[Start],sections[Test Section],,-1,1)</f>
        <v>2</v>
      </c>
      <c r="N713" s="55">
        <f>_xlfn.XLOOKUP(Survey!$K713,pipedata[ID],pipedata[WT])</f>
        <v>0.74</v>
      </c>
      <c r="O713" s="56">
        <f>_xlfn.XLOOKUP(Survey!$K713,pipedata[ID],pipedata[104%])</f>
        <v>2565.3333333333335</v>
      </c>
      <c r="P713" s="57">
        <f t="shared" si="11"/>
        <v>1850</v>
      </c>
      <c r="Q713" s="58">
        <f>_xlfn.MAXIFS(Survey!$G$2:$G$3647,Survey!$M$2:$M$3647,Survey!$M713)-Survey!$G713</f>
        <v>32.221310555846685</v>
      </c>
      <c r="R713" s="59">
        <f>Survey!$P713+(Survey!$Q713*0.433)</f>
        <v>1863.9518274706816</v>
      </c>
    </row>
    <row r="714" spans="1:18" x14ac:dyDescent="0.25">
      <c r="A714" s="71" t="s">
        <v>17</v>
      </c>
      <c r="B714" s="72" t="s">
        <v>18</v>
      </c>
      <c r="C714" s="73" t="s">
        <v>19</v>
      </c>
      <c r="D714" s="74">
        <v>232.39173874785334</v>
      </c>
      <c r="E714" s="81">
        <v>1255369</v>
      </c>
      <c r="F714" s="82">
        <v>1227933.7983193267</v>
      </c>
      <c r="G714" s="75">
        <v>2735.2153359127869</v>
      </c>
      <c r="H714" s="76">
        <v>2</v>
      </c>
      <c r="I714" s="54" t="s">
        <v>20</v>
      </c>
      <c r="J714" s="77">
        <v>40</v>
      </c>
      <c r="K714" s="78">
        <v>2</v>
      </c>
      <c r="L714" s="54">
        <v>1</v>
      </c>
      <c r="M714" s="54">
        <f>_xlfn.XLOOKUP(Survey!$F714,sections[Start],sections[Test Section],,-1,1)</f>
        <v>2</v>
      </c>
      <c r="N714" s="55">
        <f>_xlfn.XLOOKUP(Survey!$K714,pipedata[ID],pipedata[WT])</f>
        <v>0.74</v>
      </c>
      <c r="O714" s="56">
        <f>_xlfn.XLOOKUP(Survey!$K714,pipedata[ID],pipedata[104%])</f>
        <v>2565.3333333333335</v>
      </c>
      <c r="P714" s="57">
        <f t="shared" si="11"/>
        <v>1850</v>
      </c>
      <c r="Q714" s="58">
        <f>_xlfn.MAXIFS(Survey!$G$2:$G$3647,Survey!$M$2:$M$3647,Survey!$M714)-Survey!$G714</f>
        <v>28.450908288955361</v>
      </c>
      <c r="R714" s="59">
        <f>Survey!$P714+(Survey!$Q714*0.433)</f>
        <v>1862.3192432891176</v>
      </c>
    </row>
    <row r="715" spans="1:18" x14ac:dyDescent="0.25">
      <c r="A715" s="60" t="s">
        <v>17</v>
      </c>
      <c r="B715" s="61" t="s">
        <v>18</v>
      </c>
      <c r="C715" s="62" t="s">
        <v>19</v>
      </c>
      <c r="D715" s="63">
        <v>232.39878753453686</v>
      </c>
      <c r="E715" s="79">
        <v>1255409</v>
      </c>
      <c r="F715" s="80">
        <v>1227972.1890756292</v>
      </c>
      <c r="G715" s="66">
        <v>2739.2256270558837</v>
      </c>
      <c r="H715" s="67">
        <v>2</v>
      </c>
      <c r="I715" s="68" t="s">
        <v>20</v>
      </c>
      <c r="J715" s="69">
        <v>40</v>
      </c>
      <c r="K715" s="70">
        <v>2</v>
      </c>
      <c r="L715" s="68">
        <v>1</v>
      </c>
      <c r="M715" s="68">
        <f>_xlfn.XLOOKUP(Survey!$F715,sections[Start],sections[Test Section],,-1,1)</f>
        <v>2</v>
      </c>
      <c r="N715" s="55">
        <f>_xlfn.XLOOKUP(Survey!$K715,pipedata[ID],pipedata[WT])</f>
        <v>0.74</v>
      </c>
      <c r="O715" s="56">
        <f>_xlfn.XLOOKUP(Survey!$K715,pipedata[ID],pipedata[104%])</f>
        <v>2565.3333333333335</v>
      </c>
      <c r="P715" s="57">
        <f t="shared" si="11"/>
        <v>1850</v>
      </c>
      <c r="Q715" s="58">
        <f>_xlfn.MAXIFS(Survey!$G$2:$G$3647,Survey!$M$2:$M$3647,Survey!$M715)-Survey!$G715</f>
        <v>24.440617145858596</v>
      </c>
      <c r="R715" s="59">
        <f>Survey!$P715+(Survey!$Q715*0.433)</f>
        <v>1860.5827872241568</v>
      </c>
    </row>
    <row r="716" spans="1:18" x14ac:dyDescent="0.25">
      <c r="A716" s="71" t="s">
        <v>17</v>
      </c>
      <c r="B716" s="72" t="s">
        <v>18</v>
      </c>
      <c r="C716" s="73" t="s">
        <v>19</v>
      </c>
      <c r="D716" s="74">
        <v>232.40584029678581</v>
      </c>
      <c r="E716" s="81">
        <v>1255449</v>
      </c>
      <c r="F716" s="82">
        <v>1228010.5798319317</v>
      </c>
      <c r="G716" s="75">
        <v>2744.6602459712776</v>
      </c>
      <c r="H716" s="76">
        <v>2</v>
      </c>
      <c r="I716" s="54" t="s">
        <v>20</v>
      </c>
      <c r="J716" s="77">
        <v>40</v>
      </c>
      <c r="K716" s="78">
        <v>2</v>
      </c>
      <c r="L716" s="54">
        <v>1</v>
      </c>
      <c r="M716" s="54">
        <f>_xlfn.XLOOKUP(Survey!$F716,sections[Start],sections[Test Section],,-1,1)</f>
        <v>2</v>
      </c>
      <c r="N716" s="55">
        <f>_xlfn.XLOOKUP(Survey!$K716,pipedata[ID],pipedata[WT])</f>
        <v>0.74</v>
      </c>
      <c r="O716" s="56">
        <f>_xlfn.XLOOKUP(Survey!$K716,pipedata[ID],pipedata[104%])</f>
        <v>2565.3333333333335</v>
      </c>
      <c r="P716" s="57">
        <f t="shared" si="11"/>
        <v>1850</v>
      </c>
      <c r="Q716" s="58">
        <f>_xlfn.MAXIFS(Survey!$G$2:$G$3647,Survey!$M$2:$M$3647,Survey!$M716)-Survey!$G716</f>
        <v>19.005998230464684</v>
      </c>
      <c r="R716" s="59">
        <f>Survey!$P716+(Survey!$Q716*0.433)</f>
        <v>1858.2295972337913</v>
      </c>
    </row>
    <row r="717" spans="1:18" x14ac:dyDescent="0.25">
      <c r="A717" s="60" t="s">
        <v>17</v>
      </c>
      <c r="B717" s="61" t="s">
        <v>18</v>
      </c>
      <c r="C717" s="62" t="s">
        <v>19</v>
      </c>
      <c r="D717" s="63">
        <v>232.41432161737475</v>
      </c>
      <c r="E717" s="79">
        <v>1255489</v>
      </c>
      <c r="F717" s="80">
        <v>1228048.9705882343</v>
      </c>
      <c r="G717" s="66">
        <v>2749.2613576303429</v>
      </c>
      <c r="H717" s="67">
        <v>2</v>
      </c>
      <c r="I717" s="68" t="s">
        <v>20</v>
      </c>
      <c r="J717" s="69">
        <v>40</v>
      </c>
      <c r="K717" s="70">
        <v>2</v>
      </c>
      <c r="L717" s="68">
        <v>1</v>
      </c>
      <c r="M717" s="68">
        <f>_xlfn.XLOOKUP(Survey!$F717,sections[Start],sections[Test Section],,-1,1)</f>
        <v>2</v>
      </c>
      <c r="N717" s="55">
        <f>_xlfn.XLOOKUP(Survey!$K717,pipedata[ID],pipedata[WT])</f>
        <v>0.74</v>
      </c>
      <c r="O717" s="56">
        <f>_xlfn.XLOOKUP(Survey!$K717,pipedata[ID],pipedata[104%])</f>
        <v>2565.3333333333335</v>
      </c>
      <c r="P717" s="57">
        <f t="shared" si="11"/>
        <v>1850</v>
      </c>
      <c r="Q717" s="58">
        <f>_xlfn.MAXIFS(Survey!$G$2:$G$3647,Survey!$M$2:$M$3647,Survey!$M717)-Survey!$G717</f>
        <v>14.404886571399402</v>
      </c>
      <c r="R717" s="59">
        <f>Survey!$P717+(Survey!$Q717*0.433)</f>
        <v>1856.2373158854159</v>
      </c>
    </row>
    <row r="718" spans="1:18" x14ac:dyDescent="0.25">
      <c r="A718" s="71" t="s">
        <v>17</v>
      </c>
      <c r="B718" s="72" t="s">
        <v>18</v>
      </c>
      <c r="C718" s="73" t="s">
        <v>19</v>
      </c>
      <c r="D718" s="74">
        <v>232.42129693884451</v>
      </c>
      <c r="E718" s="81">
        <v>1255529</v>
      </c>
      <c r="F718" s="82">
        <v>1228087.3613445368</v>
      </c>
      <c r="G718" s="75">
        <v>2755.5037262547562</v>
      </c>
      <c r="H718" s="76">
        <v>2</v>
      </c>
      <c r="I718" s="54" t="s">
        <v>20</v>
      </c>
      <c r="J718" s="77">
        <v>40</v>
      </c>
      <c r="K718" s="78">
        <v>2</v>
      </c>
      <c r="L718" s="54">
        <v>1</v>
      </c>
      <c r="M718" s="54">
        <f>_xlfn.XLOOKUP(Survey!$F718,sections[Start],sections[Test Section],,-1,1)</f>
        <v>2</v>
      </c>
      <c r="N718" s="55">
        <f>_xlfn.XLOOKUP(Survey!$K718,pipedata[ID],pipedata[WT])</f>
        <v>0.74</v>
      </c>
      <c r="O718" s="56">
        <f>_xlfn.XLOOKUP(Survey!$K718,pipedata[ID],pipedata[104%])</f>
        <v>2565.3333333333335</v>
      </c>
      <c r="P718" s="57">
        <f t="shared" si="11"/>
        <v>1850</v>
      </c>
      <c r="Q718" s="58">
        <f>_xlfn.MAXIFS(Survey!$G$2:$G$3647,Survey!$M$2:$M$3647,Survey!$M718)-Survey!$G718</f>
        <v>8.1625179469860996</v>
      </c>
      <c r="R718" s="59">
        <f>Survey!$P718+(Survey!$Q718*0.433)</f>
        <v>1853.534370271045</v>
      </c>
    </row>
    <row r="719" spans="1:18" x14ac:dyDescent="0.25">
      <c r="A719" s="60" t="s">
        <v>17</v>
      </c>
      <c r="B719" s="61" t="s">
        <v>18</v>
      </c>
      <c r="C719" s="62" t="s">
        <v>19</v>
      </c>
      <c r="D719" s="63">
        <v>232.42862602242752</v>
      </c>
      <c r="E719" s="79">
        <v>1255569</v>
      </c>
      <c r="F719" s="80">
        <v>1228125.7521008393</v>
      </c>
      <c r="G719" s="66">
        <v>2759.6472622789938</v>
      </c>
      <c r="H719" s="67">
        <v>2</v>
      </c>
      <c r="I719" s="68" t="s">
        <v>20</v>
      </c>
      <c r="J719" s="69">
        <v>40</v>
      </c>
      <c r="K719" s="70">
        <v>2</v>
      </c>
      <c r="L719" s="68">
        <v>1</v>
      </c>
      <c r="M719" s="68">
        <f>_xlfn.XLOOKUP(Survey!$F719,sections[Start],sections[Test Section],,-1,1)</f>
        <v>2</v>
      </c>
      <c r="N719" s="55">
        <f>_xlfn.XLOOKUP(Survey!$K719,pipedata[ID],pipedata[WT])</f>
        <v>0.74</v>
      </c>
      <c r="O719" s="56">
        <f>_xlfn.XLOOKUP(Survey!$K719,pipedata[ID],pipedata[104%])</f>
        <v>2565.3333333333335</v>
      </c>
      <c r="P719" s="57">
        <f t="shared" si="11"/>
        <v>1850</v>
      </c>
      <c r="Q719" s="58">
        <f>_xlfn.MAXIFS(Survey!$G$2:$G$3647,Survey!$M$2:$M$3647,Survey!$M719)-Survey!$G719</f>
        <v>4.0189819227484804</v>
      </c>
      <c r="R719" s="59">
        <f>Survey!$P719+(Survey!$Q719*0.433)</f>
        <v>1851.74021917255</v>
      </c>
    </row>
    <row r="720" spans="1:18" x14ac:dyDescent="0.25">
      <c r="A720" s="71" t="s">
        <v>17</v>
      </c>
      <c r="B720" s="72" t="s">
        <v>18</v>
      </c>
      <c r="C720" s="73" t="s">
        <v>19</v>
      </c>
      <c r="D720" s="74">
        <v>232.43496566367662</v>
      </c>
      <c r="E720" s="81">
        <v>1255609</v>
      </c>
      <c r="F720" s="82">
        <v>1228164.1428571418</v>
      </c>
      <c r="G720" s="75">
        <v>2763.6662442017423</v>
      </c>
      <c r="H720" s="76">
        <v>2</v>
      </c>
      <c r="I720" s="54" t="s">
        <v>20</v>
      </c>
      <c r="J720" s="77">
        <v>40</v>
      </c>
      <c r="K720" s="78">
        <v>2</v>
      </c>
      <c r="L720" s="54">
        <v>1</v>
      </c>
      <c r="M720" s="54">
        <f>_xlfn.XLOOKUP(Survey!$F720,sections[Start],sections[Test Section],,-1,1)</f>
        <v>2</v>
      </c>
      <c r="N720" s="55">
        <f>_xlfn.XLOOKUP(Survey!$K720,pipedata[ID],pipedata[WT])</f>
        <v>0.74</v>
      </c>
      <c r="O720" s="56">
        <f>_xlfn.XLOOKUP(Survey!$K720,pipedata[ID],pipedata[104%])</f>
        <v>2565.3333333333335</v>
      </c>
      <c r="P720" s="57">
        <f t="shared" si="11"/>
        <v>1850</v>
      </c>
      <c r="Q720" s="58">
        <f>_xlfn.MAXIFS(Survey!$G$2:$G$3647,Survey!$M$2:$M$3647,Survey!$M720)-Survey!$G720</f>
        <v>0</v>
      </c>
      <c r="R720" s="59">
        <f>Survey!$P720+(Survey!$Q720*0.433)</f>
        <v>1850</v>
      </c>
    </row>
    <row r="721" spans="1:18" x14ac:dyDescent="0.25">
      <c r="A721" s="60" t="s">
        <v>17</v>
      </c>
      <c r="B721" s="61" t="s">
        <v>18</v>
      </c>
      <c r="C721" s="62" t="s">
        <v>19</v>
      </c>
      <c r="D721" s="63">
        <v>232.4433852608654</v>
      </c>
      <c r="E721" s="79">
        <v>1255649</v>
      </c>
      <c r="F721" s="80">
        <v>1228202.5336134443</v>
      </c>
      <c r="G721" s="66">
        <v>2763.294896012977</v>
      </c>
      <c r="H721" s="67">
        <v>2</v>
      </c>
      <c r="I721" s="68" t="s">
        <v>20</v>
      </c>
      <c r="J721" s="69">
        <v>40</v>
      </c>
      <c r="K721" s="70">
        <v>2</v>
      </c>
      <c r="L721" s="68">
        <v>1</v>
      </c>
      <c r="M721" s="68">
        <f>_xlfn.XLOOKUP(Survey!$F721,sections[Start],sections[Test Section],,-1,1)</f>
        <v>2</v>
      </c>
      <c r="N721" s="55">
        <f>_xlfn.XLOOKUP(Survey!$K721,pipedata[ID],pipedata[WT])</f>
        <v>0.74</v>
      </c>
      <c r="O721" s="56">
        <f>_xlfn.XLOOKUP(Survey!$K721,pipedata[ID],pipedata[104%])</f>
        <v>2565.3333333333335</v>
      </c>
      <c r="P721" s="57">
        <f t="shared" si="11"/>
        <v>1850</v>
      </c>
      <c r="Q721" s="58">
        <f>_xlfn.MAXIFS(Survey!$G$2:$G$3647,Survey!$M$2:$M$3647,Survey!$M721)-Survey!$G721</f>
        <v>0.37134818876529607</v>
      </c>
      <c r="R721" s="59">
        <f>Survey!$P721+(Survey!$Q721*0.433)</f>
        <v>1850.1607937657354</v>
      </c>
    </row>
    <row r="722" spans="1:18" x14ac:dyDescent="0.25">
      <c r="A722" s="71" t="s">
        <v>17</v>
      </c>
      <c r="B722" s="72" t="s">
        <v>18</v>
      </c>
      <c r="C722" s="73" t="s">
        <v>19</v>
      </c>
      <c r="D722" s="74">
        <v>232.44969621001425</v>
      </c>
      <c r="E722" s="81">
        <v>1255689</v>
      </c>
      <c r="F722" s="82">
        <v>1228240.9243697468</v>
      </c>
      <c r="G722" s="75">
        <v>2753.4842337973787</v>
      </c>
      <c r="H722" s="76">
        <v>2</v>
      </c>
      <c r="I722" s="54" t="s">
        <v>20</v>
      </c>
      <c r="J722" s="77">
        <v>40</v>
      </c>
      <c r="K722" s="78">
        <v>2</v>
      </c>
      <c r="L722" s="54">
        <v>1</v>
      </c>
      <c r="M722" s="54">
        <f>_xlfn.XLOOKUP(Survey!$F722,sections[Start],sections[Test Section],,-1,1)</f>
        <v>2</v>
      </c>
      <c r="N722" s="55">
        <f>_xlfn.XLOOKUP(Survey!$K722,pipedata[ID],pipedata[WT])</f>
        <v>0.74</v>
      </c>
      <c r="O722" s="56">
        <f>_xlfn.XLOOKUP(Survey!$K722,pipedata[ID],pipedata[104%])</f>
        <v>2565.3333333333335</v>
      </c>
      <c r="P722" s="57">
        <f t="shared" si="11"/>
        <v>1850</v>
      </c>
      <c r="Q722" s="58">
        <f>_xlfn.MAXIFS(Survey!$G$2:$G$3647,Survey!$M$2:$M$3647,Survey!$M722)-Survey!$G722</f>
        <v>10.182010404363609</v>
      </c>
      <c r="R722" s="59">
        <f>Survey!$P722+(Survey!$Q722*0.433)</f>
        <v>1854.4088105050894</v>
      </c>
    </row>
    <row r="723" spans="1:18" x14ac:dyDescent="0.25">
      <c r="A723" s="60" t="s">
        <v>17</v>
      </c>
      <c r="B723" s="61" t="s">
        <v>18</v>
      </c>
      <c r="C723" s="62" t="s">
        <v>19</v>
      </c>
      <c r="D723" s="63">
        <v>232.45708678457572</v>
      </c>
      <c r="E723" s="64">
        <v>1255729</v>
      </c>
      <c r="F723" s="65">
        <v>1228279.3151260493</v>
      </c>
      <c r="G723" s="66">
        <v>2741.2231388650944</v>
      </c>
      <c r="H723" s="67">
        <v>2</v>
      </c>
      <c r="I723" s="68" t="s">
        <v>20</v>
      </c>
      <c r="J723" s="69">
        <v>40</v>
      </c>
      <c r="K723" s="70">
        <v>2</v>
      </c>
      <c r="L723" s="68">
        <v>1</v>
      </c>
      <c r="M723" s="68">
        <f>_xlfn.XLOOKUP(Survey!$F723,sections[Start],sections[Test Section],,-1,1)</f>
        <v>2</v>
      </c>
      <c r="N723" s="55">
        <f>_xlfn.XLOOKUP(Survey!$K723,pipedata[ID],pipedata[WT])</f>
        <v>0.74</v>
      </c>
      <c r="O723" s="56">
        <f>_xlfn.XLOOKUP(Survey!$K723,pipedata[ID],pipedata[104%])</f>
        <v>2565.3333333333335</v>
      </c>
      <c r="P723" s="57">
        <f t="shared" si="11"/>
        <v>1850</v>
      </c>
      <c r="Q723" s="58">
        <f>_xlfn.MAXIFS(Survey!$G$2:$G$3647,Survey!$M$2:$M$3647,Survey!$M723)-Survey!$G723</f>
        <v>22.443105336647932</v>
      </c>
      <c r="R723" s="59">
        <f>Survey!$P723+(Survey!$Q723*0.433)</f>
        <v>1859.7178646107686</v>
      </c>
    </row>
    <row r="724" spans="1:18" x14ac:dyDescent="0.25">
      <c r="A724" s="71" t="s">
        <v>17</v>
      </c>
      <c r="B724" s="72" t="s">
        <v>18</v>
      </c>
      <c r="C724" s="73" t="s">
        <v>19</v>
      </c>
      <c r="D724" s="74">
        <v>232.46338028266752</v>
      </c>
      <c r="E724" s="81">
        <v>1255769</v>
      </c>
      <c r="F724" s="82">
        <v>1228317.7058823518</v>
      </c>
      <c r="G724" s="75">
        <v>2727.7065253988635</v>
      </c>
      <c r="H724" s="76">
        <v>2</v>
      </c>
      <c r="I724" s="54" t="s">
        <v>20</v>
      </c>
      <c r="J724" s="77">
        <v>40</v>
      </c>
      <c r="K724" s="78">
        <v>2</v>
      </c>
      <c r="L724" s="54">
        <v>1</v>
      </c>
      <c r="M724" s="54">
        <f>_xlfn.XLOOKUP(Survey!$F724,sections[Start],sections[Test Section],,-1,1)</f>
        <v>2</v>
      </c>
      <c r="N724" s="55">
        <f>_xlfn.XLOOKUP(Survey!$K724,pipedata[ID],pipedata[WT])</f>
        <v>0.74</v>
      </c>
      <c r="O724" s="56">
        <f>_xlfn.XLOOKUP(Survey!$K724,pipedata[ID],pipedata[104%])</f>
        <v>2565.3333333333335</v>
      </c>
      <c r="P724" s="57">
        <f t="shared" si="11"/>
        <v>1850</v>
      </c>
      <c r="Q724" s="58">
        <f>_xlfn.MAXIFS(Survey!$G$2:$G$3647,Survey!$M$2:$M$3647,Survey!$M724)-Survey!$G724</f>
        <v>35.959718802878797</v>
      </c>
      <c r="R724" s="59">
        <f>Survey!$P724+(Survey!$Q724*0.433)</f>
        <v>1865.5705582416465</v>
      </c>
    </row>
    <row r="725" spans="1:18" x14ac:dyDescent="0.25">
      <c r="A725" s="60" t="s">
        <v>17</v>
      </c>
      <c r="B725" s="61" t="s">
        <v>18</v>
      </c>
      <c r="C725" s="62" t="s">
        <v>19</v>
      </c>
      <c r="D725" s="63">
        <v>232.47018786189949</v>
      </c>
      <c r="E725" s="79">
        <v>1255809</v>
      </c>
      <c r="F725" s="80">
        <v>1228356.0966386544</v>
      </c>
      <c r="G725" s="66">
        <v>2712.6973304509074</v>
      </c>
      <c r="H725" s="67">
        <v>2</v>
      </c>
      <c r="I725" s="68" t="s">
        <v>20</v>
      </c>
      <c r="J725" s="69">
        <v>40</v>
      </c>
      <c r="K725" s="70">
        <v>2</v>
      </c>
      <c r="L725" s="68">
        <v>1</v>
      </c>
      <c r="M725" s="68">
        <f>_xlfn.XLOOKUP(Survey!$F725,sections[Start],sections[Test Section],,-1,1)</f>
        <v>2</v>
      </c>
      <c r="N725" s="55">
        <f>_xlfn.XLOOKUP(Survey!$K725,pipedata[ID],pipedata[WT])</f>
        <v>0.74</v>
      </c>
      <c r="O725" s="56">
        <f>_xlfn.XLOOKUP(Survey!$K725,pipedata[ID],pipedata[104%])</f>
        <v>2565.3333333333335</v>
      </c>
      <c r="P725" s="57">
        <f t="shared" si="11"/>
        <v>1850</v>
      </c>
      <c r="Q725" s="58">
        <f>_xlfn.MAXIFS(Survey!$G$2:$G$3647,Survey!$M$2:$M$3647,Survey!$M725)-Survey!$G725</f>
        <v>50.968913750834872</v>
      </c>
      <c r="R725" s="59">
        <f>Survey!$P725+(Survey!$Q725*0.433)</f>
        <v>1872.0695396541114</v>
      </c>
    </row>
    <row r="726" spans="1:18" x14ac:dyDescent="0.25">
      <c r="A726" s="71" t="s">
        <v>17</v>
      </c>
      <c r="B726" s="72" t="s">
        <v>18</v>
      </c>
      <c r="C726" s="73" t="s">
        <v>19</v>
      </c>
      <c r="D726" s="74">
        <v>232.47772083714094</v>
      </c>
      <c r="E726" s="81">
        <v>1255849</v>
      </c>
      <c r="F726" s="82">
        <v>1228394.4873949569</v>
      </c>
      <c r="G726" s="75">
        <v>2696.9782875915075</v>
      </c>
      <c r="H726" s="76">
        <v>2</v>
      </c>
      <c r="I726" s="54" t="s">
        <v>20</v>
      </c>
      <c r="J726" s="77">
        <v>40</v>
      </c>
      <c r="K726" s="78">
        <v>2</v>
      </c>
      <c r="L726" s="54">
        <v>1</v>
      </c>
      <c r="M726" s="54">
        <f>_xlfn.XLOOKUP(Survey!$F726,sections[Start],sections[Test Section],,-1,1)</f>
        <v>2</v>
      </c>
      <c r="N726" s="55">
        <f>_xlfn.XLOOKUP(Survey!$K726,pipedata[ID],pipedata[WT])</f>
        <v>0.74</v>
      </c>
      <c r="O726" s="56">
        <f>_xlfn.XLOOKUP(Survey!$K726,pipedata[ID],pipedata[104%])</f>
        <v>2565.3333333333335</v>
      </c>
      <c r="P726" s="57">
        <f t="shared" si="11"/>
        <v>1850</v>
      </c>
      <c r="Q726" s="58">
        <f>_xlfn.MAXIFS(Survey!$G$2:$G$3647,Survey!$M$2:$M$3647,Survey!$M726)-Survey!$G726</f>
        <v>66.687956610234778</v>
      </c>
      <c r="R726" s="59">
        <f>Survey!$P726+(Survey!$Q726*0.433)</f>
        <v>1878.8758852122317</v>
      </c>
    </row>
    <row r="727" spans="1:18" x14ac:dyDescent="0.25">
      <c r="A727" s="60" t="s">
        <v>17</v>
      </c>
      <c r="B727" s="61" t="s">
        <v>18</v>
      </c>
      <c r="C727" s="62" t="s">
        <v>19</v>
      </c>
      <c r="D727" s="63">
        <v>232.48596523477056</v>
      </c>
      <c r="E727" s="79">
        <v>1255889</v>
      </c>
      <c r="F727" s="80">
        <v>1228432.8781512594</v>
      </c>
      <c r="G727" s="66">
        <v>2683.4797861380875</v>
      </c>
      <c r="H727" s="67">
        <v>2</v>
      </c>
      <c r="I727" s="68" t="s">
        <v>20</v>
      </c>
      <c r="J727" s="69">
        <v>40</v>
      </c>
      <c r="K727" s="70">
        <v>2</v>
      </c>
      <c r="L727" s="68">
        <v>1</v>
      </c>
      <c r="M727" s="68">
        <f>_xlfn.XLOOKUP(Survey!$F727,sections[Start],sections[Test Section],,-1,1)</f>
        <v>2</v>
      </c>
      <c r="N727" s="55">
        <f>_xlfn.XLOOKUP(Survey!$K727,pipedata[ID],pipedata[WT])</f>
        <v>0.74</v>
      </c>
      <c r="O727" s="56">
        <f>_xlfn.XLOOKUP(Survey!$K727,pipedata[ID],pipedata[104%])</f>
        <v>2565.3333333333335</v>
      </c>
      <c r="P727" s="57">
        <f t="shared" si="11"/>
        <v>1850</v>
      </c>
      <c r="Q727" s="58">
        <f>_xlfn.MAXIFS(Survey!$G$2:$G$3647,Survey!$M$2:$M$3647,Survey!$M727)-Survey!$G727</f>
        <v>80.186458063654754</v>
      </c>
      <c r="R727" s="59">
        <f>Survey!$P727+(Survey!$Q727*0.433)</f>
        <v>1884.7207363415625</v>
      </c>
    </row>
    <row r="728" spans="1:18" x14ac:dyDescent="0.25">
      <c r="A728" s="71" t="s">
        <v>17</v>
      </c>
      <c r="B728" s="72" t="s">
        <v>18</v>
      </c>
      <c r="C728" s="73" t="s">
        <v>19</v>
      </c>
      <c r="D728" s="74">
        <v>232.49227618391905</v>
      </c>
      <c r="E728" s="81">
        <v>1255929</v>
      </c>
      <c r="F728" s="82">
        <v>1228471.2689075619</v>
      </c>
      <c r="G728" s="75">
        <v>2666.4467071543004</v>
      </c>
      <c r="H728" s="76">
        <v>2</v>
      </c>
      <c r="I728" s="54" t="s">
        <v>20</v>
      </c>
      <c r="J728" s="77">
        <v>40</v>
      </c>
      <c r="K728" s="78">
        <v>2</v>
      </c>
      <c r="L728" s="54">
        <v>1</v>
      </c>
      <c r="M728" s="54">
        <f>_xlfn.XLOOKUP(Survey!$F728,sections[Start],sections[Test Section],,-1,1)</f>
        <v>2</v>
      </c>
      <c r="N728" s="55">
        <f>_xlfn.XLOOKUP(Survey!$K728,pipedata[ID],pipedata[WT])</f>
        <v>0.74</v>
      </c>
      <c r="O728" s="56">
        <f>_xlfn.XLOOKUP(Survey!$K728,pipedata[ID],pipedata[104%])</f>
        <v>2565.3333333333335</v>
      </c>
      <c r="P728" s="57">
        <f t="shared" si="11"/>
        <v>1850</v>
      </c>
      <c r="Q728" s="58">
        <f>_xlfn.MAXIFS(Survey!$G$2:$G$3647,Survey!$M$2:$M$3647,Survey!$M728)-Survey!$G728</f>
        <v>97.219537047441918</v>
      </c>
      <c r="R728" s="59">
        <f>Survey!$P728+(Survey!$Q728*0.433)</f>
        <v>1892.0960595415424</v>
      </c>
    </row>
    <row r="729" spans="1:18" x14ac:dyDescent="0.25">
      <c r="A729" s="60" t="s">
        <v>17</v>
      </c>
      <c r="B729" s="61" t="s">
        <v>18</v>
      </c>
      <c r="C729" s="62" t="s">
        <v>19</v>
      </c>
      <c r="D729" s="63">
        <v>232.49858713306753</v>
      </c>
      <c r="E729" s="79">
        <v>1255969</v>
      </c>
      <c r="F729" s="80">
        <v>1228509.6596638644</v>
      </c>
      <c r="G729" s="66">
        <v>2653.1057621650475</v>
      </c>
      <c r="H729" s="67">
        <v>2</v>
      </c>
      <c r="I729" s="68" t="s">
        <v>20</v>
      </c>
      <c r="J729" s="69">
        <v>40</v>
      </c>
      <c r="K729" s="70">
        <v>2</v>
      </c>
      <c r="L729" s="68">
        <v>1</v>
      </c>
      <c r="M729" s="68">
        <f>_xlfn.XLOOKUP(Survey!$F729,sections[Start],sections[Test Section],,-1,1)</f>
        <v>2</v>
      </c>
      <c r="N729" s="55">
        <f>_xlfn.XLOOKUP(Survey!$K729,pipedata[ID],pipedata[WT])</f>
        <v>0.74</v>
      </c>
      <c r="O729" s="56">
        <f>_xlfn.XLOOKUP(Survey!$K729,pipedata[ID],pipedata[104%])</f>
        <v>2565.3333333333335</v>
      </c>
      <c r="P729" s="57">
        <f t="shared" si="11"/>
        <v>1850</v>
      </c>
      <c r="Q729" s="58">
        <f>_xlfn.MAXIFS(Survey!$G$2:$G$3647,Survey!$M$2:$M$3647,Survey!$M729)-Survey!$G729</f>
        <v>110.56048203669479</v>
      </c>
      <c r="R729" s="59">
        <f>Survey!$P729+(Survey!$Q729*0.433)</f>
        <v>1897.8726887218888</v>
      </c>
    </row>
    <row r="730" spans="1:18" x14ac:dyDescent="0.25">
      <c r="A730" s="71" t="s">
        <v>17</v>
      </c>
      <c r="B730" s="72" t="s">
        <v>18</v>
      </c>
      <c r="C730" s="73" t="s">
        <v>19</v>
      </c>
      <c r="D730" s="74">
        <v>232.50618159930102</v>
      </c>
      <c r="E730" s="81">
        <v>1256009</v>
      </c>
      <c r="F730" s="82">
        <v>1228548.0504201669</v>
      </c>
      <c r="G730" s="75">
        <v>2638.6765054523685</v>
      </c>
      <c r="H730" s="76">
        <v>2</v>
      </c>
      <c r="I730" s="54" t="s">
        <v>20</v>
      </c>
      <c r="J730" s="77">
        <v>40</v>
      </c>
      <c r="K730" s="78">
        <v>2</v>
      </c>
      <c r="L730" s="54">
        <v>1</v>
      </c>
      <c r="M730" s="54">
        <f>_xlfn.XLOOKUP(Survey!$F730,sections[Start],sections[Test Section],,-1,1)</f>
        <v>2</v>
      </c>
      <c r="N730" s="55">
        <f>_xlfn.XLOOKUP(Survey!$K730,pipedata[ID],pipedata[WT])</f>
        <v>0.74</v>
      </c>
      <c r="O730" s="56">
        <f>_xlfn.XLOOKUP(Survey!$K730,pipedata[ID],pipedata[104%])</f>
        <v>2565.3333333333335</v>
      </c>
      <c r="P730" s="57">
        <f t="shared" si="11"/>
        <v>1850</v>
      </c>
      <c r="Q730" s="58">
        <f>_xlfn.MAXIFS(Survey!$G$2:$G$3647,Survey!$M$2:$M$3647,Survey!$M730)-Survey!$G730</f>
        <v>124.98973874937383</v>
      </c>
      <c r="R730" s="59">
        <f>Survey!$P730+(Survey!$Q730*0.433)</f>
        <v>1904.120556878479</v>
      </c>
    </row>
    <row r="731" spans="1:18" x14ac:dyDescent="0.25">
      <c r="A731" s="60" t="s">
        <v>17</v>
      </c>
      <c r="B731" s="61" t="s">
        <v>18</v>
      </c>
      <c r="C731" s="62" t="s">
        <v>19</v>
      </c>
      <c r="D731" s="63">
        <v>232.51232209599632</v>
      </c>
      <c r="E731" s="79">
        <v>1256049</v>
      </c>
      <c r="F731" s="80">
        <v>1228586.4411764694</v>
      </c>
      <c r="G731" s="66">
        <v>2621.5952845467345</v>
      </c>
      <c r="H731" s="67">
        <v>2</v>
      </c>
      <c r="I731" s="68" t="s">
        <v>20</v>
      </c>
      <c r="J731" s="69">
        <v>40</v>
      </c>
      <c r="K731" s="70">
        <v>2</v>
      </c>
      <c r="L731" s="68">
        <v>1</v>
      </c>
      <c r="M731" s="68">
        <f>_xlfn.XLOOKUP(Survey!$F731,sections[Start],sections[Test Section],,-1,1)</f>
        <v>2</v>
      </c>
      <c r="N731" s="55">
        <f>_xlfn.XLOOKUP(Survey!$K731,pipedata[ID],pipedata[WT])</f>
        <v>0.74</v>
      </c>
      <c r="O731" s="56">
        <f>_xlfn.XLOOKUP(Survey!$K731,pipedata[ID],pipedata[104%])</f>
        <v>2565.3333333333335</v>
      </c>
      <c r="P731" s="57">
        <f t="shared" si="11"/>
        <v>1850</v>
      </c>
      <c r="Q731" s="58">
        <f>_xlfn.MAXIFS(Survey!$G$2:$G$3647,Survey!$M$2:$M$3647,Survey!$M731)-Survey!$G731</f>
        <v>142.07095965500775</v>
      </c>
      <c r="R731" s="59">
        <f>Survey!$P731+(Survey!$Q731*0.433)</f>
        <v>1911.5167255306183</v>
      </c>
    </row>
    <row r="732" spans="1:18" x14ac:dyDescent="0.25">
      <c r="A732" s="71" t="s">
        <v>17</v>
      </c>
      <c r="B732" s="72" t="s">
        <v>18</v>
      </c>
      <c r="C732" s="73" t="s">
        <v>19</v>
      </c>
      <c r="D732" s="74">
        <v>232.51942575074455</v>
      </c>
      <c r="E732" s="64">
        <v>1256089</v>
      </c>
      <c r="F732" s="65">
        <v>1228624.831932772</v>
      </c>
      <c r="G732" s="75">
        <v>2603.5172608319635</v>
      </c>
      <c r="H732" s="76">
        <v>2</v>
      </c>
      <c r="I732" s="54" t="s">
        <v>20</v>
      </c>
      <c r="J732" s="77">
        <v>40</v>
      </c>
      <c r="K732" s="78">
        <v>2</v>
      </c>
      <c r="L732" s="54">
        <v>1</v>
      </c>
      <c r="M732" s="54">
        <f>_xlfn.XLOOKUP(Survey!$F732,sections[Start],sections[Test Section],,-1,1)</f>
        <v>2</v>
      </c>
      <c r="N732" s="55">
        <f>_xlfn.XLOOKUP(Survey!$K732,pipedata[ID],pipedata[WT])</f>
        <v>0.74</v>
      </c>
      <c r="O732" s="56">
        <f>_xlfn.XLOOKUP(Survey!$K732,pipedata[ID],pipedata[104%])</f>
        <v>2565.3333333333335</v>
      </c>
      <c r="P732" s="57">
        <f t="shared" si="11"/>
        <v>1850</v>
      </c>
      <c r="Q732" s="58">
        <f>_xlfn.MAXIFS(Survey!$G$2:$G$3647,Survey!$M$2:$M$3647,Survey!$M732)-Survey!$G732</f>
        <v>160.14898336977876</v>
      </c>
      <c r="R732" s="59">
        <f>Survey!$P732+(Survey!$Q732*0.433)</f>
        <v>1919.3445097991141</v>
      </c>
    </row>
    <row r="733" spans="1:18" x14ac:dyDescent="0.25">
      <c r="A733" s="60" t="s">
        <v>17</v>
      </c>
      <c r="B733" s="61" t="s">
        <v>18</v>
      </c>
      <c r="C733" s="62" t="s">
        <v>19</v>
      </c>
      <c r="D733" s="63">
        <v>232.52652940549231</v>
      </c>
      <c r="E733" s="79">
        <v>1256129</v>
      </c>
      <c r="F733" s="80">
        <v>1228663.2226890745</v>
      </c>
      <c r="G733" s="66">
        <v>2584.5236389834508</v>
      </c>
      <c r="H733" s="67">
        <v>2</v>
      </c>
      <c r="I733" s="68" t="s">
        <v>20</v>
      </c>
      <c r="J733" s="69">
        <v>40</v>
      </c>
      <c r="K733" s="70">
        <v>2</v>
      </c>
      <c r="L733" s="68">
        <v>1</v>
      </c>
      <c r="M733" s="68">
        <f>_xlfn.XLOOKUP(Survey!$F733,sections[Start],sections[Test Section],,-1,1)</f>
        <v>2</v>
      </c>
      <c r="N733" s="55">
        <f>_xlfn.XLOOKUP(Survey!$K733,pipedata[ID],pipedata[WT])</f>
        <v>0.74</v>
      </c>
      <c r="O733" s="56">
        <f>_xlfn.XLOOKUP(Survey!$K733,pipedata[ID],pipedata[104%])</f>
        <v>2565.3333333333335</v>
      </c>
      <c r="P733" s="57">
        <f t="shared" si="11"/>
        <v>1850</v>
      </c>
      <c r="Q733" s="58">
        <f>_xlfn.MAXIFS(Survey!$G$2:$G$3647,Survey!$M$2:$M$3647,Survey!$M733)-Survey!$G733</f>
        <v>179.14260521829146</v>
      </c>
      <c r="R733" s="59">
        <f>Survey!$P733+(Survey!$Q733*0.433)</f>
        <v>1927.5687480595202</v>
      </c>
    </row>
    <row r="734" spans="1:18" x14ac:dyDescent="0.25">
      <c r="A734" s="71" t="s">
        <v>17</v>
      </c>
      <c r="B734" s="72" t="s">
        <v>18</v>
      </c>
      <c r="C734" s="73" t="s">
        <v>19</v>
      </c>
      <c r="D734" s="74">
        <v>232.53299592555078</v>
      </c>
      <c r="E734" s="81">
        <v>1256169</v>
      </c>
      <c r="F734" s="82">
        <v>1228701.613445377</v>
      </c>
      <c r="G734" s="75">
        <v>2564.7279107126824</v>
      </c>
      <c r="H734" s="76">
        <v>2</v>
      </c>
      <c r="I734" s="54" t="s">
        <v>20</v>
      </c>
      <c r="J734" s="77">
        <v>40</v>
      </c>
      <c r="K734" s="78">
        <v>2</v>
      </c>
      <c r="L734" s="54">
        <v>1</v>
      </c>
      <c r="M734" s="54">
        <f>_xlfn.XLOOKUP(Survey!$F734,sections[Start],sections[Test Section],,-1,1)</f>
        <v>2</v>
      </c>
      <c r="N734" s="55">
        <f>_xlfn.XLOOKUP(Survey!$K734,pipedata[ID],pipedata[WT])</f>
        <v>0.74</v>
      </c>
      <c r="O734" s="56">
        <f>_xlfn.XLOOKUP(Survey!$K734,pipedata[ID],pipedata[104%])</f>
        <v>2565.3333333333335</v>
      </c>
      <c r="P734" s="57">
        <f t="shared" si="11"/>
        <v>1850</v>
      </c>
      <c r="Q734" s="58">
        <f>_xlfn.MAXIFS(Survey!$G$2:$G$3647,Survey!$M$2:$M$3647,Survey!$M734)-Survey!$G734</f>
        <v>198.93833348905991</v>
      </c>
      <c r="R734" s="59">
        <f>Survey!$P734+(Survey!$Q734*0.433)</f>
        <v>1936.140298400763</v>
      </c>
    </row>
    <row r="735" spans="1:18" x14ac:dyDescent="0.25">
      <c r="A735" s="60" t="s">
        <v>17</v>
      </c>
      <c r="B735" s="61" t="s">
        <v>18</v>
      </c>
      <c r="C735" s="62" t="s">
        <v>19</v>
      </c>
      <c r="D735" s="63">
        <v>232.53986928255009</v>
      </c>
      <c r="E735" s="79">
        <v>1256209</v>
      </c>
      <c r="F735" s="80">
        <v>1228740.0042016795</v>
      </c>
      <c r="G735" s="66">
        <v>2543.1157033248519</v>
      </c>
      <c r="H735" s="67">
        <v>2</v>
      </c>
      <c r="I735" s="68" t="s">
        <v>20</v>
      </c>
      <c r="J735" s="69">
        <v>40</v>
      </c>
      <c r="K735" s="70">
        <v>2</v>
      </c>
      <c r="L735" s="68">
        <v>1</v>
      </c>
      <c r="M735" s="68">
        <f>_xlfn.XLOOKUP(Survey!$F735,sections[Start],sections[Test Section],,-1,1)</f>
        <v>2</v>
      </c>
      <c r="N735" s="55">
        <f>_xlfn.XLOOKUP(Survey!$K735,pipedata[ID],pipedata[WT])</f>
        <v>0.74</v>
      </c>
      <c r="O735" s="56">
        <f>_xlfn.XLOOKUP(Survey!$K735,pipedata[ID],pipedata[104%])</f>
        <v>2565.3333333333335</v>
      </c>
      <c r="P735" s="57">
        <f t="shared" si="11"/>
        <v>1850</v>
      </c>
      <c r="Q735" s="58">
        <f>_xlfn.MAXIFS(Survey!$G$2:$G$3647,Survey!$M$2:$M$3647,Survey!$M735)-Survey!$G735</f>
        <v>220.55054087689041</v>
      </c>
      <c r="R735" s="59">
        <f>Survey!$P735+(Survey!$Q735*0.433)</f>
        <v>1945.4983841996936</v>
      </c>
    </row>
    <row r="736" spans="1:18" x14ac:dyDescent="0.25">
      <c r="A736" s="71" t="s">
        <v>17</v>
      </c>
      <c r="B736" s="72" t="s">
        <v>18</v>
      </c>
      <c r="C736" s="73" t="s">
        <v>19</v>
      </c>
      <c r="D736" s="74">
        <v>232.54564669003571</v>
      </c>
      <c r="E736" s="81">
        <v>1256249</v>
      </c>
      <c r="F736" s="82">
        <v>1228778.394957982</v>
      </c>
      <c r="G736" s="75">
        <v>2524.954300023272</v>
      </c>
      <c r="H736" s="76">
        <v>2</v>
      </c>
      <c r="I736" s="54" t="s">
        <v>20</v>
      </c>
      <c r="J736" s="77">
        <v>40</v>
      </c>
      <c r="K736" s="78">
        <v>2</v>
      </c>
      <c r="L736" s="54">
        <v>1</v>
      </c>
      <c r="M736" s="54">
        <f>_xlfn.XLOOKUP(Survey!$F736,sections[Start],sections[Test Section],,-1,1)</f>
        <v>2</v>
      </c>
      <c r="N736" s="55">
        <f>_xlfn.XLOOKUP(Survey!$K736,pipedata[ID],pipedata[WT])</f>
        <v>0.74</v>
      </c>
      <c r="O736" s="56">
        <f>_xlfn.XLOOKUP(Survey!$K736,pipedata[ID],pipedata[104%])</f>
        <v>2565.3333333333335</v>
      </c>
      <c r="P736" s="57">
        <f t="shared" si="11"/>
        <v>1850</v>
      </c>
      <c r="Q736" s="58">
        <f>_xlfn.MAXIFS(Survey!$G$2:$G$3647,Survey!$M$2:$M$3647,Survey!$M736)-Survey!$G736</f>
        <v>238.71194417847028</v>
      </c>
      <c r="R736" s="59">
        <f>Survey!$P736+(Survey!$Q736*0.433)</f>
        <v>1953.3622718292777</v>
      </c>
    </row>
    <row r="737" spans="1:18" x14ac:dyDescent="0.25">
      <c r="A737" s="60" t="s">
        <v>17</v>
      </c>
      <c r="B737" s="61" t="s">
        <v>18</v>
      </c>
      <c r="C737" s="62" t="s">
        <v>19</v>
      </c>
      <c r="D737" s="63">
        <v>232.55284137282487</v>
      </c>
      <c r="E737" s="79">
        <v>1256289</v>
      </c>
      <c r="F737" s="80">
        <v>1228816.7857142845</v>
      </c>
      <c r="G737" s="66">
        <v>2502.2925549936554</v>
      </c>
      <c r="H737" s="67">
        <v>2</v>
      </c>
      <c r="I737" s="68" t="s">
        <v>20</v>
      </c>
      <c r="J737" s="69">
        <v>40</v>
      </c>
      <c r="K737" s="70">
        <v>2</v>
      </c>
      <c r="L737" s="68">
        <v>1</v>
      </c>
      <c r="M737" s="68">
        <f>_xlfn.XLOOKUP(Survey!$F737,sections[Start],sections[Test Section],,-1,1)</f>
        <v>2</v>
      </c>
      <c r="N737" s="55">
        <f>_xlfn.XLOOKUP(Survey!$K737,pipedata[ID],pipedata[WT])</f>
        <v>0.74</v>
      </c>
      <c r="O737" s="56">
        <f>_xlfn.XLOOKUP(Survey!$K737,pipedata[ID],pipedata[104%])</f>
        <v>2565.3333333333335</v>
      </c>
      <c r="P737" s="57">
        <f t="shared" si="11"/>
        <v>1850</v>
      </c>
      <c r="Q737" s="58">
        <f>_xlfn.MAXIFS(Survey!$G$2:$G$3647,Survey!$M$2:$M$3647,Survey!$M737)-Survey!$G737</f>
        <v>261.37368920808694</v>
      </c>
      <c r="R737" s="59">
        <f>Survey!$P737+(Survey!$Q737*0.433)</f>
        <v>1963.1748074271015</v>
      </c>
    </row>
    <row r="738" spans="1:18" x14ac:dyDescent="0.25">
      <c r="A738" s="71" t="s">
        <v>17</v>
      </c>
      <c r="B738" s="72" t="s">
        <v>18</v>
      </c>
      <c r="C738" s="73" t="s">
        <v>19</v>
      </c>
      <c r="D738" s="74">
        <v>232.55879500700706</v>
      </c>
      <c r="E738" s="81">
        <v>1256329</v>
      </c>
      <c r="F738" s="82">
        <v>1228855.176470587</v>
      </c>
      <c r="G738" s="75">
        <v>2477.4672358040848</v>
      </c>
      <c r="H738" s="76">
        <v>2</v>
      </c>
      <c r="I738" s="54" t="s">
        <v>20</v>
      </c>
      <c r="J738" s="77">
        <v>40</v>
      </c>
      <c r="K738" s="78">
        <v>2</v>
      </c>
      <c r="L738" s="54">
        <v>1</v>
      </c>
      <c r="M738" s="54">
        <f>_xlfn.XLOOKUP(Survey!$F738,sections[Start],sections[Test Section],,-1,1)</f>
        <v>2</v>
      </c>
      <c r="N738" s="55">
        <f>_xlfn.XLOOKUP(Survey!$K738,pipedata[ID],pipedata[WT])</f>
        <v>0.74</v>
      </c>
      <c r="O738" s="56">
        <f>_xlfn.XLOOKUP(Survey!$K738,pipedata[ID],pipedata[104%])</f>
        <v>2565.3333333333335</v>
      </c>
      <c r="P738" s="57">
        <f t="shared" si="11"/>
        <v>1850</v>
      </c>
      <c r="Q738" s="58">
        <f>_xlfn.MAXIFS(Survey!$G$2:$G$3647,Survey!$M$2:$M$3647,Survey!$M738)-Survey!$G738</f>
        <v>286.19900839765751</v>
      </c>
      <c r="R738" s="59">
        <f>Survey!$P738+(Survey!$Q738*0.433)</f>
        <v>1973.9241706361856</v>
      </c>
    </row>
    <row r="739" spans="1:18" x14ac:dyDescent="0.25">
      <c r="A739" s="60" t="s">
        <v>17</v>
      </c>
      <c r="B739" s="61" t="s">
        <v>18</v>
      </c>
      <c r="C739" s="62" t="s">
        <v>19</v>
      </c>
      <c r="D739" s="63">
        <v>232.5647486411892</v>
      </c>
      <c r="E739" s="79">
        <v>1256369</v>
      </c>
      <c r="F739" s="80">
        <v>1228893.5672268895</v>
      </c>
      <c r="G739" s="66">
        <v>2457.8144725628213</v>
      </c>
      <c r="H739" s="67">
        <v>2</v>
      </c>
      <c r="I739" s="68" t="s">
        <v>20</v>
      </c>
      <c r="J739" s="69">
        <v>40</v>
      </c>
      <c r="K739" s="70">
        <v>2</v>
      </c>
      <c r="L739" s="68">
        <v>1</v>
      </c>
      <c r="M739" s="68">
        <f>_xlfn.XLOOKUP(Survey!$F739,sections[Start],sections[Test Section],,-1,1)</f>
        <v>2</v>
      </c>
      <c r="N739" s="55">
        <f>_xlfn.XLOOKUP(Survey!$K739,pipedata[ID],pipedata[WT])</f>
        <v>0.74</v>
      </c>
      <c r="O739" s="56">
        <f>_xlfn.XLOOKUP(Survey!$K739,pipedata[ID],pipedata[104%])</f>
        <v>2565.3333333333335</v>
      </c>
      <c r="P739" s="57">
        <f t="shared" si="11"/>
        <v>1850</v>
      </c>
      <c r="Q739" s="58">
        <f>_xlfn.MAXIFS(Survey!$G$2:$G$3647,Survey!$M$2:$M$3647,Survey!$M739)-Survey!$G739</f>
        <v>305.85177163892104</v>
      </c>
      <c r="R739" s="59">
        <f>Survey!$P739+(Survey!$Q739*0.433)</f>
        <v>1982.4338171196528</v>
      </c>
    </row>
    <row r="740" spans="1:18" x14ac:dyDescent="0.25">
      <c r="A740" s="71" t="s">
        <v>17</v>
      </c>
      <c r="B740" s="72" t="s">
        <v>18</v>
      </c>
      <c r="C740" s="73" t="s">
        <v>19</v>
      </c>
      <c r="D740" s="74">
        <v>232.5716450237226</v>
      </c>
      <c r="E740" s="81">
        <v>1256409</v>
      </c>
      <c r="F740" s="82">
        <v>1228931.9579831921</v>
      </c>
      <c r="G740" s="75">
        <v>2430.6865850474314</v>
      </c>
      <c r="H740" s="76">
        <v>2</v>
      </c>
      <c r="I740" s="54" t="s">
        <v>20</v>
      </c>
      <c r="J740" s="77">
        <v>40</v>
      </c>
      <c r="K740" s="78">
        <v>2</v>
      </c>
      <c r="L740" s="54">
        <v>1</v>
      </c>
      <c r="M740" s="54">
        <f>_xlfn.XLOOKUP(Survey!$F740,sections[Start],sections[Test Section],,-1,1)</f>
        <v>2</v>
      </c>
      <c r="N740" s="55">
        <f>_xlfn.XLOOKUP(Survey!$K740,pipedata[ID],pipedata[WT])</f>
        <v>0.74</v>
      </c>
      <c r="O740" s="56">
        <f>_xlfn.XLOOKUP(Survey!$K740,pipedata[ID],pipedata[104%])</f>
        <v>2565.3333333333335</v>
      </c>
      <c r="P740" s="57">
        <f t="shared" si="11"/>
        <v>1850</v>
      </c>
      <c r="Q740" s="58">
        <f>_xlfn.MAXIFS(Survey!$G$2:$G$3647,Survey!$M$2:$M$3647,Survey!$M740)-Survey!$G740</f>
        <v>332.97965915431087</v>
      </c>
      <c r="R740" s="59">
        <f>Survey!$P740+(Survey!$Q740*0.433)</f>
        <v>1994.1801924138167</v>
      </c>
    </row>
    <row r="741" spans="1:18" x14ac:dyDescent="0.25">
      <c r="A741" s="60" t="s">
        <v>17</v>
      </c>
      <c r="B741" s="61" t="s">
        <v>18</v>
      </c>
      <c r="C741" s="62" t="s">
        <v>19</v>
      </c>
      <c r="D741" s="63">
        <v>232.57776630176699</v>
      </c>
      <c r="E741" s="79">
        <v>1256449</v>
      </c>
      <c r="F741" s="80">
        <v>1228970.3487394946</v>
      </c>
      <c r="G741" s="66">
        <v>2402.3201626682253</v>
      </c>
      <c r="H741" s="67">
        <v>2</v>
      </c>
      <c r="I741" s="68" t="s">
        <v>20</v>
      </c>
      <c r="J741" s="69">
        <v>40</v>
      </c>
      <c r="K741" s="70">
        <v>2</v>
      </c>
      <c r="L741" s="68">
        <v>1</v>
      </c>
      <c r="M741" s="68">
        <f>_xlfn.XLOOKUP(Survey!$F741,sections[Start],sections[Test Section],,-1,1)</f>
        <v>2</v>
      </c>
      <c r="N741" s="55">
        <f>_xlfn.XLOOKUP(Survey!$K741,pipedata[ID],pipedata[WT])</f>
        <v>0.74</v>
      </c>
      <c r="O741" s="56">
        <f>_xlfn.XLOOKUP(Survey!$K741,pipedata[ID],pipedata[104%])</f>
        <v>2565.3333333333335</v>
      </c>
      <c r="P741" s="57">
        <f t="shared" si="11"/>
        <v>1850</v>
      </c>
      <c r="Q741" s="58">
        <f>_xlfn.MAXIFS(Survey!$G$2:$G$3647,Survey!$M$2:$M$3647,Survey!$M741)-Survey!$G741</f>
        <v>361.34608153351701</v>
      </c>
      <c r="R741" s="59">
        <f>Survey!$P741+(Survey!$Q741*0.433)</f>
        <v>2006.4628533040129</v>
      </c>
    </row>
    <row r="742" spans="1:18" x14ac:dyDescent="0.25">
      <c r="A742" s="71" t="s">
        <v>17</v>
      </c>
      <c r="B742" s="72" t="s">
        <v>18</v>
      </c>
      <c r="C742" s="73" t="s">
        <v>19</v>
      </c>
      <c r="D742" s="74">
        <v>232.58319983869544</v>
      </c>
      <c r="E742" s="81">
        <v>1256489</v>
      </c>
      <c r="F742" s="82">
        <v>1229008.7394957971</v>
      </c>
      <c r="G742" s="75">
        <v>2380.8096585042558</v>
      </c>
      <c r="H742" s="76">
        <v>2</v>
      </c>
      <c r="I742" s="54" t="s">
        <v>20</v>
      </c>
      <c r="J742" s="77">
        <v>40</v>
      </c>
      <c r="K742" s="78">
        <v>2</v>
      </c>
      <c r="L742" s="54">
        <v>1</v>
      </c>
      <c r="M742" s="54">
        <f>_xlfn.XLOOKUP(Survey!$F742,sections[Start],sections[Test Section],,-1,1)</f>
        <v>2</v>
      </c>
      <c r="N742" s="55">
        <f>_xlfn.XLOOKUP(Survey!$K742,pipedata[ID],pipedata[WT])</f>
        <v>0.74</v>
      </c>
      <c r="O742" s="56">
        <f>_xlfn.XLOOKUP(Survey!$K742,pipedata[ID],pipedata[104%])</f>
        <v>2565.3333333333335</v>
      </c>
      <c r="P742" s="57">
        <f t="shared" si="11"/>
        <v>1850</v>
      </c>
      <c r="Q742" s="58">
        <f>_xlfn.MAXIFS(Survey!$G$2:$G$3647,Survey!$M$2:$M$3647,Survey!$M742)-Survey!$G742</f>
        <v>382.85658569748648</v>
      </c>
      <c r="R742" s="59">
        <f>Survey!$P742+(Survey!$Q742*0.433)</f>
        <v>2015.7769016070117</v>
      </c>
    </row>
    <row r="743" spans="1:18" x14ac:dyDescent="0.25">
      <c r="A743" s="60" t="s">
        <v>17</v>
      </c>
      <c r="B743" s="61" t="s">
        <v>18</v>
      </c>
      <c r="C743" s="62" t="s">
        <v>19</v>
      </c>
      <c r="D743" s="63">
        <v>232.5905477226456</v>
      </c>
      <c r="E743" s="79">
        <v>1256529</v>
      </c>
      <c r="F743" s="80">
        <v>1229047.1302520996</v>
      </c>
      <c r="G743" s="66">
        <v>2352.2204317241908</v>
      </c>
      <c r="H743" s="67">
        <v>2</v>
      </c>
      <c r="I743" s="68" t="s">
        <v>20</v>
      </c>
      <c r="J743" s="69">
        <v>40</v>
      </c>
      <c r="K743" s="70">
        <v>2</v>
      </c>
      <c r="L743" s="68">
        <v>1</v>
      </c>
      <c r="M743" s="68">
        <f>_xlfn.XLOOKUP(Survey!$F743,sections[Start],sections[Test Section],,-1,1)</f>
        <v>2</v>
      </c>
      <c r="N743" s="55">
        <f>_xlfn.XLOOKUP(Survey!$K743,pipedata[ID],pipedata[WT])</f>
        <v>0.74</v>
      </c>
      <c r="O743" s="56">
        <f>_xlfn.XLOOKUP(Survey!$K743,pipedata[ID],pipedata[104%])</f>
        <v>2565.3333333333335</v>
      </c>
      <c r="P743" s="57">
        <f t="shared" si="11"/>
        <v>1850</v>
      </c>
      <c r="Q743" s="58">
        <f>_xlfn.MAXIFS(Survey!$G$2:$G$3647,Survey!$M$2:$M$3647,Survey!$M743)-Survey!$G743</f>
        <v>411.4458124775515</v>
      </c>
      <c r="R743" s="59">
        <f>Survey!$P743+(Survey!$Q743*0.433)</f>
        <v>2028.1560368027799</v>
      </c>
    </row>
    <row r="744" spans="1:18" x14ac:dyDescent="0.25">
      <c r="A744" s="71" t="s">
        <v>17</v>
      </c>
      <c r="B744" s="72" t="s">
        <v>18</v>
      </c>
      <c r="C744" s="73" t="s">
        <v>19</v>
      </c>
      <c r="D744" s="74">
        <v>232.5965013568279</v>
      </c>
      <c r="E744" s="81">
        <v>1256569</v>
      </c>
      <c r="F744" s="82">
        <v>1229085.5210084021</v>
      </c>
      <c r="G744" s="75">
        <v>2326.1668439075052</v>
      </c>
      <c r="H744" s="76">
        <v>2</v>
      </c>
      <c r="I744" s="54" t="s">
        <v>20</v>
      </c>
      <c r="J744" s="77">
        <v>40</v>
      </c>
      <c r="K744" s="78">
        <v>2</v>
      </c>
      <c r="L744" s="54">
        <v>1</v>
      </c>
      <c r="M744" s="54">
        <f>_xlfn.XLOOKUP(Survey!$F744,sections[Start],sections[Test Section],,-1,1)</f>
        <v>2</v>
      </c>
      <c r="N744" s="55">
        <f>_xlfn.XLOOKUP(Survey!$K744,pipedata[ID],pipedata[WT])</f>
        <v>0.74</v>
      </c>
      <c r="O744" s="56">
        <f>_xlfn.XLOOKUP(Survey!$K744,pipedata[ID],pipedata[104%])</f>
        <v>2565.3333333333335</v>
      </c>
      <c r="P744" s="57">
        <f t="shared" si="11"/>
        <v>1850</v>
      </c>
      <c r="Q744" s="58">
        <f>_xlfn.MAXIFS(Survey!$G$2:$G$3647,Survey!$M$2:$M$3647,Survey!$M744)-Survey!$G744</f>
        <v>437.49940029423715</v>
      </c>
      <c r="R744" s="59">
        <f>Survey!$P744+(Survey!$Q744*0.433)</f>
        <v>2039.4372403274047</v>
      </c>
    </row>
    <row r="745" spans="1:18" x14ac:dyDescent="0.25">
      <c r="A745" s="60" t="s">
        <v>17</v>
      </c>
      <c r="B745" s="61" t="s">
        <v>18</v>
      </c>
      <c r="C745" s="62" t="s">
        <v>19</v>
      </c>
      <c r="D745" s="63">
        <v>232.60245499101023</v>
      </c>
      <c r="E745" s="64">
        <v>1256609</v>
      </c>
      <c r="F745" s="65">
        <v>1229123.9117647046</v>
      </c>
      <c r="G745" s="66">
        <v>2300.9425611146521</v>
      </c>
      <c r="H745" s="67">
        <v>2</v>
      </c>
      <c r="I745" s="68" t="s">
        <v>20</v>
      </c>
      <c r="J745" s="69">
        <v>40</v>
      </c>
      <c r="K745" s="70">
        <v>2</v>
      </c>
      <c r="L745" s="68">
        <v>1</v>
      </c>
      <c r="M745" s="68">
        <f>_xlfn.XLOOKUP(Survey!$F745,sections[Start],sections[Test Section],,-1,1)</f>
        <v>2</v>
      </c>
      <c r="N745" s="55">
        <f>_xlfn.XLOOKUP(Survey!$K745,pipedata[ID],pipedata[WT])</f>
        <v>0.74</v>
      </c>
      <c r="O745" s="56">
        <f>_xlfn.XLOOKUP(Survey!$K745,pipedata[ID],pipedata[104%])</f>
        <v>2565.3333333333335</v>
      </c>
      <c r="P745" s="57">
        <f t="shared" si="11"/>
        <v>1850</v>
      </c>
      <c r="Q745" s="58">
        <f>_xlfn.MAXIFS(Survey!$G$2:$G$3647,Survey!$M$2:$M$3647,Survey!$M745)-Survey!$G745</f>
        <v>462.72368308709019</v>
      </c>
      <c r="R745" s="59">
        <f>Survey!$P745+(Survey!$Q745*0.433)</f>
        <v>2050.35935477671</v>
      </c>
    </row>
    <row r="746" spans="1:18" x14ac:dyDescent="0.25">
      <c r="A746" s="71" t="s">
        <v>17</v>
      </c>
      <c r="B746" s="72" t="s">
        <v>18</v>
      </c>
      <c r="C746" s="73" t="s">
        <v>19</v>
      </c>
      <c r="D746" s="74">
        <v>232.61013623711779</v>
      </c>
      <c r="E746" s="81">
        <v>1256649</v>
      </c>
      <c r="F746" s="82">
        <v>1229162.3025210071</v>
      </c>
      <c r="G746" s="75">
        <v>2275.3307870123499</v>
      </c>
      <c r="H746" s="76">
        <v>2</v>
      </c>
      <c r="I746" s="54" t="s">
        <v>20</v>
      </c>
      <c r="J746" s="77">
        <v>40</v>
      </c>
      <c r="K746" s="78">
        <v>2</v>
      </c>
      <c r="L746" s="54">
        <v>1</v>
      </c>
      <c r="M746" s="54">
        <f>_xlfn.XLOOKUP(Survey!$F746,sections[Start],sections[Test Section],,-1,1)</f>
        <v>2</v>
      </c>
      <c r="N746" s="55">
        <f>_xlfn.XLOOKUP(Survey!$K746,pipedata[ID],pipedata[WT])</f>
        <v>0.74</v>
      </c>
      <c r="O746" s="56">
        <f>_xlfn.XLOOKUP(Survey!$K746,pipedata[ID],pipedata[104%])</f>
        <v>2565.3333333333335</v>
      </c>
      <c r="P746" s="57">
        <f t="shared" si="11"/>
        <v>1850</v>
      </c>
      <c r="Q746" s="58">
        <f>_xlfn.MAXIFS(Survey!$G$2:$G$3647,Survey!$M$2:$M$3647,Survey!$M746)-Survey!$G746</f>
        <v>488.3354571893924</v>
      </c>
      <c r="R746" s="59">
        <f>Survey!$P746+(Survey!$Q746*0.433)</f>
        <v>2061.449252963007</v>
      </c>
    </row>
    <row r="747" spans="1:18" x14ac:dyDescent="0.25">
      <c r="A747" s="60" t="s">
        <v>17</v>
      </c>
      <c r="B747" s="61" t="s">
        <v>18</v>
      </c>
      <c r="C747" s="62" t="s">
        <v>19</v>
      </c>
      <c r="D747" s="63">
        <v>232.61649671065322</v>
      </c>
      <c r="E747" s="64">
        <v>1256689</v>
      </c>
      <c r="F747" s="65">
        <v>1229200.6932773096</v>
      </c>
      <c r="G747" s="66">
        <v>2284.7499929800001</v>
      </c>
      <c r="H747" s="67">
        <v>2</v>
      </c>
      <c r="I747" s="68" t="s">
        <v>20</v>
      </c>
      <c r="J747" s="69">
        <v>40</v>
      </c>
      <c r="K747" s="70">
        <v>2</v>
      </c>
      <c r="L747" s="68">
        <v>1</v>
      </c>
      <c r="M747" s="68">
        <f>_xlfn.XLOOKUP(Survey!$F747,sections[Start],sections[Test Section],,-1,1)</f>
        <v>2</v>
      </c>
      <c r="N747" s="55">
        <f>_xlfn.XLOOKUP(Survey!$K747,pipedata[ID],pipedata[WT])</f>
        <v>0.74</v>
      </c>
      <c r="O747" s="56">
        <f>_xlfn.XLOOKUP(Survey!$K747,pipedata[ID],pipedata[104%])</f>
        <v>2565.3333333333335</v>
      </c>
      <c r="P747" s="57">
        <f t="shared" si="11"/>
        <v>1850</v>
      </c>
      <c r="Q747" s="58">
        <f>_xlfn.MAXIFS(Survey!$G$2:$G$3647,Survey!$M$2:$M$3647,Survey!$M747)-Survey!$G747</f>
        <v>478.91625122174219</v>
      </c>
      <c r="R747" s="59">
        <f>Survey!$P747+(Survey!$Q747*0.433)</f>
        <v>2057.3707367790144</v>
      </c>
    </row>
    <row r="748" spans="1:18" x14ac:dyDescent="0.25">
      <c r="A748" s="71" t="s">
        <v>17</v>
      </c>
      <c r="B748" s="72" t="s">
        <v>18</v>
      </c>
      <c r="C748" s="73" t="s">
        <v>19</v>
      </c>
      <c r="D748" s="74">
        <v>232.6228571841888</v>
      </c>
      <c r="E748" s="81">
        <v>1256729</v>
      </c>
      <c r="F748" s="82">
        <v>1229239.0840336122</v>
      </c>
      <c r="G748" s="75">
        <v>2307.6101224918625</v>
      </c>
      <c r="H748" s="76">
        <v>2</v>
      </c>
      <c r="I748" s="54" t="s">
        <v>20</v>
      </c>
      <c r="J748" s="77">
        <v>40</v>
      </c>
      <c r="K748" s="78">
        <v>2</v>
      </c>
      <c r="L748" s="54">
        <v>1</v>
      </c>
      <c r="M748" s="54">
        <f>_xlfn.XLOOKUP(Survey!$F748,sections[Start],sections[Test Section],,-1,1)</f>
        <v>2</v>
      </c>
      <c r="N748" s="55">
        <f>_xlfn.XLOOKUP(Survey!$K748,pipedata[ID],pipedata[WT])</f>
        <v>0.74</v>
      </c>
      <c r="O748" s="56">
        <f>_xlfn.XLOOKUP(Survey!$K748,pipedata[ID],pipedata[104%])</f>
        <v>2565.3333333333335</v>
      </c>
      <c r="P748" s="57">
        <f t="shared" si="11"/>
        <v>1850</v>
      </c>
      <c r="Q748" s="58">
        <f>_xlfn.MAXIFS(Survey!$G$2:$G$3647,Survey!$M$2:$M$3647,Survey!$M748)-Survey!$G748</f>
        <v>456.05612170987979</v>
      </c>
      <c r="R748" s="59">
        <f>Survey!$P748+(Survey!$Q748*0.433)</f>
        <v>2047.4723007003779</v>
      </c>
    </row>
    <row r="749" spans="1:18" x14ac:dyDescent="0.25">
      <c r="A749" s="60" t="s">
        <v>17</v>
      </c>
      <c r="B749" s="61" t="s">
        <v>18</v>
      </c>
      <c r="C749" s="62" t="s">
        <v>19</v>
      </c>
      <c r="D749" s="63">
        <v>232.62921765772396</v>
      </c>
      <c r="E749" s="79">
        <v>1256769</v>
      </c>
      <c r="F749" s="80">
        <v>1229277.4747899147</v>
      </c>
      <c r="G749" s="66">
        <v>2327.3619556179201</v>
      </c>
      <c r="H749" s="67">
        <v>2</v>
      </c>
      <c r="I749" s="68" t="s">
        <v>20</v>
      </c>
      <c r="J749" s="69">
        <v>40</v>
      </c>
      <c r="K749" s="70">
        <v>2</v>
      </c>
      <c r="L749" s="68">
        <v>1</v>
      </c>
      <c r="M749" s="68">
        <f>_xlfn.XLOOKUP(Survey!$F749,sections[Start],sections[Test Section],,-1,1)</f>
        <v>2</v>
      </c>
      <c r="N749" s="55">
        <f>_xlfn.XLOOKUP(Survey!$K749,pipedata[ID],pipedata[WT])</f>
        <v>0.74</v>
      </c>
      <c r="O749" s="56">
        <f>_xlfn.XLOOKUP(Survey!$K749,pipedata[ID],pipedata[104%])</f>
        <v>2565.3333333333335</v>
      </c>
      <c r="P749" s="57">
        <f t="shared" si="11"/>
        <v>1850</v>
      </c>
      <c r="Q749" s="58">
        <f>_xlfn.MAXIFS(Survey!$G$2:$G$3647,Survey!$M$2:$M$3647,Survey!$M749)-Survey!$G749</f>
        <v>436.3042885838222</v>
      </c>
      <c r="R749" s="59">
        <f>Survey!$P749+(Survey!$Q749*0.433)</f>
        <v>2038.919756956795</v>
      </c>
    </row>
    <row r="750" spans="1:18" x14ac:dyDescent="0.25">
      <c r="A750" s="71" t="s">
        <v>17</v>
      </c>
      <c r="B750" s="72" t="s">
        <v>18</v>
      </c>
      <c r="C750" s="73" t="s">
        <v>19</v>
      </c>
      <c r="D750" s="74">
        <v>232.6357683486504</v>
      </c>
      <c r="E750" s="81">
        <v>1256809</v>
      </c>
      <c r="F750" s="82">
        <v>1229315.8655462172</v>
      </c>
      <c r="G750" s="75">
        <v>2348.3771727716448</v>
      </c>
      <c r="H750" s="76">
        <v>2</v>
      </c>
      <c r="I750" s="54" t="s">
        <v>20</v>
      </c>
      <c r="J750" s="77">
        <v>40</v>
      </c>
      <c r="K750" s="78">
        <v>2</v>
      </c>
      <c r="L750" s="54">
        <v>1</v>
      </c>
      <c r="M750" s="54">
        <f>_xlfn.XLOOKUP(Survey!$F750,sections[Start],sections[Test Section],,-1,1)</f>
        <v>2</v>
      </c>
      <c r="N750" s="55">
        <f>_xlfn.XLOOKUP(Survey!$K750,pipedata[ID],pipedata[WT])</f>
        <v>0.74</v>
      </c>
      <c r="O750" s="56">
        <f>_xlfn.XLOOKUP(Survey!$K750,pipedata[ID],pipedata[104%])</f>
        <v>2565.3333333333335</v>
      </c>
      <c r="P750" s="57">
        <f t="shared" si="11"/>
        <v>1850</v>
      </c>
      <c r="Q750" s="58">
        <f>_xlfn.MAXIFS(Survey!$G$2:$G$3647,Survey!$M$2:$M$3647,Survey!$M750)-Survey!$G750</f>
        <v>415.28907143009747</v>
      </c>
      <c r="R750" s="59">
        <f>Survey!$P750+(Survey!$Q750*0.433)</f>
        <v>2029.8201679292322</v>
      </c>
    </row>
    <row r="751" spans="1:18" x14ac:dyDescent="0.25">
      <c r="A751" s="60" t="s">
        <v>17</v>
      </c>
      <c r="B751" s="61" t="s">
        <v>18</v>
      </c>
      <c r="C751" s="62" t="s">
        <v>19</v>
      </c>
      <c r="D751" s="63">
        <v>232.64284118036079</v>
      </c>
      <c r="E751" s="79">
        <v>1256849</v>
      </c>
      <c r="F751" s="80">
        <v>1229354.2563025197</v>
      </c>
      <c r="G751" s="66">
        <v>2370.7065890975909</v>
      </c>
      <c r="H751" s="67">
        <v>2</v>
      </c>
      <c r="I751" s="68" t="s">
        <v>20</v>
      </c>
      <c r="J751" s="69">
        <v>40</v>
      </c>
      <c r="K751" s="70">
        <v>2</v>
      </c>
      <c r="L751" s="68">
        <v>1</v>
      </c>
      <c r="M751" s="68">
        <f>_xlfn.XLOOKUP(Survey!$F751,sections[Start],sections[Test Section],,-1,1)</f>
        <v>2</v>
      </c>
      <c r="N751" s="55">
        <f>_xlfn.XLOOKUP(Survey!$K751,pipedata[ID],pipedata[WT])</f>
        <v>0.74</v>
      </c>
      <c r="O751" s="56">
        <f>_xlfn.XLOOKUP(Survey!$K751,pipedata[ID],pipedata[104%])</f>
        <v>2565.3333333333335</v>
      </c>
      <c r="P751" s="57">
        <f t="shared" si="11"/>
        <v>1850</v>
      </c>
      <c r="Q751" s="58">
        <f>_xlfn.MAXIFS(Survey!$G$2:$G$3647,Survey!$M$2:$M$3647,Survey!$M751)-Survey!$G751</f>
        <v>392.95965510415135</v>
      </c>
      <c r="R751" s="59">
        <f>Survey!$P751+(Survey!$Q751*0.433)</f>
        <v>2020.1515306600975</v>
      </c>
    </row>
    <row r="752" spans="1:18" x14ac:dyDescent="0.25">
      <c r="A752" s="71" t="s">
        <v>17</v>
      </c>
      <c r="B752" s="72" t="s">
        <v>18</v>
      </c>
      <c r="C752" s="73" t="s">
        <v>19</v>
      </c>
      <c r="D752" s="74">
        <v>232.64922649133848</v>
      </c>
      <c r="E752" s="81">
        <v>1256889</v>
      </c>
      <c r="F752" s="82">
        <v>1229392.6470588222</v>
      </c>
      <c r="G752" s="75">
        <v>2390.8300909160134</v>
      </c>
      <c r="H752" s="76">
        <v>2</v>
      </c>
      <c r="I752" s="54" t="s">
        <v>20</v>
      </c>
      <c r="J752" s="77">
        <v>40</v>
      </c>
      <c r="K752" s="78">
        <v>2</v>
      </c>
      <c r="L752" s="54">
        <v>1</v>
      </c>
      <c r="M752" s="54">
        <f>_xlfn.XLOOKUP(Survey!$F752,sections[Start],sections[Test Section],,-1,1)</f>
        <v>2</v>
      </c>
      <c r="N752" s="55">
        <f>_xlfn.XLOOKUP(Survey!$K752,pipedata[ID],pipedata[WT])</f>
        <v>0.74</v>
      </c>
      <c r="O752" s="56">
        <f>_xlfn.XLOOKUP(Survey!$K752,pipedata[ID],pipedata[104%])</f>
        <v>2565.3333333333335</v>
      </c>
      <c r="P752" s="57">
        <f t="shared" si="11"/>
        <v>1850</v>
      </c>
      <c r="Q752" s="58">
        <f>_xlfn.MAXIFS(Survey!$G$2:$G$3647,Survey!$M$2:$M$3647,Survey!$M752)-Survey!$G752</f>
        <v>372.83615328572887</v>
      </c>
      <c r="R752" s="59">
        <f>Survey!$P752+(Survey!$Q752*0.433)</f>
        <v>2011.4380543727207</v>
      </c>
    </row>
    <row r="753" spans="1:18" x14ac:dyDescent="0.25">
      <c r="A753" s="60" t="s">
        <v>17</v>
      </c>
      <c r="B753" s="61" t="s">
        <v>18</v>
      </c>
      <c r="C753" s="62" t="s">
        <v>19</v>
      </c>
      <c r="D753" s="63">
        <v>232.65599605301219</v>
      </c>
      <c r="E753" s="79">
        <v>1256929</v>
      </c>
      <c r="F753" s="80">
        <v>1229431.0378151247</v>
      </c>
      <c r="G753" s="66">
        <v>2411.3996957938311</v>
      </c>
      <c r="H753" s="67">
        <v>2</v>
      </c>
      <c r="I753" s="68" t="s">
        <v>20</v>
      </c>
      <c r="J753" s="69">
        <v>40</v>
      </c>
      <c r="K753" s="70">
        <v>2</v>
      </c>
      <c r="L753" s="68">
        <v>1</v>
      </c>
      <c r="M753" s="68">
        <f>_xlfn.XLOOKUP(Survey!$F753,sections[Start],sections[Test Section],,-1,1)</f>
        <v>2</v>
      </c>
      <c r="N753" s="55">
        <f>_xlfn.XLOOKUP(Survey!$K753,pipedata[ID],pipedata[WT])</f>
        <v>0.74</v>
      </c>
      <c r="O753" s="56">
        <f>_xlfn.XLOOKUP(Survey!$K753,pipedata[ID],pipedata[104%])</f>
        <v>2565.3333333333335</v>
      </c>
      <c r="P753" s="57">
        <f t="shared" si="11"/>
        <v>1850</v>
      </c>
      <c r="Q753" s="58">
        <f>_xlfn.MAXIFS(Survey!$G$2:$G$3647,Survey!$M$2:$M$3647,Survey!$M753)-Survey!$G753</f>
        <v>352.26654840791116</v>
      </c>
      <c r="R753" s="59">
        <f>Survey!$P753+(Survey!$Q753*0.433)</f>
        <v>2002.5314154606256</v>
      </c>
    </row>
    <row r="754" spans="1:18" x14ac:dyDescent="0.25">
      <c r="A754" s="71" t="s">
        <v>17</v>
      </c>
      <c r="B754" s="72" t="s">
        <v>18</v>
      </c>
      <c r="C754" s="73" t="s">
        <v>19</v>
      </c>
      <c r="D754" s="74">
        <v>232.66276561468615</v>
      </c>
      <c r="E754" s="81">
        <v>1256969</v>
      </c>
      <c r="F754" s="82">
        <v>1229469.4285714272</v>
      </c>
      <c r="G754" s="75">
        <v>2430.052265143428</v>
      </c>
      <c r="H754" s="76">
        <v>2</v>
      </c>
      <c r="I754" s="54" t="s">
        <v>20</v>
      </c>
      <c r="J754" s="77">
        <v>40</v>
      </c>
      <c r="K754" s="78">
        <v>2</v>
      </c>
      <c r="L754" s="54">
        <v>1</v>
      </c>
      <c r="M754" s="54">
        <f>_xlfn.XLOOKUP(Survey!$F754,sections[Start],sections[Test Section],,-1,1)</f>
        <v>2</v>
      </c>
      <c r="N754" s="55">
        <f>_xlfn.XLOOKUP(Survey!$K754,pipedata[ID],pipedata[WT])</f>
        <v>0.74</v>
      </c>
      <c r="O754" s="56">
        <f>_xlfn.XLOOKUP(Survey!$K754,pipedata[ID],pipedata[104%])</f>
        <v>2565.3333333333335</v>
      </c>
      <c r="P754" s="57">
        <f t="shared" si="11"/>
        <v>1850</v>
      </c>
      <c r="Q754" s="58">
        <f>_xlfn.MAXIFS(Survey!$G$2:$G$3647,Survey!$M$2:$M$3647,Survey!$M754)-Survey!$G754</f>
        <v>333.61397905831427</v>
      </c>
      <c r="R754" s="59">
        <f>Survey!$P754+(Survey!$Q754*0.433)</f>
        <v>1994.4548529322501</v>
      </c>
    </row>
    <row r="755" spans="1:18" x14ac:dyDescent="0.25">
      <c r="A755" s="60" t="s">
        <v>17</v>
      </c>
      <c r="B755" s="61" t="s">
        <v>18</v>
      </c>
      <c r="C755" s="62" t="s">
        <v>19</v>
      </c>
      <c r="D755" s="63">
        <v>232.66953517635974</v>
      </c>
      <c r="E755" s="79">
        <v>1257009</v>
      </c>
      <c r="F755" s="80">
        <v>1229507.8193277298</v>
      </c>
      <c r="G755" s="66">
        <v>2451.5005761118941</v>
      </c>
      <c r="H755" s="67">
        <v>2</v>
      </c>
      <c r="I755" s="68" t="s">
        <v>20</v>
      </c>
      <c r="J755" s="69">
        <v>40</v>
      </c>
      <c r="K755" s="70">
        <v>2</v>
      </c>
      <c r="L755" s="68">
        <v>1</v>
      </c>
      <c r="M755" s="68">
        <f>_xlfn.XLOOKUP(Survey!$F755,sections[Start],sections[Test Section],,-1,1)</f>
        <v>2</v>
      </c>
      <c r="N755" s="55">
        <f>_xlfn.XLOOKUP(Survey!$K755,pipedata[ID],pipedata[WT])</f>
        <v>0.74</v>
      </c>
      <c r="O755" s="56">
        <f>_xlfn.XLOOKUP(Survey!$K755,pipedata[ID],pipedata[104%])</f>
        <v>2565.3333333333335</v>
      </c>
      <c r="P755" s="57">
        <f t="shared" si="11"/>
        <v>1850</v>
      </c>
      <c r="Q755" s="58">
        <f>_xlfn.MAXIFS(Survey!$G$2:$G$3647,Survey!$M$2:$M$3647,Survey!$M755)-Survey!$G755</f>
        <v>312.16566808984817</v>
      </c>
      <c r="R755" s="59">
        <f>Survey!$P755+(Survey!$Q755*0.433)</f>
        <v>1985.1677342829043</v>
      </c>
    </row>
    <row r="756" spans="1:18" x14ac:dyDescent="0.25">
      <c r="A756" s="71" t="s">
        <v>17</v>
      </c>
      <c r="B756" s="72" t="s">
        <v>18</v>
      </c>
      <c r="C756" s="73" t="s">
        <v>19</v>
      </c>
      <c r="D756" s="74">
        <v>232.67630473803379</v>
      </c>
      <c r="E756" s="81">
        <v>1257049</v>
      </c>
      <c r="F756" s="82">
        <v>1229546.2100840323</v>
      </c>
      <c r="G756" s="75">
        <v>2470.6194222214785</v>
      </c>
      <c r="H756" s="76">
        <v>2</v>
      </c>
      <c r="I756" s="54" t="s">
        <v>20</v>
      </c>
      <c r="J756" s="77">
        <v>40</v>
      </c>
      <c r="K756" s="78">
        <v>2</v>
      </c>
      <c r="L756" s="54">
        <v>1</v>
      </c>
      <c r="M756" s="54">
        <f>_xlfn.XLOOKUP(Survey!$F756,sections[Start],sections[Test Section],,-1,1)</f>
        <v>2</v>
      </c>
      <c r="N756" s="55">
        <f>_xlfn.XLOOKUP(Survey!$K756,pipedata[ID],pipedata[WT])</f>
        <v>0.74</v>
      </c>
      <c r="O756" s="56">
        <f>_xlfn.XLOOKUP(Survey!$K756,pipedata[ID],pipedata[104%])</f>
        <v>2565.3333333333335</v>
      </c>
      <c r="P756" s="57">
        <f t="shared" si="11"/>
        <v>1850</v>
      </c>
      <c r="Q756" s="58">
        <f>_xlfn.MAXIFS(Survey!$G$2:$G$3647,Survey!$M$2:$M$3647,Survey!$M756)-Survey!$G756</f>
        <v>293.04682198026376</v>
      </c>
      <c r="R756" s="59">
        <f>Survey!$P756+(Survey!$Q756*0.433)</f>
        <v>1976.8892739174541</v>
      </c>
    </row>
    <row r="757" spans="1:18" x14ac:dyDescent="0.25">
      <c r="A757" s="60" t="s">
        <v>17</v>
      </c>
      <c r="B757" s="61" t="s">
        <v>18</v>
      </c>
      <c r="C757" s="62" t="s">
        <v>19</v>
      </c>
      <c r="D757" s="63">
        <v>232.68328168277313</v>
      </c>
      <c r="E757" s="79">
        <v>1257089</v>
      </c>
      <c r="F757" s="80">
        <v>1229584.6008403348</v>
      </c>
      <c r="G757" s="66">
        <v>2488.9428297396948</v>
      </c>
      <c r="H757" s="67">
        <v>2</v>
      </c>
      <c r="I757" s="68" t="s">
        <v>20</v>
      </c>
      <c r="J757" s="69">
        <v>40</v>
      </c>
      <c r="K757" s="70">
        <v>2</v>
      </c>
      <c r="L757" s="68">
        <v>1</v>
      </c>
      <c r="M757" s="68">
        <f>_xlfn.XLOOKUP(Survey!$F757,sections[Start],sections[Test Section],,-1,1)</f>
        <v>2</v>
      </c>
      <c r="N757" s="55">
        <f>_xlfn.XLOOKUP(Survey!$K757,pipedata[ID],pipedata[WT])</f>
        <v>0.74</v>
      </c>
      <c r="O757" s="56">
        <f>_xlfn.XLOOKUP(Survey!$K757,pipedata[ID],pipedata[104%])</f>
        <v>2565.3333333333335</v>
      </c>
      <c r="P757" s="57">
        <f t="shared" si="11"/>
        <v>1850</v>
      </c>
      <c r="Q757" s="58">
        <f>_xlfn.MAXIFS(Survey!$G$2:$G$3647,Survey!$M$2:$M$3647,Survey!$M757)-Survey!$G757</f>
        <v>274.72341446204746</v>
      </c>
      <c r="R757" s="59">
        <f>Survey!$P757+(Survey!$Q757*0.433)</f>
        <v>1968.9552384620665</v>
      </c>
    </row>
    <row r="758" spans="1:18" x14ac:dyDescent="0.25">
      <c r="A758" s="71" t="s">
        <v>17</v>
      </c>
      <c r="B758" s="72" t="s">
        <v>18</v>
      </c>
      <c r="C758" s="73" t="s">
        <v>19</v>
      </c>
      <c r="D758" s="74">
        <v>232.6898853003772</v>
      </c>
      <c r="E758" s="81">
        <v>1257129</v>
      </c>
      <c r="F758" s="82">
        <v>1229622.9915966373</v>
      </c>
      <c r="G758" s="75">
        <v>2507.4554354629286</v>
      </c>
      <c r="H758" s="76">
        <v>2</v>
      </c>
      <c r="I758" s="54" t="s">
        <v>20</v>
      </c>
      <c r="J758" s="77">
        <v>40</v>
      </c>
      <c r="K758" s="78">
        <v>2</v>
      </c>
      <c r="L758" s="54">
        <v>1</v>
      </c>
      <c r="M758" s="54">
        <f>_xlfn.XLOOKUP(Survey!$F758,sections[Start],sections[Test Section],,-1,1)</f>
        <v>2</v>
      </c>
      <c r="N758" s="55">
        <f>_xlfn.XLOOKUP(Survey!$K758,pipedata[ID],pipedata[WT])</f>
        <v>0.74</v>
      </c>
      <c r="O758" s="56">
        <f>_xlfn.XLOOKUP(Survey!$K758,pipedata[ID],pipedata[104%])</f>
        <v>2565.3333333333335</v>
      </c>
      <c r="P758" s="57">
        <f t="shared" si="11"/>
        <v>1850</v>
      </c>
      <c r="Q758" s="58">
        <f>_xlfn.MAXIFS(Survey!$G$2:$G$3647,Survey!$M$2:$M$3647,Survey!$M758)-Survey!$G758</f>
        <v>256.21080873881374</v>
      </c>
      <c r="R758" s="59">
        <f>Survey!$P758+(Survey!$Q758*0.433)</f>
        <v>1960.9392801839062</v>
      </c>
    </row>
    <row r="759" spans="1:18" x14ac:dyDescent="0.25">
      <c r="A759" s="60" t="s">
        <v>17</v>
      </c>
      <c r="B759" s="61" t="s">
        <v>18</v>
      </c>
      <c r="C759" s="62" t="s">
        <v>19</v>
      </c>
      <c r="D759" s="63">
        <v>232.69600680263511</v>
      </c>
      <c r="E759" s="79">
        <v>1257169</v>
      </c>
      <c r="F759" s="80">
        <v>1229661.3823529398</v>
      </c>
      <c r="G759" s="66">
        <v>2524.3842341041122</v>
      </c>
      <c r="H759" s="67">
        <v>2</v>
      </c>
      <c r="I759" s="68" t="s">
        <v>20</v>
      </c>
      <c r="J759" s="69">
        <v>40</v>
      </c>
      <c r="K759" s="70">
        <v>2</v>
      </c>
      <c r="L759" s="68">
        <v>1</v>
      </c>
      <c r="M759" s="68">
        <f>_xlfn.XLOOKUP(Survey!$F759,sections[Start],sections[Test Section],,-1,1)</f>
        <v>2</v>
      </c>
      <c r="N759" s="55">
        <f>_xlfn.XLOOKUP(Survey!$K759,pipedata[ID],pipedata[WT])</f>
        <v>0.74</v>
      </c>
      <c r="O759" s="56">
        <f>_xlfn.XLOOKUP(Survey!$K759,pipedata[ID],pipedata[104%])</f>
        <v>2565.3333333333335</v>
      </c>
      <c r="P759" s="57">
        <f t="shared" si="11"/>
        <v>1850</v>
      </c>
      <c r="Q759" s="58">
        <f>_xlfn.MAXIFS(Survey!$G$2:$G$3647,Survey!$M$2:$M$3647,Survey!$M759)-Survey!$G759</f>
        <v>239.28201009763006</v>
      </c>
      <c r="R759" s="59">
        <f>Survey!$P759+(Survey!$Q759*0.433)</f>
        <v>1953.6091103722738</v>
      </c>
    </row>
    <row r="760" spans="1:18" x14ac:dyDescent="0.25">
      <c r="A760" s="71" t="s">
        <v>17</v>
      </c>
      <c r="B760" s="72" t="s">
        <v>18</v>
      </c>
      <c r="C760" s="73" t="s">
        <v>19</v>
      </c>
      <c r="D760" s="74">
        <v>232.70359429034116</v>
      </c>
      <c r="E760" s="81">
        <v>1257209</v>
      </c>
      <c r="F760" s="82">
        <v>1229699.7731092423</v>
      </c>
      <c r="G760" s="75">
        <v>2543.6359465725122</v>
      </c>
      <c r="H760" s="76">
        <v>2</v>
      </c>
      <c r="I760" s="54" t="s">
        <v>20</v>
      </c>
      <c r="J760" s="77">
        <v>40</v>
      </c>
      <c r="K760" s="78">
        <v>2</v>
      </c>
      <c r="L760" s="54">
        <v>1</v>
      </c>
      <c r="M760" s="54">
        <f>_xlfn.XLOOKUP(Survey!$F760,sections[Start],sections[Test Section],,-1,1)</f>
        <v>2</v>
      </c>
      <c r="N760" s="55">
        <f>_xlfn.XLOOKUP(Survey!$K760,pipedata[ID],pipedata[WT])</f>
        <v>0.74</v>
      </c>
      <c r="O760" s="56">
        <f>_xlfn.XLOOKUP(Survey!$K760,pipedata[ID],pipedata[104%])</f>
        <v>2565.3333333333335</v>
      </c>
      <c r="P760" s="57">
        <f t="shared" si="11"/>
        <v>1850</v>
      </c>
      <c r="Q760" s="58">
        <f>_xlfn.MAXIFS(Survey!$G$2:$G$3647,Survey!$M$2:$M$3647,Survey!$M760)-Survey!$G760</f>
        <v>220.03029762923006</v>
      </c>
      <c r="R760" s="59">
        <f>Survey!$P760+(Survey!$Q760*0.433)</f>
        <v>1945.2731188734565</v>
      </c>
    </row>
    <row r="761" spans="1:18" x14ac:dyDescent="0.25">
      <c r="A761" s="60" t="s">
        <v>17</v>
      </c>
      <c r="B761" s="61" t="s">
        <v>18</v>
      </c>
      <c r="C761" s="62" t="s">
        <v>19</v>
      </c>
      <c r="D761" s="63">
        <v>232.71044878532305</v>
      </c>
      <c r="E761" s="79">
        <v>1257249</v>
      </c>
      <c r="F761" s="80">
        <v>1229738.1638655448</v>
      </c>
      <c r="G761" s="66">
        <v>2558.8171919487158</v>
      </c>
      <c r="H761" s="67">
        <v>2</v>
      </c>
      <c r="I761" s="68" t="s">
        <v>20</v>
      </c>
      <c r="J761" s="69">
        <v>40</v>
      </c>
      <c r="K761" s="70">
        <v>2</v>
      </c>
      <c r="L761" s="68">
        <v>1</v>
      </c>
      <c r="M761" s="68">
        <f>_xlfn.XLOOKUP(Survey!$F761,sections[Start],sections[Test Section],,-1,1)</f>
        <v>2</v>
      </c>
      <c r="N761" s="55">
        <f>_xlfn.XLOOKUP(Survey!$K761,pipedata[ID],pipedata[WT])</f>
        <v>0.74</v>
      </c>
      <c r="O761" s="56">
        <f>_xlfn.XLOOKUP(Survey!$K761,pipedata[ID],pipedata[104%])</f>
        <v>2565.3333333333335</v>
      </c>
      <c r="P761" s="57">
        <f t="shared" si="11"/>
        <v>1850</v>
      </c>
      <c r="Q761" s="58">
        <f>_xlfn.MAXIFS(Survey!$G$2:$G$3647,Survey!$M$2:$M$3647,Survey!$M761)-Survey!$G761</f>
        <v>204.84905225302646</v>
      </c>
      <c r="R761" s="59">
        <f>Survey!$P761+(Survey!$Q761*0.433)</f>
        <v>1938.6996396255604</v>
      </c>
    </row>
    <row r="762" spans="1:18" x14ac:dyDescent="0.25">
      <c r="A762" s="71" t="s">
        <v>17</v>
      </c>
      <c r="B762" s="72" t="s">
        <v>18</v>
      </c>
      <c r="C762" s="73" t="s">
        <v>19</v>
      </c>
      <c r="D762" s="74">
        <v>232.71797930241465</v>
      </c>
      <c r="E762" s="81">
        <v>1257289</v>
      </c>
      <c r="F762" s="82">
        <v>1229776.5546218473</v>
      </c>
      <c r="G762" s="75">
        <v>2574.4135750480277</v>
      </c>
      <c r="H762" s="76">
        <v>2</v>
      </c>
      <c r="I762" s="54" t="s">
        <v>20</v>
      </c>
      <c r="J762" s="77">
        <v>40</v>
      </c>
      <c r="K762" s="78">
        <v>2</v>
      </c>
      <c r="L762" s="54">
        <v>1</v>
      </c>
      <c r="M762" s="54">
        <f>_xlfn.XLOOKUP(Survey!$F762,sections[Start],sections[Test Section],,-1,1)</f>
        <v>2</v>
      </c>
      <c r="N762" s="55">
        <f>_xlfn.XLOOKUP(Survey!$K762,pipedata[ID],pipedata[WT])</f>
        <v>0.74</v>
      </c>
      <c r="O762" s="56">
        <f>_xlfn.XLOOKUP(Survey!$K762,pipedata[ID],pipedata[104%])</f>
        <v>2565.3333333333335</v>
      </c>
      <c r="P762" s="57">
        <f t="shared" si="11"/>
        <v>1850</v>
      </c>
      <c r="Q762" s="58">
        <f>_xlfn.MAXIFS(Survey!$G$2:$G$3647,Survey!$M$2:$M$3647,Survey!$M762)-Survey!$G762</f>
        <v>189.25266915371458</v>
      </c>
      <c r="R762" s="59">
        <f>Survey!$P762+(Survey!$Q762*0.433)</f>
        <v>1931.9464057435584</v>
      </c>
    </row>
    <row r="763" spans="1:18" x14ac:dyDescent="0.25">
      <c r="A763" s="60" t="s">
        <v>17</v>
      </c>
      <c r="B763" s="61" t="s">
        <v>18</v>
      </c>
      <c r="C763" s="62" t="s">
        <v>19</v>
      </c>
      <c r="D763" s="63">
        <v>232.7247280690423</v>
      </c>
      <c r="E763" s="79">
        <v>1257329</v>
      </c>
      <c r="F763" s="80">
        <v>1229814.9453781499</v>
      </c>
      <c r="G763" s="66">
        <v>2586.1710985735122</v>
      </c>
      <c r="H763" s="67">
        <v>2</v>
      </c>
      <c r="I763" s="68" t="s">
        <v>20</v>
      </c>
      <c r="J763" s="69">
        <v>40</v>
      </c>
      <c r="K763" s="70">
        <v>2</v>
      </c>
      <c r="L763" s="68">
        <v>1</v>
      </c>
      <c r="M763" s="68">
        <f>_xlfn.XLOOKUP(Survey!$F763,sections[Start],sections[Test Section],,-1,1)</f>
        <v>2</v>
      </c>
      <c r="N763" s="55">
        <f>_xlfn.XLOOKUP(Survey!$K763,pipedata[ID],pipedata[WT])</f>
        <v>0.74</v>
      </c>
      <c r="O763" s="56">
        <f>_xlfn.XLOOKUP(Survey!$K763,pipedata[ID],pipedata[104%])</f>
        <v>2565.3333333333335</v>
      </c>
      <c r="P763" s="57">
        <f t="shared" si="11"/>
        <v>1850</v>
      </c>
      <c r="Q763" s="58">
        <f>_xlfn.MAXIFS(Survey!$G$2:$G$3647,Survey!$M$2:$M$3647,Survey!$M763)-Survey!$G763</f>
        <v>177.49514562823015</v>
      </c>
      <c r="R763" s="59">
        <f>Survey!$P763+(Survey!$Q763*0.433)</f>
        <v>1926.8553980570236</v>
      </c>
    </row>
    <row r="764" spans="1:18" x14ac:dyDescent="0.25">
      <c r="A764" s="71" t="s">
        <v>17</v>
      </c>
      <c r="B764" s="72" t="s">
        <v>18</v>
      </c>
      <c r="C764" s="73" t="s">
        <v>19</v>
      </c>
      <c r="D764" s="74">
        <v>232.73238316926532</v>
      </c>
      <c r="E764" s="81">
        <v>1257369</v>
      </c>
      <c r="F764" s="82">
        <v>1229853.3361344524</v>
      </c>
      <c r="G764" s="75">
        <v>2590.8131043684484</v>
      </c>
      <c r="H764" s="76">
        <v>2</v>
      </c>
      <c r="I764" s="54" t="s">
        <v>20</v>
      </c>
      <c r="J764" s="77">
        <v>40</v>
      </c>
      <c r="K764" s="78">
        <v>2</v>
      </c>
      <c r="L764" s="54">
        <v>1</v>
      </c>
      <c r="M764" s="54">
        <f>_xlfn.XLOOKUP(Survey!$F764,sections[Start],sections[Test Section],,-1,1)</f>
        <v>2</v>
      </c>
      <c r="N764" s="55">
        <f>_xlfn.XLOOKUP(Survey!$K764,pipedata[ID],pipedata[WT])</f>
        <v>0.74</v>
      </c>
      <c r="O764" s="56">
        <f>_xlfn.XLOOKUP(Survey!$K764,pipedata[ID],pipedata[104%])</f>
        <v>2565.3333333333335</v>
      </c>
      <c r="P764" s="57">
        <f t="shared" si="11"/>
        <v>1850</v>
      </c>
      <c r="Q764" s="58">
        <f>_xlfn.MAXIFS(Survey!$G$2:$G$3647,Survey!$M$2:$M$3647,Survey!$M764)-Survey!$G764</f>
        <v>172.85313983329388</v>
      </c>
      <c r="R764" s="59">
        <f>Survey!$P764+(Survey!$Q764*0.433)</f>
        <v>1924.8454095478162</v>
      </c>
    </row>
    <row r="765" spans="1:18" x14ac:dyDescent="0.25">
      <c r="A765" s="60" t="s">
        <v>17</v>
      </c>
      <c r="B765" s="61" t="s">
        <v>18</v>
      </c>
      <c r="C765" s="62" t="s">
        <v>19</v>
      </c>
      <c r="D765" s="63">
        <v>232.7381095417515</v>
      </c>
      <c r="E765" s="79">
        <v>1257409</v>
      </c>
      <c r="F765" s="80">
        <v>1229891.7268907549</v>
      </c>
      <c r="G765" s="66">
        <v>2585.0058270617724</v>
      </c>
      <c r="H765" s="67">
        <v>2</v>
      </c>
      <c r="I765" s="68" t="s">
        <v>20</v>
      </c>
      <c r="J765" s="69">
        <v>40</v>
      </c>
      <c r="K765" s="70">
        <v>2</v>
      </c>
      <c r="L765" s="68">
        <v>1</v>
      </c>
      <c r="M765" s="68">
        <f>_xlfn.XLOOKUP(Survey!$F765,sections[Start],sections[Test Section],,-1,1)</f>
        <v>2</v>
      </c>
      <c r="N765" s="55">
        <f>_xlfn.XLOOKUP(Survey!$K765,pipedata[ID],pipedata[WT])</f>
        <v>0.74</v>
      </c>
      <c r="O765" s="56">
        <f>_xlfn.XLOOKUP(Survey!$K765,pipedata[ID],pipedata[104%])</f>
        <v>2565.3333333333335</v>
      </c>
      <c r="P765" s="57">
        <f t="shared" si="11"/>
        <v>1850</v>
      </c>
      <c r="Q765" s="58">
        <f>_xlfn.MAXIFS(Survey!$G$2:$G$3647,Survey!$M$2:$M$3647,Survey!$M765)-Survey!$G765</f>
        <v>178.66041713996992</v>
      </c>
      <c r="R765" s="59">
        <f>Survey!$P765+(Survey!$Q765*0.433)</f>
        <v>1927.3599606216069</v>
      </c>
    </row>
    <row r="766" spans="1:18" x14ac:dyDescent="0.25">
      <c r="A766" s="71" t="s">
        <v>17</v>
      </c>
      <c r="B766" s="72" t="s">
        <v>18</v>
      </c>
      <c r="C766" s="73" t="s">
        <v>19</v>
      </c>
      <c r="D766" s="74">
        <v>232.74725343150971</v>
      </c>
      <c r="E766" s="81">
        <v>1257449</v>
      </c>
      <c r="F766" s="82">
        <v>1229930.1176470574</v>
      </c>
      <c r="G766" s="75">
        <v>2576.2036299999745</v>
      </c>
      <c r="H766" s="76">
        <v>2</v>
      </c>
      <c r="I766" s="54" t="s">
        <v>20</v>
      </c>
      <c r="J766" s="77">
        <v>40</v>
      </c>
      <c r="K766" s="78">
        <v>2</v>
      </c>
      <c r="L766" s="54">
        <v>1</v>
      </c>
      <c r="M766" s="54">
        <f>_xlfn.XLOOKUP(Survey!$F766,sections[Start],sections[Test Section],,-1,1)</f>
        <v>2</v>
      </c>
      <c r="N766" s="55">
        <f>_xlfn.XLOOKUP(Survey!$K766,pipedata[ID],pipedata[WT])</f>
        <v>0.74</v>
      </c>
      <c r="O766" s="56">
        <f>_xlfn.XLOOKUP(Survey!$K766,pipedata[ID],pipedata[104%])</f>
        <v>2565.3333333333335</v>
      </c>
      <c r="P766" s="57">
        <f t="shared" si="11"/>
        <v>1850</v>
      </c>
      <c r="Q766" s="58">
        <f>_xlfn.MAXIFS(Survey!$G$2:$G$3647,Survey!$M$2:$M$3647,Survey!$M766)-Survey!$G766</f>
        <v>187.46261420176779</v>
      </c>
      <c r="R766" s="59">
        <f>Survey!$P766+(Survey!$Q766*0.433)</f>
        <v>1931.1713119493654</v>
      </c>
    </row>
    <row r="767" spans="1:18" x14ac:dyDescent="0.25">
      <c r="A767" s="60" t="s">
        <v>17</v>
      </c>
      <c r="B767" s="61" t="s">
        <v>18</v>
      </c>
      <c r="C767" s="62" t="s">
        <v>19</v>
      </c>
      <c r="D767" s="63">
        <v>232.75419478607469</v>
      </c>
      <c r="E767" s="79">
        <v>1257489</v>
      </c>
      <c r="F767" s="80">
        <v>1229968.5084033599</v>
      </c>
      <c r="G767" s="66">
        <v>2566.5931623791103</v>
      </c>
      <c r="H767" s="67">
        <v>2</v>
      </c>
      <c r="I767" s="68" t="s">
        <v>20</v>
      </c>
      <c r="J767" s="69">
        <v>40</v>
      </c>
      <c r="K767" s="70">
        <v>2</v>
      </c>
      <c r="L767" s="68">
        <v>1</v>
      </c>
      <c r="M767" s="68">
        <f>_xlfn.XLOOKUP(Survey!$F767,sections[Start],sections[Test Section],,-1,1)</f>
        <v>2</v>
      </c>
      <c r="N767" s="55">
        <f>_xlfn.XLOOKUP(Survey!$K767,pipedata[ID],pipedata[WT])</f>
        <v>0.74</v>
      </c>
      <c r="O767" s="56">
        <f>_xlfn.XLOOKUP(Survey!$K767,pipedata[ID],pipedata[104%])</f>
        <v>2565.3333333333335</v>
      </c>
      <c r="P767" s="57">
        <f t="shared" si="11"/>
        <v>1850</v>
      </c>
      <c r="Q767" s="58">
        <f>_xlfn.MAXIFS(Survey!$G$2:$G$3647,Survey!$M$2:$M$3647,Survey!$M767)-Survey!$G767</f>
        <v>197.07308182263205</v>
      </c>
      <c r="R767" s="59">
        <f>Survey!$P767+(Survey!$Q767*0.433)</f>
        <v>1935.3326444291997</v>
      </c>
    </row>
    <row r="768" spans="1:18" x14ac:dyDescent="0.25">
      <c r="A768" s="71" t="s">
        <v>17</v>
      </c>
      <c r="B768" s="72" t="s">
        <v>18</v>
      </c>
      <c r="C768" s="73" t="s">
        <v>19</v>
      </c>
      <c r="D768" s="74">
        <v>232.76196029433223</v>
      </c>
      <c r="E768" s="81">
        <v>1257529</v>
      </c>
      <c r="F768" s="82">
        <v>1230006.8991596624</v>
      </c>
      <c r="G768" s="75">
        <v>2552.2523934912178</v>
      </c>
      <c r="H768" s="76">
        <v>2</v>
      </c>
      <c r="I768" s="54" t="s">
        <v>20</v>
      </c>
      <c r="J768" s="77">
        <v>40</v>
      </c>
      <c r="K768" s="78">
        <v>2</v>
      </c>
      <c r="L768" s="54">
        <v>1</v>
      </c>
      <c r="M768" s="54">
        <f>_xlfn.XLOOKUP(Survey!$F768,sections[Start],sections[Test Section],,-1,1)</f>
        <v>2</v>
      </c>
      <c r="N768" s="55">
        <f>_xlfn.XLOOKUP(Survey!$K768,pipedata[ID],pipedata[WT])</f>
        <v>0.74</v>
      </c>
      <c r="O768" s="56">
        <f>_xlfn.XLOOKUP(Survey!$K768,pipedata[ID],pipedata[104%])</f>
        <v>2565.3333333333335</v>
      </c>
      <c r="P768" s="57">
        <f t="shared" si="11"/>
        <v>1850</v>
      </c>
      <c r="Q768" s="58">
        <f>_xlfn.MAXIFS(Survey!$G$2:$G$3647,Survey!$M$2:$M$3647,Survey!$M768)-Survey!$G768</f>
        <v>211.41385071052446</v>
      </c>
      <c r="R768" s="59">
        <f>Survey!$P768+(Survey!$Q768*0.433)</f>
        <v>1941.5421973576572</v>
      </c>
    </row>
    <row r="769" spans="1:18" x14ac:dyDescent="0.25">
      <c r="A769" s="60" t="s">
        <v>17</v>
      </c>
      <c r="B769" s="61" t="s">
        <v>18</v>
      </c>
      <c r="C769" s="62" t="s">
        <v>19</v>
      </c>
      <c r="D769" s="63">
        <v>232.76801776314585</v>
      </c>
      <c r="E769" s="79">
        <v>1257569</v>
      </c>
      <c r="F769" s="80">
        <v>1230045.2899159649</v>
      </c>
      <c r="G769" s="66">
        <v>2539.9477814592424</v>
      </c>
      <c r="H769" s="67">
        <v>2</v>
      </c>
      <c r="I769" s="68" t="s">
        <v>20</v>
      </c>
      <c r="J769" s="69">
        <v>40</v>
      </c>
      <c r="K769" s="70">
        <v>2</v>
      </c>
      <c r="L769" s="68">
        <v>1</v>
      </c>
      <c r="M769" s="68">
        <f>_xlfn.XLOOKUP(Survey!$F769,sections[Start],sections[Test Section],,-1,1)</f>
        <v>2</v>
      </c>
      <c r="N769" s="55">
        <f>_xlfn.XLOOKUP(Survey!$K769,pipedata[ID],pipedata[WT])</f>
        <v>0.74</v>
      </c>
      <c r="O769" s="56">
        <f>_xlfn.XLOOKUP(Survey!$K769,pipedata[ID],pipedata[104%])</f>
        <v>2565.3333333333335</v>
      </c>
      <c r="P769" s="57">
        <f t="shared" si="11"/>
        <v>1850</v>
      </c>
      <c r="Q769" s="58">
        <f>_xlfn.MAXIFS(Survey!$G$2:$G$3647,Survey!$M$2:$M$3647,Survey!$M769)-Survey!$G769</f>
        <v>223.71846274249992</v>
      </c>
      <c r="R769" s="59">
        <f>Survey!$P769+(Survey!$Q769*0.433)</f>
        <v>1946.8700943675024</v>
      </c>
    </row>
    <row r="770" spans="1:18" x14ac:dyDescent="0.25">
      <c r="A770" s="71" t="s">
        <v>17</v>
      </c>
      <c r="B770" s="72" t="s">
        <v>18</v>
      </c>
      <c r="C770" s="73" t="s">
        <v>19</v>
      </c>
      <c r="D770" s="74">
        <v>232.77447299634736</v>
      </c>
      <c r="E770" s="81">
        <v>1257609</v>
      </c>
      <c r="F770" s="82">
        <v>1230083.6806722675</v>
      </c>
      <c r="G770" s="75">
        <v>2527.4808387309463</v>
      </c>
      <c r="H770" s="76">
        <v>2</v>
      </c>
      <c r="I770" s="54" t="s">
        <v>20</v>
      </c>
      <c r="J770" s="77">
        <v>40</v>
      </c>
      <c r="K770" s="78">
        <v>2</v>
      </c>
      <c r="L770" s="54">
        <v>1</v>
      </c>
      <c r="M770" s="54">
        <f>_xlfn.XLOOKUP(Survey!$F770,sections[Start],sections[Test Section],,-1,1)</f>
        <v>2</v>
      </c>
      <c r="N770" s="55">
        <f>_xlfn.XLOOKUP(Survey!$K770,pipedata[ID],pipedata[WT])</f>
        <v>0.74</v>
      </c>
      <c r="O770" s="56">
        <f>_xlfn.XLOOKUP(Survey!$K770,pipedata[ID],pipedata[104%])</f>
        <v>2565.3333333333335</v>
      </c>
      <c r="P770" s="57">
        <f t="shared" ref="P770:P833" si="12">IF(L770=1,1850,IF(L770=2,1850,2220))</f>
        <v>1850</v>
      </c>
      <c r="Q770" s="58">
        <f>_xlfn.MAXIFS(Survey!$G$2:$G$3647,Survey!$M$2:$M$3647,Survey!$M770)-Survey!$G770</f>
        <v>236.18540547079601</v>
      </c>
      <c r="R770" s="59">
        <f>Survey!$P770+(Survey!$Q770*0.433)</f>
        <v>1952.2682805688546</v>
      </c>
    </row>
    <row r="771" spans="1:18" x14ac:dyDescent="0.25">
      <c r="A771" s="60" t="s">
        <v>17</v>
      </c>
      <c r="B771" s="61" t="s">
        <v>18</v>
      </c>
      <c r="C771" s="62" t="s">
        <v>19</v>
      </c>
      <c r="D771" s="63">
        <v>232.78339820536075</v>
      </c>
      <c r="E771" s="79">
        <v>1257649</v>
      </c>
      <c r="F771" s="80">
        <v>1230122.07142857</v>
      </c>
      <c r="G771" s="66">
        <v>2515.7079874760138</v>
      </c>
      <c r="H771" s="67">
        <v>2</v>
      </c>
      <c r="I771" s="68" t="s">
        <v>20</v>
      </c>
      <c r="J771" s="69">
        <v>40</v>
      </c>
      <c r="K771" s="70">
        <v>2</v>
      </c>
      <c r="L771" s="68">
        <v>1</v>
      </c>
      <c r="M771" s="68">
        <f>_xlfn.XLOOKUP(Survey!$F771,sections[Start],sections[Test Section],,-1,1)</f>
        <v>2</v>
      </c>
      <c r="N771" s="55">
        <f>_xlfn.XLOOKUP(Survey!$K771,pipedata[ID],pipedata[WT])</f>
        <v>0.74</v>
      </c>
      <c r="O771" s="56">
        <f>_xlfn.XLOOKUP(Survey!$K771,pipedata[ID],pipedata[104%])</f>
        <v>2565.3333333333335</v>
      </c>
      <c r="P771" s="57">
        <f t="shared" si="12"/>
        <v>1850</v>
      </c>
      <c r="Q771" s="58">
        <f>_xlfn.MAXIFS(Survey!$G$2:$G$3647,Survey!$M$2:$M$3647,Survey!$M771)-Survey!$G771</f>
        <v>247.95825672572846</v>
      </c>
      <c r="R771" s="59">
        <f>Survey!$P771+(Survey!$Q771*0.433)</f>
        <v>1957.3659251622405</v>
      </c>
    </row>
    <row r="772" spans="1:18" x14ac:dyDescent="0.25">
      <c r="A772" s="71" t="s">
        <v>17</v>
      </c>
      <c r="B772" s="72" t="s">
        <v>18</v>
      </c>
      <c r="C772" s="73" t="s">
        <v>19</v>
      </c>
      <c r="D772" s="74">
        <v>232.79061107934993</v>
      </c>
      <c r="E772" s="81">
        <v>1257689</v>
      </c>
      <c r="F772" s="82">
        <v>1230160.4621848725</v>
      </c>
      <c r="G772" s="75">
        <v>2502.8122266826449</v>
      </c>
      <c r="H772" s="76">
        <v>2</v>
      </c>
      <c r="I772" s="54" t="s">
        <v>20</v>
      </c>
      <c r="J772" s="77">
        <v>40</v>
      </c>
      <c r="K772" s="78">
        <v>2</v>
      </c>
      <c r="L772" s="54">
        <v>1</v>
      </c>
      <c r="M772" s="54">
        <f>_xlfn.XLOOKUP(Survey!$F772,sections[Start],sections[Test Section],,-1,1)</f>
        <v>2</v>
      </c>
      <c r="N772" s="55">
        <f>_xlfn.XLOOKUP(Survey!$K772,pipedata[ID],pipedata[WT])</f>
        <v>0.74</v>
      </c>
      <c r="O772" s="56">
        <f>_xlfn.XLOOKUP(Survey!$K772,pipedata[ID],pipedata[104%])</f>
        <v>2565.3333333333335</v>
      </c>
      <c r="P772" s="57">
        <f t="shared" si="12"/>
        <v>1850</v>
      </c>
      <c r="Q772" s="58">
        <f>_xlfn.MAXIFS(Survey!$G$2:$G$3647,Survey!$M$2:$M$3647,Survey!$M772)-Survey!$G772</f>
        <v>260.8540175190974</v>
      </c>
      <c r="R772" s="59">
        <f>Survey!$P772+(Survey!$Q772*0.433)</f>
        <v>1962.9497895857692</v>
      </c>
    </row>
    <row r="773" spans="1:18" x14ac:dyDescent="0.25">
      <c r="A773" s="60" t="s">
        <v>17</v>
      </c>
      <c r="B773" s="61" t="s">
        <v>18</v>
      </c>
      <c r="C773" s="62" t="s">
        <v>19</v>
      </c>
      <c r="D773" s="63">
        <v>232.7974319296919</v>
      </c>
      <c r="E773" s="79">
        <v>1257729</v>
      </c>
      <c r="F773" s="80">
        <v>1230198.852941175</v>
      </c>
      <c r="G773" s="66">
        <v>2490.8213660364695</v>
      </c>
      <c r="H773" s="67">
        <v>2</v>
      </c>
      <c r="I773" s="68" t="s">
        <v>20</v>
      </c>
      <c r="J773" s="69">
        <v>40</v>
      </c>
      <c r="K773" s="70">
        <v>2</v>
      </c>
      <c r="L773" s="68">
        <v>1</v>
      </c>
      <c r="M773" s="68">
        <f>_xlfn.XLOOKUP(Survey!$F773,sections[Start],sections[Test Section],,-1,1)</f>
        <v>2</v>
      </c>
      <c r="N773" s="55">
        <f>_xlfn.XLOOKUP(Survey!$K773,pipedata[ID],pipedata[WT])</f>
        <v>0.74</v>
      </c>
      <c r="O773" s="56">
        <f>_xlfn.XLOOKUP(Survey!$K773,pipedata[ID],pipedata[104%])</f>
        <v>2565.3333333333335</v>
      </c>
      <c r="P773" s="57">
        <f t="shared" si="12"/>
        <v>1850</v>
      </c>
      <c r="Q773" s="58">
        <f>_xlfn.MAXIFS(Survey!$G$2:$G$3647,Survey!$M$2:$M$3647,Survey!$M773)-Survey!$G773</f>
        <v>272.8448781652728</v>
      </c>
      <c r="R773" s="59">
        <f>Survey!$P773+(Survey!$Q773*0.433)</f>
        <v>1968.1418322455631</v>
      </c>
    </row>
    <row r="774" spans="1:18" x14ac:dyDescent="0.25">
      <c r="A774" s="71" t="s">
        <v>17</v>
      </c>
      <c r="B774" s="72" t="s">
        <v>18</v>
      </c>
      <c r="C774" s="73" t="s">
        <v>19</v>
      </c>
      <c r="D774" s="74">
        <v>232.80465296111618</v>
      </c>
      <c r="E774" s="81">
        <v>1257769</v>
      </c>
      <c r="F774" s="82">
        <v>1230237.2436974775</v>
      </c>
      <c r="G774" s="75">
        <v>2482.5463463216929</v>
      </c>
      <c r="H774" s="76">
        <v>2</v>
      </c>
      <c r="I774" s="54" t="s">
        <v>20</v>
      </c>
      <c r="J774" s="77">
        <v>40</v>
      </c>
      <c r="K774" s="78">
        <v>2</v>
      </c>
      <c r="L774" s="54">
        <v>1</v>
      </c>
      <c r="M774" s="54">
        <f>_xlfn.XLOOKUP(Survey!$F774,sections[Start],sections[Test Section],,-1,1)</f>
        <v>2</v>
      </c>
      <c r="N774" s="55">
        <f>_xlfn.XLOOKUP(Survey!$K774,pipedata[ID],pipedata[WT])</f>
        <v>0.74</v>
      </c>
      <c r="O774" s="56">
        <f>_xlfn.XLOOKUP(Survey!$K774,pipedata[ID],pipedata[104%])</f>
        <v>2565.3333333333335</v>
      </c>
      <c r="P774" s="57">
        <f t="shared" si="12"/>
        <v>1850</v>
      </c>
      <c r="Q774" s="58">
        <f>_xlfn.MAXIFS(Survey!$G$2:$G$3647,Survey!$M$2:$M$3647,Survey!$M774)-Survey!$G774</f>
        <v>281.11989788004939</v>
      </c>
      <c r="R774" s="59">
        <f>Survey!$P774+(Survey!$Q774*0.433)</f>
        <v>1971.7249157820613</v>
      </c>
    </row>
    <row r="775" spans="1:18" x14ac:dyDescent="0.25">
      <c r="A775" s="60" t="s">
        <v>17</v>
      </c>
      <c r="B775" s="61" t="s">
        <v>18</v>
      </c>
      <c r="C775" s="62" t="s">
        <v>19</v>
      </c>
      <c r="D775" s="63">
        <v>232.81246487491276</v>
      </c>
      <c r="E775" s="79">
        <v>1257809</v>
      </c>
      <c r="F775" s="80">
        <v>1230275.63445378</v>
      </c>
      <c r="G775" s="66">
        <v>2471.2228433675336</v>
      </c>
      <c r="H775" s="67">
        <v>2</v>
      </c>
      <c r="I775" s="68" t="s">
        <v>20</v>
      </c>
      <c r="J775" s="69">
        <v>40</v>
      </c>
      <c r="K775" s="70">
        <v>2</v>
      </c>
      <c r="L775" s="68">
        <v>1</v>
      </c>
      <c r="M775" s="68">
        <f>_xlfn.XLOOKUP(Survey!$F775,sections[Start],sections[Test Section],,-1,1)</f>
        <v>2</v>
      </c>
      <c r="N775" s="55">
        <f>_xlfn.XLOOKUP(Survey!$K775,pipedata[ID],pipedata[WT])</f>
        <v>0.74</v>
      </c>
      <c r="O775" s="56">
        <f>_xlfn.XLOOKUP(Survey!$K775,pipedata[ID],pipedata[104%])</f>
        <v>2565.3333333333335</v>
      </c>
      <c r="P775" s="57">
        <f t="shared" si="12"/>
        <v>1850</v>
      </c>
      <c r="Q775" s="58">
        <f>_xlfn.MAXIFS(Survey!$G$2:$G$3647,Survey!$M$2:$M$3647,Survey!$M775)-Survey!$G775</f>
        <v>292.44340083420866</v>
      </c>
      <c r="R775" s="59">
        <f>Survey!$P775+(Survey!$Q775*0.433)</f>
        <v>1976.6279925612123</v>
      </c>
    </row>
    <row r="776" spans="1:18" x14ac:dyDescent="0.25">
      <c r="A776" s="71" t="s">
        <v>17</v>
      </c>
      <c r="B776" s="72" t="s">
        <v>18</v>
      </c>
      <c r="C776" s="73" t="s">
        <v>19</v>
      </c>
      <c r="D776" s="74">
        <v>232.81767281744382</v>
      </c>
      <c r="E776" s="81">
        <v>1257849</v>
      </c>
      <c r="F776" s="82">
        <v>1230314.0252100825</v>
      </c>
      <c r="G776" s="75">
        <v>2460.5977941856495</v>
      </c>
      <c r="H776" s="76">
        <v>2</v>
      </c>
      <c r="I776" s="54" t="s">
        <v>20</v>
      </c>
      <c r="J776" s="77">
        <v>40</v>
      </c>
      <c r="K776" s="78">
        <v>2</v>
      </c>
      <c r="L776" s="54">
        <v>1</v>
      </c>
      <c r="M776" s="54">
        <f>_xlfn.XLOOKUP(Survey!$F776,sections[Start],sections[Test Section],,-1,1)</f>
        <v>2</v>
      </c>
      <c r="N776" s="55">
        <f>_xlfn.XLOOKUP(Survey!$K776,pipedata[ID],pipedata[WT])</f>
        <v>0.74</v>
      </c>
      <c r="O776" s="56">
        <f>_xlfn.XLOOKUP(Survey!$K776,pipedata[ID],pipedata[104%])</f>
        <v>2565.3333333333335</v>
      </c>
      <c r="P776" s="57">
        <f t="shared" si="12"/>
        <v>1850</v>
      </c>
      <c r="Q776" s="58">
        <f>_xlfn.MAXIFS(Survey!$G$2:$G$3647,Survey!$M$2:$M$3647,Survey!$M776)-Survey!$G776</f>
        <v>303.06845001609281</v>
      </c>
      <c r="R776" s="59">
        <f>Survey!$P776+(Survey!$Q776*0.433)</f>
        <v>1981.2286388569682</v>
      </c>
    </row>
    <row r="777" spans="1:18" x14ac:dyDescent="0.25">
      <c r="A777" s="60" t="s">
        <v>17</v>
      </c>
      <c r="B777" s="61" t="s">
        <v>18</v>
      </c>
      <c r="C777" s="62" t="s">
        <v>19</v>
      </c>
      <c r="D777" s="63">
        <v>232.82569542067324</v>
      </c>
      <c r="E777" s="79">
        <v>1257889</v>
      </c>
      <c r="F777" s="80">
        <v>1230352.415966385</v>
      </c>
      <c r="G777" s="66">
        <v>2450.8385784058196</v>
      </c>
      <c r="H777" s="67">
        <v>2</v>
      </c>
      <c r="I777" s="68" t="s">
        <v>20</v>
      </c>
      <c r="J777" s="69">
        <v>40</v>
      </c>
      <c r="K777" s="70">
        <v>2</v>
      </c>
      <c r="L777" s="68">
        <v>1</v>
      </c>
      <c r="M777" s="68">
        <f>_xlfn.XLOOKUP(Survey!$F777,sections[Start],sections[Test Section],,-1,1)</f>
        <v>2</v>
      </c>
      <c r="N777" s="55">
        <f>_xlfn.XLOOKUP(Survey!$K777,pipedata[ID],pipedata[WT])</f>
        <v>0.74</v>
      </c>
      <c r="O777" s="56">
        <f>_xlfn.XLOOKUP(Survey!$K777,pipedata[ID],pipedata[104%])</f>
        <v>2565.3333333333335</v>
      </c>
      <c r="P777" s="57">
        <f t="shared" si="12"/>
        <v>1850</v>
      </c>
      <c r="Q777" s="58">
        <f>_xlfn.MAXIFS(Survey!$G$2:$G$3647,Survey!$M$2:$M$3647,Survey!$M777)-Survey!$G777</f>
        <v>312.82766579592271</v>
      </c>
      <c r="R777" s="59">
        <f>Survey!$P777+(Survey!$Q777*0.433)</f>
        <v>1985.4543792896345</v>
      </c>
    </row>
    <row r="778" spans="1:18" x14ac:dyDescent="0.25">
      <c r="A778" s="71" t="s">
        <v>17</v>
      </c>
      <c r="B778" s="72" t="s">
        <v>18</v>
      </c>
      <c r="C778" s="73" t="s">
        <v>19</v>
      </c>
      <c r="D778" s="74">
        <v>232.83375115796608</v>
      </c>
      <c r="E778" s="81">
        <v>1257929</v>
      </c>
      <c r="F778" s="82">
        <v>1230390.8067226876</v>
      </c>
      <c r="G778" s="75">
        <v>2441.0528953573744</v>
      </c>
      <c r="H778" s="76">
        <v>2</v>
      </c>
      <c r="I778" s="54" t="s">
        <v>20</v>
      </c>
      <c r="J778" s="77">
        <v>40</v>
      </c>
      <c r="K778" s="78">
        <v>2</v>
      </c>
      <c r="L778" s="54">
        <v>1</v>
      </c>
      <c r="M778" s="54">
        <f>_xlfn.XLOOKUP(Survey!$F778,sections[Start],sections[Test Section],,-1,1)</f>
        <v>2</v>
      </c>
      <c r="N778" s="55">
        <f>_xlfn.XLOOKUP(Survey!$K778,pipedata[ID],pipedata[WT])</f>
        <v>0.74</v>
      </c>
      <c r="O778" s="56">
        <f>_xlfn.XLOOKUP(Survey!$K778,pipedata[ID],pipedata[104%])</f>
        <v>2565.3333333333335</v>
      </c>
      <c r="P778" s="57">
        <f t="shared" si="12"/>
        <v>1850</v>
      </c>
      <c r="Q778" s="58">
        <f>_xlfn.MAXIFS(Survey!$G$2:$G$3647,Survey!$M$2:$M$3647,Survey!$M778)-Survey!$G778</f>
        <v>322.61334884436792</v>
      </c>
      <c r="R778" s="59">
        <f>Survey!$P778+(Survey!$Q778*0.433)</f>
        <v>1989.6915800496113</v>
      </c>
    </row>
    <row r="779" spans="1:18" x14ac:dyDescent="0.25">
      <c r="A779" s="60" t="s">
        <v>17</v>
      </c>
      <c r="B779" s="61" t="s">
        <v>18</v>
      </c>
      <c r="C779" s="62" t="s">
        <v>19</v>
      </c>
      <c r="D779" s="63">
        <v>232.84110855883367</v>
      </c>
      <c r="E779" s="79">
        <v>1257969</v>
      </c>
      <c r="F779" s="80">
        <v>1230429.1974789901</v>
      </c>
      <c r="G779" s="66">
        <v>2430.2142757811271</v>
      </c>
      <c r="H779" s="67">
        <v>2</v>
      </c>
      <c r="I779" s="68" t="s">
        <v>20</v>
      </c>
      <c r="J779" s="69">
        <v>40</v>
      </c>
      <c r="K779" s="70">
        <v>2</v>
      </c>
      <c r="L779" s="68">
        <v>1</v>
      </c>
      <c r="M779" s="68">
        <f>_xlfn.XLOOKUP(Survey!$F779,sections[Start],sections[Test Section],,-1,1)</f>
        <v>2</v>
      </c>
      <c r="N779" s="55">
        <f>_xlfn.XLOOKUP(Survey!$K779,pipedata[ID],pipedata[WT])</f>
        <v>0.74</v>
      </c>
      <c r="O779" s="56">
        <f>_xlfn.XLOOKUP(Survey!$K779,pipedata[ID],pipedata[104%])</f>
        <v>2565.3333333333335</v>
      </c>
      <c r="P779" s="57">
        <f t="shared" si="12"/>
        <v>1850</v>
      </c>
      <c r="Q779" s="58">
        <f>_xlfn.MAXIFS(Survey!$G$2:$G$3647,Survey!$M$2:$M$3647,Survey!$M779)-Survey!$G779</f>
        <v>333.45196842061523</v>
      </c>
      <c r="R779" s="59">
        <f>Survey!$P779+(Survey!$Q779*0.433)</f>
        <v>1994.3847023261264</v>
      </c>
    </row>
    <row r="780" spans="1:18" x14ac:dyDescent="0.25">
      <c r="A780" s="71" t="s">
        <v>17</v>
      </c>
      <c r="B780" s="72" t="s">
        <v>18</v>
      </c>
      <c r="C780" s="73" t="s">
        <v>19</v>
      </c>
      <c r="D780" s="74">
        <v>232.84892047263028</v>
      </c>
      <c r="E780" s="81">
        <v>1258009</v>
      </c>
      <c r="F780" s="82">
        <v>1230467.5882352926</v>
      </c>
      <c r="G780" s="75">
        <v>2422.366625137638</v>
      </c>
      <c r="H780" s="76">
        <v>2</v>
      </c>
      <c r="I780" s="54" t="s">
        <v>20</v>
      </c>
      <c r="J780" s="77">
        <v>40</v>
      </c>
      <c r="K780" s="78">
        <v>2</v>
      </c>
      <c r="L780" s="54">
        <v>1</v>
      </c>
      <c r="M780" s="54">
        <f>_xlfn.XLOOKUP(Survey!$F780,sections[Start],sections[Test Section],,-1,1)</f>
        <v>2</v>
      </c>
      <c r="N780" s="55">
        <f>_xlfn.XLOOKUP(Survey!$K780,pipedata[ID],pipedata[WT])</f>
        <v>0.74</v>
      </c>
      <c r="O780" s="56">
        <f>_xlfn.XLOOKUP(Survey!$K780,pipedata[ID],pipedata[104%])</f>
        <v>2565.3333333333335</v>
      </c>
      <c r="P780" s="57">
        <f t="shared" si="12"/>
        <v>1850</v>
      </c>
      <c r="Q780" s="58">
        <f>_xlfn.MAXIFS(Survey!$G$2:$G$3647,Survey!$M$2:$M$3647,Survey!$M780)-Survey!$G780</f>
        <v>341.29961906410426</v>
      </c>
      <c r="R780" s="59">
        <f>Survey!$P780+(Survey!$Q780*0.433)</f>
        <v>1997.7827350547573</v>
      </c>
    </row>
    <row r="781" spans="1:18" x14ac:dyDescent="0.25">
      <c r="A781" s="60" t="s">
        <v>17</v>
      </c>
      <c r="B781" s="61" t="s">
        <v>18</v>
      </c>
      <c r="C781" s="62" t="s">
        <v>19</v>
      </c>
      <c r="D781" s="63">
        <v>232.85629359080519</v>
      </c>
      <c r="E781" s="79">
        <v>1258049</v>
      </c>
      <c r="F781" s="80">
        <v>1230505.9789915951</v>
      </c>
      <c r="G781" s="66">
        <v>2414.0611911102828</v>
      </c>
      <c r="H781" s="67">
        <v>2</v>
      </c>
      <c r="I781" s="68" t="s">
        <v>20</v>
      </c>
      <c r="J781" s="69">
        <v>40</v>
      </c>
      <c r="K781" s="70">
        <v>2</v>
      </c>
      <c r="L781" s="68">
        <v>1</v>
      </c>
      <c r="M781" s="68">
        <f>_xlfn.XLOOKUP(Survey!$F781,sections[Start],sections[Test Section],,-1,1)</f>
        <v>2</v>
      </c>
      <c r="N781" s="55">
        <f>_xlfn.XLOOKUP(Survey!$K781,pipedata[ID],pipedata[WT])</f>
        <v>0.74</v>
      </c>
      <c r="O781" s="56">
        <f>_xlfn.XLOOKUP(Survey!$K781,pipedata[ID],pipedata[104%])</f>
        <v>2565.3333333333335</v>
      </c>
      <c r="P781" s="57">
        <f t="shared" si="12"/>
        <v>1850</v>
      </c>
      <c r="Q781" s="58">
        <f>_xlfn.MAXIFS(Survey!$G$2:$G$3647,Survey!$M$2:$M$3647,Survey!$M781)-Survey!$G781</f>
        <v>349.60505309145947</v>
      </c>
      <c r="R781" s="59">
        <f>Survey!$P781+(Survey!$Q781*0.433)</f>
        <v>2001.3789879886019</v>
      </c>
    </row>
    <row r="782" spans="1:18" x14ac:dyDescent="0.25">
      <c r="A782" s="71" t="s">
        <v>17</v>
      </c>
      <c r="B782" s="72" t="s">
        <v>18</v>
      </c>
      <c r="C782" s="73" t="s">
        <v>19</v>
      </c>
      <c r="D782" s="74">
        <v>232.86194032895759</v>
      </c>
      <c r="E782" s="81">
        <v>1258089</v>
      </c>
      <c r="F782" s="82">
        <v>1230544.3697478976</v>
      </c>
      <c r="G782" s="75">
        <v>2406.2036008389441</v>
      </c>
      <c r="H782" s="76">
        <v>2</v>
      </c>
      <c r="I782" s="54" t="s">
        <v>20</v>
      </c>
      <c r="J782" s="77">
        <v>40</v>
      </c>
      <c r="K782" s="78">
        <v>2</v>
      </c>
      <c r="L782" s="54">
        <v>1</v>
      </c>
      <c r="M782" s="54">
        <f>_xlfn.XLOOKUP(Survey!$F782,sections[Start],sections[Test Section],,-1,1)</f>
        <v>2</v>
      </c>
      <c r="N782" s="55">
        <f>_xlfn.XLOOKUP(Survey!$K782,pipedata[ID],pipedata[WT])</f>
        <v>0.74</v>
      </c>
      <c r="O782" s="56">
        <f>_xlfn.XLOOKUP(Survey!$K782,pipedata[ID],pipedata[104%])</f>
        <v>2565.3333333333335</v>
      </c>
      <c r="P782" s="57">
        <f t="shared" si="12"/>
        <v>1850</v>
      </c>
      <c r="Q782" s="58">
        <f>_xlfn.MAXIFS(Survey!$G$2:$G$3647,Survey!$M$2:$M$3647,Survey!$M782)-Survey!$G782</f>
        <v>357.46264336279819</v>
      </c>
      <c r="R782" s="59">
        <f>Survey!$P782+(Survey!$Q782*0.433)</f>
        <v>2004.7813245760917</v>
      </c>
    </row>
    <row r="783" spans="1:18" x14ac:dyDescent="0.25">
      <c r="A783" s="60" t="s">
        <v>17</v>
      </c>
      <c r="B783" s="61" t="s">
        <v>18</v>
      </c>
      <c r="C783" s="62" t="s">
        <v>19</v>
      </c>
      <c r="D783" s="63">
        <v>232.87012643342504</v>
      </c>
      <c r="E783" s="79">
        <v>1258129</v>
      </c>
      <c r="F783" s="80">
        <v>1230582.7605042001</v>
      </c>
      <c r="G783" s="66">
        <v>2400.2394231994535</v>
      </c>
      <c r="H783" s="67">
        <v>2</v>
      </c>
      <c r="I783" s="68" t="s">
        <v>20</v>
      </c>
      <c r="J783" s="69">
        <v>40</v>
      </c>
      <c r="K783" s="70">
        <v>2</v>
      </c>
      <c r="L783" s="68">
        <v>1</v>
      </c>
      <c r="M783" s="68">
        <f>_xlfn.XLOOKUP(Survey!$F783,sections[Start],sections[Test Section],,-1,1)</f>
        <v>2</v>
      </c>
      <c r="N783" s="55">
        <f>_xlfn.XLOOKUP(Survey!$K783,pipedata[ID],pipedata[WT])</f>
        <v>0.74</v>
      </c>
      <c r="O783" s="56">
        <f>_xlfn.XLOOKUP(Survey!$K783,pipedata[ID],pipedata[104%])</f>
        <v>2565.3333333333335</v>
      </c>
      <c r="P783" s="57">
        <f t="shared" si="12"/>
        <v>1850</v>
      </c>
      <c r="Q783" s="58">
        <f>_xlfn.MAXIFS(Survey!$G$2:$G$3647,Survey!$M$2:$M$3647,Survey!$M783)-Survey!$G783</f>
        <v>363.42682100228876</v>
      </c>
      <c r="R783" s="59">
        <f>Survey!$P783+(Survey!$Q783*0.433)</f>
        <v>2007.3638134939911</v>
      </c>
    </row>
    <row r="784" spans="1:18" x14ac:dyDescent="0.25">
      <c r="A784" s="71" t="s">
        <v>17</v>
      </c>
      <c r="B784" s="72" t="s">
        <v>18</v>
      </c>
      <c r="C784" s="73" t="s">
        <v>19</v>
      </c>
      <c r="D784" s="74">
        <v>232.87887132157869</v>
      </c>
      <c r="E784" s="64">
        <v>1258169</v>
      </c>
      <c r="F784" s="65">
        <v>1230621.1512605026</v>
      </c>
      <c r="G784" s="75">
        <v>2391.4867178591567</v>
      </c>
      <c r="H784" s="76">
        <v>2</v>
      </c>
      <c r="I784" s="54" t="s">
        <v>20</v>
      </c>
      <c r="J784" s="77">
        <v>40</v>
      </c>
      <c r="K784" s="78">
        <v>2</v>
      </c>
      <c r="L784" s="54">
        <v>1</v>
      </c>
      <c r="M784" s="54">
        <f>_xlfn.XLOOKUP(Survey!$F784,sections[Start],sections[Test Section],,-1,1)</f>
        <v>2</v>
      </c>
      <c r="N784" s="55">
        <f>_xlfn.XLOOKUP(Survey!$K784,pipedata[ID],pipedata[WT])</f>
        <v>0.74</v>
      </c>
      <c r="O784" s="56">
        <f>_xlfn.XLOOKUP(Survey!$K784,pipedata[ID],pipedata[104%])</f>
        <v>2565.3333333333335</v>
      </c>
      <c r="P784" s="57">
        <f t="shared" si="12"/>
        <v>1850</v>
      </c>
      <c r="Q784" s="58">
        <f>_xlfn.MAXIFS(Survey!$G$2:$G$3647,Survey!$M$2:$M$3647,Survey!$M784)-Survey!$G784</f>
        <v>372.17952634258563</v>
      </c>
      <c r="R784" s="59">
        <f>Survey!$P784+(Survey!$Q784*0.433)</f>
        <v>2011.1537349063397</v>
      </c>
    </row>
    <row r="785" spans="1:18" x14ac:dyDescent="0.25">
      <c r="A785" s="60" t="s">
        <v>17</v>
      </c>
      <c r="B785" s="61" t="s">
        <v>18</v>
      </c>
      <c r="C785" s="62" t="s">
        <v>19</v>
      </c>
      <c r="D785" s="63">
        <v>232.88567438784924</v>
      </c>
      <c r="E785" s="79">
        <v>1258209</v>
      </c>
      <c r="F785" s="80">
        <v>1230659.5420168051</v>
      </c>
      <c r="G785" s="66">
        <v>2383.7556263294446</v>
      </c>
      <c r="H785" s="67">
        <v>2</v>
      </c>
      <c r="I785" s="68" t="s">
        <v>20</v>
      </c>
      <c r="J785" s="69">
        <v>40</v>
      </c>
      <c r="K785" s="70">
        <v>2</v>
      </c>
      <c r="L785" s="68">
        <v>1</v>
      </c>
      <c r="M785" s="68">
        <f>_xlfn.XLOOKUP(Survey!$F785,sections[Start],sections[Test Section],,-1,1)</f>
        <v>2</v>
      </c>
      <c r="N785" s="55">
        <f>_xlfn.XLOOKUP(Survey!$K785,pipedata[ID],pipedata[WT])</f>
        <v>0.74</v>
      </c>
      <c r="O785" s="56">
        <f>_xlfn.XLOOKUP(Survey!$K785,pipedata[ID],pipedata[104%])</f>
        <v>2565.3333333333335</v>
      </c>
      <c r="P785" s="57">
        <f t="shared" si="12"/>
        <v>1850</v>
      </c>
      <c r="Q785" s="58">
        <f>_xlfn.MAXIFS(Survey!$G$2:$G$3647,Survey!$M$2:$M$3647,Survey!$M785)-Survey!$G785</f>
        <v>379.91061787229773</v>
      </c>
      <c r="R785" s="59">
        <f>Survey!$P785+(Survey!$Q785*0.433)</f>
        <v>2014.5012975387049</v>
      </c>
    </row>
    <row r="786" spans="1:18" x14ac:dyDescent="0.25">
      <c r="A786" s="71" t="s">
        <v>17</v>
      </c>
      <c r="B786" s="72" t="s">
        <v>18</v>
      </c>
      <c r="C786" s="73" t="s">
        <v>19</v>
      </c>
      <c r="D786" s="74">
        <v>232.89360915062073</v>
      </c>
      <c r="E786" s="81">
        <v>1258249</v>
      </c>
      <c r="F786" s="82">
        <v>1230697.9327731077</v>
      </c>
      <c r="G786" s="75">
        <v>2376.0216606160102</v>
      </c>
      <c r="H786" s="76">
        <v>2</v>
      </c>
      <c r="I786" s="54" t="s">
        <v>20</v>
      </c>
      <c r="J786" s="77">
        <v>40</v>
      </c>
      <c r="K786" s="78">
        <v>2</v>
      </c>
      <c r="L786" s="54">
        <v>1</v>
      </c>
      <c r="M786" s="54">
        <f>_xlfn.XLOOKUP(Survey!$F786,sections[Start],sections[Test Section],,-1,1)</f>
        <v>2</v>
      </c>
      <c r="N786" s="55">
        <f>_xlfn.XLOOKUP(Survey!$K786,pipedata[ID],pipedata[WT])</f>
        <v>0.74</v>
      </c>
      <c r="O786" s="56">
        <f>_xlfn.XLOOKUP(Survey!$K786,pipedata[ID],pipedata[104%])</f>
        <v>2565.3333333333335</v>
      </c>
      <c r="P786" s="57">
        <f t="shared" si="12"/>
        <v>1850</v>
      </c>
      <c r="Q786" s="58">
        <f>_xlfn.MAXIFS(Survey!$G$2:$G$3647,Survey!$M$2:$M$3647,Survey!$M786)-Survey!$G786</f>
        <v>387.64458358573211</v>
      </c>
      <c r="R786" s="59">
        <f>Survey!$P786+(Survey!$Q786*0.433)</f>
        <v>2017.8501046926219</v>
      </c>
    </row>
    <row r="787" spans="1:18" x14ac:dyDescent="0.25">
      <c r="A787" s="60" t="s">
        <v>17</v>
      </c>
      <c r="B787" s="61" t="s">
        <v>18</v>
      </c>
      <c r="C787" s="62" t="s">
        <v>19</v>
      </c>
      <c r="D787" s="63">
        <v>232.90049658783929</v>
      </c>
      <c r="E787" s="79">
        <v>1258289</v>
      </c>
      <c r="F787" s="80">
        <v>1230736.3235294102</v>
      </c>
      <c r="G787" s="66">
        <v>2368.5940234157147</v>
      </c>
      <c r="H787" s="67">
        <v>2</v>
      </c>
      <c r="I787" s="68" t="s">
        <v>20</v>
      </c>
      <c r="J787" s="69">
        <v>40</v>
      </c>
      <c r="K787" s="70">
        <v>2</v>
      </c>
      <c r="L787" s="68">
        <v>1</v>
      </c>
      <c r="M787" s="68">
        <f>_xlfn.XLOOKUP(Survey!$F787,sections[Start],sections[Test Section],,-1,1)</f>
        <v>2</v>
      </c>
      <c r="N787" s="55">
        <f>_xlfn.XLOOKUP(Survey!$K787,pipedata[ID],pipedata[WT])</f>
        <v>0.74</v>
      </c>
      <c r="O787" s="56">
        <f>_xlfn.XLOOKUP(Survey!$K787,pipedata[ID],pipedata[104%])</f>
        <v>2565.3333333333335</v>
      </c>
      <c r="P787" s="57">
        <f t="shared" si="12"/>
        <v>1850</v>
      </c>
      <c r="Q787" s="58">
        <f>_xlfn.MAXIFS(Survey!$G$2:$G$3647,Survey!$M$2:$M$3647,Survey!$M787)-Survey!$G787</f>
        <v>395.07222078602763</v>
      </c>
      <c r="R787" s="59">
        <f>Survey!$P787+(Survey!$Q787*0.433)</f>
        <v>2021.0662716003499</v>
      </c>
    </row>
    <row r="788" spans="1:18" x14ac:dyDescent="0.25">
      <c r="A788" s="71" t="s">
        <v>17</v>
      </c>
      <c r="B788" s="72" t="s">
        <v>18</v>
      </c>
      <c r="C788" s="73" t="s">
        <v>19</v>
      </c>
      <c r="D788" s="74">
        <v>232.90835127541854</v>
      </c>
      <c r="E788" s="81">
        <v>1258329</v>
      </c>
      <c r="F788" s="82">
        <v>1230774.7142857127</v>
      </c>
      <c r="G788" s="75">
        <v>2359.3874241197705</v>
      </c>
      <c r="H788" s="76">
        <v>2</v>
      </c>
      <c r="I788" s="54" t="s">
        <v>20</v>
      </c>
      <c r="J788" s="77">
        <v>40</v>
      </c>
      <c r="K788" s="78">
        <v>2</v>
      </c>
      <c r="L788" s="54">
        <v>1</v>
      </c>
      <c r="M788" s="54">
        <f>_xlfn.XLOOKUP(Survey!$F788,sections[Start],sections[Test Section],,-1,1)</f>
        <v>2</v>
      </c>
      <c r="N788" s="55">
        <f>_xlfn.XLOOKUP(Survey!$K788,pipedata[ID],pipedata[WT])</f>
        <v>0.74</v>
      </c>
      <c r="O788" s="56">
        <f>_xlfn.XLOOKUP(Survey!$K788,pipedata[ID],pipedata[104%])</f>
        <v>2565.3333333333335</v>
      </c>
      <c r="P788" s="57">
        <f t="shared" si="12"/>
        <v>1850</v>
      </c>
      <c r="Q788" s="58">
        <f>_xlfn.MAXIFS(Survey!$G$2:$G$3647,Survey!$M$2:$M$3647,Survey!$M788)-Survey!$G788</f>
        <v>404.27882008197184</v>
      </c>
      <c r="R788" s="59">
        <f>Survey!$P788+(Survey!$Q788*0.433)</f>
        <v>2025.0527290954938</v>
      </c>
    </row>
    <row r="789" spans="1:18" x14ac:dyDescent="0.25">
      <c r="A789" s="60" t="s">
        <v>17</v>
      </c>
      <c r="B789" s="61" t="s">
        <v>18</v>
      </c>
      <c r="C789" s="62" t="s">
        <v>19</v>
      </c>
      <c r="D789" s="63">
        <v>232.91515434168929</v>
      </c>
      <c r="E789" s="79">
        <v>1258369</v>
      </c>
      <c r="F789" s="80">
        <v>1230813.1050420152</v>
      </c>
      <c r="G789" s="66">
        <v>2350.9195526205663</v>
      </c>
      <c r="H789" s="67">
        <v>2</v>
      </c>
      <c r="I789" s="68" t="s">
        <v>20</v>
      </c>
      <c r="J789" s="69">
        <v>40</v>
      </c>
      <c r="K789" s="70">
        <v>2</v>
      </c>
      <c r="L789" s="68">
        <v>1</v>
      </c>
      <c r="M789" s="68">
        <f>_xlfn.XLOOKUP(Survey!$F789,sections[Start],sections[Test Section],,-1,1)</f>
        <v>2</v>
      </c>
      <c r="N789" s="55">
        <f>_xlfn.XLOOKUP(Survey!$K789,pipedata[ID],pipedata[WT])</f>
        <v>0.74</v>
      </c>
      <c r="O789" s="56">
        <f>_xlfn.XLOOKUP(Survey!$K789,pipedata[ID],pipedata[104%])</f>
        <v>2565.3333333333335</v>
      </c>
      <c r="P789" s="57">
        <f t="shared" si="12"/>
        <v>1850</v>
      </c>
      <c r="Q789" s="58">
        <f>_xlfn.MAXIFS(Survey!$G$2:$G$3647,Survey!$M$2:$M$3647,Survey!$M789)-Survey!$G789</f>
        <v>412.74669158117604</v>
      </c>
      <c r="R789" s="59">
        <f>Survey!$P789+(Survey!$Q789*0.433)</f>
        <v>2028.7193174546492</v>
      </c>
    </row>
    <row r="790" spans="1:18" x14ac:dyDescent="0.25">
      <c r="A790" s="71" t="s">
        <v>17</v>
      </c>
      <c r="B790" s="72" t="s">
        <v>18</v>
      </c>
      <c r="C790" s="73" t="s">
        <v>19</v>
      </c>
      <c r="D790" s="74">
        <v>232.92195740795978</v>
      </c>
      <c r="E790" s="81">
        <v>1258409</v>
      </c>
      <c r="F790" s="82">
        <v>1230851.4957983177</v>
      </c>
      <c r="G790" s="75">
        <v>2343.1036682966428</v>
      </c>
      <c r="H790" s="76">
        <v>2</v>
      </c>
      <c r="I790" s="54" t="s">
        <v>20</v>
      </c>
      <c r="J790" s="77">
        <v>40</v>
      </c>
      <c r="K790" s="78">
        <v>2</v>
      </c>
      <c r="L790" s="54">
        <v>1</v>
      </c>
      <c r="M790" s="54">
        <f>_xlfn.XLOOKUP(Survey!$F790,sections[Start],sections[Test Section],,-1,1)</f>
        <v>2</v>
      </c>
      <c r="N790" s="55">
        <f>_xlfn.XLOOKUP(Survey!$K790,pipedata[ID],pipedata[WT])</f>
        <v>0.74</v>
      </c>
      <c r="O790" s="56">
        <f>_xlfn.XLOOKUP(Survey!$K790,pipedata[ID],pipedata[104%])</f>
        <v>2565.3333333333335</v>
      </c>
      <c r="P790" s="57">
        <f t="shared" si="12"/>
        <v>1850</v>
      </c>
      <c r="Q790" s="58">
        <f>_xlfn.MAXIFS(Survey!$G$2:$G$3647,Survey!$M$2:$M$3647,Survey!$M790)-Survey!$G790</f>
        <v>420.56257590509949</v>
      </c>
      <c r="R790" s="59">
        <f>Survey!$P790+(Survey!$Q790*0.433)</f>
        <v>2032.1035953669082</v>
      </c>
    </row>
    <row r="791" spans="1:18" x14ac:dyDescent="0.25">
      <c r="A791" s="60" t="s">
        <v>17</v>
      </c>
      <c r="B791" s="61" t="s">
        <v>18</v>
      </c>
      <c r="C791" s="62" t="s">
        <v>19</v>
      </c>
      <c r="D791" s="63">
        <v>232.93013751547912</v>
      </c>
      <c r="E791" s="79">
        <v>1258449</v>
      </c>
      <c r="F791" s="80">
        <v>1230889.8865546202</v>
      </c>
      <c r="G791" s="66">
        <v>2334.1596632019955</v>
      </c>
      <c r="H791" s="67">
        <v>2</v>
      </c>
      <c r="I791" s="68" t="s">
        <v>20</v>
      </c>
      <c r="J791" s="69">
        <v>40</v>
      </c>
      <c r="K791" s="70">
        <v>2</v>
      </c>
      <c r="L791" s="68">
        <v>1</v>
      </c>
      <c r="M791" s="68">
        <f>_xlfn.XLOOKUP(Survey!$F791,sections[Start],sections[Test Section],,-1,1)</f>
        <v>2</v>
      </c>
      <c r="N791" s="55">
        <f>_xlfn.XLOOKUP(Survey!$K791,pipedata[ID],pipedata[WT])</f>
        <v>0.74</v>
      </c>
      <c r="O791" s="56">
        <f>_xlfn.XLOOKUP(Survey!$K791,pipedata[ID],pipedata[104%])</f>
        <v>2565.3333333333335</v>
      </c>
      <c r="P791" s="57">
        <f t="shared" si="12"/>
        <v>1850</v>
      </c>
      <c r="Q791" s="58">
        <f>_xlfn.MAXIFS(Survey!$G$2:$G$3647,Survey!$M$2:$M$3647,Survey!$M791)-Survey!$G791</f>
        <v>429.5065809997468</v>
      </c>
      <c r="R791" s="59">
        <f>Survey!$P791+(Survey!$Q791*0.433)</f>
        <v>2035.9763495728903</v>
      </c>
    </row>
    <row r="792" spans="1:18" x14ac:dyDescent="0.25">
      <c r="A792" s="71" t="s">
        <v>17</v>
      </c>
      <c r="B792" s="72" t="s">
        <v>18</v>
      </c>
      <c r="C792" s="73" t="s">
        <v>19</v>
      </c>
      <c r="D792" s="74">
        <v>232.93682437544993</v>
      </c>
      <c r="E792" s="81">
        <v>1258489</v>
      </c>
      <c r="F792" s="82">
        <v>1230928.2773109227</v>
      </c>
      <c r="G792" s="75">
        <v>2324.710762687625</v>
      </c>
      <c r="H792" s="76">
        <v>2</v>
      </c>
      <c r="I792" s="54" t="s">
        <v>20</v>
      </c>
      <c r="J792" s="77">
        <v>40</v>
      </c>
      <c r="K792" s="78">
        <v>2</v>
      </c>
      <c r="L792" s="54">
        <v>1</v>
      </c>
      <c r="M792" s="54">
        <f>_xlfn.XLOOKUP(Survey!$F792,sections[Start],sections[Test Section],,-1,1)</f>
        <v>2</v>
      </c>
      <c r="N792" s="55">
        <f>_xlfn.XLOOKUP(Survey!$K792,pipedata[ID],pipedata[WT])</f>
        <v>0.74</v>
      </c>
      <c r="O792" s="56">
        <f>_xlfn.XLOOKUP(Survey!$K792,pipedata[ID],pipedata[104%])</f>
        <v>2565.3333333333335</v>
      </c>
      <c r="P792" s="57">
        <f t="shared" si="12"/>
        <v>1850</v>
      </c>
      <c r="Q792" s="58">
        <f>_xlfn.MAXIFS(Survey!$G$2:$G$3647,Survey!$M$2:$M$3647,Survey!$M792)-Survey!$G792</f>
        <v>438.95548151411731</v>
      </c>
      <c r="R792" s="59">
        <f>Survey!$P792+(Survey!$Q792*0.433)</f>
        <v>2040.0677234956129</v>
      </c>
    </row>
    <row r="793" spans="1:18" x14ac:dyDescent="0.25">
      <c r="A793" s="60" t="s">
        <v>17</v>
      </c>
      <c r="B793" s="61" t="s">
        <v>18</v>
      </c>
      <c r="C793" s="62" t="s">
        <v>19</v>
      </c>
      <c r="D793" s="63">
        <v>232.94559470525286</v>
      </c>
      <c r="E793" s="79">
        <v>1258529</v>
      </c>
      <c r="F793" s="80">
        <v>1230966.6680672253</v>
      </c>
      <c r="G793" s="66">
        <v>2317.4457417530148</v>
      </c>
      <c r="H793" s="67">
        <v>2</v>
      </c>
      <c r="I793" s="68" t="s">
        <v>20</v>
      </c>
      <c r="J793" s="69">
        <v>40</v>
      </c>
      <c r="K793" s="70">
        <v>2</v>
      </c>
      <c r="L793" s="68">
        <v>1</v>
      </c>
      <c r="M793" s="68">
        <f>_xlfn.XLOOKUP(Survey!$F793,sections[Start],sections[Test Section],,-1,1)</f>
        <v>2</v>
      </c>
      <c r="N793" s="55">
        <f>_xlfn.XLOOKUP(Survey!$K793,pipedata[ID],pipedata[WT])</f>
        <v>0.74</v>
      </c>
      <c r="O793" s="56">
        <f>_xlfn.XLOOKUP(Survey!$K793,pipedata[ID],pipedata[104%])</f>
        <v>2565.3333333333335</v>
      </c>
      <c r="P793" s="57">
        <f t="shared" si="12"/>
        <v>1850</v>
      </c>
      <c r="Q793" s="58">
        <f>_xlfn.MAXIFS(Survey!$G$2:$G$3647,Survey!$M$2:$M$3647,Survey!$M793)-Survey!$G793</f>
        <v>446.22050244872753</v>
      </c>
      <c r="R793" s="59">
        <f>Survey!$P793+(Survey!$Q793*0.433)</f>
        <v>2043.213477560299</v>
      </c>
    </row>
    <row r="794" spans="1:18" x14ac:dyDescent="0.25">
      <c r="A794" s="71" t="s">
        <v>17</v>
      </c>
      <c r="B794" s="72" t="s">
        <v>18</v>
      </c>
      <c r="C794" s="73" t="s">
        <v>19</v>
      </c>
      <c r="D794" s="74">
        <v>232.95151526992623</v>
      </c>
      <c r="E794" s="81">
        <v>1258569</v>
      </c>
      <c r="F794" s="82">
        <v>1231005.0588235278</v>
      </c>
      <c r="G794" s="75">
        <v>2308.6282445841639</v>
      </c>
      <c r="H794" s="76">
        <v>2</v>
      </c>
      <c r="I794" s="54" t="s">
        <v>20</v>
      </c>
      <c r="J794" s="77">
        <v>40</v>
      </c>
      <c r="K794" s="78">
        <v>2</v>
      </c>
      <c r="L794" s="54">
        <v>1</v>
      </c>
      <c r="M794" s="54">
        <f>_xlfn.XLOOKUP(Survey!$F794,sections[Start],sections[Test Section],,-1,1)</f>
        <v>2</v>
      </c>
      <c r="N794" s="55">
        <f>_xlfn.XLOOKUP(Survey!$K794,pipedata[ID],pipedata[WT])</f>
        <v>0.74</v>
      </c>
      <c r="O794" s="56">
        <f>_xlfn.XLOOKUP(Survey!$K794,pipedata[ID],pipedata[104%])</f>
        <v>2565.3333333333335</v>
      </c>
      <c r="P794" s="57">
        <f t="shared" si="12"/>
        <v>1850</v>
      </c>
      <c r="Q794" s="58">
        <f>_xlfn.MAXIFS(Survey!$G$2:$G$3647,Survey!$M$2:$M$3647,Survey!$M794)-Survey!$G794</f>
        <v>455.03799961757841</v>
      </c>
      <c r="R794" s="59">
        <f>Survey!$P794+(Survey!$Q794*0.433)</f>
        <v>2047.0314538344114</v>
      </c>
    </row>
    <row r="795" spans="1:18" x14ac:dyDescent="0.25">
      <c r="A795" s="60" t="s">
        <v>17</v>
      </c>
      <c r="B795" s="61" t="s">
        <v>18</v>
      </c>
      <c r="C795" s="62" t="s">
        <v>19</v>
      </c>
      <c r="D795" s="63">
        <v>232.96007486336308</v>
      </c>
      <c r="E795" s="79">
        <v>1258609</v>
      </c>
      <c r="F795" s="80">
        <v>1231043.4495798303</v>
      </c>
      <c r="G795" s="66">
        <v>2298.9299999999998</v>
      </c>
      <c r="H795" s="67">
        <v>2</v>
      </c>
      <c r="I795" s="68" t="s">
        <v>20</v>
      </c>
      <c r="J795" s="69">
        <v>40</v>
      </c>
      <c r="K795" s="70">
        <v>2</v>
      </c>
      <c r="L795" s="68">
        <v>1</v>
      </c>
      <c r="M795" s="68">
        <f>_xlfn.XLOOKUP(Survey!$F795,sections[Start],sections[Test Section],,-1,1)</f>
        <v>2</v>
      </c>
      <c r="N795" s="55">
        <f>_xlfn.XLOOKUP(Survey!$K795,pipedata[ID],pipedata[WT])</f>
        <v>0.74</v>
      </c>
      <c r="O795" s="56">
        <f>_xlfn.XLOOKUP(Survey!$K795,pipedata[ID],pipedata[104%])</f>
        <v>2565.3333333333335</v>
      </c>
      <c r="P795" s="57">
        <f t="shared" si="12"/>
        <v>1850</v>
      </c>
      <c r="Q795" s="58">
        <f>_xlfn.MAXIFS(Survey!$G$2:$G$3647,Survey!$M$2:$M$3647,Survey!$M795)-Survey!$G795</f>
        <v>464.73624420174247</v>
      </c>
      <c r="R795" s="59">
        <f>Survey!$P795+(Survey!$Q795*0.433)</f>
        <v>2051.2307937393543</v>
      </c>
    </row>
    <row r="796" spans="1:18" x14ac:dyDescent="0.25">
      <c r="A796" s="71" t="s">
        <v>17</v>
      </c>
      <c r="B796" s="72" t="s">
        <v>18</v>
      </c>
      <c r="C796" s="73" t="s">
        <v>19</v>
      </c>
      <c r="D796" s="74">
        <v>232.96750695906459</v>
      </c>
      <c r="E796" s="81">
        <v>1258649</v>
      </c>
      <c r="F796" s="82">
        <v>1231081.8403361328</v>
      </c>
      <c r="G796" s="75">
        <v>2289.9521909639739</v>
      </c>
      <c r="H796" s="76">
        <v>2</v>
      </c>
      <c r="I796" s="54" t="s">
        <v>20</v>
      </c>
      <c r="J796" s="77">
        <v>40</v>
      </c>
      <c r="K796" s="78">
        <v>2</v>
      </c>
      <c r="L796" s="54">
        <v>1</v>
      </c>
      <c r="M796" s="54">
        <f>_xlfn.XLOOKUP(Survey!$F796,sections[Start],sections[Test Section],,-1,1)</f>
        <v>2</v>
      </c>
      <c r="N796" s="55">
        <f>_xlfn.XLOOKUP(Survey!$K796,pipedata[ID],pipedata[WT])</f>
        <v>0.74</v>
      </c>
      <c r="O796" s="56">
        <f>_xlfn.XLOOKUP(Survey!$K796,pipedata[ID],pipedata[104%])</f>
        <v>2565.3333333333335</v>
      </c>
      <c r="P796" s="57">
        <f t="shared" si="12"/>
        <v>1850</v>
      </c>
      <c r="Q796" s="58">
        <f>_xlfn.MAXIFS(Survey!$G$2:$G$3647,Survey!$M$2:$M$3647,Survey!$M796)-Survey!$G796</f>
        <v>473.71405323776844</v>
      </c>
      <c r="R796" s="59">
        <f>Survey!$P796+(Survey!$Q796*0.433)</f>
        <v>2055.1181850519538</v>
      </c>
    </row>
    <row r="797" spans="1:18" x14ac:dyDescent="0.25">
      <c r="A797" s="60" t="s">
        <v>17</v>
      </c>
      <c r="B797" s="61" t="s">
        <v>18</v>
      </c>
      <c r="C797" s="62" t="s">
        <v>19</v>
      </c>
      <c r="D797" s="63">
        <v>232.97354950139044</v>
      </c>
      <c r="E797" s="79">
        <v>1258689</v>
      </c>
      <c r="F797" s="80">
        <v>1231120.2310924353</v>
      </c>
      <c r="G797" s="66">
        <v>2277.249238908099</v>
      </c>
      <c r="H797" s="67">
        <v>2</v>
      </c>
      <c r="I797" s="68" t="s">
        <v>20</v>
      </c>
      <c r="J797" s="69">
        <v>40</v>
      </c>
      <c r="K797" s="70">
        <v>2</v>
      </c>
      <c r="L797" s="68">
        <v>1</v>
      </c>
      <c r="M797" s="68">
        <f>_xlfn.XLOOKUP(Survey!$F797,sections[Start],sections[Test Section],,-1,1)</f>
        <v>2</v>
      </c>
      <c r="N797" s="55">
        <f>_xlfn.XLOOKUP(Survey!$K797,pipedata[ID],pipedata[WT])</f>
        <v>0.74</v>
      </c>
      <c r="O797" s="56">
        <f>_xlfn.XLOOKUP(Survey!$K797,pipedata[ID],pipedata[104%])</f>
        <v>2565.3333333333335</v>
      </c>
      <c r="P797" s="57">
        <f t="shared" si="12"/>
        <v>1850</v>
      </c>
      <c r="Q797" s="58">
        <f>_xlfn.MAXIFS(Survey!$G$2:$G$3647,Survey!$M$2:$M$3647,Survey!$M797)-Survey!$G797</f>
        <v>486.41700529364334</v>
      </c>
      <c r="R797" s="59">
        <f>Survey!$P797+(Survey!$Q797*0.433)</f>
        <v>2060.6185632921474</v>
      </c>
    </row>
    <row r="798" spans="1:18" x14ac:dyDescent="0.25">
      <c r="A798" s="71" t="s">
        <v>17</v>
      </c>
      <c r="B798" s="72" t="s">
        <v>18</v>
      </c>
      <c r="C798" s="73" t="s">
        <v>19</v>
      </c>
      <c r="D798" s="74">
        <v>232.98146246875848</v>
      </c>
      <c r="E798" s="81">
        <v>1258729</v>
      </c>
      <c r="F798" s="82">
        <v>1231158.6218487378</v>
      </c>
      <c r="G798" s="75">
        <v>2267.6817149999483</v>
      </c>
      <c r="H798" s="76">
        <v>2</v>
      </c>
      <c r="I798" s="54" t="s">
        <v>20</v>
      </c>
      <c r="J798" s="77">
        <v>40</v>
      </c>
      <c r="K798" s="78">
        <v>2</v>
      </c>
      <c r="L798" s="54">
        <v>1</v>
      </c>
      <c r="M798" s="54">
        <f>_xlfn.XLOOKUP(Survey!$F798,sections[Start],sections[Test Section],,-1,1)</f>
        <v>2</v>
      </c>
      <c r="N798" s="55">
        <f>_xlfn.XLOOKUP(Survey!$K798,pipedata[ID],pipedata[WT])</f>
        <v>0.74</v>
      </c>
      <c r="O798" s="56">
        <f>_xlfn.XLOOKUP(Survey!$K798,pipedata[ID],pipedata[104%])</f>
        <v>2565.3333333333335</v>
      </c>
      <c r="P798" s="57">
        <f t="shared" si="12"/>
        <v>1850</v>
      </c>
      <c r="Q798" s="58">
        <f>_xlfn.MAXIFS(Survey!$G$2:$G$3647,Survey!$M$2:$M$3647,Survey!$M798)-Survey!$G798</f>
        <v>495.98452920179398</v>
      </c>
      <c r="R798" s="59">
        <f>Survey!$P798+(Survey!$Q798*0.433)</f>
        <v>2064.7613011443768</v>
      </c>
    </row>
    <row r="799" spans="1:18" x14ac:dyDescent="0.25">
      <c r="A799" s="60" t="s">
        <v>17</v>
      </c>
      <c r="B799" s="61" t="s">
        <v>18</v>
      </c>
      <c r="C799" s="62" t="s">
        <v>19</v>
      </c>
      <c r="D799" s="63">
        <v>232.98878703125564</v>
      </c>
      <c r="E799" s="79">
        <v>1258769</v>
      </c>
      <c r="F799" s="80">
        <v>1231197.0126050403</v>
      </c>
      <c r="G799" s="66">
        <v>2257.9274774952255</v>
      </c>
      <c r="H799" s="67">
        <v>2</v>
      </c>
      <c r="I799" s="68" t="s">
        <v>20</v>
      </c>
      <c r="J799" s="69">
        <v>40</v>
      </c>
      <c r="K799" s="70">
        <v>2</v>
      </c>
      <c r="L799" s="68">
        <v>1</v>
      </c>
      <c r="M799" s="68">
        <f>_xlfn.XLOOKUP(Survey!$F799,sections[Start],sections[Test Section],,-1,1)</f>
        <v>2</v>
      </c>
      <c r="N799" s="55">
        <f>_xlfn.XLOOKUP(Survey!$K799,pipedata[ID],pipedata[WT])</f>
        <v>0.74</v>
      </c>
      <c r="O799" s="56">
        <f>_xlfn.XLOOKUP(Survey!$K799,pipedata[ID],pipedata[104%])</f>
        <v>2565.3333333333335</v>
      </c>
      <c r="P799" s="57">
        <f t="shared" si="12"/>
        <v>1850</v>
      </c>
      <c r="Q799" s="58">
        <f>_xlfn.MAXIFS(Survey!$G$2:$G$3647,Survey!$M$2:$M$3647,Survey!$M799)-Survey!$G799</f>
        <v>505.7387667065168</v>
      </c>
      <c r="R799" s="59">
        <f>Survey!$P799+(Survey!$Q799*0.433)</f>
        <v>2068.9848859839217</v>
      </c>
    </row>
    <row r="800" spans="1:18" x14ac:dyDescent="0.25">
      <c r="A800" s="71" t="s">
        <v>17</v>
      </c>
      <c r="B800" s="72" t="s">
        <v>18</v>
      </c>
      <c r="C800" s="73" t="s">
        <v>19</v>
      </c>
      <c r="D800" s="74">
        <v>232.99648631451043</v>
      </c>
      <c r="E800" s="81">
        <v>1258809</v>
      </c>
      <c r="F800" s="82">
        <v>1231235.4033613428</v>
      </c>
      <c r="G800" s="75">
        <v>2250.4022919005333</v>
      </c>
      <c r="H800" s="76">
        <v>2</v>
      </c>
      <c r="I800" s="54" t="s">
        <v>20</v>
      </c>
      <c r="J800" s="77">
        <v>40</v>
      </c>
      <c r="K800" s="78">
        <v>2</v>
      </c>
      <c r="L800" s="54">
        <v>1</v>
      </c>
      <c r="M800" s="54">
        <f>_xlfn.XLOOKUP(Survey!$F800,sections[Start],sections[Test Section],,-1,1)</f>
        <v>2</v>
      </c>
      <c r="N800" s="55">
        <f>_xlfn.XLOOKUP(Survey!$K800,pipedata[ID],pipedata[WT])</f>
        <v>0.74</v>
      </c>
      <c r="O800" s="56">
        <f>_xlfn.XLOOKUP(Survey!$K800,pipedata[ID],pipedata[104%])</f>
        <v>2565.3333333333335</v>
      </c>
      <c r="P800" s="57">
        <f t="shared" si="12"/>
        <v>1850</v>
      </c>
      <c r="Q800" s="58">
        <f>_xlfn.MAXIFS(Survey!$G$2:$G$3647,Survey!$M$2:$M$3647,Survey!$M800)-Survey!$G800</f>
        <v>513.26395230120897</v>
      </c>
      <c r="R800" s="59">
        <f>Survey!$P800+(Survey!$Q800*0.433)</f>
        <v>2072.2432913464236</v>
      </c>
    </row>
    <row r="801" spans="1:18" x14ac:dyDescent="0.25">
      <c r="A801" s="60" t="s">
        <v>17</v>
      </c>
      <c r="B801" s="61" t="s">
        <v>18</v>
      </c>
      <c r="C801" s="62" t="s">
        <v>19</v>
      </c>
      <c r="D801" s="63">
        <v>233.00400547854065</v>
      </c>
      <c r="E801" s="79">
        <v>1258849</v>
      </c>
      <c r="F801" s="80">
        <v>1231273.7941176454</v>
      </c>
      <c r="G801" s="66">
        <v>2239.164639216373</v>
      </c>
      <c r="H801" s="67">
        <v>2</v>
      </c>
      <c r="I801" s="68" t="s">
        <v>20</v>
      </c>
      <c r="J801" s="69">
        <v>40</v>
      </c>
      <c r="K801" s="70">
        <v>2</v>
      </c>
      <c r="L801" s="68">
        <v>1</v>
      </c>
      <c r="M801" s="68">
        <f>_xlfn.XLOOKUP(Survey!$F801,sections[Start],sections[Test Section],,-1,1)</f>
        <v>2</v>
      </c>
      <c r="N801" s="55">
        <f>_xlfn.XLOOKUP(Survey!$K801,pipedata[ID],pipedata[WT])</f>
        <v>0.74</v>
      </c>
      <c r="O801" s="56">
        <f>_xlfn.XLOOKUP(Survey!$K801,pipedata[ID],pipedata[104%])</f>
        <v>2565.3333333333335</v>
      </c>
      <c r="P801" s="57">
        <f t="shared" si="12"/>
        <v>1850</v>
      </c>
      <c r="Q801" s="58">
        <f>_xlfn.MAXIFS(Survey!$G$2:$G$3647,Survey!$M$2:$M$3647,Survey!$M801)-Survey!$G801</f>
        <v>524.50160498536934</v>
      </c>
      <c r="R801" s="59">
        <f>Survey!$P801+(Survey!$Q801*0.433)</f>
        <v>2077.1091949586648</v>
      </c>
    </row>
    <row r="802" spans="1:18" x14ac:dyDescent="0.25">
      <c r="A802" s="71" t="s">
        <v>17</v>
      </c>
      <c r="B802" s="72" t="s">
        <v>18</v>
      </c>
      <c r="C802" s="73" t="s">
        <v>19</v>
      </c>
      <c r="D802" s="74">
        <v>233.01161470218312</v>
      </c>
      <c r="E802" s="81">
        <v>1258889</v>
      </c>
      <c r="F802" s="82">
        <v>1231312.1848739479</v>
      </c>
      <c r="G802" s="75">
        <v>2231.6033402237426</v>
      </c>
      <c r="H802" s="76">
        <v>2</v>
      </c>
      <c r="I802" s="54" t="s">
        <v>20</v>
      </c>
      <c r="J802" s="77">
        <v>40</v>
      </c>
      <c r="K802" s="78">
        <v>2</v>
      </c>
      <c r="L802" s="54">
        <v>1</v>
      </c>
      <c r="M802" s="54">
        <f>_xlfn.XLOOKUP(Survey!$F802,sections[Start],sections[Test Section],,-1,1)</f>
        <v>2</v>
      </c>
      <c r="N802" s="55">
        <f>_xlfn.XLOOKUP(Survey!$K802,pipedata[ID],pipedata[WT])</f>
        <v>0.74</v>
      </c>
      <c r="O802" s="56">
        <f>_xlfn.XLOOKUP(Survey!$K802,pipedata[ID],pipedata[104%])</f>
        <v>2565.3333333333335</v>
      </c>
      <c r="P802" s="57">
        <f t="shared" si="12"/>
        <v>1850</v>
      </c>
      <c r="Q802" s="58">
        <f>_xlfn.MAXIFS(Survey!$G$2:$G$3647,Survey!$M$2:$M$3647,Survey!$M802)-Survey!$G802</f>
        <v>532.06290397799967</v>
      </c>
      <c r="R802" s="59">
        <f>Survey!$P802+(Survey!$Q802*0.433)</f>
        <v>2080.3832374224739</v>
      </c>
    </row>
    <row r="803" spans="1:18" x14ac:dyDescent="0.25">
      <c r="A803" s="60" t="s">
        <v>17</v>
      </c>
      <c r="B803" s="61" t="s">
        <v>18</v>
      </c>
      <c r="C803" s="62" t="s">
        <v>19</v>
      </c>
      <c r="D803" s="63">
        <v>233.01748535499954</v>
      </c>
      <c r="E803" s="79">
        <v>1258929</v>
      </c>
      <c r="F803" s="80">
        <v>1231350.5756302504</v>
      </c>
      <c r="G803" s="66">
        <v>2221.6212971123755</v>
      </c>
      <c r="H803" s="67">
        <v>2</v>
      </c>
      <c r="I803" s="68" t="s">
        <v>20</v>
      </c>
      <c r="J803" s="69">
        <v>40</v>
      </c>
      <c r="K803" s="70">
        <v>2</v>
      </c>
      <c r="L803" s="68">
        <v>1</v>
      </c>
      <c r="M803" s="68">
        <f>_xlfn.XLOOKUP(Survey!$F803,sections[Start],sections[Test Section],,-1,1)</f>
        <v>2</v>
      </c>
      <c r="N803" s="55">
        <f>_xlfn.XLOOKUP(Survey!$K803,pipedata[ID],pipedata[WT])</f>
        <v>0.74</v>
      </c>
      <c r="O803" s="56">
        <f>_xlfn.XLOOKUP(Survey!$K803,pipedata[ID],pipedata[104%])</f>
        <v>2565.3333333333335</v>
      </c>
      <c r="P803" s="57">
        <f t="shared" si="12"/>
        <v>1850</v>
      </c>
      <c r="Q803" s="58">
        <f>_xlfn.MAXIFS(Survey!$G$2:$G$3647,Survey!$M$2:$M$3647,Survey!$M803)-Survey!$G803</f>
        <v>542.04494708936681</v>
      </c>
      <c r="R803" s="59">
        <f>Survey!$P803+(Survey!$Q803*0.433)</f>
        <v>2084.7054620896956</v>
      </c>
    </row>
    <row r="804" spans="1:18" x14ac:dyDescent="0.25">
      <c r="A804" s="71" t="s">
        <v>17</v>
      </c>
      <c r="B804" s="72" t="s">
        <v>18</v>
      </c>
      <c r="C804" s="73" t="s">
        <v>19</v>
      </c>
      <c r="D804" s="74">
        <v>233.02588497119524</v>
      </c>
      <c r="E804" s="81">
        <v>1258969</v>
      </c>
      <c r="F804" s="82">
        <v>1231388.9663865529</v>
      </c>
      <c r="G804" s="75">
        <v>2210.0536681766807</v>
      </c>
      <c r="H804" s="76">
        <v>2</v>
      </c>
      <c r="I804" s="54" t="s">
        <v>20</v>
      </c>
      <c r="J804" s="77">
        <v>40</v>
      </c>
      <c r="K804" s="78">
        <v>2</v>
      </c>
      <c r="L804" s="54">
        <v>1</v>
      </c>
      <c r="M804" s="54">
        <f>_xlfn.XLOOKUP(Survey!$F804,sections[Start],sections[Test Section],,-1,1)</f>
        <v>2</v>
      </c>
      <c r="N804" s="55">
        <f>_xlfn.XLOOKUP(Survey!$K804,pipedata[ID],pipedata[WT])</f>
        <v>0.74</v>
      </c>
      <c r="O804" s="56">
        <f>_xlfn.XLOOKUP(Survey!$K804,pipedata[ID],pipedata[104%])</f>
        <v>2565.3333333333335</v>
      </c>
      <c r="P804" s="57">
        <f t="shared" si="12"/>
        <v>1850</v>
      </c>
      <c r="Q804" s="58">
        <f>_xlfn.MAXIFS(Survey!$G$2:$G$3647,Survey!$M$2:$M$3647,Survey!$M804)-Survey!$G804</f>
        <v>553.61257602506157</v>
      </c>
      <c r="R804" s="59">
        <f>Survey!$P804+(Survey!$Q804*0.433)</f>
        <v>2089.7142454188515</v>
      </c>
    </row>
    <row r="805" spans="1:18" x14ac:dyDescent="0.25">
      <c r="A805" s="60" t="s">
        <v>17</v>
      </c>
      <c r="B805" s="61" t="s">
        <v>18</v>
      </c>
      <c r="C805" s="62" t="s">
        <v>19</v>
      </c>
      <c r="D805" s="63">
        <v>233.03254006720019</v>
      </c>
      <c r="E805" s="79">
        <v>1259009</v>
      </c>
      <c r="F805" s="80">
        <v>1231427.3571428554</v>
      </c>
      <c r="G805" s="66">
        <v>2202.7458342112895</v>
      </c>
      <c r="H805" s="67">
        <v>2</v>
      </c>
      <c r="I805" s="68" t="s">
        <v>20</v>
      </c>
      <c r="J805" s="69">
        <v>40</v>
      </c>
      <c r="K805" s="70">
        <v>2</v>
      </c>
      <c r="L805" s="68">
        <v>1</v>
      </c>
      <c r="M805" s="68">
        <f>_xlfn.XLOOKUP(Survey!$F805,sections[Start],sections[Test Section],,-1,1)</f>
        <v>2</v>
      </c>
      <c r="N805" s="55">
        <f>_xlfn.XLOOKUP(Survey!$K805,pipedata[ID],pipedata[WT])</f>
        <v>0.74</v>
      </c>
      <c r="O805" s="56">
        <f>_xlfn.XLOOKUP(Survey!$K805,pipedata[ID],pipedata[104%])</f>
        <v>2565.3333333333335</v>
      </c>
      <c r="P805" s="57">
        <f t="shared" si="12"/>
        <v>1850</v>
      </c>
      <c r="Q805" s="58">
        <f>_xlfn.MAXIFS(Survey!$G$2:$G$3647,Survey!$M$2:$M$3647,Survey!$M805)-Survey!$G805</f>
        <v>560.92040999045275</v>
      </c>
      <c r="R805" s="59">
        <f>Survey!$P805+(Survey!$Q805*0.433)</f>
        <v>2092.8785375258662</v>
      </c>
    </row>
    <row r="806" spans="1:18" x14ac:dyDescent="0.25">
      <c r="A806" s="71" t="s">
        <v>17</v>
      </c>
      <c r="B806" s="72" t="s">
        <v>18</v>
      </c>
      <c r="C806" s="73" t="s">
        <v>19</v>
      </c>
      <c r="D806" s="74">
        <v>233.04014929084272</v>
      </c>
      <c r="E806" s="81">
        <v>1259049</v>
      </c>
      <c r="F806" s="82">
        <v>1231465.7478991579</v>
      </c>
      <c r="G806" s="75">
        <v>2193.4312995922264</v>
      </c>
      <c r="H806" s="76">
        <v>2</v>
      </c>
      <c r="I806" s="54" t="s">
        <v>20</v>
      </c>
      <c r="J806" s="77">
        <v>40</v>
      </c>
      <c r="K806" s="78">
        <v>2</v>
      </c>
      <c r="L806" s="54">
        <v>1</v>
      </c>
      <c r="M806" s="54">
        <f>_xlfn.XLOOKUP(Survey!$F806,sections[Start],sections[Test Section],,-1,1)</f>
        <v>2</v>
      </c>
      <c r="N806" s="55">
        <f>_xlfn.XLOOKUP(Survey!$K806,pipedata[ID],pipedata[WT])</f>
        <v>0.74</v>
      </c>
      <c r="O806" s="56">
        <f>_xlfn.XLOOKUP(Survey!$K806,pipedata[ID],pipedata[104%])</f>
        <v>2565.3333333333335</v>
      </c>
      <c r="P806" s="57">
        <f t="shared" si="12"/>
        <v>1850</v>
      </c>
      <c r="Q806" s="58">
        <f>_xlfn.MAXIFS(Survey!$G$2:$G$3647,Survey!$M$2:$M$3647,Survey!$M806)-Survey!$G806</f>
        <v>570.23494460951588</v>
      </c>
      <c r="R806" s="59">
        <f>Survey!$P806+(Survey!$Q806*0.433)</f>
        <v>2096.9117310159204</v>
      </c>
    </row>
    <row r="807" spans="1:18" x14ac:dyDescent="0.25">
      <c r="A807" s="60" t="s">
        <v>17</v>
      </c>
      <c r="B807" s="61" t="s">
        <v>18</v>
      </c>
      <c r="C807" s="62" t="s">
        <v>19</v>
      </c>
      <c r="D807" s="63">
        <v>233.04775851448534</v>
      </c>
      <c r="E807" s="79">
        <v>1259089</v>
      </c>
      <c r="F807" s="80">
        <v>1231504.1386554604</v>
      </c>
      <c r="G807" s="66">
        <v>2184.4385641309432</v>
      </c>
      <c r="H807" s="67">
        <v>2</v>
      </c>
      <c r="I807" s="68" t="s">
        <v>20</v>
      </c>
      <c r="J807" s="69">
        <v>40</v>
      </c>
      <c r="K807" s="70">
        <v>2</v>
      </c>
      <c r="L807" s="68">
        <v>1</v>
      </c>
      <c r="M807" s="68">
        <f>_xlfn.XLOOKUP(Survey!$F807,sections[Start],sections[Test Section],,-1,1)</f>
        <v>2</v>
      </c>
      <c r="N807" s="55">
        <f>_xlfn.XLOOKUP(Survey!$K807,pipedata[ID],pipedata[WT])</f>
        <v>0.74</v>
      </c>
      <c r="O807" s="56">
        <f>_xlfn.XLOOKUP(Survey!$K807,pipedata[ID],pipedata[104%])</f>
        <v>2565.3333333333335</v>
      </c>
      <c r="P807" s="57">
        <f t="shared" si="12"/>
        <v>1850</v>
      </c>
      <c r="Q807" s="58">
        <f>_xlfn.MAXIFS(Survey!$G$2:$G$3647,Survey!$M$2:$M$3647,Survey!$M807)-Survey!$G807</f>
        <v>579.22768007079912</v>
      </c>
      <c r="R807" s="59">
        <f>Survey!$P807+(Survey!$Q807*0.433)</f>
        <v>2100.8055854706558</v>
      </c>
    </row>
    <row r="808" spans="1:18" x14ac:dyDescent="0.25">
      <c r="A808" s="71" t="s">
        <v>17</v>
      </c>
      <c r="B808" s="72" t="s">
        <v>18</v>
      </c>
      <c r="C808" s="73" t="s">
        <v>19</v>
      </c>
      <c r="D808" s="74">
        <v>233.05558748891556</v>
      </c>
      <c r="E808" s="81">
        <v>1259129</v>
      </c>
      <c r="F808" s="82">
        <v>1231542.529411763</v>
      </c>
      <c r="G808" s="75">
        <v>2175.4851634403913</v>
      </c>
      <c r="H808" s="76">
        <v>2</v>
      </c>
      <c r="I808" s="54" t="s">
        <v>20</v>
      </c>
      <c r="J808" s="77">
        <v>40</v>
      </c>
      <c r="K808" s="78">
        <v>2</v>
      </c>
      <c r="L808" s="54">
        <v>1</v>
      </c>
      <c r="M808" s="54">
        <f>_xlfn.XLOOKUP(Survey!$F808,sections[Start],sections[Test Section],,-1,1)</f>
        <v>2</v>
      </c>
      <c r="N808" s="55">
        <f>_xlfn.XLOOKUP(Survey!$K808,pipedata[ID],pipedata[WT])</f>
        <v>0.74</v>
      </c>
      <c r="O808" s="56">
        <f>_xlfn.XLOOKUP(Survey!$K808,pipedata[ID],pipedata[104%])</f>
        <v>2565.3333333333335</v>
      </c>
      <c r="P808" s="57">
        <f t="shared" si="12"/>
        <v>1850</v>
      </c>
      <c r="Q808" s="58">
        <f>_xlfn.MAXIFS(Survey!$G$2:$G$3647,Survey!$M$2:$M$3647,Survey!$M808)-Survey!$G808</f>
        <v>588.18108076135104</v>
      </c>
      <c r="R808" s="59">
        <f>Survey!$P808+(Survey!$Q808*0.433)</f>
        <v>2104.6824079696648</v>
      </c>
    </row>
    <row r="809" spans="1:18" x14ac:dyDescent="0.25">
      <c r="A809" s="60" t="s">
        <v>17</v>
      </c>
      <c r="B809" s="61" t="s">
        <v>18</v>
      </c>
      <c r="C809" s="62" t="s">
        <v>19</v>
      </c>
      <c r="D809" s="63">
        <v>233.06312398060405</v>
      </c>
      <c r="E809" s="79">
        <v>1259169</v>
      </c>
      <c r="F809" s="80">
        <v>1231580.9201680655</v>
      </c>
      <c r="G809" s="66">
        <v>2167.4537106949501</v>
      </c>
      <c r="H809" s="67">
        <v>2</v>
      </c>
      <c r="I809" s="68" t="s">
        <v>20</v>
      </c>
      <c r="J809" s="69">
        <v>40</v>
      </c>
      <c r="K809" s="70">
        <v>2</v>
      </c>
      <c r="L809" s="68">
        <v>1</v>
      </c>
      <c r="M809" s="68">
        <f>_xlfn.XLOOKUP(Survey!$F809,sections[Start],sections[Test Section],,-1,1)</f>
        <v>2</v>
      </c>
      <c r="N809" s="55">
        <f>_xlfn.XLOOKUP(Survey!$K809,pipedata[ID],pipedata[WT])</f>
        <v>0.74</v>
      </c>
      <c r="O809" s="56">
        <f>_xlfn.XLOOKUP(Survey!$K809,pipedata[ID],pipedata[104%])</f>
        <v>2565.3333333333335</v>
      </c>
      <c r="P809" s="57">
        <f t="shared" si="12"/>
        <v>1850</v>
      </c>
      <c r="Q809" s="58">
        <f>_xlfn.MAXIFS(Survey!$G$2:$G$3647,Survey!$M$2:$M$3647,Survey!$M809)-Survey!$G809</f>
        <v>596.21253350679217</v>
      </c>
      <c r="R809" s="59">
        <f>Survey!$P809+(Survey!$Q809*0.433)</f>
        <v>2108.1600270084409</v>
      </c>
    </row>
    <row r="810" spans="1:18" x14ac:dyDescent="0.25">
      <c r="A810" s="71" t="s">
        <v>17</v>
      </c>
      <c r="B810" s="72" t="s">
        <v>18</v>
      </c>
      <c r="C810" s="73" t="s">
        <v>19</v>
      </c>
      <c r="D810" s="74">
        <v>233.07004747674713</v>
      </c>
      <c r="E810" s="81">
        <v>1259209</v>
      </c>
      <c r="F810" s="82">
        <v>1231619.310924368</v>
      </c>
      <c r="G810" s="75">
        <v>2159.3518406013618</v>
      </c>
      <c r="H810" s="76">
        <v>2</v>
      </c>
      <c r="I810" s="54" t="s">
        <v>20</v>
      </c>
      <c r="J810" s="77">
        <v>40</v>
      </c>
      <c r="K810" s="78">
        <v>2</v>
      </c>
      <c r="L810" s="54">
        <v>1</v>
      </c>
      <c r="M810" s="54">
        <f>_xlfn.XLOOKUP(Survey!$F810,sections[Start],sections[Test Section],,-1,1)</f>
        <v>2</v>
      </c>
      <c r="N810" s="55">
        <f>_xlfn.XLOOKUP(Survey!$K810,pipedata[ID],pipedata[WT])</f>
        <v>0.74</v>
      </c>
      <c r="O810" s="56">
        <f>_xlfn.XLOOKUP(Survey!$K810,pipedata[ID],pipedata[104%])</f>
        <v>2565.3333333333335</v>
      </c>
      <c r="P810" s="57">
        <f t="shared" si="12"/>
        <v>1850</v>
      </c>
      <c r="Q810" s="58">
        <f>_xlfn.MAXIFS(Survey!$G$2:$G$3647,Survey!$M$2:$M$3647,Survey!$M810)-Survey!$G810</f>
        <v>604.3144036003805</v>
      </c>
      <c r="R810" s="59">
        <f>Survey!$P810+(Survey!$Q810*0.433)</f>
        <v>2111.6681367589649</v>
      </c>
    </row>
    <row r="811" spans="1:18" x14ac:dyDescent="0.25">
      <c r="A811" s="60" t="s">
        <v>17</v>
      </c>
      <c r="B811" s="61" t="s">
        <v>18</v>
      </c>
      <c r="C811" s="62" t="s">
        <v>19</v>
      </c>
      <c r="D811" s="63">
        <v>233.0772774706632</v>
      </c>
      <c r="E811" s="79">
        <v>1259249</v>
      </c>
      <c r="F811" s="80">
        <v>1231657.7016806705</v>
      </c>
      <c r="G811" s="66">
        <v>2149.8962848458423</v>
      </c>
      <c r="H811" s="67">
        <v>2</v>
      </c>
      <c r="I811" s="68" t="s">
        <v>20</v>
      </c>
      <c r="J811" s="69">
        <v>40</v>
      </c>
      <c r="K811" s="70">
        <v>2</v>
      </c>
      <c r="L811" s="68">
        <v>1</v>
      </c>
      <c r="M811" s="68">
        <f>_xlfn.XLOOKUP(Survey!$F811,sections[Start],sections[Test Section],,-1,1)</f>
        <v>2</v>
      </c>
      <c r="N811" s="55">
        <f>_xlfn.XLOOKUP(Survey!$K811,pipedata[ID],pipedata[WT])</f>
        <v>0.74</v>
      </c>
      <c r="O811" s="56">
        <f>_xlfn.XLOOKUP(Survey!$K811,pipedata[ID],pipedata[104%])</f>
        <v>2565.3333333333335</v>
      </c>
      <c r="P811" s="57">
        <f t="shared" si="12"/>
        <v>1850</v>
      </c>
      <c r="Q811" s="58">
        <f>_xlfn.MAXIFS(Survey!$G$2:$G$3647,Survey!$M$2:$M$3647,Survey!$M811)-Survey!$G811</f>
        <v>613.76995935590003</v>
      </c>
      <c r="R811" s="59">
        <f>Survey!$P811+(Survey!$Q811*0.433)</f>
        <v>2115.7623924011045</v>
      </c>
    </row>
    <row r="812" spans="1:18" x14ac:dyDescent="0.25">
      <c r="A812" s="71" t="s">
        <v>17</v>
      </c>
      <c r="B812" s="72" t="s">
        <v>18</v>
      </c>
      <c r="C812" s="73" t="s">
        <v>19</v>
      </c>
      <c r="D812" s="74">
        <v>233.08437948484124</v>
      </c>
      <c r="E812" s="81">
        <v>1259289</v>
      </c>
      <c r="F812" s="82">
        <v>1231696.092436973</v>
      </c>
      <c r="G812" s="75">
        <v>2139.9719162712695</v>
      </c>
      <c r="H812" s="76">
        <v>2</v>
      </c>
      <c r="I812" s="54" t="s">
        <v>20</v>
      </c>
      <c r="J812" s="77">
        <v>40</v>
      </c>
      <c r="K812" s="78">
        <v>2</v>
      </c>
      <c r="L812" s="54">
        <v>1</v>
      </c>
      <c r="M812" s="54">
        <f>_xlfn.XLOOKUP(Survey!$F812,sections[Start],sections[Test Section],,-1,1)</f>
        <v>2</v>
      </c>
      <c r="N812" s="55">
        <f>_xlfn.XLOOKUP(Survey!$K812,pipedata[ID],pipedata[WT])</f>
        <v>0.74</v>
      </c>
      <c r="O812" s="56">
        <f>_xlfn.XLOOKUP(Survey!$K812,pipedata[ID],pipedata[104%])</f>
        <v>2565.3333333333335</v>
      </c>
      <c r="P812" s="57">
        <f t="shared" si="12"/>
        <v>1850</v>
      </c>
      <c r="Q812" s="58">
        <f>_xlfn.MAXIFS(Survey!$G$2:$G$3647,Survey!$M$2:$M$3647,Survey!$M812)-Survey!$G812</f>
        <v>623.69432793047281</v>
      </c>
      <c r="R812" s="59">
        <f>Survey!$P812+(Survey!$Q812*0.433)</f>
        <v>2120.0596439938945</v>
      </c>
    </row>
    <row r="813" spans="1:18" x14ac:dyDescent="0.25">
      <c r="A813" s="60" t="s">
        <v>17</v>
      </c>
      <c r="B813" s="61" t="s">
        <v>18</v>
      </c>
      <c r="C813" s="62" t="s">
        <v>19</v>
      </c>
      <c r="D813" s="63">
        <v>233.09246518905852</v>
      </c>
      <c r="E813" s="79">
        <v>1259329</v>
      </c>
      <c r="F813" s="80">
        <v>1231734.4831932755</v>
      </c>
      <c r="G813" s="66">
        <v>2129.7807110357476</v>
      </c>
      <c r="H813" s="67">
        <v>2</v>
      </c>
      <c r="I813" s="68" t="s">
        <v>20</v>
      </c>
      <c r="J813" s="69">
        <v>40</v>
      </c>
      <c r="K813" s="70">
        <v>2</v>
      </c>
      <c r="L813" s="68">
        <v>1</v>
      </c>
      <c r="M813" s="68">
        <f>_xlfn.XLOOKUP(Survey!$F813,sections[Start],sections[Test Section],,-1,1)</f>
        <v>2</v>
      </c>
      <c r="N813" s="55">
        <f>_xlfn.XLOOKUP(Survey!$K813,pipedata[ID],pipedata[WT])</f>
        <v>0.74</v>
      </c>
      <c r="O813" s="56">
        <f>_xlfn.XLOOKUP(Survey!$K813,pipedata[ID],pipedata[104%])</f>
        <v>2565.3333333333335</v>
      </c>
      <c r="P813" s="57">
        <f t="shared" si="12"/>
        <v>1850</v>
      </c>
      <c r="Q813" s="58">
        <f>_xlfn.MAXIFS(Survey!$G$2:$G$3647,Survey!$M$2:$M$3647,Survey!$M813)-Survey!$G813</f>
        <v>633.88553316599473</v>
      </c>
      <c r="R813" s="59">
        <f>Survey!$P813+(Survey!$Q813*0.433)</f>
        <v>2124.4724358608755</v>
      </c>
    </row>
    <row r="814" spans="1:18" x14ac:dyDescent="0.25">
      <c r="A814" s="71" t="s">
        <v>17</v>
      </c>
      <c r="B814" s="72" t="s">
        <v>18</v>
      </c>
      <c r="C814" s="73" t="s">
        <v>19</v>
      </c>
      <c r="D814" s="74">
        <v>233.09852946722134</v>
      </c>
      <c r="E814" s="81">
        <v>1259369</v>
      </c>
      <c r="F814" s="82">
        <v>1231772.873949578</v>
      </c>
      <c r="G814" s="75">
        <v>2119.8605175972934</v>
      </c>
      <c r="H814" s="76">
        <v>2</v>
      </c>
      <c r="I814" s="54" t="s">
        <v>20</v>
      </c>
      <c r="J814" s="77">
        <v>40</v>
      </c>
      <c r="K814" s="78">
        <v>2</v>
      </c>
      <c r="L814" s="54">
        <v>1</v>
      </c>
      <c r="M814" s="54">
        <f>_xlfn.XLOOKUP(Survey!$F814,sections[Start],sections[Test Section],,-1,1)</f>
        <v>2</v>
      </c>
      <c r="N814" s="55">
        <f>_xlfn.XLOOKUP(Survey!$K814,pipedata[ID],pipedata[WT])</f>
        <v>0.74</v>
      </c>
      <c r="O814" s="56">
        <f>_xlfn.XLOOKUP(Survey!$K814,pipedata[ID],pipedata[104%])</f>
        <v>2565.3333333333335</v>
      </c>
      <c r="P814" s="57">
        <f t="shared" si="12"/>
        <v>1850</v>
      </c>
      <c r="Q814" s="58">
        <f>_xlfn.MAXIFS(Survey!$G$2:$G$3647,Survey!$M$2:$M$3647,Survey!$M814)-Survey!$G814</f>
        <v>643.80572660444886</v>
      </c>
      <c r="R814" s="59">
        <f>Survey!$P814+(Survey!$Q814*0.433)</f>
        <v>2128.7678796197265</v>
      </c>
    </row>
    <row r="815" spans="1:18" x14ac:dyDescent="0.25">
      <c r="A815" s="60" t="s">
        <v>17</v>
      </c>
      <c r="B815" s="61" t="s">
        <v>18</v>
      </c>
      <c r="C815" s="62" t="s">
        <v>19</v>
      </c>
      <c r="D815" s="63">
        <v>233.10661517143842</v>
      </c>
      <c r="E815" s="79">
        <v>1259409</v>
      </c>
      <c r="F815" s="80">
        <v>1231811.2647058805</v>
      </c>
      <c r="G815" s="66">
        <v>2108.1781349734288</v>
      </c>
      <c r="H815" s="67">
        <v>2</v>
      </c>
      <c r="I815" s="68" t="s">
        <v>20</v>
      </c>
      <c r="J815" s="69">
        <v>40</v>
      </c>
      <c r="K815" s="70">
        <v>2</v>
      </c>
      <c r="L815" s="68">
        <v>1</v>
      </c>
      <c r="M815" s="68">
        <f>_xlfn.XLOOKUP(Survey!$F815,sections[Start],sections[Test Section],,-1,1)</f>
        <v>2</v>
      </c>
      <c r="N815" s="55">
        <f>_xlfn.XLOOKUP(Survey!$K815,pipedata[ID],pipedata[WT])</f>
        <v>0.74</v>
      </c>
      <c r="O815" s="56">
        <f>_xlfn.XLOOKUP(Survey!$K815,pipedata[ID],pipedata[104%])</f>
        <v>2565.3333333333335</v>
      </c>
      <c r="P815" s="57">
        <f t="shared" si="12"/>
        <v>1850</v>
      </c>
      <c r="Q815" s="58">
        <f>_xlfn.MAXIFS(Survey!$G$2:$G$3647,Survey!$M$2:$M$3647,Survey!$M815)-Survey!$G815</f>
        <v>655.48810922831353</v>
      </c>
      <c r="R815" s="59">
        <f>Survey!$P815+(Survey!$Q815*0.433)</f>
        <v>2133.8263512958597</v>
      </c>
    </row>
    <row r="816" spans="1:18" x14ac:dyDescent="0.25">
      <c r="A816" s="71" t="s">
        <v>17</v>
      </c>
      <c r="B816" s="72" t="s">
        <v>18</v>
      </c>
      <c r="C816" s="73" t="s">
        <v>19</v>
      </c>
      <c r="D816" s="74">
        <v>233.11367867802645</v>
      </c>
      <c r="E816" s="81">
        <v>1259449</v>
      </c>
      <c r="F816" s="82">
        <v>1231849.6554621831</v>
      </c>
      <c r="G816" s="75">
        <v>2098.7748282103448</v>
      </c>
      <c r="H816" s="76">
        <v>2</v>
      </c>
      <c r="I816" s="54" t="s">
        <v>20</v>
      </c>
      <c r="J816" s="77">
        <v>40</v>
      </c>
      <c r="K816" s="78">
        <v>2</v>
      </c>
      <c r="L816" s="54">
        <v>1</v>
      </c>
      <c r="M816" s="54">
        <f>_xlfn.XLOOKUP(Survey!$F816,sections[Start],sections[Test Section],,-1,1)</f>
        <v>2</v>
      </c>
      <c r="N816" s="55">
        <f>_xlfn.XLOOKUP(Survey!$K816,pipedata[ID],pipedata[WT])</f>
        <v>0.74</v>
      </c>
      <c r="O816" s="56">
        <f>_xlfn.XLOOKUP(Survey!$K816,pipedata[ID],pipedata[104%])</f>
        <v>2565.3333333333335</v>
      </c>
      <c r="P816" s="57">
        <f t="shared" si="12"/>
        <v>1850</v>
      </c>
      <c r="Q816" s="58">
        <f>_xlfn.MAXIFS(Survey!$G$2:$G$3647,Survey!$M$2:$M$3647,Survey!$M816)-Survey!$G816</f>
        <v>664.89141599139748</v>
      </c>
      <c r="R816" s="59">
        <f>Survey!$P816+(Survey!$Q816*0.433)</f>
        <v>2137.897983124275</v>
      </c>
    </row>
    <row r="817" spans="1:18" x14ac:dyDescent="0.25">
      <c r="A817" s="60" t="s">
        <v>17</v>
      </c>
      <c r="B817" s="61" t="s">
        <v>18</v>
      </c>
      <c r="C817" s="62" t="s">
        <v>19</v>
      </c>
      <c r="D817" s="63">
        <v>233.12183770761402</v>
      </c>
      <c r="E817" s="79">
        <v>1259489</v>
      </c>
      <c r="F817" s="80">
        <v>1231888.0462184856</v>
      </c>
      <c r="G817" s="66">
        <v>2089.0090689198391</v>
      </c>
      <c r="H817" s="67">
        <v>2</v>
      </c>
      <c r="I817" s="68" t="s">
        <v>20</v>
      </c>
      <c r="J817" s="69">
        <v>40</v>
      </c>
      <c r="K817" s="70">
        <v>2</v>
      </c>
      <c r="L817" s="68">
        <v>1</v>
      </c>
      <c r="M817" s="68">
        <f>_xlfn.XLOOKUP(Survey!$F817,sections[Start],sections[Test Section],,-1,1)</f>
        <v>2</v>
      </c>
      <c r="N817" s="55">
        <f>_xlfn.XLOOKUP(Survey!$K817,pipedata[ID],pipedata[WT])</f>
        <v>0.74</v>
      </c>
      <c r="O817" s="56">
        <f>_xlfn.XLOOKUP(Survey!$K817,pipedata[ID],pipedata[104%])</f>
        <v>2565.3333333333335</v>
      </c>
      <c r="P817" s="57">
        <f t="shared" si="12"/>
        <v>1850</v>
      </c>
      <c r="Q817" s="58">
        <f>_xlfn.MAXIFS(Survey!$G$2:$G$3647,Survey!$M$2:$M$3647,Survey!$M817)-Survey!$G817</f>
        <v>674.65717528190316</v>
      </c>
      <c r="R817" s="59">
        <f>Survey!$P817+(Survey!$Q817*0.433)</f>
        <v>2142.1265568970639</v>
      </c>
    </row>
    <row r="818" spans="1:18" x14ac:dyDescent="0.25">
      <c r="A818" s="71" t="s">
        <v>17</v>
      </c>
      <c r="B818" s="72" t="s">
        <v>18</v>
      </c>
      <c r="C818" s="73" t="s">
        <v>19</v>
      </c>
      <c r="D818" s="74">
        <v>233.1288988544143</v>
      </c>
      <c r="E818" s="81">
        <v>1259529</v>
      </c>
      <c r="F818" s="82">
        <v>1231926.4369747881</v>
      </c>
      <c r="G818" s="75">
        <v>2079.8264873393782</v>
      </c>
      <c r="H818" s="76">
        <v>2</v>
      </c>
      <c r="I818" s="54" t="s">
        <v>20</v>
      </c>
      <c r="J818" s="77">
        <v>40</v>
      </c>
      <c r="K818" s="78">
        <v>2</v>
      </c>
      <c r="L818" s="54">
        <v>1</v>
      </c>
      <c r="M818" s="54">
        <f>_xlfn.XLOOKUP(Survey!$F818,sections[Start],sections[Test Section],,-1,1)</f>
        <v>2</v>
      </c>
      <c r="N818" s="55">
        <f>_xlfn.XLOOKUP(Survey!$K818,pipedata[ID],pipedata[WT])</f>
        <v>0.74</v>
      </c>
      <c r="O818" s="56">
        <f>_xlfn.XLOOKUP(Survey!$K818,pipedata[ID],pipedata[104%])</f>
        <v>2565.3333333333335</v>
      </c>
      <c r="P818" s="57">
        <f t="shared" si="12"/>
        <v>1850</v>
      </c>
      <c r="Q818" s="58">
        <f>_xlfn.MAXIFS(Survey!$G$2:$G$3647,Survey!$M$2:$M$3647,Survey!$M818)-Survey!$G818</f>
        <v>683.83975686236408</v>
      </c>
      <c r="R818" s="59">
        <f>Survey!$P818+(Survey!$Q818*0.433)</f>
        <v>2146.1026147214038</v>
      </c>
    </row>
    <row r="819" spans="1:18" x14ac:dyDescent="0.25">
      <c r="A819" s="60" t="s">
        <v>17</v>
      </c>
      <c r="B819" s="61" t="s">
        <v>18</v>
      </c>
      <c r="C819" s="62" t="s">
        <v>19</v>
      </c>
      <c r="D819" s="63">
        <v>233.13508243752034</v>
      </c>
      <c r="E819" s="79">
        <v>1259569</v>
      </c>
      <c r="F819" s="80">
        <v>1231964.8277310906</v>
      </c>
      <c r="G819" s="66">
        <v>2071.2735063788855</v>
      </c>
      <c r="H819" s="67">
        <v>2</v>
      </c>
      <c r="I819" s="68" t="s">
        <v>20</v>
      </c>
      <c r="J819" s="69">
        <v>40</v>
      </c>
      <c r="K819" s="70">
        <v>2</v>
      </c>
      <c r="L819" s="68">
        <v>1</v>
      </c>
      <c r="M819" s="68">
        <f>_xlfn.XLOOKUP(Survey!$F819,sections[Start],sections[Test Section],,-1,1)</f>
        <v>2</v>
      </c>
      <c r="N819" s="55">
        <f>_xlfn.XLOOKUP(Survey!$K819,pipedata[ID],pipedata[WT])</f>
        <v>0.74</v>
      </c>
      <c r="O819" s="56">
        <f>_xlfn.XLOOKUP(Survey!$K819,pipedata[ID],pipedata[104%])</f>
        <v>2565.3333333333335</v>
      </c>
      <c r="P819" s="57">
        <f t="shared" si="12"/>
        <v>1850</v>
      </c>
      <c r="Q819" s="58">
        <f>_xlfn.MAXIFS(Survey!$G$2:$G$3647,Survey!$M$2:$M$3647,Survey!$M819)-Survey!$G819</f>
        <v>692.39273782285682</v>
      </c>
      <c r="R819" s="59">
        <f>Survey!$P819+(Survey!$Q819*0.433)</f>
        <v>2149.8060554772969</v>
      </c>
    </row>
    <row r="820" spans="1:18" x14ac:dyDescent="0.25">
      <c r="A820" s="71" t="s">
        <v>17</v>
      </c>
      <c r="B820" s="72" t="s">
        <v>18</v>
      </c>
      <c r="C820" s="73" t="s">
        <v>19</v>
      </c>
      <c r="D820" s="74">
        <v>233.14332721499497</v>
      </c>
      <c r="E820" s="81">
        <v>1259609</v>
      </c>
      <c r="F820" s="82">
        <v>1232003.2184873931</v>
      </c>
      <c r="G820" s="75">
        <v>2063.0348350398517</v>
      </c>
      <c r="H820" s="76">
        <v>2</v>
      </c>
      <c r="I820" s="54" t="s">
        <v>20</v>
      </c>
      <c r="J820" s="77">
        <v>40</v>
      </c>
      <c r="K820" s="78">
        <v>2</v>
      </c>
      <c r="L820" s="54">
        <v>1</v>
      </c>
      <c r="M820" s="54">
        <f>_xlfn.XLOOKUP(Survey!$F820,sections[Start],sections[Test Section],,-1,1)</f>
        <v>2</v>
      </c>
      <c r="N820" s="55">
        <f>_xlfn.XLOOKUP(Survey!$K820,pipedata[ID],pipedata[WT])</f>
        <v>0.74</v>
      </c>
      <c r="O820" s="56">
        <f>_xlfn.XLOOKUP(Survey!$K820,pipedata[ID],pipedata[104%])</f>
        <v>2565.3333333333335</v>
      </c>
      <c r="P820" s="57">
        <f t="shared" si="12"/>
        <v>1850</v>
      </c>
      <c r="Q820" s="58">
        <f>_xlfn.MAXIFS(Survey!$G$2:$G$3647,Survey!$M$2:$M$3647,Survey!$M820)-Survey!$G820</f>
        <v>700.63140916189059</v>
      </c>
      <c r="R820" s="59">
        <f>Survey!$P820+(Survey!$Q820*0.433)</f>
        <v>2153.3734001670987</v>
      </c>
    </row>
    <row r="821" spans="1:18" x14ac:dyDescent="0.25">
      <c r="A821" s="60" t="s">
        <v>17</v>
      </c>
      <c r="B821" s="61" t="s">
        <v>18</v>
      </c>
      <c r="C821" s="62" t="s">
        <v>19</v>
      </c>
      <c r="D821" s="63">
        <v>233.15115849895136</v>
      </c>
      <c r="E821" s="79">
        <v>1259649</v>
      </c>
      <c r="F821" s="80">
        <v>1232041.6092436956</v>
      </c>
      <c r="G821" s="66">
        <v>2051.4311895007268</v>
      </c>
      <c r="H821" s="67">
        <v>2</v>
      </c>
      <c r="I821" s="68" t="s">
        <v>20</v>
      </c>
      <c r="J821" s="69">
        <v>28</v>
      </c>
      <c r="K821" s="70">
        <v>2</v>
      </c>
      <c r="L821" s="68">
        <v>1</v>
      </c>
      <c r="M821" s="68">
        <f>_xlfn.XLOOKUP(Survey!$F821,sections[Start],sections[Test Section],,-1,1)</f>
        <v>2</v>
      </c>
      <c r="N821" s="55">
        <f>_xlfn.XLOOKUP(Survey!$K821,pipedata[ID],pipedata[WT])</f>
        <v>0.74</v>
      </c>
      <c r="O821" s="56">
        <f>_xlfn.XLOOKUP(Survey!$K821,pipedata[ID],pipedata[104%])</f>
        <v>2565.3333333333335</v>
      </c>
      <c r="P821" s="57">
        <f t="shared" si="12"/>
        <v>1850</v>
      </c>
      <c r="Q821" s="58">
        <f>_xlfn.MAXIFS(Survey!$G$2:$G$3647,Survey!$M$2:$M$3647,Survey!$M821)-Survey!$G821</f>
        <v>712.23505470101554</v>
      </c>
      <c r="R821" s="59">
        <f>Survey!$P821+(Survey!$Q821*0.433)</f>
        <v>2158.3977786855398</v>
      </c>
    </row>
    <row r="822" spans="1:18" x14ac:dyDescent="0.25">
      <c r="A822" s="71" t="s">
        <v>17</v>
      </c>
      <c r="B822" s="72" t="s">
        <v>18</v>
      </c>
      <c r="C822" s="73" t="s">
        <v>19</v>
      </c>
      <c r="D822" s="74">
        <v>233.15775557557546</v>
      </c>
      <c r="E822" s="81">
        <v>1259677</v>
      </c>
      <c r="F822" s="82">
        <v>1232080</v>
      </c>
      <c r="G822" s="75">
        <v>2040.9484713618606</v>
      </c>
      <c r="H822" s="76">
        <v>3</v>
      </c>
      <c r="I822" s="54" t="s">
        <v>20</v>
      </c>
      <c r="J822" s="77">
        <v>52</v>
      </c>
      <c r="K822" s="78">
        <v>3</v>
      </c>
      <c r="L822" s="54">
        <v>1</v>
      </c>
      <c r="M822" s="54">
        <f>_xlfn.XLOOKUP(Survey!$F822,sections[Start],sections[Test Section],,-1,1)</f>
        <v>2</v>
      </c>
      <c r="N822" s="55">
        <f>_xlfn.XLOOKUP(Survey!$K822,pipedata[ID],pipedata[WT])</f>
        <v>0.88800000000000001</v>
      </c>
      <c r="O822" s="56">
        <f>_xlfn.XLOOKUP(Survey!$K822,pipedata[ID],pipedata[104%])</f>
        <v>3078.4</v>
      </c>
      <c r="P822" s="57">
        <f t="shared" si="12"/>
        <v>1850</v>
      </c>
      <c r="Q822" s="58">
        <f>_xlfn.MAXIFS(Survey!$G$2:$G$3647,Survey!$M$2:$M$3647,Survey!$M822)-Survey!$G822</f>
        <v>722.71777283988172</v>
      </c>
      <c r="R822" s="59">
        <f>Survey!$P822+(Survey!$Q822*0.433)</f>
        <v>2162.9367956396686</v>
      </c>
    </row>
    <row r="823" spans="1:18" x14ac:dyDescent="0.25">
      <c r="A823" s="60" t="s">
        <v>17</v>
      </c>
      <c r="B823" s="61" t="s">
        <v>18</v>
      </c>
      <c r="C823" s="62" t="s">
        <v>19</v>
      </c>
      <c r="D823" s="63">
        <v>233.16600035305035</v>
      </c>
      <c r="E823" s="79">
        <v>1259729</v>
      </c>
      <c r="F823" s="80">
        <v>1232119.3095238095</v>
      </c>
      <c r="G823" s="66">
        <v>2032.5262798831054</v>
      </c>
      <c r="H823" s="67">
        <v>3</v>
      </c>
      <c r="I823" s="68" t="s">
        <v>20</v>
      </c>
      <c r="J823" s="69">
        <v>40</v>
      </c>
      <c r="K823" s="70">
        <v>3</v>
      </c>
      <c r="L823" s="68">
        <v>1</v>
      </c>
      <c r="M823" s="68">
        <f>_xlfn.XLOOKUP(Survey!$F823,sections[Start],sections[Test Section],,-1,1)</f>
        <v>2</v>
      </c>
      <c r="N823" s="55">
        <f>_xlfn.XLOOKUP(Survey!$K823,pipedata[ID],pipedata[WT])</f>
        <v>0.88800000000000001</v>
      </c>
      <c r="O823" s="56">
        <f>_xlfn.XLOOKUP(Survey!$K823,pipedata[ID],pipedata[104%])</f>
        <v>3078.4</v>
      </c>
      <c r="P823" s="57">
        <f t="shared" si="12"/>
        <v>1850</v>
      </c>
      <c r="Q823" s="58">
        <f>_xlfn.MAXIFS(Survey!$G$2:$G$3647,Survey!$M$2:$M$3647,Survey!$M823)-Survey!$G823</f>
        <v>731.13996431863688</v>
      </c>
      <c r="R823" s="59">
        <f>Survey!$P823+(Survey!$Q823*0.433)</f>
        <v>2166.58360454997</v>
      </c>
    </row>
    <row r="824" spans="1:18" x14ac:dyDescent="0.25">
      <c r="A824" s="71" t="s">
        <v>17</v>
      </c>
      <c r="B824" s="72" t="s">
        <v>18</v>
      </c>
      <c r="C824" s="73" t="s">
        <v>19</v>
      </c>
      <c r="D824" s="74">
        <v>233.17307713541479</v>
      </c>
      <c r="E824" s="81">
        <v>1259769</v>
      </c>
      <c r="F824" s="82">
        <v>1232158.6190476189</v>
      </c>
      <c r="G824" s="75">
        <v>2021.6904451932905</v>
      </c>
      <c r="H824" s="76">
        <v>3</v>
      </c>
      <c r="I824" s="54" t="s">
        <v>20</v>
      </c>
      <c r="J824" s="77">
        <v>40</v>
      </c>
      <c r="K824" s="78">
        <v>3</v>
      </c>
      <c r="L824" s="54">
        <v>1</v>
      </c>
      <c r="M824" s="54">
        <f>_xlfn.XLOOKUP(Survey!$F824,sections[Start],sections[Test Section],,-1,1)</f>
        <v>2</v>
      </c>
      <c r="N824" s="55">
        <f>_xlfn.XLOOKUP(Survey!$K824,pipedata[ID],pipedata[WT])</f>
        <v>0.88800000000000001</v>
      </c>
      <c r="O824" s="56">
        <f>_xlfn.XLOOKUP(Survey!$K824,pipedata[ID],pipedata[104%])</f>
        <v>3078.4</v>
      </c>
      <c r="P824" s="57">
        <f t="shared" si="12"/>
        <v>1850</v>
      </c>
      <c r="Q824" s="58">
        <f>_xlfn.MAXIFS(Survey!$G$2:$G$3647,Survey!$M$2:$M$3647,Survey!$M824)-Survey!$G824</f>
        <v>741.97579900845176</v>
      </c>
      <c r="R824" s="59">
        <f>Survey!$P824+(Survey!$Q824*0.433)</f>
        <v>2171.2755209706597</v>
      </c>
    </row>
    <row r="825" spans="1:18" x14ac:dyDescent="0.25">
      <c r="A825" s="60" t="s">
        <v>17</v>
      </c>
      <c r="B825" s="61" t="s">
        <v>18</v>
      </c>
      <c r="C825" s="62" t="s">
        <v>19</v>
      </c>
      <c r="D825" s="63">
        <v>233.18042871363141</v>
      </c>
      <c r="E825" s="79">
        <v>1259809</v>
      </c>
      <c r="F825" s="80">
        <v>1232197.9285714284</v>
      </c>
      <c r="G825" s="66">
        <v>2009.1110351634454</v>
      </c>
      <c r="H825" s="67">
        <v>3</v>
      </c>
      <c r="I825" s="68" t="s">
        <v>20</v>
      </c>
      <c r="J825" s="69">
        <v>40</v>
      </c>
      <c r="K825" s="70">
        <v>3</v>
      </c>
      <c r="L825" s="68">
        <v>1</v>
      </c>
      <c r="M825" s="68">
        <f>_xlfn.XLOOKUP(Survey!$F825,sections[Start],sections[Test Section],,-1,1)</f>
        <v>2</v>
      </c>
      <c r="N825" s="55">
        <f>_xlfn.XLOOKUP(Survey!$K825,pipedata[ID],pipedata[WT])</f>
        <v>0.88800000000000001</v>
      </c>
      <c r="O825" s="56">
        <f>_xlfn.XLOOKUP(Survey!$K825,pipedata[ID],pipedata[104%])</f>
        <v>3078.4</v>
      </c>
      <c r="P825" s="57">
        <f t="shared" si="12"/>
        <v>1850</v>
      </c>
      <c r="Q825" s="58">
        <f>_xlfn.MAXIFS(Survey!$G$2:$G$3647,Survey!$M$2:$M$3647,Survey!$M825)-Survey!$G825</f>
        <v>754.55520903829688</v>
      </c>
      <c r="R825" s="59">
        <f>Survey!$P825+(Survey!$Q825*0.433)</f>
        <v>2176.7224055135825</v>
      </c>
    </row>
    <row r="826" spans="1:18" x14ac:dyDescent="0.25">
      <c r="A826" s="71" t="s">
        <v>17</v>
      </c>
      <c r="B826" s="72" t="s">
        <v>18</v>
      </c>
      <c r="C826" s="73" t="s">
        <v>19</v>
      </c>
      <c r="D826" s="74">
        <v>233.18661229673754</v>
      </c>
      <c r="E826" s="81">
        <v>1259849</v>
      </c>
      <c r="F826" s="82">
        <v>1232237.2380952379</v>
      </c>
      <c r="G826" s="75">
        <v>1998.4105387733428</v>
      </c>
      <c r="H826" s="76">
        <v>3</v>
      </c>
      <c r="I826" s="54" t="s">
        <v>20</v>
      </c>
      <c r="J826" s="77">
        <v>40</v>
      </c>
      <c r="K826" s="78">
        <v>3</v>
      </c>
      <c r="L826" s="54">
        <v>1</v>
      </c>
      <c r="M826" s="54">
        <f>_xlfn.XLOOKUP(Survey!$F826,sections[Start],sections[Test Section],,-1,1)</f>
        <v>2</v>
      </c>
      <c r="N826" s="55">
        <f>_xlfn.XLOOKUP(Survey!$K826,pipedata[ID],pipedata[WT])</f>
        <v>0.88800000000000001</v>
      </c>
      <c r="O826" s="56">
        <f>_xlfn.XLOOKUP(Survey!$K826,pipedata[ID],pipedata[104%])</f>
        <v>3078.4</v>
      </c>
      <c r="P826" s="57">
        <f t="shared" si="12"/>
        <v>1850</v>
      </c>
      <c r="Q826" s="58">
        <f>_xlfn.MAXIFS(Survey!$G$2:$G$3647,Survey!$M$2:$M$3647,Survey!$M826)-Survey!$G826</f>
        <v>765.25570542839955</v>
      </c>
      <c r="R826" s="59">
        <f>Survey!$P826+(Survey!$Q826*0.433)</f>
        <v>2181.3557204504968</v>
      </c>
    </row>
    <row r="827" spans="1:18" x14ac:dyDescent="0.25">
      <c r="A827" s="60" t="s">
        <v>17</v>
      </c>
      <c r="B827" s="61" t="s">
        <v>18</v>
      </c>
      <c r="C827" s="62" t="s">
        <v>19</v>
      </c>
      <c r="D827" s="63">
        <v>233.19523430691396</v>
      </c>
      <c r="E827" s="79">
        <v>1259889</v>
      </c>
      <c r="F827" s="80">
        <v>1232276.5476190473</v>
      </c>
      <c r="G827" s="66">
        <v>1987.049275556622</v>
      </c>
      <c r="H827" s="67">
        <v>3</v>
      </c>
      <c r="I827" s="68" t="s">
        <v>20</v>
      </c>
      <c r="J827" s="69">
        <v>40</v>
      </c>
      <c r="K827" s="70">
        <v>3</v>
      </c>
      <c r="L827" s="68">
        <v>1</v>
      </c>
      <c r="M827" s="68">
        <f>_xlfn.XLOOKUP(Survey!$F827,sections[Start],sections[Test Section],,-1,1)</f>
        <v>2</v>
      </c>
      <c r="N827" s="55">
        <f>_xlfn.XLOOKUP(Survey!$K827,pipedata[ID],pipedata[WT])</f>
        <v>0.88800000000000001</v>
      </c>
      <c r="O827" s="56">
        <f>_xlfn.XLOOKUP(Survey!$K827,pipedata[ID],pipedata[104%])</f>
        <v>3078.4</v>
      </c>
      <c r="P827" s="57">
        <f t="shared" si="12"/>
        <v>1850</v>
      </c>
      <c r="Q827" s="58">
        <f>_xlfn.MAXIFS(Survey!$G$2:$G$3647,Survey!$M$2:$M$3647,Survey!$M827)-Survey!$G827</f>
        <v>776.61696864512032</v>
      </c>
      <c r="R827" s="59">
        <f>Survey!$P827+(Survey!$Q827*0.433)</f>
        <v>2186.2751474233373</v>
      </c>
    </row>
    <row r="828" spans="1:18" x14ac:dyDescent="0.25">
      <c r="A828" s="71" t="s">
        <v>17</v>
      </c>
      <c r="B828" s="72" t="s">
        <v>18</v>
      </c>
      <c r="C828" s="73" t="s">
        <v>19</v>
      </c>
      <c r="D828" s="74">
        <v>233.20245948871496</v>
      </c>
      <c r="E828" s="81">
        <v>1259929</v>
      </c>
      <c r="F828" s="82">
        <v>1232315.8571428568</v>
      </c>
      <c r="G828" s="75">
        <v>1979.605015530143</v>
      </c>
      <c r="H828" s="76">
        <v>3</v>
      </c>
      <c r="I828" s="54" t="s">
        <v>20</v>
      </c>
      <c r="J828" s="77">
        <v>40</v>
      </c>
      <c r="K828" s="78">
        <v>3</v>
      </c>
      <c r="L828" s="54">
        <v>1</v>
      </c>
      <c r="M828" s="54">
        <f>_xlfn.XLOOKUP(Survey!$F828,sections[Start],sections[Test Section],,-1,1)</f>
        <v>2</v>
      </c>
      <c r="N828" s="55">
        <f>_xlfn.XLOOKUP(Survey!$K828,pipedata[ID],pipedata[WT])</f>
        <v>0.88800000000000001</v>
      </c>
      <c r="O828" s="56">
        <f>_xlfn.XLOOKUP(Survey!$K828,pipedata[ID],pipedata[104%])</f>
        <v>3078.4</v>
      </c>
      <c r="P828" s="57">
        <f t="shared" si="12"/>
        <v>1850</v>
      </c>
      <c r="Q828" s="58">
        <f>_xlfn.MAXIFS(Survey!$G$2:$G$3647,Survey!$M$2:$M$3647,Survey!$M828)-Survey!$G828</f>
        <v>784.06122867159934</v>
      </c>
      <c r="R828" s="59">
        <f>Survey!$P828+(Survey!$Q828*0.433)</f>
        <v>2189.4985120148026</v>
      </c>
    </row>
    <row r="829" spans="1:18" x14ac:dyDescent="0.25">
      <c r="A829" s="60" t="s">
        <v>17</v>
      </c>
      <c r="B829" s="61" t="s">
        <v>18</v>
      </c>
      <c r="C829" s="62" t="s">
        <v>19</v>
      </c>
      <c r="D829" s="63">
        <v>233.20968467051694</v>
      </c>
      <c r="E829" s="79">
        <v>1259969</v>
      </c>
      <c r="F829" s="80">
        <v>1232355.1666666663</v>
      </c>
      <c r="G829" s="66">
        <v>1968.1444209696915</v>
      </c>
      <c r="H829" s="67">
        <v>3</v>
      </c>
      <c r="I829" s="68" t="s">
        <v>20</v>
      </c>
      <c r="J829" s="69">
        <v>40</v>
      </c>
      <c r="K829" s="70">
        <v>3</v>
      </c>
      <c r="L829" s="68">
        <v>1</v>
      </c>
      <c r="M829" s="68">
        <f>_xlfn.XLOOKUP(Survey!$F829,sections[Start],sections[Test Section],,-1,1)</f>
        <v>2</v>
      </c>
      <c r="N829" s="55">
        <f>_xlfn.XLOOKUP(Survey!$K829,pipedata[ID],pipedata[WT])</f>
        <v>0.88800000000000001</v>
      </c>
      <c r="O829" s="56">
        <f>_xlfn.XLOOKUP(Survey!$K829,pipedata[ID],pipedata[104%])</f>
        <v>3078.4</v>
      </c>
      <c r="P829" s="57">
        <f t="shared" si="12"/>
        <v>1850</v>
      </c>
      <c r="Q829" s="58">
        <f>_xlfn.MAXIFS(Survey!$G$2:$G$3647,Survey!$M$2:$M$3647,Survey!$M829)-Survey!$G829</f>
        <v>795.52182323205079</v>
      </c>
      <c r="R829" s="59">
        <f>Survey!$P829+(Survey!$Q829*0.433)</f>
        <v>2194.4609494594779</v>
      </c>
    </row>
    <row r="830" spans="1:18" x14ac:dyDescent="0.25">
      <c r="A830" s="71" t="s">
        <v>17</v>
      </c>
      <c r="B830" s="72" t="s">
        <v>18</v>
      </c>
      <c r="C830" s="73" t="s">
        <v>19</v>
      </c>
      <c r="D830" s="74">
        <v>233.21690985231783</v>
      </c>
      <c r="E830" s="81">
        <v>1260009</v>
      </c>
      <c r="F830" s="82">
        <v>1232394.4761904757</v>
      </c>
      <c r="G830" s="75">
        <v>1958.7058259207622</v>
      </c>
      <c r="H830" s="76">
        <v>3</v>
      </c>
      <c r="I830" s="54" t="s">
        <v>20</v>
      </c>
      <c r="J830" s="77">
        <v>40</v>
      </c>
      <c r="K830" s="78">
        <v>3</v>
      </c>
      <c r="L830" s="54">
        <v>1</v>
      </c>
      <c r="M830" s="54">
        <f>_xlfn.XLOOKUP(Survey!$F830,sections[Start],sections[Test Section],,-1,1)</f>
        <v>2</v>
      </c>
      <c r="N830" s="55">
        <f>_xlfn.XLOOKUP(Survey!$K830,pipedata[ID],pipedata[WT])</f>
        <v>0.88800000000000001</v>
      </c>
      <c r="O830" s="56">
        <f>_xlfn.XLOOKUP(Survey!$K830,pipedata[ID],pipedata[104%])</f>
        <v>3078.4</v>
      </c>
      <c r="P830" s="57">
        <f t="shared" si="12"/>
        <v>1850</v>
      </c>
      <c r="Q830" s="58">
        <f>_xlfn.MAXIFS(Survey!$G$2:$G$3647,Survey!$M$2:$M$3647,Survey!$M830)-Survey!$G830</f>
        <v>804.96041828098009</v>
      </c>
      <c r="R830" s="59">
        <f>Survey!$P830+(Survey!$Q830*0.433)</f>
        <v>2198.5478611156645</v>
      </c>
    </row>
    <row r="831" spans="1:18" x14ac:dyDescent="0.25">
      <c r="A831" s="60" t="s">
        <v>17</v>
      </c>
      <c r="B831" s="61" t="s">
        <v>18</v>
      </c>
      <c r="C831" s="62" t="s">
        <v>19</v>
      </c>
      <c r="D831" s="63">
        <v>233.22413503411926</v>
      </c>
      <c r="E831" s="79">
        <v>1260049</v>
      </c>
      <c r="F831" s="80">
        <v>1232433.7857142852</v>
      </c>
      <c r="G831" s="66">
        <v>1948.3338445500062</v>
      </c>
      <c r="H831" s="67">
        <v>3</v>
      </c>
      <c r="I831" s="68" t="s">
        <v>20</v>
      </c>
      <c r="J831" s="69">
        <v>40</v>
      </c>
      <c r="K831" s="70">
        <v>3</v>
      </c>
      <c r="L831" s="68">
        <v>1</v>
      </c>
      <c r="M831" s="68">
        <f>_xlfn.XLOOKUP(Survey!$F831,sections[Start],sections[Test Section],,-1,1)</f>
        <v>2</v>
      </c>
      <c r="N831" s="55">
        <f>_xlfn.XLOOKUP(Survey!$K831,pipedata[ID],pipedata[WT])</f>
        <v>0.88800000000000001</v>
      </c>
      <c r="O831" s="56">
        <f>_xlfn.XLOOKUP(Survey!$K831,pipedata[ID],pipedata[104%])</f>
        <v>3078.4</v>
      </c>
      <c r="P831" s="57">
        <f t="shared" si="12"/>
        <v>1850</v>
      </c>
      <c r="Q831" s="58">
        <f>_xlfn.MAXIFS(Survey!$G$2:$G$3647,Survey!$M$2:$M$3647,Survey!$M831)-Survey!$G831</f>
        <v>815.33239965173607</v>
      </c>
      <c r="R831" s="59">
        <f>Survey!$P831+(Survey!$Q831*0.433)</f>
        <v>2203.0389290492017</v>
      </c>
    </row>
    <row r="832" spans="1:18" x14ac:dyDescent="0.25">
      <c r="A832" s="71" t="s">
        <v>17</v>
      </c>
      <c r="B832" s="72" t="s">
        <v>18</v>
      </c>
      <c r="C832" s="73" t="s">
        <v>19</v>
      </c>
      <c r="D832" s="74">
        <v>233.23195857284935</v>
      </c>
      <c r="E832" s="81">
        <v>1260089</v>
      </c>
      <c r="F832" s="82">
        <v>1232473.0952380947</v>
      </c>
      <c r="G832" s="75">
        <v>1938.3202891878225</v>
      </c>
      <c r="H832" s="76">
        <v>3</v>
      </c>
      <c r="I832" s="54" t="s">
        <v>20</v>
      </c>
      <c r="J832" s="77">
        <v>40</v>
      </c>
      <c r="K832" s="78">
        <v>3</v>
      </c>
      <c r="L832" s="54">
        <v>1</v>
      </c>
      <c r="M832" s="54">
        <f>_xlfn.XLOOKUP(Survey!$F832,sections[Start],sections[Test Section],,-1,1)</f>
        <v>2</v>
      </c>
      <c r="N832" s="55">
        <f>_xlfn.XLOOKUP(Survey!$K832,pipedata[ID],pipedata[WT])</f>
        <v>0.88800000000000001</v>
      </c>
      <c r="O832" s="56">
        <f>_xlfn.XLOOKUP(Survey!$K832,pipedata[ID],pipedata[104%])</f>
        <v>3078.4</v>
      </c>
      <c r="P832" s="57">
        <f t="shared" si="12"/>
        <v>1850</v>
      </c>
      <c r="Q832" s="58">
        <f>_xlfn.MAXIFS(Survey!$G$2:$G$3647,Survey!$M$2:$M$3647,Survey!$M832)-Survey!$G832</f>
        <v>825.34595501391982</v>
      </c>
      <c r="R832" s="59">
        <f>Survey!$P832+(Survey!$Q832*0.433)</f>
        <v>2207.3747985210275</v>
      </c>
    </row>
    <row r="833" spans="1:18" x14ac:dyDescent="0.25">
      <c r="A833" s="60" t="s">
        <v>17</v>
      </c>
      <c r="B833" s="61" t="s">
        <v>18</v>
      </c>
      <c r="C833" s="62" t="s">
        <v>19</v>
      </c>
      <c r="D833" s="63">
        <v>233.23858539772226</v>
      </c>
      <c r="E833" s="79">
        <v>1260129</v>
      </c>
      <c r="F833" s="80">
        <v>1232512.4047619042</v>
      </c>
      <c r="G833" s="66">
        <v>1930.7227259060269</v>
      </c>
      <c r="H833" s="67">
        <v>3</v>
      </c>
      <c r="I833" s="68" t="s">
        <v>20</v>
      </c>
      <c r="J833" s="69">
        <v>40</v>
      </c>
      <c r="K833" s="70">
        <v>3</v>
      </c>
      <c r="L833" s="68">
        <v>1</v>
      </c>
      <c r="M833" s="68">
        <f>_xlfn.XLOOKUP(Survey!$F833,sections[Start],sections[Test Section],,-1,1)</f>
        <v>2</v>
      </c>
      <c r="N833" s="55">
        <f>_xlfn.XLOOKUP(Survey!$K833,pipedata[ID],pipedata[WT])</f>
        <v>0.88800000000000001</v>
      </c>
      <c r="O833" s="56">
        <f>_xlfn.XLOOKUP(Survey!$K833,pipedata[ID],pipedata[104%])</f>
        <v>3078.4</v>
      </c>
      <c r="P833" s="57">
        <f t="shared" si="12"/>
        <v>1850</v>
      </c>
      <c r="Q833" s="58">
        <f>_xlfn.MAXIFS(Survey!$G$2:$G$3647,Survey!$M$2:$M$3647,Survey!$M833)-Survey!$G833</f>
        <v>832.94351829571542</v>
      </c>
      <c r="R833" s="59">
        <f>Survey!$P833+(Survey!$Q833*0.433)</f>
        <v>2210.664543422045</v>
      </c>
    </row>
    <row r="834" spans="1:18" x14ac:dyDescent="0.25">
      <c r="A834" s="71" t="s">
        <v>17</v>
      </c>
      <c r="B834" s="72" t="s">
        <v>18</v>
      </c>
      <c r="C834" s="73" t="s">
        <v>19</v>
      </c>
      <c r="D834" s="74">
        <v>233.24638693343039</v>
      </c>
      <c r="E834" s="81">
        <v>1260169</v>
      </c>
      <c r="F834" s="82">
        <v>1232551.7142857136</v>
      </c>
      <c r="G834" s="75">
        <v>1921.8680277369767</v>
      </c>
      <c r="H834" s="76">
        <v>3</v>
      </c>
      <c r="I834" s="54" t="s">
        <v>20</v>
      </c>
      <c r="J834" s="77">
        <v>40</v>
      </c>
      <c r="K834" s="78">
        <v>3</v>
      </c>
      <c r="L834" s="54">
        <v>1</v>
      </c>
      <c r="M834" s="54">
        <f>_xlfn.XLOOKUP(Survey!$F834,sections[Start],sections[Test Section],,-1,1)</f>
        <v>2</v>
      </c>
      <c r="N834" s="55">
        <f>_xlfn.XLOOKUP(Survey!$K834,pipedata[ID],pipedata[WT])</f>
        <v>0.88800000000000001</v>
      </c>
      <c r="O834" s="56">
        <f>_xlfn.XLOOKUP(Survey!$K834,pipedata[ID],pipedata[104%])</f>
        <v>3078.4</v>
      </c>
      <c r="P834" s="57">
        <f t="shared" ref="P834:P897" si="13">IF(L834=1,1850,IF(L834=2,1850,2220))</f>
        <v>1850</v>
      </c>
      <c r="Q834" s="58">
        <f>_xlfn.MAXIFS(Survey!$G$2:$G$3647,Survey!$M$2:$M$3647,Survey!$M834)-Survey!$G834</f>
        <v>841.79821646476557</v>
      </c>
      <c r="R834" s="59">
        <f>Survey!$P834+(Survey!$Q834*0.433)</f>
        <v>2214.4986277292437</v>
      </c>
    </row>
    <row r="835" spans="1:18" x14ac:dyDescent="0.25">
      <c r="A835" s="60" t="s">
        <v>17</v>
      </c>
      <c r="B835" s="61" t="s">
        <v>18</v>
      </c>
      <c r="C835" s="62" t="s">
        <v>19</v>
      </c>
      <c r="D835" s="63">
        <v>233.25303576132441</v>
      </c>
      <c r="E835" s="79">
        <v>1260209</v>
      </c>
      <c r="F835" s="80">
        <v>1232591.0238095231</v>
      </c>
      <c r="G835" s="66">
        <v>1914.2137950025017</v>
      </c>
      <c r="H835" s="67">
        <v>3</v>
      </c>
      <c r="I835" s="68" t="s">
        <v>20</v>
      </c>
      <c r="J835" s="69">
        <v>40</v>
      </c>
      <c r="K835" s="70">
        <v>3</v>
      </c>
      <c r="L835" s="68">
        <v>1</v>
      </c>
      <c r="M835" s="68">
        <f>_xlfn.XLOOKUP(Survey!$F835,sections[Start],sections[Test Section],,-1,1)</f>
        <v>2</v>
      </c>
      <c r="N835" s="55">
        <f>_xlfn.XLOOKUP(Survey!$K835,pipedata[ID],pipedata[WT])</f>
        <v>0.88800000000000001</v>
      </c>
      <c r="O835" s="56">
        <f>_xlfn.XLOOKUP(Survey!$K835,pipedata[ID],pipedata[104%])</f>
        <v>3078.4</v>
      </c>
      <c r="P835" s="57">
        <f t="shared" si="13"/>
        <v>1850</v>
      </c>
      <c r="Q835" s="58">
        <f>_xlfn.MAXIFS(Survey!$G$2:$G$3647,Survey!$M$2:$M$3647,Survey!$M835)-Survey!$G835</f>
        <v>849.45244919924062</v>
      </c>
      <c r="R835" s="59">
        <f>Survey!$P835+(Survey!$Q835*0.433)</f>
        <v>2217.8129105032713</v>
      </c>
    </row>
    <row r="836" spans="1:18" x14ac:dyDescent="0.25">
      <c r="A836" s="71" t="s">
        <v>17</v>
      </c>
      <c r="B836" s="72" t="s">
        <v>18</v>
      </c>
      <c r="C836" s="73" t="s">
        <v>19</v>
      </c>
      <c r="D836" s="74">
        <v>233.26062267805091</v>
      </c>
      <c r="E836" s="81">
        <v>1260249</v>
      </c>
      <c r="F836" s="82">
        <v>1232630.3333333326</v>
      </c>
      <c r="G836" s="75">
        <v>1905.1</v>
      </c>
      <c r="H836" s="76">
        <v>3</v>
      </c>
      <c r="I836" s="54" t="s">
        <v>20</v>
      </c>
      <c r="J836" s="77">
        <v>40</v>
      </c>
      <c r="K836" s="78">
        <v>3</v>
      </c>
      <c r="L836" s="54">
        <v>1</v>
      </c>
      <c r="M836" s="54">
        <f>_xlfn.XLOOKUP(Survey!$F836,sections[Start],sections[Test Section],,-1,1)</f>
        <v>2</v>
      </c>
      <c r="N836" s="55">
        <f>_xlfn.XLOOKUP(Survey!$K836,pipedata[ID],pipedata[WT])</f>
        <v>0.88800000000000001</v>
      </c>
      <c r="O836" s="56">
        <f>_xlfn.XLOOKUP(Survey!$K836,pipedata[ID],pipedata[104%])</f>
        <v>3078.4</v>
      </c>
      <c r="P836" s="57">
        <f t="shared" si="13"/>
        <v>1850</v>
      </c>
      <c r="Q836" s="58">
        <f>_xlfn.MAXIFS(Survey!$G$2:$G$3647,Survey!$M$2:$M$3647,Survey!$M836)-Survey!$G836</f>
        <v>858.56624420174239</v>
      </c>
      <c r="R836" s="59">
        <f>Survey!$P836+(Survey!$Q836*0.433)</f>
        <v>2221.7591837393543</v>
      </c>
    </row>
    <row r="837" spans="1:18" x14ac:dyDescent="0.25">
      <c r="A837" s="60" t="s">
        <v>17</v>
      </c>
      <c r="B837" s="61" t="s">
        <v>18</v>
      </c>
      <c r="C837" s="62" t="s">
        <v>19</v>
      </c>
      <c r="D837" s="63">
        <v>233.26852119520436</v>
      </c>
      <c r="E837" s="79">
        <v>1260289</v>
      </c>
      <c r="F837" s="80">
        <v>1232669.642857142</v>
      </c>
      <c r="G837" s="66">
        <v>1893.5528683297337</v>
      </c>
      <c r="H837" s="67">
        <v>3</v>
      </c>
      <c r="I837" s="68" t="s">
        <v>20</v>
      </c>
      <c r="J837" s="69">
        <v>40</v>
      </c>
      <c r="K837" s="70">
        <v>3</v>
      </c>
      <c r="L837" s="68">
        <v>1</v>
      </c>
      <c r="M837" s="68">
        <f>_xlfn.XLOOKUP(Survey!$F837,sections[Start],sections[Test Section],,-1,1)</f>
        <v>2</v>
      </c>
      <c r="N837" s="55">
        <f>_xlfn.XLOOKUP(Survey!$K837,pipedata[ID],pipedata[WT])</f>
        <v>0.88800000000000001</v>
      </c>
      <c r="O837" s="56">
        <f>_xlfn.XLOOKUP(Survey!$K837,pipedata[ID],pipedata[104%])</f>
        <v>3078.4</v>
      </c>
      <c r="P837" s="57">
        <f t="shared" si="13"/>
        <v>1850</v>
      </c>
      <c r="Q837" s="58">
        <f>_xlfn.MAXIFS(Survey!$G$2:$G$3647,Survey!$M$2:$M$3647,Survey!$M837)-Survey!$G837</f>
        <v>870.11337587200865</v>
      </c>
      <c r="R837" s="59">
        <f>Survey!$P837+(Survey!$Q837*0.433)</f>
        <v>2226.7590917525799</v>
      </c>
    </row>
    <row r="838" spans="1:18" x14ac:dyDescent="0.25">
      <c r="A838" s="71" t="s">
        <v>17</v>
      </c>
      <c r="B838" s="72" t="s">
        <v>18</v>
      </c>
      <c r="C838" s="73" t="s">
        <v>19</v>
      </c>
      <c r="D838" s="74">
        <v>233.27616029770164</v>
      </c>
      <c r="E838" s="81">
        <v>1260329</v>
      </c>
      <c r="F838" s="82">
        <v>1232708.9523809515</v>
      </c>
      <c r="G838" s="75">
        <v>1882.9199432496725</v>
      </c>
      <c r="H838" s="76">
        <v>3</v>
      </c>
      <c r="I838" s="54" t="s">
        <v>20</v>
      </c>
      <c r="J838" s="77">
        <v>40</v>
      </c>
      <c r="K838" s="78">
        <v>3</v>
      </c>
      <c r="L838" s="54">
        <v>1</v>
      </c>
      <c r="M838" s="54">
        <f>_xlfn.XLOOKUP(Survey!$F838,sections[Start],sections[Test Section],,-1,1)</f>
        <v>2</v>
      </c>
      <c r="N838" s="55">
        <f>_xlfn.XLOOKUP(Survey!$K838,pipedata[ID],pipedata[WT])</f>
        <v>0.88800000000000001</v>
      </c>
      <c r="O838" s="56">
        <f>_xlfn.XLOOKUP(Survey!$K838,pipedata[ID],pipedata[104%])</f>
        <v>3078.4</v>
      </c>
      <c r="P838" s="57">
        <f t="shared" si="13"/>
        <v>1850</v>
      </c>
      <c r="Q838" s="58">
        <f>_xlfn.MAXIFS(Survey!$G$2:$G$3647,Survey!$M$2:$M$3647,Survey!$M838)-Survey!$G838</f>
        <v>880.74630095206976</v>
      </c>
      <c r="R838" s="59">
        <f>Survey!$P838+(Survey!$Q838*0.433)</f>
        <v>2231.3631483122463</v>
      </c>
    </row>
    <row r="839" spans="1:18" x14ac:dyDescent="0.25">
      <c r="A839" s="60" t="s">
        <v>17</v>
      </c>
      <c r="B839" s="61" t="s">
        <v>18</v>
      </c>
      <c r="C839" s="62" t="s">
        <v>19</v>
      </c>
      <c r="D839" s="63">
        <v>233.28234360022219</v>
      </c>
      <c r="E839" s="79">
        <v>1260369</v>
      </c>
      <c r="F839" s="80">
        <v>1232748.261904761</v>
      </c>
      <c r="G839" s="66">
        <v>1872.1496109192783</v>
      </c>
      <c r="H839" s="67">
        <v>3</v>
      </c>
      <c r="I839" s="68" t="s">
        <v>20</v>
      </c>
      <c r="J839" s="69">
        <v>40</v>
      </c>
      <c r="K839" s="70">
        <v>3</v>
      </c>
      <c r="L839" s="68">
        <v>1</v>
      </c>
      <c r="M839" s="68">
        <f>_xlfn.XLOOKUP(Survey!$F839,sections[Start],sections[Test Section],,-1,1)</f>
        <v>2</v>
      </c>
      <c r="N839" s="55">
        <f>_xlfn.XLOOKUP(Survey!$K839,pipedata[ID],pipedata[WT])</f>
        <v>0.88800000000000001</v>
      </c>
      <c r="O839" s="56">
        <f>_xlfn.XLOOKUP(Survey!$K839,pipedata[ID],pipedata[104%])</f>
        <v>3078.4</v>
      </c>
      <c r="P839" s="57">
        <f t="shared" si="13"/>
        <v>1850</v>
      </c>
      <c r="Q839" s="58">
        <f>_xlfn.MAXIFS(Survey!$G$2:$G$3647,Survey!$M$2:$M$3647,Survey!$M839)-Survey!$G839</f>
        <v>891.516633282464</v>
      </c>
      <c r="R839" s="59">
        <f>Survey!$P839+(Survey!$Q839*0.433)</f>
        <v>2236.0267022113067</v>
      </c>
    </row>
    <row r="840" spans="1:18" x14ac:dyDescent="0.25">
      <c r="A840" s="71" t="s">
        <v>17</v>
      </c>
      <c r="B840" s="72" t="s">
        <v>18</v>
      </c>
      <c r="C840" s="73" t="s">
        <v>19</v>
      </c>
      <c r="D840" s="74">
        <v>233.29042709713946</v>
      </c>
      <c r="E840" s="81">
        <v>1260409</v>
      </c>
      <c r="F840" s="82">
        <v>1232787.5714285704</v>
      </c>
      <c r="G840" s="75">
        <v>1863.1561779511812</v>
      </c>
      <c r="H840" s="76">
        <v>3</v>
      </c>
      <c r="I840" s="54" t="s">
        <v>20</v>
      </c>
      <c r="J840" s="77">
        <v>40</v>
      </c>
      <c r="K840" s="78">
        <v>3</v>
      </c>
      <c r="L840" s="54">
        <v>1</v>
      </c>
      <c r="M840" s="54">
        <f>_xlfn.XLOOKUP(Survey!$F840,sections[Start],sections[Test Section],,-1,1)</f>
        <v>2</v>
      </c>
      <c r="N840" s="55">
        <f>_xlfn.XLOOKUP(Survey!$K840,pipedata[ID],pipedata[WT])</f>
        <v>0.88800000000000001</v>
      </c>
      <c r="O840" s="56">
        <f>_xlfn.XLOOKUP(Survey!$K840,pipedata[ID],pipedata[104%])</f>
        <v>3078.4</v>
      </c>
      <c r="P840" s="57">
        <f t="shared" si="13"/>
        <v>1850</v>
      </c>
      <c r="Q840" s="58">
        <f>_xlfn.MAXIFS(Survey!$G$2:$G$3647,Survey!$M$2:$M$3647,Survey!$M840)-Survey!$G840</f>
        <v>900.51006625056107</v>
      </c>
      <c r="R840" s="59">
        <f>Survey!$P840+(Survey!$Q840*0.433)</f>
        <v>2239.9208586864929</v>
      </c>
    </row>
    <row r="841" spans="1:18" x14ac:dyDescent="0.25">
      <c r="A841" s="60" t="s">
        <v>17</v>
      </c>
      <c r="B841" s="61" t="s">
        <v>18</v>
      </c>
      <c r="C841" s="62" t="s">
        <v>19</v>
      </c>
      <c r="D841" s="63">
        <v>233.29712080759509</v>
      </c>
      <c r="E841" s="79">
        <v>1260449</v>
      </c>
      <c r="F841" s="80">
        <v>1232826.8809523799</v>
      </c>
      <c r="G841" s="66">
        <v>1848.445223117667</v>
      </c>
      <c r="H841" s="67">
        <v>3</v>
      </c>
      <c r="I841" s="68" t="s">
        <v>20</v>
      </c>
      <c r="J841" s="69">
        <v>40</v>
      </c>
      <c r="K841" s="70">
        <v>3</v>
      </c>
      <c r="L841" s="68">
        <v>1</v>
      </c>
      <c r="M841" s="68">
        <f>_xlfn.XLOOKUP(Survey!$F841,sections[Start],sections[Test Section],,-1,1)</f>
        <v>2</v>
      </c>
      <c r="N841" s="55">
        <f>_xlfn.XLOOKUP(Survey!$K841,pipedata[ID],pipedata[WT])</f>
        <v>0.88800000000000001</v>
      </c>
      <c r="O841" s="56">
        <f>_xlfn.XLOOKUP(Survey!$K841,pipedata[ID],pipedata[104%])</f>
        <v>3078.4</v>
      </c>
      <c r="P841" s="57">
        <f t="shared" si="13"/>
        <v>1850</v>
      </c>
      <c r="Q841" s="58">
        <f>_xlfn.MAXIFS(Survey!$G$2:$G$3647,Survey!$M$2:$M$3647,Survey!$M841)-Survey!$G841</f>
        <v>915.22102108407535</v>
      </c>
      <c r="R841" s="59">
        <f>Survey!$P841+(Survey!$Q841*0.433)</f>
        <v>2246.2907021294045</v>
      </c>
    </row>
    <row r="842" spans="1:18" x14ac:dyDescent="0.25">
      <c r="A842" s="71" t="s">
        <v>17</v>
      </c>
      <c r="B842" s="72" t="s">
        <v>18</v>
      </c>
      <c r="C842" s="73" t="s">
        <v>19</v>
      </c>
      <c r="D842" s="74">
        <v>233.30398864193896</v>
      </c>
      <c r="E842" s="81">
        <v>1260489</v>
      </c>
      <c r="F842" s="82">
        <v>1232866.1904761894</v>
      </c>
      <c r="G842" s="75">
        <v>1835.8890405060538</v>
      </c>
      <c r="H842" s="76">
        <v>3</v>
      </c>
      <c r="I842" s="54" t="s">
        <v>20</v>
      </c>
      <c r="J842" s="77">
        <v>40</v>
      </c>
      <c r="K842" s="78">
        <v>3</v>
      </c>
      <c r="L842" s="54">
        <v>1</v>
      </c>
      <c r="M842" s="54">
        <f>_xlfn.XLOOKUP(Survey!$F842,sections[Start],sections[Test Section],,-1,1)</f>
        <v>2</v>
      </c>
      <c r="N842" s="55">
        <f>_xlfn.XLOOKUP(Survey!$K842,pipedata[ID],pipedata[WT])</f>
        <v>0.88800000000000001</v>
      </c>
      <c r="O842" s="56">
        <f>_xlfn.XLOOKUP(Survey!$K842,pipedata[ID],pipedata[104%])</f>
        <v>3078.4</v>
      </c>
      <c r="P842" s="57">
        <f t="shared" si="13"/>
        <v>1850</v>
      </c>
      <c r="Q842" s="58">
        <f>_xlfn.MAXIFS(Survey!$G$2:$G$3647,Survey!$M$2:$M$3647,Survey!$M842)-Survey!$G842</f>
        <v>927.77720369568851</v>
      </c>
      <c r="R842" s="59">
        <f>Survey!$P842+(Survey!$Q842*0.433)</f>
        <v>2251.7275292002332</v>
      </c>
    </row>
    <row r="843" spans="1:18" x14ac:dyDescent="0.25">
      <c r="A843" s="60" t="s">
        <v>17</v>
      </c>
      <c r="B843" s="61" t="s">
        <v>18</v>
      </c>
      <c r="C843" s="62" t="s">
        <v>19</v>
      </c>
      <c r="D843" s="63">
        <v>233.31194764979125</v>
      </c>
      <c r="E843" s="79">
        <v>1260529</v>
      </c>
      <c r="F843" s="80">
        <v>1232905.4999999988</v>
      </c>
      <c r="G843" s="66">
        <v>1821.226639925856</v>
      </c>
      <c r="H843" s="67">
        <v>3</v>
      </c>
      <c r="I843" s="68" t="s">
        <v>20</v>
      </c>
      <c r="J843" s="69">
        <v>40</v>
      </c>
      <c r="K843" s="70">
        <v>3</v>
      </c>
      <c r="L843" s="68">
        <v>1</v>
      </c>
      <c r="M843" s="68">
        <f>_xlfn.XLOOKUP(Survey!$F843,sections[Start],sections[Test Section],,-1,1)</f>
        <v>2</v>
      </c>
      <c r="N843" s="55">
        <f>_xlfn.XLOOKUP(Survey!$K843,pipedata[ID],pipedata[WT])</f>
        <v>0.88800000000000001</v>
      </c>
      <c r="O843" s="56">
        <f>_xlfn.XLOOKUP(Survey!$K843,pipedata[ID],pipedata[104%])</f>
        <v>3078.4</v>
      </c>
      <c r="P843" s="57">
        <f t="shared" si="13"/>
        <v>1850</v>
      </c>
      <c r="Q843" s="58">
        <f>_xlfn.MAXIFS(Survey!$G$2:$G$3647,Survey!$M$2:$M$3647,Survey!$M843)-Survey!$G843</f>
        <v>942.43960427588627</v>
      </c>
      <c r="R843" s="59">
        <f>Survey!$P843+(Survey!$Q843*0.433)</f>
        <v>2258.0763486514588</v>
      </c>
    </row>
    <row r="844" spans="1:18" x14ac:dyDescent="0.25">
      <c r="A844" s="71" t="s">
        <v>17</v>
      </c>
      <c r="B844" s="72" t="s">
        <v>18</v>
      </c>
      <c r="C844" s="73" t="s">
        <v>19</v>
      </c>
      <c r="D844" s="74">
        <v>233.31919728462111</v>
      </c>
      <c r="E844" s="81">
        <v>1260569</v>
      </c>
      <c r="F844" s="82">
        <v>1232944.8095238083</v>
      </c>
      <c r="G844" s="75">
        <v>1809.7307308431305</v>
      </c>
      <c r="H844" s="76">
        <v>3</v>
      </c>
      <c r="I844" s="54" t="s">
        <v>20</v>
      </c>
      <c r="J844" s="77">
        <v>40</v>
      </c>
      <c r="K844" s="78">
        <v>3</v>
      </c>
      <c r="L844" s="54">
        <v>1</v>
      </c>
      <c r="M844" s="54">
        <f>_xlfn.XLOOKUP(Survey!$F844,sections[Start],sections[Test Section],,-1,1)</f>
        <v>2</v>
      </c>
      <c r="N844" s="55">
        <f>_xlfn.XLOOKUP(Survey!$K844,pipedata[ID],pipedata[WT])</f>
        <v>0.88800000000000001</v>
      </c>
      <c r="O844" s="56">
        <f>_xlfn.XLOOKUP(Survey!$K844,pipedata[ID],pipedata[104%])</f>
        <v>3078.4</v>
      </c>
      <c r="P844" s="57">
        <f t="shared" si="13"/>
        <v>1850</v>
      </c>
      <c r="Q844" s="58">
        <f>_xlfn.MAXIFS(Survey!$G$2:$G$3647,Survey!$M$2:$M$3647,Survey!$M844)-Survey!$G844</f>
        <v>953.93551335861184</v>
      </c>
      <c r="R844" s="59">
        <f>Survey!$P844+(Survey!$Q844*0.433)</f>
        <v>2263.0540772842787</v>
      </c>
    </row>
    <row r="845" spans="1:18" x14ac:dyDescent="0.25">
      <c r="A845" s="60" t="s">
        <v>17</v>
      </c>
      <c r="B845" s="61" t="s">
        <v>18</v>
      </c>
      <c r="C845" s="62" t="s">
        <v>19</v>
      </c>
      <c r="D845" s="63">
        <v>233.3268016059622</v>
      </c>
      <c r="E845" s="79">
        <v>1260609</v>
      </c>
      <c r="F845" s="80">
        <v>1232984.1190476178</v>
      </c>
      <c r="G845" s="66">
        <v>1797.0050520001389</v>
      </c>
      <c r="H845" s="67">
        <v>3</v>
      </c>
      <c r="I845" s="68" t="s">
        <v>20</v>
      </c>
      <c r="J845" s="69">
        <v>40</v>
      </c>
      <c r="K845" s="70">
        <v>3</v>
      </c>
      <c r="L845" s="68">
        <v>1</v>
      </c>
      <c r="M845" s="68">
        <f>_xlfn.XLOOKUP(Survey!$F845,sections[Start],sections[Test Section],,-1,1)</f>
        <v>2</v>
      </c>
      <c r="N845" s="55">
        <f>_xlfn.XLOOKUP(Survey!$K845,pipedata[ID],pipedata[WT])</f>
        <v>0.88800000000000001</v>
      </c>
      <c r="O845" s="56">
        <f>_xlfn.XLOOKUP(Survey!$K845,pipedata[ID],pipedata[104%])</f>
        <v>3078.4</v>
      </c>
      <c r="P845" s="57">
        <f t="shared" si="13"/>
        <v>1850</v>
      </c>
      <c r="Q845" s="58">
        <f>_xlfn.MAXIFS(Survey!$G$2:$G$3647,Survey!$M$2:$M$3647,Survey!$M845)-Survey!$G845</f>
        <v>966.6611922016034</v>
      </c>
      <c r="R845" s="59">
        <f>Survey!$P845+(Survey!$Q845*0.433)</f>
        <v>2268.5642962232941</v>
      </c>
    </row>
    <row r="846" spans="1:18" x14ac:dyDescent="0.25">
      <c r="A846" s="71" t="s">
        <v>17</v>
      </c>
      <c r="B846" s="72" t="s">
        <v>18</v>
      </c>
      <c r="C846" s="73" t="s">
        <v>19</v>
      </c>
      <c r="D846" s="74">
        <v>233.33398179628031</v>
      </c>
      <c r="E846" s="81">
        <v>1260649</v>
      </c>
      <c r="F846" s="82">
        <v>1233023.4285714272</v>
      </c>
      <c r="G846" s="75">
        <v>1786.7674405840337</v>
      </c>
      <c r="H846" s="76">
        <v>3</v>
      </c>
      <c r="I846" s="54" t="s">
        <v>20</v>
      </c>
      <c r="J846" s="77">
        <v>40</v>
      </c>
      <c r="K846" s="78">
        <v>3</v>
      </c>
      <c r="L846" s="54">
        <v>1</v>
      </c>
      <c r="M846" s="54">
        <f>_xlfn.XLOOKUP(Survey!$F846,sections[Start],sections[Test Section],,-1,1)</f>
        <v>2</v>
      </c>
      <c r="N846" s="55">
        <f>_xlfn.XLOOKUP(Survey!$K846,pipedata[ID],pipedata[WT])</f>
        <v>0.88800000000000001</v>
      </c>
      <c r="O846" s="56">
        <f>_xlfn.XLOOKUP(Survey!$K846,pipedata[ID],pipedata[104%])</f>
        <v>3078.4</v>
      </c>
      <c r="P846" s="57">
        <f t="shared" si="13"/>
        <v>1850</v>
      </c>
      <c r="Q846" s="58">
        <f>_xlfn.MAXIFS(Survey!$G$2:$G$3647,Survey!$M$2:$M$3647,Survey!$M846)-Survey!$G846</f>
        <v>976.89880361770861</v>
      </c>
      <c r="R846" s="59">
        <f>Survey!$P846+(Survey!$Q846*0.433)</f>
        <v>2272.9971819664679</v>
      </c>
    </row>
    <row r="847" spans="1:18" x14ac:dyDescent="0.25">
      <c r="A847" s="60" t="s">
        <v>17</v>
      </c>
      <c r="B847" s="61" t="s">
        <v>18</v>
      </c>
      <c r="C847" s="62" t="s">
        <v>19</v>
      </c>
      <c r="D847" s="63">
        <v>233.34088969557189</v>
      </c>
      <c r="E847" s="79">
        <v>1260689</v>
      </c>
      <c r="F847" s="80">
        <v>1233062.7380952367</v>
      </c>
      <c r="G847" s="66">
        <v>1778.8561500184953</v>
      </c>
      <c r="H847" s="67">
        <v>3</v>
      </c>
      <c r="I847" s="68" t="s">
        <v>20</v>
      </c>
      <c r="J847" s="69">
        <v>40</v>
      </c>
      <c r="K847" s="70">
        <v>3</v>
      </c>
      <c r="L847" s="68">
        <v>1</v>
      </c>
      <c r="M847" s="68">
        <f>_xlfn.XLOOKUP(Survey!$F847,sections[Start],sections[Test Section],,-1,1)</f>
        <v>2</v>
      </c>
      <c r="N847" s="55">
        <f>_xlfn.XLOOKUP(Survey!$K847,pipedata[ID],pipedata[WT])</f>
        <v>0.88800000000000001</v>
      </c>
      <c r="O847" s="56">
        <f>_xlfn.XLOOKUP(Survey!$K847,pipedata[ID],pipedata[104%])</f>
        <v>3078.4</v>
      </c>
      <c r="P847" s="57">
        <f t="shared" si="13"/>
        <v>1850</v>
      </c>
      <c r="Q847" s="58">
        <f>_xlfn.MAXIFS(Survey!$G$2:$G$3647,Survey!$M$2:$M$3647,Survey!$M847)-Survey!$G847</f>
        <v>984.81009418324697</v>
      </c>
      <c r="R847" s="59">
        <f>Survey!$P847+(Survey!$Q847*0.433)</f>
        <v>2276.4227707813461</v>
      </c>
    </row>
    <row r="848" spans="1:18" x14ac:dyDescent="0.25">
      <c r="A848" s="71" t="s">
        <v>17</v>
      </c>
      <c r="B848" s="72" t="s">
        <v>18</v>
      </c>
      <c r="C848" s="73" t="s">
        <v>19</v>
      </c>
      <c r="D848" s="74">
        <v>233.34768764787401</v>
      </c>
      <c r="E848" s="81">
        <v>1260729</v>
      </c>
      <c r="F848" s="82">
        <v>1233102.0476190462</v>
      </c>
      <c r="G848" s="75">
        <v>1769.4008864899872</v>
      </c>
      <c r="H848" s="76">
        <v>3</v>
      </c>
      <c r="I848" s="54" t="s">
        <v>20</v>
      </c>
      <c r="J848" s="77">
        <v>40</v>
      </c>
      <c r="K848" s="78">
        <v>3</v>
      </c>
      <c r="L848" s="54">
        <v>1</v>
      </c>
      <c r="M848" s="54">
        <f>_xlfn.XLOOKUP(Survey!$F848,sections[Start],sections[Test Section],,-1,1)</f>
        <v>2</v>
      </c>
      <c r="N848" s="55">
        <f>_xlfn.XLOOKUP(Survey!$K848,pipedata[ID],pipedata[WT])</f>
        <v>0.88800000000000001</v>
      </c>
      <c r="O848" s="56">
        <f>_xlfn.XLOOKUP(Survey!$K848,pipedata[ID],pipedata[104%])</f>
        <v>3078.4</v>
      </c>
      <c r="P848" s="57">
        <f t="shared" si="13"/>
        <v>1850</v>
      </c>
      <c r="Q848" s="58">
        <f>_xlfn.MAXIFS(Survey!$G$2:$G$3647,Survey!$M$2:$M$3647,Survey!$M848)-Survey!$G848</f>
        <v>994.26535771175509</v>
      </c>
      <c r="R848" s="59">
        <f>Survey!$P848+(Survey!$Q848*0.433)</f>
        <v>2280.51689988919</v>
      </c>
    </row>
    <row r="849" spans="1:18" x14ac:dyDescent="0.25">
      <c r="A849" s="60" t="s">
        <v>17</v>
      </c>
      <c r="B849" s="61" t="s">
        <v>18</v>
      </c>
      <c r="C849" s="62" t="s">
        <v>19</v>
      </c>
      <c r="D849" s="63">
        <v>233.35527765858615</v>
      </c>
      <c r="E849" s="79">
        <v>1260769</v>
      </c>
      <c r="F849" s="80">
        <v>1233141.3571428556</v>
      </c>
      <c r="G849" s="66">
        <v>1763.7279961659069</v>
      </c>
      <c r="H849" s="67">
        <v>3</v>
      </c>
      <c r="I849" s="68" t="s">
        <v>20</v>
      </c>
      <c r="J849" s="69">
        <v>40</v>
      </c>
      <c r="K849" s="70">
        <v>3</v>
      </c>
      <c r="L849" s="68">
        <v>1</v>
      </c>
      <c r="M849" s="68">
        <f>_xlfn.XLOOKUP(Survey!$F849,sections[Start],sections[Test Section],,-1,1)</f>
        <v>2</v>
      </c>
      <c r="N849" s="55">
        <f>_xlfn.XLOOKUP(Survey!$K849,pipedata[ID],pipedata[WT])</f>
        <v>0.88800000000000001</v>
      </c>
      <c r="O849" s="56">
        <f>_xlfn.XLOOKUP(Survey!$K849,pipedata[ID],pipedata[104%])</f>
        <v>3078.4</v>
      </c>
      <c r="P849" s="57">
        <f t="shared" si="13"/>
        <v>1850</v>
      </c>
      <c r="Q849" s="58">
        <f>_xlfn.MAXIFS(Survey!$G$2:$G$3647,Survey!$M$2:$M$3647,Survey!$M849)-Survey!$G849</f>
        <v>999.93824803583539</v>
      </c>
      <c r="R849" s="59">
        <f>Survey!$P849+(Survey!$Q849*0.433)</f>
        <v>2282.9732613995166</v>
      </c>
    </row>
    <row r="850" spans="1:18" x14ac:dyDescent="0.25">
      <c r="A850" s="71" t="s">
        <v>17</v>
      </c>
      <c r="B850" s="72" t="s">
        <v>18</v>
      </c>
      <c r="C850" s="73" t="s">
        <v>19</v>
      </c>
      <c r="D850" s="74">
        <v>233.36312694124879</v>
      </c>
      <c r="E850" s="81">
        <v>1260809</v>
      </c>
      <c r="F850" s="82">
        <v>1233180.6666666651</v>
      </c>
      <c r="G850" s="75">
        <v>1760.5714119915961</v>
      </c>
      <c r="H850" s="76">
        <v>3</v>
      </c>
      <c r="I850" s="54" t="s">
        <v>20</v>
      </c>
      <c r="J850" s="77">
        <v>40</v>
      </c>
      <c r="K850" s="78">
        <v>3</v>
      </c>
      <c r="L850" s="54">
        <v>1</v>
      </c>
      <c r="M850" s="54">
        <f>_xlfn.XLOOKUP(Survey!$F850,sections[Start],sections[Test Section],,-1,1)</f>
        <v>2</v>
      </c>
      <c r="N850" s="55">
        <f>_xlfn.XLOOKUP(Survey!$K850,pipedata[ID],pipedata[WT])</f>
        <v>0.88800000000000001</v>
      </c>
      <c r="O850" s="56">
        <f>_xlfn.XLOOKUP(Survey!$K850,pipedata[ID],pipedata[104%])</f>
        <v>3078.4</v>
      </c>
      <c r="P850" s="57">
        <f t="shared" si="13"/>
        <v>1850</v>
      </c>
      <c r="Q850" s="58">
        <f>_xlfn.MAXIFS(Survey!$G$2:$G$3647,Survey!$M$2:$M$3647,Survey!$M850)-Survey!$G850</f>
        <v>1003.0948322101463</v>
      </c>
      <c r="R850" s="59">
        <f>Survey!$P850+(Survey!$Q850*0.433)</f>
        <v>2284.3400623469934</v>
      </c>
    </row>
    <row r="851" spans="1:18" x14ac:dyDescent="0.25">
      <c r="A851" s="60" t="s">
        <v>17</v>
      </c>
      <c r="B851" s="61" t="s">
        <v>18</v>
      </c>
      <c r="C851" s="62" t="s">
        <v>19</v>
      </c>
      <c r="D851" s="63">
        <v>233.37080461436034</v>
      </c>
      <c r="E851" s="79">
        <v>1260849</v>
      </c>
      <c r="F851" s="80">
        <v>1233219.9761904746</v>
      </c>
      <c r="G851" s="66">
        <v>1756.5365196556804</v>
      </c>
      <c r="H851" s="67">
        <v>3</v>
      </c>
      <c r="I851" s="68" t="s">
        <v>20</v>
      </c>
      <c r="J851" s="69">
        <v>40</v>
      </c>
      <c r="K851" s="70">
        <v>3</v>
      </c>
      <c r="L851" s="68">
        <v>1</v>
      </c>
      <c r="M851" s="68">
        <f>_xlfn.XLOOKUP(Survey!$F851,sections[Start],sections[Test Section],,-1,1)</f>
        <v>2</v>
      </c>
      <c r="N851" s="55">
        <f>_xlfn.XLOOKUP(Survey!$K851,pipedata[ID],pipedata[WT])</f>
        <v>0.88800000000000001</v>
      </c>
      <c r="O851" s="56">
        <f>_xlfn.XLOOKUP(Survey!$K851,pipedata[ID],pipedata[104%])</f>
        <v>3078.4</v>
      </c>
      <c r="P851" s="57">
        <f t="shared" si="13"/>
        <v>1850</v>
      </c>
      <c r="Q851" s="58">
        <f>_xlfn.MAXIFS(Survey!$G$2:$G$3647,Survey!$M$2:$M$3647,Survey!$M851)-Survey!$G851</f>
        <v>1007.1297245460619</v>
      </c>
      <c r="R851" s="59">
        <f>Survey!$P851+(Survey!$Q851*0.433)</f>
        <v>2286.087170728445</v>
      </c>
    </row>
    <row r="852" spans="1:18" x14ac:dyDescent="0.25">
      <c r="A852" s="71" t="s">
        <v>17</v>
      </c>
      <c r="B852" s="72" t="s">
        <v>18</v>
      </c>
      <c r="C852" s="73" t="s">
        <v>19</v>
      </c>
      <c r="D852" s="74">
        <v>233.37811636548113</v>
      </c>
      <c r="E852" s="81">
        <v>1260889</v>
      </c>
      <c r="F852" s="82">
        <v>1233259.2857142841</v>
      </c>
      <c r="G852" s="75">
        <v>1752.7500925296324</v>
      </c>
      <c r="H852" s="76">
        <v>3</v>
      </c>
      <c r="I852" s="54" t="s">
        <v>20</v>
      </c>
      <c r="J852" s="77">
        <v>40</v>
      </c>
      <c r="K852" s="78">
        <v>3</v>
      </c>
      <c r="L852" s="54">
        <v>1</v>
      </c>
      <c r="M852" s="54">
        <f>_xlfn.XLOOKUP(Survey!$F852,sections[Start],sections[Test Section],,-1,1)</f>
        <v>2</v>
      </c>
      <c r="N852" s="55">
        <f>_xlfn.XLOOKUP(Survey!$K852,pipedata[ID],pipedata[WT])</f>
        <v>0.88800000000000001</v>
      </c>
      <c r="O852" s="56">
        <f>_xlfn.XLOOKUP(Survey!$K852,pipedata[ID],pipedata[104%])</f>
        <v>3078.4</v>
      </c>
      <c r="P852" s="57">
        <f t="shared" si="13"/>
        <v>1850</v>
      </c>
      <c r="Q852" s="58">
        <f>_xlfn.MAXIFS(Survey!$G$2:$G$3647,Survey!$M$2:$M$3647,Survey!$M852)-Survey!$G852</f>
        <v>1010.9161516721099</v>
      </c>
      <c r="R852" s="59">
        <f>Survey!$P852+(Survey!$Q852*0.433)</f>
        <v>2287.7266936740234</v>
      </c>
    </row>
    <row r="853" spans="1:18" x14ac:dyDescent="0.25">
      <c r="A853" s="60" t="s">
        <v>17</v>
      </c>
      <c r="B853" s="61" t="s">
        <v>18</v>
      </c>
      <c r="C853" s="62" t="s">
        <v>19</v>
      </c>
      <c r="D853" s="63">
        <v>233.38561523673738</v>
      </c>
      <c r="E853" s="79">
        <v>1260929</v>
      </c>
      <c r="F853" s="80">
        <v>1233298.5952380935</v>
      </c>
      <c r="G853" s="66">
        <v>1747.7832011688315</v>
      </c>
      <c r="H853" s="67">
        <v>3</v>
      </c>
      <c r="I853" s="68" t="s">
        <v>20</v>
      </c>
      <c r="J853" s="69">
        <v>40</v>
      </c>
      <c r="K853" s="70">
        <v>3</v>
      </c>
      <c r="L853" s="68">
        <v>1</v>
      </c>
      <c r="M853" s="68">
        <f>_xlfn.XLOOKUP(Survey!$F853,sections[Start],sections[Test Section],,-1,1)</f>
        <v>2</v>
      </c>
      <c r="N853" s="55">
        <f>_xlfn.XLOOKUP(Survey!$K853,pipedata[ID],pipedata[WT])</f>
        <v>0.88800000000000001</v>
      </c>
      <c r="O853" s="56">
        <f>_xlfn.XLOOKUP(Survey!$K853,pipedata[ID],pipedata[104%])</f>
        <v>3078.4</v>
      </c>
      <c r="P853" s="57">
        <f t="shared" si="13"/>
        <v>1850</v>
      </c>
      <c r="Q853" s="58">
        <f>_xlfn.MAXIFS(Survey!$G$2:$G$3647,Survey!$M$2:$M$3647,Survey!$M853)-Survey!$G853</f>
        <v>1015.8830430329108</v>
      </c>
      <c r="R853" s="59">
        <f>Survey!$P853+(Survey!$Q853*0.433)</f>
        <v>2289.8773576332505</v>
      </c>
    </row>
    <row r="854" spans="1:18" x14ac:dyDescent="0.25">
      <c r="A854" s="71" t="s">
        <v>17</v>
      </c>
      <c r="B854" s="72" t="s">
        <v>18</v>
      </c>
      <c r="C854" s="73" t="s">
        <v>19</v>
      </c>
      <c r="D854" s="74">
        <v>233.39353539825464</v>
      </c>
      <c r="E854" s="81">
        <v>1260969</v>
      </c>
      <c r="F854" s="82">
        <v>1233337.904761903</v>
      </c>
      <c r="G854" s="75">
        <v>1739.2525745874643</v>
      </c>
      <c r="H854" s="76">
        <v>3</v>
      </c>
      <c r="I854" s="54" t="s">
        <v>20</v>
      </c>
      <c r="J854" s="77">
        <v>40</v>
      </c>
      <c r="K854" s="78">
        <v>3</v>
      </c>
      <c r="L854" s="54">
        <v>1</v>
      </c>
      <c r="M854" s="54">
        <f>_xlfn.XLOOKUP(Survey!$F854,sections[Start],sections[Test Section],,-1,1)</f>
        <v>2</v>
      </c>
      <c r="N854" s="55">
        <f>_xlfn.XLOOKUP(Survey!$K854,pipedata[ID],pipedata[WT])</f>
        <v>0.88800000000000001</v>
      </c>
      <c r="O854" s="56">
        <f>_xlfn.XLOOKUP(Survey!$K854,pipedata[ID],pipedata[104%])</f>
        <v>3078.4</v>
      </c>
      <c r="P854" s="57">
        <f t="shared" si="13"/>
        <v>1850</v>
      </c>
      <c r="Q854" s="58">
        <f>_xlfn.MAXIFS(Survey!$G$2:$G$3647,Survey!$M$2:$M$3647,Survey!$M854)-Survey!$G854</f>
        <v>1024.413669614278</v>
      </c>
      <c r="R854" s="59">
        <f>Survey!$P854+(Survey!$Q854*0.433)</f>
        <v>2293.5711189429821</v>
      </c>
    </row>
    <row r="855" spans="1:18" x14ac:dyDescent="0.25">
      <c r="A855" s="60" t="s">
        <v>17</v>
      </c>
      <c r="B855" s="61" t="s">
        <v>18</v>
      </c>
      <c r="C855" s="62" t="s">
        <v>19</v>
      </c>
      <c r="D855" s="63">
        <v>233.4006530494095</v>
      </c>
      <c r="E855" s="79">
        <v>1261009</v>
      </c>
      <c r="F855" s="80">
        <v>1233377.2142857125</v>
      </c>
      <c r="G855" s="66">
        <v>1732.892397801151</v>
      </c>
      <c r="H855" s="67">
        <v>3</v>
      </c>
      <c r="I855" s="68" t="s">
        <v>20</v>
      </c>
      <c r="J855" s="69">
        <v>40</v>
      </c>
      <c r="K855" s="70">
        <v>3</v>
      </c>
      <c r="L855" s="68">
        <v>1</v>
      </c>
      <c r="M855" s="68">
        <f>_xlfn.XLOOKUP(Survey!$F855,sections[Start],sections[Test Section],,-1,1)</f>
        <v>2</v>
      </c>
      <c r="N855" s="55">
        <f>_xlfn.XLOOKUP(Survey!$K855,pipedata[ID],pipedata[WT])</f>
        <v>0.88800000000000001</v>
      </c>
      <c r="O855" s="56">
        <f>_xlfn.XLOOKUP(Survey!$K855,pipedata[ID],pipedata[104%])</f>
        <v>3078.4</v>
      </c>
      <c r="P855" s="57">
        <f t="shared" si="13"/>
        <v>1850</v>
      </c>
      <c r="Q855" s="58">
        <f>_xlfn.MAXIFS(Survey!$G$2:$G$3647,Survey!$M$2:$M$3647,Survey!$M855)-Survey!$G855</f>
        <v>1030.7738464005913</v>
      </c>
      <c r="R855" s="59">
        <f>Survey!$P855+(Survey!$Q855*0.433)</f>
        <v>2296.3250754914561</v>
      </c>
    </row>
    <row r="856" spans="1:18" x14ac:dyDescent="0.25">
      <c r="A856" s="71" t="s">
        <v>17</v>
      </c>
      <c r="B856" s="72" t="s">
        <v>18</v>
      </c>
      <c r="C856" s="73" t="s">
        <v>19</v>
      </c>
      <c r="D856" s="74">
        <v>233.40815791151289</v>
      </c>
      <c r="E856" s="81">
        <v>1261049</v>
      </c>
      <c r="F856" s="82">
        <v>1233416.5238095219</v>
      </c>
      <c r="G856" s="75">
        <v>1724.0466781508219</v>
      </c>
      <c r="H856" s="76">
        <v>3</v>
      </c>
      <c r="I856" s="54" t="s">
        <v>20</v>
      </c>
      <c r="J856" s="77">
        <v>40</v>
      </c>
      <c r="K856" s="78">
        <v>3</v>
      </c>
      <c r="L856" s="54">
        <v>1</v>
      </c>
      <c r="M856" s="54">
        <f>_xlfn.XLOOKUP(Survey!$F856,sections[Start],sections[Test Section],,-1,1)</f>
        <v>2</v>
      </c>
      <c r="N856" s="55">
        <f>_xlfn.XLOOKUP(Survey!$K856,pipedata[ID],pipedata[WT])</f>
        <v>0.88800000000000001</v>
      </c>
      <c r="O856" s="56">
        <f>_xlfn.XLOOKUP(Survey!$K856,pipedata[ID],pipedata[104%])</f>
        <v>3078.4</v>
      </c>
      <c r="P856" s="57">
        <f t="shared" si="13"/>
        <v>1850</v>
      </c>
      <c r="Q856" s="58">
        <f>_xlfn.MAXIFS(Survey!$G$2:$G$3647,Survey!$M$2:$M$3647,Survey!$M856)-Survey!$G856</f>
        <v>1039.6195660509204</v>
      </c>
      <c r="R856" s="59">
        <f>Survey!$P856+(Survey!$Q856*0.433)</f>
        <v>2300.1552721000485</v>
      </c>
    </row>
    <row r="857" spans="1:18" x14ac:dyDescent="0.25">
      <c r="A857" s="60" t="s">
        <v>17</v>
      </c>
      <c r="B857" s="61" t="s">
        <v>18</v>
      </c>
      <c r="C857" s="62" t="s">
        <v>19</v>
      </c>
      <c r="D857" s="63">
        <v>233.41580296702273</v>
      </c>
      <c r="E857" s="79">
        <v>1261089</v>
      </c>
      <c r="F857" s="80">
        <v>1233455.8333333314</v>
      </c>
      <c r="G857" s="66">
        <v>1712.9946904500734</v>
      </c>
      <c r="H857" s="67">
        <v>3</v>
      </c>
      <c r="I857" s="68" t="s">
        <v>20</v>
      </c>
      <c r="J857" s="69">
        <v>40</v>
      </c>
      <c r="K857" s="70">
        <v>3</v>
      </c>
      <c r="L857" s="68">
        <v>1</v>
      </c>
      <c r="M857" s="68">
        <f>_xlfn.XLOOKUP(Survey!$F857,sections[Start],sections[Test Section],,-1,1)</f>
        <v>2</v>
      </c>
      <c r="N857" s="55">
        <f>_xlfn.XLOOKUP(Survey!$K857,pipedata[ID],pipedata[WT])</f>
        <v>0.88800000000000001</v>
      </c>
      <c r="O857" s="56">
        <f>_xlfn.XLOOKUP(Survey!$K857,pipedata[ID],pipedata[104%])</f>
        <v>3078.4</v>
      </c>
      <c r="P857" s="57">
        <f t="shared" si="13"/>
        <v>1850</v>
      </c>
      <c r="Q857" s="58">
        <f>_xlfn.MAXIFS(Survey!$G$2:$G$3647,Survey!$M$2:$M$3647,Survey!$M857)-Survey!$G857</f>
        <v>1050.6715537516689</v>
      </c>
      <c r="R857" s="59">
        <f>Survey!$P857+(Survey!$Q857*0.433)</f>
        <v>2304.9407827744726</v>
      </c>
    </row>
    <row r="858" spans="1:18" x14ac:dyDescent="0.25">
      <c r="A858" s="71" t="s">
        <v>17</v>
      </c>
      <c r="B858" s="72" t="s">
        <v>18</v>
      </c>
      <c r="C858" s="73" t="s">
        <v>19</v>
      </c>
      <c r="D858" s="74">
        <v>233.42304231303225</v>
      </c>
      <c r="E858" s="81">
        <v>1261129</v>
      </c>
      <c r="F858" s="82">
        <v>1233495.1428571409</v>
      </c>
      <c r="G858" s="75">
        <v>1699.592882830769</v>
      </c>
      <c r="H858" s="76">
        <v>3</v>
      </c>
      <c r="I858" s="54" t="s">
        <v>20</v>
      </c>
      <c r="J858" s="77">
        <v>40</v>
      </c>
      <c r="K858" s="78">
        <v>3</v>
      </c>
      <c r="L858" s="54">
        <v>1</v>
      </c>
      <c r="M858" s="54">
        <f>_xlfn.XLOOKUP(Survey!$F858,sections[Start],sections[Test Section],,-1,1)</f>
        <v>2</v>
      </c>
      <c r="N858" s="55">
        <f>_xlfn.XLOOKUP(Survey!$K858,pipedata[ID],pipedata[WT])</f>
        <v>0.88800000000000001</v>
      </c>
      <c r="O858" s="56">
        <f>_xlfn.XLOOKUP(Survey!$K858,pipedata[ID],pipedata[104%])</f>
        <v>3078.4</v>
      </c>
      <c r="P858" s="57">
        <f t="shared" si="13"/>
        <v>1850</v>
      </c>
      <c r="Q858" s="58">
        <f>_xlfn.MAXIFS(Survey!$G$2:$G$3647,Survey!$M$2:$M$3647,Survey!$M858)-Survey!$G858</f>
        <v>1064.0733613709733</v>
      </c>
      <c r="R858" s="59">
        <f>Survey!$P858+(Survey!$Q858*0.433)</f>
        <v>2310.7437654736314</v>
      </c>
    </row>
    <row r="859" spans="1:18" x14ac:dyDescent="0.25">
      <c r="A859" s="60" t="s">
        <v>17</v>
      </c>
      <c r="B859" s="61" t="s">
        <v>18</v>
      </c>
      <c r="C859" s="62" t="s">
        <v>19</v>
      </c>
      <c r="D859" s="63">
        <v>233.43028165904158</v>
      </c>
      <c r="E859" s="79">
        <v>1261169</v>
      </c>
      <c r="F859" s="80">
        <v>1233534.4523809503</v>
      </c>
      <c r="G859" s="66">
        <v>1685.6071998968123</v>
      </c>
      <c r="H859" s="67">
        <v>3</v>
      </c>
      <c r="I859" s="68" t="s">
        <v>20</v>
      </c>
      <c r="J859" s="69">
        <v>40</v>
      </c>
      <c r="K859" s="70">
        <v>3</v>
      </c>
      <c r="L859" s="68">
        <v>1</v>
      </c>
      <c r="M859" s="68">
        <f>_xlfn.XLOOKUP(Survey!$F859,sections[Start],sections[Test Section],,-1,1)</f>
        <v>2</v>
      </c>
      <c r="N859" s="55">
        <f>_xlfn.XLOOKUP(Survey!$K859,pipedata[ID],pipedata[WT])</f>
        <v>0.88800000000000001</v>
      </c>
      <c r="O859" s="56">
        <f>_xlfn.XLOOKUP(Survey!$K859,pipedata[ID],pipedata[104%])</f>
        <v>3078.4</v>
      </c>
      <c r="P859" s="57">
        <f t="shared" si="13"/>
        <v>1850</v>
      </c>
      <c r="Q859" s="58">
        <f>_xlfn.MAXIFS(Survey!$G$2:$G$3647,Survey!$M$2:$M$3647,Survey!$M859)-Survey!$G859</f>
        <v>1078.05904430493</v>
      </c>
      <c r="R859" s="59">
        <f>Survey!$P859+(Survey!$Q859*0.433)</f>
        <v>2316.7995661840346</v>
      </c>
    </row>
    <row r="860" spans="1:18" x14ac:dyDescent="0.25">
      <c r="A860" s="71" t="s">
        <v>17</v>
      </c>
      <c r="B860" s="72" t="s">
        <v>18</v>
      </c>
      <c r="C860" s="73" t="s">
        <v>19</v>
      </c>
      <c r="D860" s="74">
        <v>233.43693495739316</v>
      </c>
      <c r="E860" s="81">
        <v>1261209</v>
      </c>
      <c r="F860" s="82">
        <v>1233573.7619047598</v>
      </c>
      <c r="G860" s="75">
        <v>1671.8803777373582</v>
      </c>
      <c r="H860" s="76">
        <v>3</v>
      </c>
      <c r="I860" s="54" t="s">
        <v>20</v>
      </c>
      <c r="J860" s="77">
        <v>40</v>
      </c>
      <c r="K860" s="78">
        <v>3</v>
      </c>
      <c r="L860" s="54">
        <v>1</v>
      </c>
      <c r="M860" s="54">
        <f>_xlfn.XLOOKUP(Survey!$F860,sections[Start],sections[Test Section],,-1,1)</f>
        <v>2</v>
      </c>
      <c r="N860" s="55">
        <f>_xlfn.XLOOKUP(Survey!$K860,pipedata[ID],pipedata[WT])</f>
        <v>0.88800000000000001</v>
      </c>
      <c r="O860" s="56">
        <f>_xlfn.XLOOKUP(Survey!$K860,pipedata[ID],pipedata[104%])</f>
        <v>3078.4</v>
      </c>
      <c r="P860" s="57">
        <f t="shared" si="13"/>
        <v>1850</v>
      </c>
      <c r="Q860" s="58">
        <f>_xlfn.MAXIFS(Survey!$G$2:$G$3647,Survey!$M$2:$M$3647,Survey!$M860)-Survey!$G860</f>
        <v>1091.7858664643841</v>
      </c>
      <c r="R860" s="59">
        <f>Survey!$P860+(Survey!$Q860*0.433)</f>
        <v>2322.7432801790783</v>
      </c>
    </row>
    <row r="861" spans="1:18" x14ac:dyDescent="0.25">
      <c r="A861" s="60" t="s">
        <v>17</v>
      </c>
      <c r="B861" s="61" t="s">
        <v>18</v>
      </c>
      <c r="C861" s="62" t="s">
        <v>19</v>
      </c>
      <c r="D861" s="63">
        <v>233.44476035106049</v>
      </c>
      <c r="E861" s="79">
        <v>1261249</v>
      </c>
      <c r="F861" s="80">
        <v>1233613.0714285693</v>
      </c>
      <c r="G861" s="66">
        <v>1660.3164755990767</v>
      </c>
      <c r="H861" s="67">
        <v>3</v>
      </c>
      <c r="I861" s="68" t="s">
        <v>20</v>
      </c>
      <c r="J861" s="69">
        <v>40</v>
      </c>
      <c r="K861" s="70">
        <v>3</v>
      </c>
      <c r="L861" s="68">
        <v>1</v>
      </c>
      <c r="M861" s="68">
        <f>_xlfn.XLOOKUP(Survey!$F861,sections[Start],sections[Test Section],,-1,1)</f>
        <v>2</v>
      </c>
      <c r="N861" s="55">
        <f>_xlfn.XLOOKUP(Survey!$K861,pipedata[ID],pipedata[WT])</f>
        <v>0.88800000000000001</v>
      </c>
      <c r="O861" s="56">
        <f>_xlfn.XLOOKUP(Survey!$K861,pipedata[ID],pipedata[104%])</f>
        <v>3078.4</v>
      </c>
      <c r="P861" s="57">
        <f t="shared" si="13"/>
        <v>1850</v>
      </c>
      <c r="Q861" s="58">
        <f>_xlfn.MAXIFS(Survey!$G$2:$G$3647,Survey!$M$2:$M$3647,Survey!$M861)-Survey!$G861</f>
        <v>1103.3497686026656</v>
      </c>
      <c r="R861" s="59">
        <f>Survey!$P861+(Survey!$Q861*0.433)</f>
        <v>2327.7504498049543</v>
      </c>
    </row>
    <row r="862" spans="1:18" x14ac:dyDescent="0.25">
      <c r="A862" s="71" t="s">
        <v>17</v>
      </c>
      <c r="B862" s="72" t="s">
        <v>18</v>
      </c>
      <c r="C862" s="73" t="s">
        <v>19</v>
      </c>
      <c r="D862" s="74">
        <v>233.45199969707002</v>
      </c>
      <c r="E862" s="81">
        <v>1261289</v>
      </c>
      <c r="F862" s="82">
        <v>1233652.3809523787</v>
      </c>
      <c r="G862" s="75">
        <v>1649.4519422829376</v>
      </c>
      <c r="H862" s="76">
        <v>3</v>
      </c>
      <c r="I862" s="54" t="s">
        <v>20</v>
      </c>
      <c r="J862" s="77">
        <v>40</v>
      </c>
      <c r="K862" s="78">
        <v>3</v>
      </c>
      <c r="L862" s="54">
        <v>1</v>
      </c>
      <c r="M862" s="54">
        <f>_xlfn.XLOOKUP(Survey!$F862,sections[Start],sections[Test Section],,-1,1)</f>
        <v>2</v>
      </c>
      <c r="N862" s="55">
        <f>_xlfn.XLOOKUP(Survey!$K862,pipedata[ID],pipedata[WT])</f>
        <v>0.88800000000000001</v>
      </c>
      <c r="O862" s="56">
        <f>_xlfn.XLOOKUP(Survey!$K862,pipedata[ID],pipedata[104%])</f>
        <v>3078.4</v>
      </c>
      <c r="P862" s="57">
        <f t="shared" si="13"/>
        <v>1850</v>
      </c>
      <c r="Q862" s="58">
        <f>_xlfn.MAXIFS(Survey!$G$2:$G$3647,Survey!$M$2:$M$3647,Survey!$M862)-Survey!$G862</f>
        <v>1114.2143019188047</v>
      </c>
      <c r="R862" s="59">
        <f>Survey!$P862+(Survey!$Q862*0.433)</f>
        <v>2332.4547927308422</v>
      </c>
    </row>
    <row r="863" spans="1:18" x14ac:dyDescent="0.25">
      <c r="A863" s="60" t="s">
        <v>17</v>
      </c>
      <c r="B863" s="61" t="s">
        <v>18</v>
      </c>
      <c r="C863" s="62" t="s">
        <v>19</v>
      </c>
      <c r="D863" s="63">
        <v>233.45923904307935</v>
      </c>
      <c r="E863" s="79">
        <v>1261329</v>
      </c>
      <c r="F863" s="80">
        <v>1233691.6904761882</v>
      </c>
      <c r="G863" s="66">
        <v>1639.4814987223594</v>
      </c>
      <c r="H863" s="67">
        <v>3</v>
      </c>
      <c r="I863" s="68" t="s">
        <v>20</v>
      </c>
      <c r="J863" s="69">
        <v>40</v>
      </c>
      <c r="K863" s="70">
        <v>3</v>
      </c>
      <c r="L863" s="68">
        <v>1</v>
      </c>
      <c r="M863" s="68">
        <f>_xlfn.XLOOKUP(Survey!$F863,sections[Start],sections[Test Section],,-1,1)</f>
        <v>2</v>
      </c>
      <c r="N863" s="55">
        <f>_xlfn.XLOOKUP(Survey!$K863,pipedata[ID],pipedata[WT])</f>
        <v>0.88800000000000001</v>
      </c>
      <c r="O863" s="56">
        <f>_xlfn.XLOOKUP(Survey!$K863,pipedata[ID],pipedata[104%])</f>
        <v>3078.4</v>
      </c>
      <c r="P863" s="57">
        <f t="shared" si="13"/>
        <v>1850</v>
      </c>
      <c r="Q863" s="58">
        <f>_xlfn.MAXIFS(Survey!$G$2:$G$3647,Survey!$M$2:$M$3647,Survey!$M863)-Survey!$G863</f>
        <v>1124.1847454793829</v>
      </c>
      <c r="R863" s="59">
        <f>Survey!$P863+(Survey!$Q863*0.433)</f>
        <v>2336.771994792573</v>
      </c>
    </row>
    <row r="864" spans="1:18" x14ac:dyDescent="0.25">
      <c r="A864" s="71" t="s">
        <v>17</v>
      </c>
      <c r="B864" s="72" t="s">
        <v>18</v>
      </c>
      <c r="C864" s="73" t="s">
        <v>19</v>
      </c>
      <c r="D864" s="74">
        <v>233.46662638949934</v>
      </c>
      <c r="E864" s="81">
        <v>1261369</v>
      </c>
      <c r="F864" s="82">
        <v>1233730.9999999977</v>
      </c>
      <c r="G864" s="75">
        <v>1630.7842064874246</v>
      </c>
      <c r="H864" s="76">
        <v>3</v>
      </c>
      <c r="I864" s="54" t="s">
        <v>20</v>
      </c>
      <c r="J864" s="77">
        <v>40</v>
      </c>
      <c r="K864" s="78">
        <v>3</v>
      </c>
      <c r="L864" s="54">
        <v>1</v>
      </c>
      <c r="M864" s="54">
        <f>_xlfn.XLOOKUP(Survey!$F864,sections[Start],sections[Test Section],,-1,1)</f>
        <v>2</v>
      </c>
      <c r="N864" s="55">
        <f>_xlfn.XLOOKUP(Survey!$K864,pipedata[ID],pipedata[WT])</f>
        <v>0.88800000000000001</v>
      </c>
      <c r="O864" s="56">
        <f>_xlfn.XLOOKUP(Survey!$K864,pipedata[ID],pipedata[104%])</f>
        <v>3078.4</v>
      </c>
      <c r="P864" s="57">
        <f t="shared" si="13"/>
        <v>1850</v>
      </c>
      <c r="Q864" s="58">
        <f>_xlfn.MAXIFS(Survey!$G$2:$G$3647,Survey!$M$2:$M$3647,Survey!$M864)-Survey!$G864</f>
        <v>1132.8820377143177</v>
      </c>
      <c r="R864" s="59">
        <f>Survey!$P864+(Survey!$Q864*0.433)</f>
        <v>2340.5379223302994</v>
      </c>
    </row>
    <row r="865" spans="1:18" x14ac:dyDescent="0.25">
      <c r="A865" s="60" t="s">
        <v>17</v>
      </c>
      <c r="B865" s="61" t="s">
        <v>18</v>
      </c>
      <c r="C865" s="62" t="s">
        <v>19</v>
      </c>
      <c r="D865" s="63">
        <v>233.4742056814888</v>
      </c>
      <c r="E865" s="79">
        <v>1261409</v>
      </c>
      <c r="F865" s="80">
        <v>1233770.3095238071</v>
      </c>
      <c r="G865" s="66">
        <v>1624.9994728276024</v>
      </c>
      <c r="H865" s="67">
        <v>3</v>
      </c>
      <c r="I865" s="68" t="s">
        <v>20</v>
      </c>
      <c r="J865" s="69">
        <v>40</v>
      </c>
      <c r="K865" s="70">
        <v>3</v>
      </c>
      <c r="L865" s="68">
        <v>1</v>
      </c>
      <c r="M865" s="68">
        <f>_xlfn.XLOOKUP(Survey!$F865,sections[Start],sections[Test Section],,-1,1)</f>
        <v>2</v>
      </c>
      <c r="N865" s="55">
        <f>_xlfn.XLOOKUP(Survey!$K865,pipedata[ID],pipedata[WT])</f>
        <v>0.88800000000000001</v>
      </c>
      <c r="O865" s="56">
        <f>_xlfn.XLOOKUP(Survey!$K865,pipedata[ID],pipedata[104%])</f>
        <v>3078.4</v>
      </c>
      <c r="P865" s="57">
        <f t="shared" si="13"/>
        <v>1850</v>
      </c>
      <c r="Q865" s="58">
        <f>_xlfn.MAXIFS(Survey!$G$2:$G$3647,Survey!$M$2:$M$3647,Survey!$M865)-Survey!$G865</f>
        <v>1138.6667713741399</v>
      </c>
      <c r="R865" s="59">
        <f>Survey!$P865+(Survey!$Q865*0.433)</f>
        <v>2343.0427120050026</v>
      </c>
    </row>
    <row r="866" spans="1:18" x14ac:dyDescent="0.25">
      <c r="A866" s="71" t="s">
        <v>17</v>
      </c>
      <c r="B866" s="72" t="s">
        <v>18</v>
      </c>
      <c r="C866" s="73" t="s">
        <v>19</v>
      </c>
      <c r="D866" s="74">
        <v>233.48073891734481</v>
      </c>
      <c r="E866" s="81">
        <v>1261449</v>
      </c>
      <c r="F866" s="82">
        <v>1233809.6190476166</v>
      </c>
      <c r="G866" s="75">
        <v>1620.5443635994329</v>
      </c>
      <c r="H866" s="76">
        <v>3</v>
      </c>
      <c r="I866" s="54" t="s">
        <v>20</v>
      </c>
      <c r="J866" s="77">
        <v>40</v>
      </c>
      <c r="K866" s="78">
        <v>3</v>
      </c>
      <c r="L866" s="54">
        <v>1</v>
      </c>
      <c r="M866" s="54">
        <f>_xlfn.XLOOKUP(Survey!$F866,sections[Start],sections[Test Section],,-1,1)</f>
        <v>2</v>
      </c>
      <c r="N866" s="55">
        <f>_xlfn.XLOOKUP(Survey!$K866,pipedata[ID],pipedata[WT])</f>
        <v>0.88800000000000001</v>
      </c>
      <c r="O866" s="56">
        <f>_xlfn.XLOOKUP(Survey!$K866,pipedata[ID],pipedata[104%])</f>
        <v>3078.4</v>
      </c>
      <c r="P866" s="57">
        <f t="shared" si="13"/>
        <v>1850</v>
      </c>
      <c r="Q866" s="58">
        <f>_xlfn.MAXIFS(Survey!$G$2:$G$3647,Survey!$M$2:$M$3647,Survey!$M866)-Survey!$G866</f>
        <v>1143.1218806023094</v>
      </c>
      <c r="R866" s="59">
        <f>Survey!$P866+(Survey!$Q866*0.433)</f>
        <v>2344.9717743008</v>
      </c>
    </row>
    <row r="867" spans="1:18" x14ac:dyDescent="0.25">
      <c r="A867" s="60" t="s">
        <v>17</v>
      </c>
      <c r="B867" s="61" t="s">
        <v>18</v>
      </c>
      <c r="C867" s="62" t="s">
        <v>19</v>
      </c>
      <c r="D867" s="63">
        <v>233.48778853066307</v>
      </c>
      <c r="E867" s="79">
        <v>1261489</v>
      </c>
      <c r="F867" s="80">
        <v>1233848.9285714261</v>
      </c>
      <c r="G867" s="66">
        <v>1618.423731177031</v>
      </c>
      <c r="H867" s="67">
        <v>3</v>
      </c>
      <c r="I867" s="68" t="s">
        <v>20</v>
      </c>
      <c r="J867" s="69">
        <v>40</v>
      </c>
      <c r="K867" s="70">
        <v>3</v>
      </c>
      <c r="L867" s="68">
        <v>1</v>
      </c>
      <c r="M867" s="68">
        <f>_xlfn.XLOOKUP(Survey!$F867,sections[Start],sections[Test Section],,-1,1)</f>
        <v>2</v>
      </c>
      <c r="N867" s="55">
        <f>_xlfn.XLOOKUP(Survey!$K867,pipedata[ID],pipedata[WT])</f>
        <v>0.88800000000000001</v>
      </c>
      <c r="O867" s="56">
        <f>_xlfn.XLOOKUP(Survey!$K867,pipedata[ID],pipedata[104%])</f>
        <v>3078.4</v>
      </c>
      <c r="P867" s="57">
        <f t="shared" si="13"/>
        <v>1850</v>
      </c>
      <c r="Q867" s="58">
        <f>_xlfn.MAXIFS(Survey!$G$2:$G$3647,Survey!$M$2:$M$3647,Survey!$M867)-Survey!$G867</f>
        <v>1145.2425130247113</v>
      </c>
      <c r="R867" s="59">
        <f>Survey!$P867+(Survey!$Q867*0.433)</f>
        <v>2345.8900081397001</v>
      </c>
    </row>
    <row r="868" spans="1:18" x14ac:dyDescent="0.25">
      <c r="A868" s="71" t="s">
        <v>17</v>
      </c>
      <c r="B868" s="72" t="s">
        <v>18</v>
      </c>
      <c r="C868" s="73" t="s">
        <v>19</v>
      </c>
      <c r="D868" s="74">
        <v>233.49611857437301</v>
      </c>
      <c r="E868" s="81">
        <v>1261529</v>
      </c>
      <c r="F868" s="82">
        <v>1233888.2380952355</v>
      </c>
      <c r="G868" s="75">
        <v>1620.7535075197502</v>
      </c>
      <c r="H868" s="76">
        <v>3</v>
      </c>
      <c r="I868" s="54" t="s">
        <v>20</v>
      </c>
      <c r="J868" s="77">
        <v>40</v>
      </c>
      <c r="K868" s="78">
        <v>3</v>
      </c>
      <c r="L868" s="54">
        <v>1</v>
      </c>
      <c r="M868" s="54">
        <f>_xlfn.XLOOKUP(Survey!$F868,sections[Start],sections[Test Section],,-1,1)</f>
        <v>2</v>
      </c>
      <c r="N868" s="55">
        <f>_xlfn.XLOOKUP(Survey!$K868,pipedata[ID],pipedata[WT])</f>
        <v>0.88800000000000001</v>
      </c>
      <c r="O868" s="56">
        <f>_xlfn.XLOOKUP(Survey!$K868,pipedata[ID],pipedata[104%])</f>
        <v>3078.4</v>
      </c>
      <c r="P868" s="57">
        <f t="shared" si="13"/>
        <v>1850</v>
      </c>
      <c r="Q868" s="58">
        <f>_xlfn.MAXIFS(Survey!$G$2:$G$3647,Survey!$M$2:$M$3647,Survey!$M868)-Survey!$G868</f>
        <v>1142.9127366819921</v>
      </c>
      <c r="R868" s="59">
        <f>Survey!$P868+(Survey!$Q868*0.433)</f>
        <v>2344.8812149833025</v>
      </c>
    </row>
    <row r="869" spans="1:18" x14ac:dyDescent="0.25">
      <c r="A869" s="60" t="s">
        <v>17</v>
      </c>
      <c r="B869" s="61" t="s">
        <v>18</v>
      </c>
      <c r="C869" s="62" t="s">
        <v>19</v>
      </c>
      <c r="D869" s="63">
        <v>233.50382834049594</v>
      </c>
      <c r="E869" s="79">
        <v>1261569</v>
      </c>
      <c r="F869" s="80">
        <v>1233927.547619045</v>
      </c>
      <c r="G869" s="66">
        <v>1619.4894876442779</v>
      </c>
      <c r="H869" s="67">
        <v>3</v>
      </c>
      <c r="I869" s="68" t="s">
        <v>20</v>
      </c>
      <c r="J869" s="69">
        <v>40</v>
      </c>
      <c r="K869" s="70">
        <v>3</v>
      </c>
      <c r="L869" s="68">
        <v>1</v>
      </c>
      <c r="M869" s="68">
        <f>_xlfn.XLOOKUP(Survey!$F869,sections[Start],sections[Test Section],,-1,1)</f>
        <v>2</v>
      </c>
      <c r="N869" s="55">
        <f>_xlfn.XLOOKUP(Survey!$K869,pipedata[ID],pipedata[WT])</f>
        <v>0.88800000000000001</v>
      </c>
      <c r="O869" s="56">
        <f>_xlfn.XLOOKUP(Survey!$K869,pipedata[ID],pipedata[104%])</f>
        <v>3078.4</v>
      </c>
      <c r="P869" s="57">
        <f t="shared" si="13"/>
        <v>1850</v>
      </c>
      <c r="Q869" s="58">
        <f>_xlfn.MAXIFS(Survey!$G$2:$G$3647,Survey!$M$2:$M$3647,Survey!$M869)-Survey!$G869</f>
        <v>1144.1767565574644</v>
      </c>
      <c r="R869" s="59">
        <f>Survey!$P869+(Survey!$Q869*0.433)</f>
        <v>2345.4285355893821</v>
      </c>
    </row>
    <row r="870" spans="1:18" x14ac:dyDescent="0.25">
      <c r="A870" s="71" t="s">
        <v>17</v>
      </c>
      <c r="B870" s="72" t="s">
        <v>18</v>
      </c>
      <c r="C870" s="73" t="s">
        <v>19</v>
      </c>
      <c r="D870" s="74">
        <v>233.5100414286438</v>
      </c>
      <c r="E870" s="81">
        <v>1261609</v>
      </c>
      <c r="F870" s="82">
        <v>1233966.8571428545</v>
      </c>
      <c r="G870" s="75">
        <v>1620.9230227679318</v>
      </c>
      <c r="H870" s="76">
        <v>3</v>
      </c>
      <c r="I870" s="54" t="s">
        <v>20</v>
      </c>
      <c r="J870" s="77">
        <v>40</v>
      </c>
      <c r="K870" s="78">
        <v>3</v>
      </c>
      <c r="L870" s="54">
        <v>1</v>
      </c>
      <c r="M870" s="54">
        <f>_xlfn.XLOOKUP(Survey!$F870,sections[Start],sections[Test Section],,-1,1)</f>
        <v>2</v>
      </c>
      <c r="N870" s="55">
        <f>_xlfn.XLOOKUP(Survey!$K870,pipedata[ID],pipedata[WT])</f>
        <v>0.88800000000000001</v>
      </c>
      <c r="O870" s="56">
        <f>_xlfn.XLOOKUP(Survey!$K870,pipedata[ID],pipedata[104%])</f>
        <v>3078.4</v>
      </c>
      <c r="P870" s="57">
        <f t="shared" si="13"/>
        <v>1850</v>
      </c>
      <c r="Q870" s="58">
        <f>_xlfn.MAXIFS(Survey!$G$2:$G$3647,Survey!$M$2:$M$3647,Survey!$M870)-Survey!$G870</f>
        <v>1142.7432214338105</v>
      </c>
      <c r="R870" s="59">
        <f>Survey!$P870+(Survey!$Q870*0.433)</f>
        <v>2344.8078148808399</v>
      </c>
    </row>
    <row r="871" spans="1:18" x14ac:dyDescent="0.25">
      <c r="A871" s="60" t="s">
        <v>17</v>
      </c>
      <c r="B871" s="61" t="s">
        <v>18</v>
      </c>
      <c r="C871" s="62" t="s">
        <v>19</v>
      </c>
      <c r="D871" s="63">
        <v>233.51816495993918</v>
      </c>
      <c r="E871" s="79">
        <v>1261649</v>
      </c>
      <c r="F871" s="80">
        <v>1234006.166666664</v>
      </c>
      <c r="G871" s="66">
        <v>1622.5283140748722</v>
      </c>
      <c r="H871" s="67">
        <v>3</v>
      </c>
      <c r="I871" s="68" t="s">
        <v>20</v>
      </c>
      <c r="J871" s="69">
        <v>40</v>
      </c>
      <c r="K871" s="70">
        <v>3</v>
      </c>
      <c r="L871" s="68">
        <v>1</v>
      </c>
      <c r="M871" s="68">
        <f>_xlfn.XLOOKUP(Survey!$F871,sections[Start],sections[Test Section],,-1,1)</f>
        <v>2</v>
      </c>
      <c r="N871" s="55">
        <f>_xlfn.XLOOKUP(Survey!$K871,pipedata[ID],pipedata[WT])</f>
        <v>0.88800000000000001</v>
      </c>
      <c r="O871" s="56">
        <f>_xlfn.XLOOKUP(Survey!$K871,pipedata[ID],pipedata[104%])</f>
        <v>3078.4</v>
      </c>
      <c r="P871" s="57">
        <f t="shared" si="13"/>
        <v>1850</v>
      </c>
      <c r="Q871" s="58">
        <f>_xlfn.MAXIFS(Survey!$G$2:$G$3647,Survey!$M$2:$M$3647,Survey!$M871)-Survey!$G871</f>
        <v>1141.1379301268701</v>
      </c>
      <c r="R871" s="59">
        <f>Survey!$P871+(Survey!$Q871*0.433)</f>
        <v>2344.1127237449346</v>
      </c>
    </row>
    <row r="872" spans="1:18" x14ac:dyDescent="0.25">
      <c r="A872" s="71" t="s">
        <v>17</v>
      </c>
      <c r="B872" s="72" t="s">
        <v>18</v>
      </c>
      <c r="C872" s="73" t="s">
        <v>19</v>
      </c>
      <c r="D872" s="74">
        <v>233.52635731390654</v>
      </c>
      <c r="E872" s="81">
        <v>1261689</v>
      </c>
      <c r="F872" s="82">
        <v>1234045.4761904734</v>
      </c>
      <c r="G872" s="75">
        <v>1625.6783117418411</v>
      </c>
      <c r="H872" s="76">
        <v>3</v>
      </c>
      <c r="I872" s="54" t="s">
        <v>20</v>
      </c>
      <c r="J872" s="77">
        <v>40</v>
      </c>
      <c r="K872" s="78">
        <v>3</v>
      </c>
      <c r="L872" s="54">
        <v>1</v>
      </c>
      <c r="M872" s="54">
        <f>_xlfn.XLOOKUP(Survey!$F872,sections[Start],sections[Test Section],,-1,1)</f>
        <v>2</v>
      </c>
      <c r="N872" s="55">
        <f>_xlfn.XLOOKUP(Survey!$K872,pipedata[ID],pipedata[WT])</f>
        <v>0.88800000000000001</v>
      </c>
      <c r="O872" s="56">
        <f>_xlfn.XLOOKUP(Survey!$K872,pipedata[ID],pipedata[104%])</f>
        <v>3078.4</v>
      </c>
      <c r="P872" s="57">
        <f t="shared" si="13"/>
        <v>1850</v>
      </c>
      <c r="Q872" s="58">
        <f>_xlfn.MAXIFS(Survey!$G$2:$G$3647,Survey!$M$2:$M$3647,Survey!$M872)-Survey!$G872</f>
        <v>1137.9879324599012</v>
      </c>
      <c r="R872" s="59">
        <f>Survey!$P872+(Survey!$Q872*0.433)</f>
        <v>2342.7487747551372</v>
      </c>
    </row>
    <row r="873" spans="1:18" x14ac:dyDescent="0.25">
      <c r="A873" s="60" t="s">
        <v>17</v>
      </c>
      <c r="B873" s="61" t="s">
        <v>18</v>
      </c>
      <c r="C873" s="62" t="s">
        <v>19</v>
      </c>
      <c r="D873" s="63">
        <v>233.5345496678739</v>
      </c>
      <c r="E873" s="79">
        <v>1261729</v>
      </c>
      <c r="F873" s="80">
        <v>1234084.7857142829</v>
      </c>
      <c r="G873" s="66">
        <v>1629.0356183417439</v>
      </c>
      <c r="H873" s="67">
        <v>3</v>
      </c>
      <c r="I873" s="68" t="s">
        <v>20</v>
      </c>
      <c r="J873" s="69">
        <v>40</v>
      </c>
      <c r="K873" s="70">
        <v>3</v>
      </c>
      <c r="L873" s="68">
        <v>1</v>
      </c>
      <c r="M873" s="68">
        <f>_xlfn.XLOOKUP(Survey!$F873,sections[Start],sections[Test Section],,-1,1)</f>
        <v>2</v>
      </c>
      <c r="N873" s="55">
        <f>_xlfn.XLOOKUP(Survey!$K873,pipedata[ID],pipedata[WT])</f>
        <v>0.88800000000000001</v>
      </c>
      <c r="O873" s="56">
        <f>_xlfn.XLOOKUP(Survey!$K873,pipedata[ID],pipedata[104%])</f>
        <v>3078.4</v>
      </c>
      <c r="P873" s="57">
        <f t="shared" si="13"/>
        <v>1850</v>
      </c>
      <c r="Q873" s="58">
        <f>_xlfn.MAXIFS(Survey!$G$2:$G$3647,Survey!$M$2:$M$3647,Survey!$M873)-Survey!$G873</f>
        <v>1134.6306258599984</v>
      </c>
      <c r="R873" s="59">
        <f>Survey!$P873+(Survey!$Q873*0.433)</f>
        <v>2341.2950609973796</v>
      </c>
    </row>
    <row r="874" spans="1:18" x14ac:dyDescent="0.25">
      <c r="A874" s="71" t="s">
        <v>17</v>
      </c>
      <c r="B874" s="72" t="s">
        <v>18</v>
      </c>
      <c r="C874" s="73" t="s">
        <v>19</v>
      </c>
      <c r="D874" s="74">
        <v>233.54136785075414</v>
      </c>
      <c r="E874" s="81">
        <v>1261769</v>
      </c>
      <c r="F874" s="82">
        <v>1234124.0952380924</v>
      </c>
      <c r="G874" s="75">
        <v>1633.2653739774823</v>
      </c>
      <c r="H874" s="76">
        <v>3</v>
      </c>
      <c r="I874" s="54" t="s">
        <v>20</v>
      </c>
      <c r="J874" s="77">
        <v>40</v>
      </c>
      <c r="K874" s="78">
        <v>3</v>
      </c>
      <c r="L874" s="54">
        <v>1</v>
      </c>
      <c r="M874" s="54">
        <f>_xlfn.XLOOKUP(Survey!$F874,sections[Start],sections[Test Section],,-1,1)</f>
        <v>2</v>
      </c>
      <c r="N874" s="55">
        <f>_xlfn.XLOOKUP(Survey!$K874,pipedata[ID],pipedata[WT])</f>
        <v>0.88800000000000001</v>
      </c>
      <c r="O874" s="56">
        <f>_xlfn.XLOOKUP(Survey!$K874,pipedata[ID],pipedata[104%])</f>
        <v>3078.4</v>
      </c>
      <c r="P874" s="57">
        <f t="shared" si="13"/>
        <v>1850</v>
      </c>
      <c r="Q874" s="58">
        <f>_xlfn.MAXIFS(Survey!$G$2:$G$3647,Survey!$M$2:$M$3647,Survey!$M874)-Survey!$G874</f>
        <v>1130.40087022426</v>
      </c>
      <c r="R874" s="59">
        <f>Survey!$P874+(Survey!$Q874*0.433)</f>
        <v>2339.4635768071048</v>
      </c>
    </row>
    <row r="875" spans="1:18" x14ac:dyDescent="0.25">
      <c r="A875" s="60" t="s">
        <v>17</v>
      </c>
      <c r="B875" s="61" t="s">
        <v>18</v>
      </c>
      <c r="C875" s="62" t="s">
        <v>19</v>
      </c>
      <c r="D875" s="63">
        <v>233.54968259098172</v>
      </c>
      <c r="E875" s="64">
        <v>1261809</v>
      </c>
      <c r="F875" s="65">
        <v>1234163.4047619018</v>
      </c>
      <c r="G875" s="66">
        <v>1635.7144833119489</v>
      </c>
      <c r="H875" s="67">
        <v>3</v>
      </c>
      <c r="I875" s="68" t="s">
        <v>20</v>
      </c>
      <c r="J875" s="69">
        <v>40</v>
      </c>
      <c r="K875" s="70">
        <v>3</v>
      </c>
      <c r="L875" s="68">
        <v>1</v>
      </c>
      <c r="M875" s="68">
        <f>_xlfn.XLOOKUP(Survey!$F875,sections[Start],sections[Test Section],,-1,1)</f>
        <v>2</v>
      </c>
      <c r="N875" s="55">
        <f>_xlfn.XLOOKUP(Survey!$K875,pipedata[ID],pipedata[WT])</f>
        <v>0.88800000000000001</v>
      </c>
      <c r="O875" s="56">
        <f>_xlfn.XLOOKUP(Survey!$K875,pipedata[ID],pipedata[104%])</f>
        <v>3078.4</v>
      </c>
      <c r="P875" s="57">
        <f t="shared" si="13"/>
        <v>1850</v>
      </c>
      <c r="Q875" s="58">
        <f>_xlfn.MAXIFS(Survey!$G$2:$G$3647,Survey!$M$2:$M$3647,Survey!$M875)-Survey!$G875</f>
        <v>1127.9517608897934</v>
      </c>
      <c r="R875" s="59">
        <f>Survey!$P875+(Survey!$Q875*0.433)</f>
        <v>2338.4031124652806</v>
      </c>
    </row>
    <row r="876" spans="1:18" x14ac:dyDescent="0.25">
      <c r="A876" s="71" t="s">
        <v>17</v>
      </c>
      <c r="B876" s="72" t="s">
        <v>18</v>
      </c>
      <c r="C876" s="73" t="s">
        <v>19</v>
      </c>
      <c r="D876" s="74">
        <v>233.55727441953107</v>
      </c>
      <c r="E876" s="81">
        <v>1261849</v>
      </c>
      <c r="F876" s="82">
        <v>1234202.7142857113</v>
      </c>
      <c r="G876" s="75">
        <v>1637.5998126029967</v>
      </c>
      <c r="H876" s="76">
        <v>3</v>
      </c>
      <c r="I876" s="54" t="s">
        <v>20</v>
      </c>
      <c r="J876" s="77">
        <v>40</v>
      </c>
      <c r="K876" s="78">
        <v>3</v>
      </c>
      <c r="L876" s="54">
        <v>1</v>
      </c>
      <c r="M876" s="54">
        <f>_xlfn.XLOOKUP(Survey!$F876,sections[Start],sections[Test Section],,-1,1)</f>
        <v>2</v>
      </c>
      <c r="N876" s="55">
        <f>_xlfn.XLOOKUP(Survey!$K876,pipedata[ID],pipedata[WT])</f>
        <v>0.88800000000000001</v>
      </c>
      <c r="O876" s="56">
        <f>_xlfn.XLOOKUP(Survey!$K876,pipedata[ID],pipedata[104%])</f>
        <v>3078.4</v>
      </c>
      <c r="P876" s="57">
        <f t="shared" si="13"/>
        <v>1850</v>
      </c>
      <c r="Q876" s="58">
        <f>_xlfn.MAXIFS(Survey!$G$2:$G$3647,Survey!$M$2:$M$3647,Survey!$M876)-Survey!$G876</f>
        <v>1126.0664315987456</v>
      </c>
      <c r="R876" s="59">
        <f>Survey!$P876+(Survey!$Q876*0.433)</f>
        <v>2337.5867648822568</v>
      </c>
    </row>
    <row r="877" spans="1:18" x14ac:dyDescent="0.25">
      <c r="A877" s="60" t="s">
        <v>17</v>
      </c>
      <c r="B877" s="61" t="s">
        <v>18</v>
      </c>
      <c r="C877" s="62" t="s">
        <v>19</v>
      </c>
      <c r="D877" s="63">
        <v>233.56367466657247</v>
      </c>
      <c r="E877" s="64">
        <v>1261889</v>
      </c>
      <c r="F877" s="65">
        <v>1234242.0238095208</v>
      </c>
      <c r="G877" s="66">
        <v>1636.2528967989813</v>
      </c>
      <c r="H877" s="67">
        <v>3</v>
      </c>
      <c r="I877" s="68" t="s">
        <v>20</v>
      </c>
      <c r="J877" s="69">
        <v>40</v>
      </c>
      <c r="K877" s="70">
        <v>3</v>
      </c>
      <c r="L877" s="68">
        <v>1</v>
      </c>
      <c r="M877" s="68">
        <f>_xlfn.XLOOKUP(Survey!$F877,sections[Start],sections[Test Section],,-1,1)</f>
        <v>2</v>
      </c>
      <c r="N877" s="55">
        <f>_xlfn.XLOOKUP(Survey!$K877,pipedata[ID],pipedata[WT])</f>
        <v>0.88800000000000001</v>
      </c>
      <c r="O877" s="56">
        <f>_xlfn.XLOOKUP(Survey!$K877,pipedata[ID],pipedata[104%])</f>
        <v>3078.4</v>
      </c>
      <c r="P877" s="57">
        <f t="shared" si="13"/>
        <v>1850</v>
      </c>
      <c r="Q877" s="58">
        <f>_xlfn.MAXIFS(Survey!$G$2:$G$3647,Survey!$M$2:$M$3647,Survey!$M877)-Survey!$G877</f>
        <v>1127.413347402761</v>
      </c>
      <c r="R877" s="59">
        <f>Survey!$P877+(Survey!$Q877*0.433)</f>
        <v>2338.1699794253955</v>
      </c>
    </row>
    <row r="878" spans="1:18" x14ac:dyDescent="0.25">
      <c r="A878" s="71" t="s">
        <v>17</v>
      </c>
      <c r="B878" s="72" t="s">
        <v>18</v>
      </c>
      <c r="C878" s="73" t="s">
        <v>19</v>
      </c>
      <c r="D878" s="74">
        <v>233.57220832929443</v>
      </c>
      <c r="E878" s="81">
        <v>1261929</v>
      </c>
      <c r="F878" s="82">
        <v>1234281.3333333302</v>
      </c>
      <c r="G878" s="75">
        <v>1632.8419932074287</v>
      </c>
      <c r="H878" s="76">
        <v>3</v>
      </c>
      <c r="I878" s="54" t="s">
        <v>20</v>
      </c>
      <c r="J878" s="77">
        <v>40</v>
      </c>
      <c r="K878" s="78">
        <v>3</v>
      </c>
      <c r="L878" s="54">
        <v>1</v>
      </c>
      <c r="M878" s="54">
        <f>_xlfn.XLOOKUP(Survey!$F878,sections[Start],sections[Test Section],,-1,1)</f>
        <v>2</v>
      </c>
      <c r="N878" s="55">
        <f>_xlfn.XLOOKUP(Survey!$K878,pipedata[ID],pipedata[WT])</f>
        <v>0.88800000000000001</v>
      </c>
      <c r="O878" s="56">
        <f>_xlfn.XLOOKUP(Survey!$K878,pipedata[ID],pipedata[104%])</f>
        <v>3078.4</v>
      </c>
      <c r="P878" s="57">
        <f t="shared" si="13"/>
        <v>1850</v>
      </c>
      <c r="Q878" s="58">
        <f>_xlfn.MAXIFS(Survey!$G$2:$G$3647,Survey!$M$2:$M$3647,Survey!$M878)-Survey!$G878</f>
        <v>1130.8242509943136</v>
      </c>
      <c r="R878" s="59">
        <f>Survey!$P878+(Survey!$Q878*0.433)</f>
        <v>2339.6469006805378</v>
      </c>
    </row>
    <row r="879" spans="1:18" x14ac:dyDescent="0.25">
      <c r="A879" s="60" t="s">
        <v>17</v>
      </c>
      <c r="B879" s="61" t="s">
        <v>18</v>
      </c>
      <c r="C879" s="62" t="s">
        <v>19</v>
      </c>
      <c r="D879" s="63">
        <v>233.57894999382975</v>
      </c>
      <c r="E879" s="79">
        <v>1261969</v>
      </c>
      <c r="F879" s="80">
        <v>1234320.6428571397</v>
      </c>
      <c r="G879" s="66">
        <v>1631.8932427928596</v>
      </c>
      <c r="H879" s="67">
        <v>3</v>
      </c>
      <c r="I879" s="68" t="s">
        <v>20</v>
      </c>
      <c r="J879" s="69">
        <v>40</v>
      </c>
      <c r="K879" s="70">
        <v>3</v>
      </c>
      <c r="L879" s="68">
        <v>1</v>
      </c>
      <c r="M879" s="68">
        <f>_xlfn.XLOOKUP(Survey!$F879,sections[Start],sections[Test Section],,-1,1)</f>
        <v>2</v>
      </c>
      <c r="N879" s="55">
        <f>_xlfn.XLOOKUP(Survey!$K879,pipedata[ID],pipedata[WT])</f>
        <v>0.88800000000000001</v>
      </c>
      <c r="O879" s="56">
        <f>_xlfn.XLOOKUP(Survey!$K879,pipedata[ID],pipedata[104%])</f>
        <v>3078.4</v>
      </c>
      <c r="P879" s="57">
        <f t="shared" si="13"/>
        <v>1850</v>
      </c>
      <c r="Q879" s="58">
        <f>_xlfn.MAXIFS(Survey!$G$2:$G$3647,Survey!$M$2:$M$3647,Survey!$M879)-Survey!$G879</f>
        <v>1131.7730014088827</v>
      </c>
      <c r="R879" s="59">
        <f>Survey!$P879+(Survey!$Q879*0.433)</f>
        <v>2340.057709610046</v>
      </c>
    </row>
    <row r="880" spans="1:18" x14ac:dyDescent="0.25">
      <c r="A880" s="71" t="s">
        <v>17</v>
      </c>
      <c r="B880" s="72" t="s">
        <v>18</v>
      </c>
      <c r="C880" s="73" t="s">
        <v>19</v>
      </c>
      <c r="D880" s="74">
        <v>233.58717867694077</v>
      </c>
      <c r="E880" s="81">
        <v>1262009</v>
      </c>
      <c r="F880" s="82">
        <v>1234359.9523809492</v>
      </c>
      <c r="G880" s="75">
        <v>1631.461672416508</v>
      </c>
      <c r="H880" s="76">
        <v>3</v>
      </c>
      <c r="I880" s="54" t="s">
        <v>20</v>
      </c>
      <c r="J880" s="77">
        <v>40</v>
      </c>
      <c r="K880" s="78">
        <v>3</v>
      </c>
      <c r="L880" s="54">
        <v>1</v>
      </c>
      <c r="M880" s="54">
        <f>_xlfn.XLOOKUP(Survey!$F880,sections[Start],sections[Test Section],,-1,1)</f>
        <v>2</v>
      </c>
      <c r="N880" s="55">
        <f>_xlfn.XLOOKUP(Survey!$K880,pipedata[ID],pipedata[WT])</f>
        <v>0.88800000000000001</v>
      </c>
      <c r="O880" s="56">
        <f>_xlfn.XLOOKUP(Survey!$K880,pipedata[ID],pipedata[104%])</f>
        <v>3078.4</v>
      </c>
      <c r="P880" s="57">
        <f t="shared" si="13"/>
        <v>1850</v>
      </c>
      <c r="Q880" s="58">
        <f>_xlfn.MAXIFS(Survey!$G$2:$G$3647,Survey!$M$2:$M$3647,Survey!$M880)-Survey!$G880</f>
        <v>1132.2045717852343</v>
      </c>
      <c r="R880" s="59">
        <f>Survey!$P880+(Survey!$Q880*0.433)</f>
        <v>2340.2445795830063</v>
      </c>
    </row>
    <row r="881" spans="1:18" x14ac:dyDescent="0.25">
      <c r="A881" s="60" t="s">
        <v>17</v>
      </c>
      <c r="B881" s="61" t="s">
        <v>18</v>
      </c>
      <c r="C881" s="62" t="s">
        <v>19</v>
      </c>
      <c r="D881" s="63">
        <v>233.5935424860989</v>
      </c>
      <c r="E881" s="79">
        <v>1262049</v>
      </c>
      <c r="F881" s="80">
        <v>1234399.2619047586</v>
      </c>
      <c r="G881" s="66">
        <v>1631.4042081066632</v>
      </c>
      <c r="H881" s="67">
        <v>3</v>
      </c>
      <c r="I881" s="68" t="s">
        <v>20</v>
      </c>
      <c r="J881" s="69">
        <v>40</v>
      </c>
      <c r="K881" s="70">
        <v>3</v>
      </c>
      <c r="L881" s="68">
        <v>1</v>
      </c>
      <c r="M881" s="68">
        <f>_xlfn.XLOOKUP(Survey!$F881,sections[Start],sections[Test Section],,-1,1)</f>
        <v>2</v>
      </c>
      <c r="N881" s="55">
        <f>_xlfn.XLOOKUP(Survey!$K881,pipedata[ID],pipedata[WT])</f>
        <v>0.88800000000000001</v>
      </c>
      <c r="O881" s="56">
        <f>_xlfn.XLOOKUP(Survey!$K881,pipedata[ID],pipedata[104%])</f>
        <v>3078.4</v>
      </c>
      <c r="P881" s="57">
        <f t="shared" si="13"/>
        <v>1850</v>
      </c>
      <c r="Q881" s="58">
        <f>_xlfn.MAXIFS(Survey!$G$2:$G$3647,Survey!$M$2:$M$3647,Survey!$M881)-Survey!$G881</f>
        <v>1132.2620360950791</v>
      </c>
      <c r="R881" s="59">
        <f>Survey!$P881+(Survey!$Q881*0.433)</f>
        <v>2340.2694616291692</v>
      </c>
    </row>
    <row r="882" spans="1:18" x14ac:dyDescent="0.25">
      <c r="A882" s="71" t="s">
        <v>17</v>
      </c>
      <c r="B882" s="72" t="s">
        <v>18</v>
      </c>
      <c r="C882" s="73" t="s">
        <v>19</v>
      </c>
      <c r="D882" s="74">
        <v>233.60207614882088</v>
      </c>
      <c r="E882" s="81">
        <v>1262089</v>
      </c>
      <c r="F882" s="82">
        <v>1234438.5714285681</v>
      </c>
      <c r="G882" s="75">
        <v>1630.2547291780243</v>
      </c>
      <c r="H882" s="76">
        <v>3</v>
      </c>
      <c r="I882" s="54" t="s">
        <v>20</v>
      </c>
      <c r="J882" s="77">
        <v>40</v>
      </c>
      <c r="K882" s="78">
        <v>3</v>
      </c>
      <c r="L882" s="54">
        <v>1</v>
      </c>
      <c r="M882" s="54">
        <f>_xlfn.XLOOKUP(Survey!$F882,sections[Start],sections[Test Section],,-1,1)</f>
        <v>2</v>
      </c>
      <c r="N882" s="55">
        <f>_xlfn.XLOOKUP(Survey!$K882,pipedata[ID],pipedata[WT])</f>
        <v>0.88800000000000001</v>
      </c>
      <c r="O882" s="56">
        <f>_xlfn.XLOOKUP(Survey!$K882,pipedata[ID],pipedata[104%])</f>
        <v>3078.4</v>
      </c>
      <c r="P882" s="57">
        <f t="shared" si="13"/>
        <v>1850</v>
      </c>
      <c r="Q882" s="58">
        <f>_xlfn.MAXIFS(Survey!$G$2:$G$3647,Survey!$M$2:$M$3647,Survey!$M882)-Survey!$G882</f>
        <v>1133.411515023718</v>
      </c>
      <c r="R882" s="59">
        <f>Survey!$P882+(Survey!$Q882*0.433)</f>
        <v>2340.7671860052701</v>
      </c>
    </row>
    <row r="883" spans="1:18" x14ac:dyDescent="0.25">
      <c r="A883" s="60" t="s">
        <v>17</v>
      </c>
      <c r="B883" s="61" t="s">
        <v>18</v>
      </c>
      <c r="C883" s="62" t="s">
        <v>19</v>
      </c>
      <c r="D883" s="63">
        <v>233.60925829466106</v>
      </c>
      <c r="E883" s="79">
        <v>1262129</v>
      </c>
      <c r="F883" s="80">
        <v>1234477.8809523776</v>
      </c>
      <c r="G883" s="66">
        <v>1624.9647381520585</v>
      </c>
      <c r="H883" s="67">
        <v>3</v>
      </c>
      <c r="I883" s="68" t="s">
        <v>20</v>
      </c>
      <c r="J883" s="69">
        <v>40</v>
      </c>
      <c r="K883" s="70">
        <v>3</v>
      </c>
      <c r="L883" s="68">
        <v>1</v>
      </c>
      <c r="M883" s="68">
        <f>_xlfn.XLOOKUP(Survey!$F883,sections[Start],sections[Test Section],,-1,1)</f>
        <v>2</v>
      </c>
      <c r="N883" s="55">
        <f>_xlfn.XLOOKUP(Survey!$K883,pipedata[ID],pipedata[WT])</f>
        <v>0.88800000000000001</v>
      </c>
      <c r="O883" s="56">
        <f>_xlfn.XLOOKUP(Survey!$K883,pipedata[ID],pipedata[104%])</f>
        <v>3078.4</v>
      </c>
      <c r="P883" s="57">
        <f t="shared" si="13"/>
        <v>1850</v>
      </c>
      <c r="Q883" s="58">
        <f>_xlfn.MAXIFS(Survey!$G$2:$G$3647,Survey!$M$2:$M$3647,Survey!$M883)-Survey!$G883</f>
        <v>1138.7015060496838</v>
      </c>
      <c r="R883" s="59">
        <f>Survey!$P883+(Survey!$Q883*0.433)</f>
        <v>2343.0577521195132</v>
      </c>
    </row>
    <row r="884" spans="1:18" x14ac:dyDescent="0.25">
      <c r="A884" s="71" t="s">
        <v>17</v>
      </c>
      <c r="B884" s="72" t="s">
        <v>18</v>
      </c>
      <c r="C884" s="73" t="s">
        <v>19</v>
      </c>
      <c r="D884" s="74">
        <v>233.61701005858433</v>
      </c>
      <c r="E884" s="81">
        <v>1262169</v>
      </c>
      <c r="F884" s="82">
        <v>1234517.190476187</v>
      </c>
      <c r="G884" s="75">
        <v>1616.7885452282912</v>
      </c>
      <c r="H884" s="76">
        <v>3</v>
      </c>
      <c r="I884" s="54" t="s">
        <v>20</v>
      </c>
      <c r="J884" s="77">
        <v>40</v>
      </c>
      <c r="K884" s="78">
        <v>3</v>
      </c>
      <c r="L884" s="54">
        <v>1</v>
      </c>
      <c r="M884" s="54">
        <f>_xlfn.XLOOKUP(Survey!$F884,sections[Start],sections[Test Section],,-1,1)</f>
        <v>2</v>
      </c>
      <c r="N884" s="55">
        <f>_xlfn.XLOOKUP(Survey!$K884,pipedata[ID],pipedata[WT])</f>
        <v>0.88800000000000001</v>
      </c>
      <c r="O884" s="56">
        <f>_xlfn.XLOOKUP(Survey!$K884,pipedata[ID],pipedata[104%])</f>
        <v>3078.4</v>
      </c>
      <c r="P884" s="57">
        <f t="shared" si="13"/>
        <v>1850</v>
      </c>
      <c r="Q884" s="58">
        <f>_xlfn.MAXIFS(Survey!$G$2:$G$3647,Survey!$M$2:$M$3647,Survey!$M884)-Survey!$G884</f>
        <v>1146.8776989734511</v>
      </c>
      <c r="R884" s="59">
        <f>Survey!$P884+(Survey!$Q884*0.433)</f>
        <v>2346.5980436555042</v>
      </c>
    </row>
    <row r="885" spans="1:18" x14ac:dyDescent="0.25">
      <c r="A885" s="60" t="s">
        <v>17</v>
      </c>
      <c r="B885" s="61" t="s">
        <v>18</v>
      </c>
      <c r="C885" s="62" t="s">
        <v>19</v>
      </c>
      <c r="D885" s="63">
        <v>233.62420775093858</v>
      </c>
      <c r="E885" s="79">
        <v>1262209</v>
      </c>
      <c r="F885" s="80">
        <v>1234556.4999999965</v>
      </c>
      <c r="G885" s="66">
        <v>1609.978393566668</v>
      </c>
      <c r="H885" s="67">
        <v>3</v>
      </c>
      <c r="I885" s="68" t="s">
        <v>20</v>
      </c>
      <c r="J885" s="69">
        <v>40</v>
      </c>
      <c r="K885" s="70">
        <v>3</v>
      </c>
      <c r="L885" s="68">
        <v>1</v>
      </c>
      <c r="M885" s="68">
        <f>_xlfn.XLOOKUP(Survey!$F885,sections[Start],sections[Test Section],,-1,1)</f>
        <v>2</v>
      </c>
      <c r="N885" s="55">
        <f>_xlfn.XLOOKUP(Survey!$K885,pipedata[ID],pipedata[WT])</f>
        <v>0.88800000000000001</v>
      </c>
      <c r="O885" s="56">
        <f>_xlfn.XLOOKUP(Survey!$K885,pipedata[ID],pipedata[104%])</f>
        <v>3078.4</v>
      </c>
      <c r="P885" s="57">
        <f t="shared" si="13"/>
        <v>1850</v>
      </c>
      <c r="Q885" s="58">
        <f>_xlfn.MAXIFS(Survey!$G$2:$G$3647,Survey!$M$2:$M$3647,Survey!$M885)-Survey!$G885</f>
        <v>1153.6878506350743</v>
      </c>
      <c r="R885" s="59">
        <f>Survey!$P885+(Survey!$Q885*0.433)</f>
        <v>2349.5468393249871</v>
      </c>
    </row>
    <row r="886" spans="1:18" x14ac:dyDescent="0.25">
      <c r="A886" s="71" t="s">
        <v>17</v>
      </c>
      <c r="B886" s="72" t="s">
        <v>18</v>
      </c>
      <c r="C886" s="73" t="s">
        <v>19</v>
      </c>
      <c r="D886" s="74">
        <v>233.63232328965549</v>
      </c>
      <c r="E886" s="81">
        <v>1262249</v>
      </c>
      <c r="F886" s="82">
        <v>1234595.809523806</v>
      </c>
      <c r="G886" s="75">
        <v>1605.2969850000475</v>
      </c>
      <c r="H886" s="76">
        <v>3</v>
      </c>
      <c r="I886" s="54" t="s">
        <v>20</v>
      </c>
      <c r="J886" s="77">
        <v>40</v>
      </c>
      <c r="K886" s="78">
        <v>3</v>
      </c>
      <c r="L886" s="54">
        <v>1</v>
      </c>
      <c r="M886" s="54">
        <f>_xlfn.XLOOKUP(Survey!$F886,sections[Start],sections[Test Section],,-1,1)</f>
        <v>2</v>
      </c>
      <c r="N886" s="55">
        <f>_xlfn.XLOOKUP(Survey!$K886,pipedata[ID],pipedata[WT])</f>
        <v>0.88800000000000001</v>
      </c>
      <c r="O886" s="56">
        <f>_xlfn.XLOOKUP(Survey!$K886,pipedata[ID],pipedata[104%])</f>
        <v>3078.4</v>
      </c>
      <c r="P886" s="57">
        <f t="shared" si="13"/>
        <v>1850</v>
      </c>
      <c r="Q886" s="58">
        <f>_xlfn.MAXIFS(Survey!$G$2:$G$3647,Survey!$M$2:$M$3647,Survey!$M886)-Survey!$G886</f>
        <v>1158.3692592016948</v>
      </c>
      <c r="R886" s="59">
        <f>Survey!$P886+(Survey!$Q886*0.433)</f>
        <v>2351.5738892343338</v>
      </c>
    </row>
    <row r="887" spans="1:18" x14ac:dyDescent="0.25">
      <c r="A887" s="60" t="s">
        <v>17</v>
      </c>
      <c r="B887" s="61" t="s">
        <v>18</v>
      </c>
      <c r="C887" s="62" t="s">
        <v>19</v>
      </c>
      <c r="D887" s="63">
        <v>233.64008757481457</v>
      </c>
      <c r="E887" s="79">
        <v>1262289</v>
      </c>
      <c r="F887" s="80">
        <v>1234635.1190476154</v>
      </c>
      <c r="G887" s="66">
        <v>1603.3123882575462</v>
      </c>
      <c r="H887" s="67">
        <v>3</v>
      </c>
      <c r="I887" s="68" t="s">
        <v>20</v>
      </c>
      <c r="J887" s="69">
        <v>40</v>
      </c>
      <c r="K887" s="70">
        <v>3</v>
      </c>
      <c r="L887" s="68">
        <v>1</v>
      </c>
      <c r="M887" s="68">
        <f>_xlfn.XLOOKUP(Survey!$F887,sections[Start],sections[Test Section],,-1,1)</f>
        <v>2</v>
      </c>
      <c r="N887" s="55">
        <f>_xlfn.XLOOKUP(Survey!$K887,pipedata[ID],pipedata[WT])</f>
        <v>0.88800000000000001</v>
      </c>
      <c r="O887" s="56">
        <f>_xlfn.XLOOKUP(Survey!$K887,pipedata[ID],pipedata[104%])</f>
        <v>3078.4</v>
      </c>
      <c r="P887" s="57">
        <f t="shared" si="13"/>
        <v>1850</v>
      </c>
      <c r="Q887" s="58">
        <f>_xlfn.MAXIFS(Survey!$G$2:$G$3647,Survey!$M$2:$M$3647,Survey!$M887)-Survey!$G887</f>
        <v>1160.3538559441961</v>
      </c>
      <c r="R887" s="59">
        <f>Survey!$P887+(Survey!$Q887*0.433)</f>
        <v>2352.433219623837</v>
      </c>
    </row>
    <row r="888" spans="1:18" x14ac:dyDescent="0.25">
      <c r="A888" s="71" t="s">
        <v>17</v>
      </c>
      <c r="B888" s="72" t="s">
        <v>18</v>
      </c>
      <c r="C888" s="73" t="s">
        <v>19</v>
      </c>
      <c r="D888" s="74">
        <v>233.64558986746454</v>
      </c>
      <c r="E888" s="81">
        <v>1262329</v>
      </c>
      <c r="F888" s="82">
        <v>1234674.4285714249</v>
      </c>
      <c r="G888" s="75">
        <v>1604.8</v>
      </c>
      <c r="H888" s="76">
        <v>3</v>
      </c>
      <c r="I888" s="54" t="s">
        <v>20</v>
      </c>
      <c r="J888" s="77">
        <v>40</v>
      </c>
      <c r="K888" s="78">
        <v>3</v>
      </c>
      <c r="L888" s="54">
        <v>1</v>
      </c>
      <c r="M888" s="54">
        <f>_xlfn.XLOOKUP(Survey!$F888,sections[Start],sections[Test Section],,-1,1)</f>
        <v>2</v>
      </c>
      <c r="N888" s="55">
        <f>_xlfn.XLOOKUP(Survey!$K888,pipedata[ID],pipedata[WT])</f>
        <v>0.88800000000000001</v>
      </c>
      <c r="O888" s="56">
        <f>_xlfn.XLOOKUP(Survey!$K888,pipedata[ID],pipedata[104%])</f>
        <v>3078.4</v>
      </c>
      <c r="P888" s="57">
        <f t="shared" si="13"/>
        <v>1850</v>
      </c>
      <c r="Q888" s="58">
        <f>_xlfn.MAXIFS(Survey!$G$2:$G$3647,Survey!$M$2:$M$3647,Survey!$M888)-Survey!$G888</f>
        <v>1158.8662442017423</v>
      </c>
      <c r="R888" s="59">
        <f>Survey!$P888+(Survey!$Q888*0.433)</f>
        <v>2351.7890837393543</v>
      </c>
    </row>
    <row r="889" spans="1:18" x14ac:dyDescent="0.25">
      <c r="A889" s="60" t="s">
        <v>17</v>
      </c>
      <c r="B889" s="61" t="s">
        <v>18</v>
      </c>
      <c r="C889" s="62" t="s">
        <v>19</v>
      </c>
      <c r="D889" s="63">
        <v>233.65384330644002</v>
      </c>
      <c r="E889" s="79">
        <v>1262369</v>
      </c>
      <c r="F889" s="80">
        <v>1234713.7380952344</v>
      </c>
      <c r="G889" s="66">
        <v>1605.7065210899209</v>
      </c>
      <c r="H889" s="67">
        <v>3</v>
      </c>
      <c r="I889" s="68" t="s">
        <v>20</v>
      </c>
      <c r="J889" s="69">
        <v>40</v>
      </c>
      <c r="K889" s="70">
        <v>3</v>
      </c>
      <c r="L889" s="68">
        <v>1</v>
      </c>
      <c r="M889" s="68">
        <f>_xlfn.XLOOKUP(Survey!$F889,sections[Start],sections[Test Section],,-1,1)</f>
        <v>2</v>
      </c>
      <c r="N889" s="55">
        <f>_xlfn.XLOOKUP(Survey!$K889,pipedata[ID],pipedata[WT])</f>
        <v>0.88800000000000001</v>
      </c>
      <c r="O889" s="56">
        <f>_xlfn.XLOOKUP(Survey!$K889,pipedata[ID],pipedata[104%])</f>
        <v>3078.4</v>
      </c>
      <c r="P889" s="57">
        <f t="shared" si="13"/>
        <v>1850</v>
      </c>
      <c r="Q889" s="58">
        <f>_xlfn.MAXIFS(Survey!$G$2:$G$3647,Survey!$M$2:$M$3647,Survey!$M889)-Survey!$G889</f>
        <v>1157.9597231118214</v>
      </c>
      <c r="R889" s="59">
        <f>Survey!$P889+(Survey!$Q889*0.433)</f>
        <v>2351.3965601074187</v>
      </c>
    </row>
    <row r="890" spans="1:18" x14ac:dyDescent="0.25">
      <c r="A890" s="71" t="s">
        <v>17</v>
      </c>
      <c r="B890" s="72" t="s">
        <v>18</v>
      </c>
      <c r="C890" s="73" t="s">
        <v>19</v>
      </c>
      <c r="D890" s="74">
        <v>233.662096745415</v>
      </c>
      <c r="E890" s="81">
        <v>1262409</v>
      </c>
      <c r="F890" s="82">
        <v>1234753.0476190438</v>
      </c>
      <c r="G890" s="75">
        <v>1608.9446305426818</v>
      </c>
      <c r="H890" s="76">
        <v>3</v>
      </c>
      <c r="I890" s="54" t="s">
        <v>20</v>
      </c>
      <c r="J890" s="77">
        <v>40</v>
      </c>
      <c r="K890" s="78">
        <v>3</v>
      </c>
      <c r="L890" s="54">
        <v>1</v>
      </c>
      <c r="M890" s="54">
        <f>_xlfn.XLOOKUP(Survey!$F890,sections[Start],sections[Test Section],,-1,1)</f>
        <v>2</v>
      </c>
      <c r="N890" s="55">
        <f>_xlfn.XLOOKUP(Survey!$K890,pipedata[ID],pipedata[WT])</f>
        <v>0.88800000000000001</v>
      </c>
      <c r="O890" s="56">
        <f>_xlfn.XLOOKUP(Survey!$K890,pipedata[ID],pipedata[104%])</f>
        <v>3078.4</v>
      </c>
      <c r="P890" s="57">
        <f t="shared" si="13"/>
        <v>1850</v>
      </c>
      <c r="Q890" s="58">
        <f>_xlfn.MAXIFS(Survey!$G$2:$G$3647,Survey!$M$2:$M$3647,Survey!$M890)-Survey!$G890</f>
        <v>1154.7216136590605</v>
      </c>
      <c r="R890" s="59">
        <f>Survey!$P890+(Survey!$Q890*0.433)</f>
        <v>2349.9944587143732</v>
      </c>
    </row>
    <row r="891" spans="1:18" x14ac:dyDescent="0.25">
      <c r="A891" s="60" t="s">
        <v>17</v>
      </c>
      <c r="B891" s="61" t="s">
        <v>18</v>
      </c>
      <c r="C891" s="62" t="s">
        <v>19</v>
      </c>
      <c r="D891" s="63">
        <v>233.67035018439012</v>
      </c>
      <c r="E891" s="79">
        <v>1262449</v>
      </c>
      <c r="F891" s="80">
        <v>1234792.3571428533</v>
      </c>
      <c r="G891" s="66">
        <v>1612.1390498919179</v>
      </c>
      <c r="H891" s="67">
        <v>3</v>
      </c>
      <c r="I891" s="68" t="s">
        <v>20</v>
      </c>
      <c r="J891" s="69">
        <v>40</v>
      </c>
      <c r="K891" s="70">
        <v>3</v>
      </c>
      <c r="L891" s="68">
        <v>1</v>
      </c>
      <c r="M891" s="68">
        <f>_xlfn.XLOOKUP(Survey!$F891,sections[Start],sections[Test Section],,-1,1)</f>
        <v>2</v>
      </c>
      <c r="N891" s="55">
        <f>_xlfn.XLOOKUP(Survey!$K891,pipedata[ID],pipedata[WT])</f>
        <v>0.88800000000000001</v>
      </c>
      <c r="O891" s="56">
        <f>_xlfn.XLOOKUP(Survey!$K891,pipedata[ID],pipedata[104%])</f>
        <v>3078.4</v>
      </c>
      <c r="P891" s="57">
        <f t="shared" si="13"/>
        <v>1850</v>
      </c>
      <c r="Q891" s="58">
        <f>_xlfn.MAXIFS(Survey!$G$2:$G$3647,Survey!$M$2:$M$3647,Survey!$M891)-Survey!$G891</f>
        <v>1151.5271943098244</v>
      </c>
      <c r="R891" s="59">
        <f>Survey!$P891+(Survey!$Q891*0.433)</f>
        <v>2348.6112751361538</v>
      </c>
    </row>
    <row r="892" spans="1:18" x14ac:dyDescent="0.25">
      <c r="A892" s="71" t="s">
        <v>17</v>
      </c>
      <c r="B892" s="72" t="s">
        <v>18</v>
      </c>
      <c r="C892" s="73" t="s">
        <v>19</v>
      </c>
      <c r="D892" s="74">
        <v>233.67678549016563</v>
      </c>
      <c r="E892" s="81">
        <v>1262489</v>
      </c>
      <c r="F892" s="82">
        <v>1234831.6666666628</v>
      </c>
      <c r="G892" s="75">
        <v>1611.6608701890821</v>
      </c>
      <c r="H892" s="76">
        <v>3</v>
      </c>
      <c r="I892" s="54" t="s">
        <v>20</v>
      </c>
      <c r="J892" s="77">
        <v>40</v>
      </c>
      <c r="K892" s="78">
        <v>3</v>
      </c>
      <c r="L892" s="54">
        <v>1</v>
      </c>
      <c r="M892" s="54">
        <f>_xlfn.XLOOKUP(Survey!$F892,sections[Start],sections[Test Section],,-1,1)</f>
        <v>2</v>
      </c>
      <c r="N892" s="55">
        <f>_xlfn.XLOOKUP(Survey!$K892,pipedata[ID],pipedata[WT])</f>
        <v>0.88800000000000001</v>
      </c>
      <c r="O892" s="56">
        <f>_xlfn.XLOOKUP(Survey!$K892,pipedata[ID],pipedata[104%])</f>
        <v>3078.4</v>
      </c>
      <c r="P892" s="57">
        <f t="shared" si="13"/>
        <v>1850</v>
      </c>
      <c r="Q892" s="58">
        <f>_xlfn.MAXIFS(Survey!$G$2:$G$3647,Survey!$M$2:$M$3647,Survey!$M892)-Survey!$G892</f>
        <v>1152.0053740126602</v>
      </c>
      <c r="R892" s="59">
        <f>Survey!$P892+(Survey!$Q892*0.433)</f>
        <v>2348.8183269474821</v>
      </c>
    </row>
    <row r="893" spans="1:18" x14ac:dyDescent="0.25">
      <c r="A893" s="60" t="s">
        <v>17</v>
      </c>
      <c r="B893" s="61" t="s">
        <v>18</v>
      </c>
      <c r="C893" s="62" t="s">
        <v>19</v>
      </c>
      <c r="D893" s="63">
        <v>233.68461908884598</v>
      </c>
      <c r="E893" s="79">
        <v>1262529</v>
      </c>
      <c r="F893" s="80">
        <v>1234870.9761904723</v>
      </c>
      <c r="G893" s="66">
        <v>1609.8666286799721</v>
      </c>
      <c r="H893" s="67">
        <v>3</v>
      </c>
      <c r="I893" s="68" t="s">
        <v>20</v>
      </c>
      <c r="J893" s="69">
        <v>40</v>
      </c>
      <c r="K893" s="70">
        <v>3</v>
      </c>
      <c r="L893" s="68">
        <v>1</v>
      </c>
      <c r="M893" s="68">
        <f>_xlfn.XLOOKUP(Survey!$F893,sections[Start],sections[Test Section],,-1,1)</f>
        <v>2</v>
      </c>
      <c r="N893" s="55">
        <f>_xlfn.XLOOKUP(Survey!$K893,pipedata[ID],pipedata[WT])</f>
        <v>0.88800000000000001</v>
      </c>
      <c r="O893" s="56">
        <f>_xlfn.XLOOKUP(Survey!$K893,pipedata[ID],pipedata[104%])</f>
        <v>3078.4</v>
      </c>
      <c r="P893" s="57">
        <f t="shared" si="13"/>
        <v>1850</v>
      </c>
      <c r="Q893" s="58">
        <f>_xlfn.MAXIFS(Survey!$G$2:$G$3647,Survey!$M$2:$M$3647,Survey!$M893)-Survey!$G893</f>
        <v>1153.7996155217702</v>
      </c>
      <c r="R893" s="59">
        <f>Survey!$P893+(Survey!$Q893*0.433)</f>
        <v>2349.5952335209267</v>
      </c>
    </row>
    <row r="894" spans="1:18" x14ac:dyDescent="0.25">
      <c r="A894" s="71" t="s">
        <v>17</v>
      </c>
      <c r="B894" s="72" t="s">
        <v>18</v>
      </c>
      <c r="C894" s="73" t="s">
        <v>19</v>
      </c>
      <c r="D894" s="74">
        <v>233.69245268752653</v>
      </c>
      <c r="E894" s="81">
        <v>1262569</v>
      </c>
      <c r="F894" s="82">
        <v>1234910.2857142817</v>
      </c>
      <c r="G894" s="75">
        <v>1607.3619883139081</v>
      </c>
      <c r="H894" s="76">
        <v>3</v>
      </c>
      <c r="I894" s="54" t="s">
        <v>20</v>
      </c>
      <c r="J894" s="77">
        <v>40</v>
      </c>
      <c r="K894" s="78">
        <v>3</v>
      </c>
      <c r="L894" s="54">
        <v>1</v>
      </c>
      <c r="M894" s="54">
        <f>_xlfn.XLOOKUP(Survey!$F894,sections[Start],sections[Test Section],,-1,1)</f>
        <v>2</v>
      </c>
      <c r="N894" s="55">
        <f>_xlfn.XLOOKUP(Survey!$K894,pipedata[ID],pipedata[WT])</f>
        <v>0.88800000000000001</v>
      </c>
      <c r="O894" s="56">
        <f>_xlfn.XLOOKUP(Survey!$K894,pipedata[ID],pipedata[104%])</f>
        <v>3078.4</v>
      </c>
      <c r="P894" s="57">
        <f t="shared" si="13"/>
        <v>1850</v>
      </c>
      <c r="Q894" s="58">
        <f>_xlfn.MAXIFS(Survey!$G$2:$G$3647,Survey!$M$2:$M$3647,Survey!$M894)-Survey!$G894</f>
        <v>1156.3042558878342</v>
      </c>
      <c r="R894" s="59">
        <f>Survey!$P894+(Survey!$Q894*0.433)</f>
        <v>2350.679742799432</v>
      </c>
    </row>
    <row r="895" spans="1:18" x14ac:dyDescent="0.25">
      <c r="A895" s="60" t="s">
        <v>17</v>
      </c>
      <c r="B895" s="61" t="s">
        <v>18</v>
      </c>
      <c r="C895" s="62" t="s">
        <v>19</v>
      </c>
      <c r="D895" s="63">
        <v>233.69786171601132</v>
      </c>
      <c r="E895" s="79">
        <v>1262609</v>
      </c>
      <c r="F895" s="80">
        <v>1234949.5952380912</v>
      </c>
      <c r="G895" s="66">
        <v>1603.8806373540463</v>
      </c>
      <c r="H895" s="67">
        <v>3</v>
      </c>
      <c r="I895" s="68" t="s">
        <v>20</v>
      </c>
      <c r="J895" s="69">
        <v>40</v>
      </c>
      <c r="K895" s="70">
        <v>3</v>
      </c>
      <c r="L895" s="68">
        <v>1</v>
      </c>
      <c r="M895" s="68">
        <f>_xlfn.XLOOKUP(Survey!$F895,sections[Start],sections[Test Section],,-1,1)</f>
        <v>2</v>
      </c>
      <c r="N895" s="55">
        <f>_xlfn.XLOOKUP(Survey!$K895,pipedata[ID],pipedata[WT])</f>
        <v>0.88800000000000001</v>
      </c>
      <c r="O895" s="56">
        <f>_xlfn.XLOOKUP(Survey!$K895,pipedata[ID],pipedata[104%])</f>
        <v>3078.4</v>
      </c>
      <c r="P895" s="57">
        <f t="shared" si="13"/>
        <v>1850</v>
      </c>
      <c r="Q895" s="58">
        <f>_xlfn.MAXIFS(Survey!$G$2:$G$3647,Survey!$M$2:$M$3647,Survey!$M895)-Survey!$G895</f>
        <v>1159.785606847696</v>
      </c>
      <c r="R895" s="59">
        <f>Survey!$P895+(Survey!$Q895*0.433)</f>
        <v>2352.1871677650524</v>
      </c>
    </row>
    <row r="896" spans="1:18" x14ac:dyDescent="0.25">
      <c r="A896" s="71" t="s">
        <v>17</v>
      </c>
      <c r="B896" s="72" t="s">
        <v>18</v>
      </c>
      <c r="C896" s="73" t="s">
        <v>19</v>
      </c>
      <c r="D896" s="74">
        <v>233.70727981491896</v>
      </c>
      <c r="E896" s="81">
        <v>1262649</v>
      </c>
      <c r="F896" s="82">
        <v>1234988.9047619007</v>
      </c>
      <c r="G896" s="75">
        <v>1594.5494377633147</v>
      </c>
      <c r="H896" s="76">
        <v>3</v>
      </c>
      <c r="I896" s="54" t="s">
        <v>20</v>
      </c>
      <c r="J896" s="77">
        <v>40</v>
      </c>
      <c r="K896" s="78">
        <v>3</v>
      </c>
      <c r="L896" s="54">
        <v>1</v>
      </c>
      <c r="M896" s="54">
        <f>_xlfn.XLOOKUP(Survey!$F896,sections[Start],sections[Test Section],,-1,1)</f>
        <v>2</v>
      </c>
      <c r="N896" s="55">
        <f>_xlfn.XLOOKUP(Survey!$K896,pipedata[ID],pipedata[WT])</f>
        <v>0.88800000000000001</v>
      </c>
      <c r="O896" s="56">
        <f>_xlfn.XLOOKUP(Survey!$K896,pipedata[ID],pipedata[104%])</f>
        <v>3078.4</v>
      </c>
      <c r="P896" s="57">
        <f t="shared" si="13"/>
        <v>1850</v>
      </c>
      <c r="Q896" s="58">
        <f>_xlfn.MAXIFS(Survey!$G$2:$G$3647,Survey!$M$2:$M$3647,Survey!$M896)-Survey!$G896</f>
        <v>1169.1168064384276</v>
      </c>
      <c r="R896" s="59">
        <f>Survey!$P896+(Survey!$Q896*0.433)</f>
        <v>2356.227577187839</v>
      </c>
    </row>
    <row r="897" spans="1:18" x14ac:dyDescent="0.25">
      <c r="A897" s="60" t="s">
        <v>17</v>
      </c>
      <c r="B897" s="61" t="s">
        <v>18</v>
      </c>
      <c r="C897" s="62" t="s">
        <v>19</v>
      </c>
      <c r="D897" s="63">
        <v>233.71431532491732</v>
      </c>
      <c r="E897" s="79">
        <v>1262689</v>
      </c>
      <c r="F897" s="80">
        <v>1235028.2142857101</v>
      </c>
      <c r="G897" s="66">
        <v>1585.2239096353376</v>
      </c>
      <c r="H897" s="67">
        <v>3</v>
      </c>
      <c r="I897" s="68" t="s">
        <v>20</v>
      </c>
      <c r="J897" s="69">
        <v>40</v>
      </c>
      <c r="K897" s="70">
        <v>3</v>
      </c>
      <c r="L897" s="68">
        <v>1</v>
      </c>
      <c r="M897" s="68">
        <f>_xlfn.XLOOKUP(Survey!$F897,sections[Start],sections[Test Section],,-1,1)</f>
        <v>2</v>
      </c>
      <c r="N897" s="55">
        <f>_xlfn.XLOOKUP(Survey!$K897,pipedata[ID],pipedata[WT])</f>
        <v>0.88800000000000001</v>
      </c>
      <c r="O897" s="56">
        <f>_xlfn.XLOOKUP(Survey!$K897,pipedata[ID],pipedata[104%])</f>
        <v>3078.4</v>
      </c>
      <c r="P897" s="57">
        <f t="shared" si="13"/>
        <v>1850</v>
      </c>
      <c r="Q897" s="58">
        <f>_xlfn.MAXIFS(Survey!$G$2:$G$3647,Survey!$M$2:$M$3647,Survey!$M897)-Survey!$G897</f>
        <v>1178.4423345664047</v>
      </c>
      <c r="R897" s="59">
        <f>Survey!$P897+(Survey!$Q897*0.433)</f>
        <v>2360.2655308672533</v>
      </c>
    </row>
    <row r="898" spans="1:18" x14ac:dyDescent="0.25">
      <c r="A898" s="71" t="s">
        <v>17</v>
      </c>
      <c r="B898" s="72" t="s">
        <v>18</v>
      </c>
      <c r="C898" s="73" t="s">
        <v>19</v>
      </c>
      <c r="D898" s="74">
        <v>233.72143961327748</v>
      </c>
      <c r="E898" s="81">
        <v>1262729</v>
      </c>
      <c r="F898" s="82">
        <v>1235067.5238095196</v>
      </c>
      <c r="G898" s="75">
        <v>1571.6207278767768</v>
      </c>
      <c r="H898" s="76">
        <v>3</v>
      </c>
      <c r="I898" s="54" t="s">
        <v>20</v>
      </c>
      <c r="J898" s="77">
        <v>40</v>
      </c>
      <c r="K898" s="78">
        <v>3</v>
      </c>
      <c r="L898" s="54">
        <v>1</v>
      </c>
      <c r="M898" s="54">
        <f>_xlfn.XLOOKUP(Survey!$F898,sections[Start],sections[Test Section],,-1,1)</f>
        <v>2</v>
      </c>
      <c r="N898" s="55">
        <f>_xlfn.XLOOKUP(Survey!$K898,pipedata[ID],pipedata[WT])</f>
        <v>0.88800000000000001</v>
      </c>
      <c r="O898" s="56">
        <f>_xlfn.XLOOKUP(Survey!$K898,pipedata[ID],pipedata[104%])</f>
        <v>3078.4</v>
      </c>
      <c r="P898" s="57">
        <f t="shared" ref="P898:P961" si="14">IF(L898=1,1850,IF(L898=2,1850,2220))</f>
        <v>1850</v>
      </c>
      <c r="Q898" s="58">
        <f>_xlfn.MAXIFS(Survey!$G$2:$G$3647,Survey!$M$2:$M$3647,Survey!$M898)-Survey!$G898</f>
        <v>1192.0455163249655</v>
      </c>
      <c r="R898" s="59">
        <f>Survey!$P898+(Survey!$Q898*0.433)</f>
        <v>2366.15570856871</v>
      </c>
    </row>
    <row r="899" spans="1:18" x14ac:dyDescent="0.25">
      <c r="A899" s="60" t="s">
        <v>17</v>
      </c>
      <c r="B899" s="61" t="s">
        <v>18</v>
      </c>
      <c r="C899" s="62" t="s">
        <v>19</v>
      </c>
      <c r="D899" s="63">
        <v>233.72925556108137</v>
      </c>
      <c r="E899" s="79">
        <v>1262769</v>
      </c>
      <c r="F899" s="80">
        <v>1235106.8333333291</v>
      </c>
      <c r="G899" s="66">
        <v>1559.2452808148541</v>
      </c>
      <c r="H899" s="67">
        <v>3</v>
      </c>
      <c r="I899" s="68" t="s">
        <v>20</v>
      </c>
      <c r="J899" s="69">
        <v>40</v>
      </c>
      <c r="K899" s="70">
        <v>3</v>
      </c>
      <c r="L899" s="68">
        <v>1</v>
      </c>
      <c r="M899" s="68">
        <f>_xlfn.XLOOKUP(Survey!$F899,sections[Start],sections[Test Section],,-1,1)</f>
        <v>2</v>
      </c>
      <c r="N899" s="55">
        <f>_xlfn.XLOOKUP(Survey!$K899,pipedata[ID],pipedata[WT])</f>
        <v>0.88800000000000001</v>
      </c>
      <c r="O899" s="56">
        <f>_xlfn.XLOOKUP(Survey!$K899,pipedata[ID],pipedata[104%])</f>
        <v>3078.4</v>
      </c>
      <c r="P899" s="57">
        <f t="shared" si="14"/>
        <v>1850</v>
      </c>
      <c r="Q899" s="58">
        <f>_xlfn.MAXIFS(Survey!$G$2:$G$3647,Survey!$M$2:$M$3647,Survey!$M899)-Survey!$G899</f>
        <v>1204.4209633868882</v>
      </c>
      <c r="R899" s="59">
        <f>Survey!$P899+(Survey!$Q899*0.433)</f>
        <v>2371.5142771465225</v>
      </c>
    </row>
    <row r="900" spans="1:18" x14ac:dyDescent="0.25">
      <c r="A900" s="71" t="s">
        <v>17</v>
      </c>
      <c r="B900" s="72" t="s">
        <v>18</v>
      </c>
      <c r="C900" s="73" t="s">
        <v>19</v>
      </c>
      <c r="D900" s="74">
        <v>233.73697396600349</v>
      </c>
      <c r="E900" s="81">
        <v>1262809</v>
      </c>
      <c r="F900" s="82">
        <v>1235146.1428571385</v>
      </c>
      <c r="G900" s="75">
        <v>1548.0069559019137</v>
      </c>
      <c r="H900" s="76">
        <v>3</v>
      </c>
      <c r="I900" s="54" t="s">
        <v>20</v>
      </c>
      <c r="J900" s="77">
        <v>40</v>
      </c>
      <c r="K900" s="78">
        <v>3</v>
      </c>
      <c r="L900" s="54">
        <v>1</v>
      </c>
      <c r="M900" s="54">
        <f>_xlfn.XLOOKUP(Survey!$F900,sections[Start],sections[Test Section],,-1,1)</f>
        <v>2</v>
      </c>
      <c r="N900" s="55">
        <f>_xlfn.XLOOKUP(Survey!$K900,pipedata[ID],pipedata[WT])</f>
        <v>0.88800000000000001</v>
      </c>
      <c r="O900" s="56">
        <f>_xlfn.XLOOKUP(Survey!$K900,pipedata[ID],pipedata[104%])</f>
        <v>3078.4</v>
      </c>
      <c r="P900" s="57">
        <f t="shared" si="14"/>
        <v>1850</v>
      </c>
      <c r="Q900" s="58">
        <f>_xlfn.MAXIFS(Survey!$G$2:$G$3647,Survey!$M$2:$M$3647,Survey!$M900)-Survey!$G900</f>
        <v>1215.6592882998286</v>
      </c>
      <c r="R900" s="59">
        <f>Survey!$P900+(Survey!$Q900*0.433)</f>
        <v>2376.380471833826</v>
      </c>
    </row>
    <row r="901" spans="1:18" x14ac:dyDescent="0.25">
      <c r="A901" s="60" t="s">
        <v>17</v>
      </c>
      <c r="B901" s="61" t="s">
        <v>18</v>
      </c>
      <c r="C901" s="62" t="s">
        <v>19</v>
      </c>
      <c r="D901" s="63">
        <v>233.74281247835765</v>
      </c>
      <c r="E901" s="79">
        <v>1262849</v>
      </c>
      <c r="F901" s="80">
        <v>1235185.452380948</v>
      </c>
      <c r="G901" s="66">
        <v>1538.0096923991123</v>
      </c>
      <c r="H901" s="67">
        <v>3</v>
      </c>
      <c r="I901" s="68" t="s">
        <v>20</v>
      </c>
      <c r="J901" s="69">
        <v>40</v>
      </c>
      <c r="K901" s="70">
        <v>3</v>
      </c>
      <c r="L901" s="68">
        <v>1</v>
      </c>
      <c r="M901" s="68">
        <f>_xlfn.XLOOKUP(Survey!$F901,sections[Start],sections[Test Section],,-1,1)</f>
        <v>2</v>
      </c>
      <c r="N901" s="55">
        <f>_xlfn.XLOOKUP(Survey!$K901,pipedata[ID],pipedata[WT])</f>
        <v>0.88800000000000001</v>
      </c>
      <c r="O901" s="56">
        <f>_xlfn.XLOOKUP(Survey!$K901,pipedata[ID],pipedata[104%])</f>
        <v>3078.4</v>
      </c>
      <c r="P901" s="57">
        <f t="shared" si="14"/>
        <v>1850</v>
      </c>
      <c r="Q901" s="58">
        <f>_xlfn.MAXIFS(Survey!$G$2:$G$3647,Survey!$M$2:$M$3647,Survey!$M901)-Survey!$G901</f>
        <v>1225.65655180263</v>
      </c>
      <c r="R901" s="59">
        <f>Survey!$P901+(Survey!$Q901*0.433)</f>
        <v>2380.7092869305388</v>
      </c>
    </row>
    <row r="902" spans="1:18" x14ac:dyDescent="0.25">
      <c r="A902" s="71" t="s">
        <v>17</v>
      </c>
      <c r="B902" s="72" t="s">
        <v>18</v>
      </c>
      <c r="C902" s="73" t="s">
        <v>19</v>
      </c>
      <c r="D902" s="74">
        <v>233.75123130724435</v>
      </c>
      <c r="E902" s="81">
        <v>1262889</v>
      </c>
      <c r="F902" s="82">
        <v>1235224.7619047575</v>
      </c>
      <c r="G902" s="75">
        <v>1531.421827530774</v>
      </c>
      <c r="H902" s="76">
        <v>3</v>
      </c>
      <c r="I902" s="54" t="s">
        <v>20</v>
      </c>
      <c r="J902" s="77">
        <v>40</v>
      </c>
      <c r="K902" s="78">
        <v>3</v>
      </c>
      <c r="L902" s="54">
        <v>1</v>
      </c>
      <c r="M902" s="54">
        <f>_xlfn.XLOOKUP(Survey!$F902,sections[Start],sections[Test Section],,-1,1)</f>
        <v>2</v>
      </c>
      <c r="N902" s="55">
        <f>_xlfn.XLOOKUP(Survey!$K902,pipedata[ID],pipedata[WT])</f>
        <v>0.88800000000000001</v>
      </c>
      <c r="O902" s="56">
        <f>_xlfn.XLOOKUP(Survey!$K902,pipedata[ID],pipedata[104%])</f>
        <v>3078.4</v>
      </c>
      <c r="P902" s="57">
        <f t="shared" si="14"/>
        <v>1850</v>
      </c>
      <c r="Q902" s="58">
        <f>_xlfn.MAXIFS(Survey!$G$2:$G$3647,Survey!$M$2:$M$3647,Survey!$M902)-Survey!$G902</f>
        <v>1232.2444166709683</v>
      </c>
      <c r="R902" s="59">
        <f>Survey!$P902+(Survey!$Q902*0.433)</f>
        <v>2383.5618324185293</v>
      </c>
    </row>
    <row r="903" spans="1:18" x14ac:dyDescent="0.25">
      <c r="A903" s="60" t="s">
        <v>17</v>
      </c>
      <c r="B903" s="61" t="s">
        <v>18</v>
      </c>
      <c r="C903" s="62" t="s">
        <v>19</v>
      </c>
      <c r="D903" s="63">
        <v>233.75834267731543</v>
      </c>
      <c r="E903" s="79">
        <v>1262929</v>
      </c>
      <c r="F903" s="80">
        <v>1235264.0714285669</v>
      </c>
      <c r="G903" s="66">
        <v>1526.6155092294066</v>
      </c>
      <c r="H903" s="67">
        <v>3</v>
      </c>
      <c r="I903" s="68" t="s">
        <v>20</v>
      </c>
      <c r="J903" s="69">
        <v>40</v>
      </c>
      <c r="K903" s="70">
        <v>3</v>
      </c>
      <c r="L903" s="68">
        <v>1</v>
      </c>
      <c r="M903" s="68">
        <f>_xlfn.XLOOKUP(Survey!$F903,sections[Start],sections[Test Section],,-1,1)</f>
        <v>2</v>
      </c>
      <c r="N903" s="55">
        <f>_xlfn.XLOOKUP(Survey!$K903,pipedata[ID],pipedata[WT])</f>
        <v>0.88800000000000001</v>
      </c>
      <c r="O903" s="56">
        <f>_xlfn.XLOOKUP(Survey!$K903,pipedata[ID],pipedata[104%])</f>
        <v>3078.4</v>
      </c>
      <c r="P903" s="57">
        <f t="shared" si="14"/>
        <v>1850</v>
      </c>
      <c r="Q903" s="58">
        <f>_xlfn.MAXIFS(Survey!$G$2:$G$3647,Survey!$M$2:$M$3647,Survey!$M903)-Survey!$G903</f>
        <v>1237.0507349723357</v>
      </c>
      <c r="R903" s="59">
        <f>Survey!$P903+(Survey!$Q903*0.433)</f>
        <v>2385.6429682430212</v>
      </c>
    </row>
    <row r="904" spans="1:18" x14ac:dyDescent="0.25">
      <c r="A904" s="71" t="s">
        <v>17</v>
      </c>
      <c r="B904" s="72" t="s">
        <v>18</v>
      </c>
      <c r="C904" s="73" t="s">
        <v>19</v>
      </c>
      <c r="D904" s="74">
        <v>233.76644019761397</v>
      </c>
      <c r="E904" s="81">
        <v>1262969</v>
      </c>
      <c r="F904" s="82">
        <v>1235303.3809523764</v>
      </c>
      <c r="G904" s="75">
        <v>1522.4354042044281</v>
      </c>
      <c r="H904" s="76">
        <v>3</v>
      </c>
      <c r="I904" s="54" t="s">
        <v>20</v>
      </c>
      <c r="J904" s="77">
        <v>40</v>
      </c>
      <c r="K904" s="78">
        <v>3</v>
      </c>
      <c r="L904" s="54">
        <v>1</v>
      </c>
      <c r="M904" s="54">
        <f>_xlfn.XLOOKUP(Survey!$F904,sections[Start],sections[Test Section],,-1,1)</f>
        <v>2</v>
      </c>
      <c r="N904" s="55">
        <f>_xlfn.XLOOKUP(Survey!$K904,pipedata[ID],pipedata[WT])</f>
        <v>0.88800000000000001</v>
      </c>
      <c r="O904" s="56">
        <f>_xlfn.XLOOKUP(Survey!$K904,pipedata[ID],pipedata[104%])</f>
        <v>3078.4</v>
      </c>
      <c r="P904" s="57">
        <f t="shared" si="14"/>
        <v>1850</v>
      </c>
      <c r="Q904" s="58">
        <f>_xlfn.MAXIFS(Survey!$G$2:$G$3647,Survey!$M$2:$M$3647,Survey!$M904)-Survey!$G904</f>
        <v>1241.2308399973142</v>
      </c>
      <c r="R904" s="59">
        <f>Survey!$P904+(Survey!$Q904*0.433)</f>
        <v>2387.4529537188373</v>
      </c>
    </row>
    <row r="905" spans="1:18" x14ac:dyDescent="0.25">
      <c r="A905" s="60" t="s">
        <v>17</v>
      </c>
      <c r="B905" s="61" t="s">
        <v>18</v>
      </c>
      <c r="C905" s="62" t="s">
        <v>19</v>
      </c>
      <c r="D905" s="63">
        <v>233.77350623960805</v>
      </c>
      <c r="E905" s="79">
        <v>1263009</v>
      </c>
      <c r="F905" s="80">
        <v>1235342.6904761859</v>
      </c>
      <c r="G905" s="66">
        <v>1519.1214739571299</v>
      </c>
      <c r="H905" s="67">
        <v>3</v>
      </c>
      <c r="I905" s="68" t="s">
        <v>20</v>
      </c>
      <c r="J905" s="69">
        <v>40</v>
      </c>
      <c r="K905" s="70">
        <v>3</v>
      </c>
      <c r="L905" s="68">
        <v>1</v>
      </c>
      <c r="M905" s="68">
        <f>_xlfn.XLOOKUP(Survey!$F905,sections[Start],sections[Test Section],,-1,1)</f>
        <v>2</v>
      </c>
      <c r="N905" s="55">
        <f>_xlfn.XLOOKUP(Survey!$K905,pipedata[ID],pipedata[WT])</f>
        <v>0.88800000000000001</v>
      </c>
      <c r="O905" s="56">
        <f>_xlfn.XLOOKUP(Survey!$K905,pipedata[ID],pipedata[104%])</f>
        <v>3078.4</v>
      </c>
      <c r="P905" s="57">
        <f t="shared" si="14"/>
        <v>1850</v>
      </c>
      <c r="Q905" s="58">
        <f>_xlfn.MAXIFS(Survey!$G$2:$G$3647,Survey!$M$2:$M$3647,Survey!$M905)-Survey!$G905</f>
        <v>1244.5447702446124</v>
      </c>
      <c r="R905" s="59">
        <f>Survey!$P905+(Survey!$Q905*0.433)</f>
        <v>2388.8878855159173</v>
      </c>
    </row>
    <row r="906" spans="1:18" x14ac:dyDescent="0.25">
      <c r="A906" s="71" t="s">
        <v>17</v>
      </c>
      <c r="B906" s="72" t="s">
        <v>18</v>
      </c>
      <c r="C906" s="73" t="s">
        <v>19</v>
      </c>
      <c r="D906" s="74">
        <v>233.78109794302264</v>
      </c>
      <c r="E906" s="81">
        <v>1263049</v>
      </c>
      <c r="F906" s="82">
        <v>1235381.9999999953</v>
      </c>
      <c r="G906" s="75">
        <v>1517.2131353255072</v>
      </c>
      <c r="H906" s="76">
        <v>3</v>
      </c>
      <c r="I906" s="54" t="s">
        <v>20</v>
      </c>
      <c r="J906" s="77">
        <v>40</v>
      </c>
      <c r="K906" s="78">
        <v>3</v>
      </c>
      <c r="L906" s="54">
        <v>1</v>
      </c>
      <c r="M906" s="54">
        <f>_xlfn.XLOOKUP(Survey!$F906,sections[Start],sections[Test Section],,-1,1)</f>
        <v>2</v>
      </c>
      <c r="N906" s="55">
        <f>_xlfn.XLOOKUP(Survey!$K906,pipedata[ID],pipedata[WT])</f>
        <v>0.88800000000000001</v>
      </c>
      <c r="O906" s="56">
        <f>_xlfn.XLOOKUP(Survey!$K906,pipedata[ID],pipedata[104%])</f>
        <v>3078.4</v>
      </c>
      <c r="P906" s="57">
        <f t="shared" si="14"/>
        <v>1850</v>
      </c>
      <c r="Q906" s="58">
        <f>_xlfn.MAXIFS(Survey!$G$2:$G$3647,Survey!$M$2:$M$3647,Survey!$M906)-Survey!$G906</f>
        <v>1246.4531088762351</v>
      </c>
      <c r="R906" s="59">
        <f>Survey!$P906+(Survey!$Q906*0.433)</f>
        <v>2389.7141961434099</v>
      </c>
    </row>
    <row r="907" spans="1:18" x14ac:dyDescent="0.25">
      <c r="A907" s="60" t="s">
        <v>17</v>
      </c>
      <c r="B907" s="61" t="s">
        <v>18</v>
      </c>
      <c r="C907" s="62" t="s">
        <v>19</v>
      </c>
      <c r="D907" s="63">
        <v>233.7887667394979</v>
      </c>
      <c r="E907" s="79">
        <v>1263089</v>
      </c>
      <c r="F907" s="80">
        <v>1235421.3095238048</v>
      </c>
      <c r="G907" s="66">
        <v>1514.9601878688641</v>
      </c>
      <c r="H907" s="67">
        <v>3</v>
      </c>
      <c r="I907" s="68" t="s">
        <v>20</v>
      </c>
      <c r="J907" s="69">
        <v>40</v>
      </c>
      <c r="K907" s="70">
        <v>3</v>
      </c>
      <c r="L907" s="68">
        <v>1</v>
      </c>
      <c r="M907" s="68">
        <f>_xlfn.XLOOKUP(Survey!$F907,sections[Start],sections[Test Section],,-1,1)</f>
        <v>2</v>
      </c>
      <c r="N907" s="55">
        <f>_xlfn.XLOOKUP(Survey!$K907,pipedata[ID],pipedata[WT])</f>
        <v>0.88800000000000001</v>
      </c>
      <c r="O907" s="56">
        <f>_xlfn.XLOOKUP(Survey!$K907,pipedata[ID],pipedata[104%])</f>
        <v>3078.4</v>
      </c>
      <c r="P907" s="57">
        <f t="shared" si="14"/>
        <v>1850</v>
      </c>
      <c r="Q907" s="58">
        <f>_xlfn.MAXIFS(Survey!$G$2:$G$3647,Survey!$M$2:$M$3647,Survey!$M907)-Survey!$G907</f>
        <v>1248.7060563328782</v>
      </c>
      <c r="R907" s="59">
        <f>Survey!$P907+(Survey!$Q907*0.433)</f>
        <v>2390.689722392136</v>
      </c>
    </row>
    <row r="908" spans="1:18" x14ac:dyDescent="0.25">
      <c r="A908" s="71" t="s">
        <v>17</v>
      </c>
      <c r="B908" s="72" t="s">
        <v>18</v>
      </c>
      <c r="C908" s="73" t="s">
        <v>19</v>
      </c>
      <c r="D908" s="74">
        <v>233.79688548200096</v>
      </c>
      <c r="E908" s="81">
        <v>1263129</v>
      </c>
      <c r="F908" s="82">
        <v>1235460.6190476143</v>
      </c>
      <c r="G908" s="75">
        <v>1512.7825895174035</v>
      </c>
      <c r="H908" s="76">
        <v>3</v>
      </c>
      <c r="I908" s="54" t="s">
        <v>20</v>
      </c>
      <c r="J908" s="77">
        <v>40</v>
      </c>
      <c r="K908" s="78">
        <v>3</v>
      </c>
      <c r="L908" s="54">
        <v>1</v>
      </c>
      <c r="M908" s="54">
        <f>_xlfn.XLOOKUP(Survey!$F908,sections[Start],sections[Test Section],,-1,1)</f>
        <v>2</v>
      </c>
      <c r="N908" s="55">
        <f>_xlfn.XLOOKUP(Survey!$K908,pipedata[ID],pipedata[WT])</f>
        <v>0.88800000000000001</v>
      </c>
      <c r="O908" s="56">
        <f>_xlfn.XLOOKUP(Survey!$K908,pipedata[ID],pipedata[104%])</f>
        <v>3078.4</v>
      </c>
      <c r="P908" s="57">
        <f t="shared" si="14"/>
        <v>1850</v>
      </c>
      <c r="Q908" s="58">
        <f>_xlfn.MAXIFS(Survey!$G$2:$G$3647,Survey!$M$2:$M$3647,Survey!$M908)-Survey!$G908</f>
        <v>1250.8836546843388</v>
      </c>
      <c r="R908" s="59">
        <f>Survey!$P908+(Survey!$Q908*0.433)</f>
        <v>2391.6326224783188</v>
      </c>
    </row>
    <row r="909" spans="1:18" x14ac:dyDescent="0.25">
      <c r="A909" s="60" t="s">
        <v>17</v>
      </c>
      <c r="B909" s="61" t="s">
        <v>18</v>
      </c>
      <c r="C909" s="62" t="s">
        <v>19</v>
      </c>
      <c r="D909" s="63">
        <v>233.80390914755901</v>
      </c>
      <c r="E909" s="79">
        <v>1263169</v>
      </c>
      <c r="F909" s="80">
        <v>1235499.9285714237</v>
      </c>
      <c r="G909" s="66">
        <v>1510.5918284101988</v>
      </c>
      <c r="H909" s="67">
        <v>3</v>
      </c>
      <c r="I909" s="68" t="s">
        <v>20</v>
      </c>
      <c r="J909" s="69">
        <v>40</v>
      </c>
      <c r="K909" s="70">
        <v>3</v>
      </c>
      <c r="L909" s="68">
        <v>1</v>
      </c>
      <c r="M909" s="68">
        <f>_xlfn.XLOOKUP(Survey!$F909,sections[Start],sections[Test Section],,-1,1)</f>
        <v>2</v>
      </c>
      <c r="N909" s="55">
        <f>_xlfn.XLOOKUP(Survey!$K909,pipedata[ID],pipedata[WT])</f>
        <v>0.88800000000000001</v>
      </c>
      <c r="O909" s="56">
        <f>_xlfn.XLOOKUP(Survey!$K909,pipedata[ID],pipedata[104%])</f>
        <v>3078.4</v>
      </c>
      <c r="P909" s="57">
        <f t="shared" si="14"/>
        <v>1850</v>
      </c>
      <c r="Q909" s="58">
        <f>_xlfn.MAXIFS(Survey!$G$2:$G$3647,Survey!$M$2:$M$3647,Survey!$M909)-Survey!$G909</f>
        <v>1253.0744157915435</v>
      </c>
      <c r="R909" s="59">
        <f>Survey!$P909+(Survey!$Q909*0.433)</f>
        <v>2392.5812220377384</v>
      </c>
    </row>
    <row r="910" spans="1:18" x14ac:dyDescent="0.25">
      <c r="A910" s="71" t="s">
        <v>17</v>
      </c>
      <c r="B910" s="72" t="s">
        <v>18</v>
      </c>
      <c r="C910" s="73" t="s">
        <v>19</v>
      </c>
      <c r="D910" s="74">
        <v>233.81214940963866</v>
      </c>
      <c r="E910" s="81">
        <v>1263209</v>
      </c>
      <c r="F910" s="82">
        <v>1235539.2380952332</v>
      </c>
      <c r="G910" s="75">
        <v>1507.9342887606931</v>
      </c>
      <c r="H910" s="76">
        <v>3</v>
      </c>
      <c r="I910" s="54" t="s">
        <v>20</v>
      </c>
      <c r="J910" s="77">
        <v>40</v>
      </c>
      <c r="K910" s="78">
        <v>3</v>
      </c>
      <c r="L910" s="54">
        <v>1</v>
      </c>
      <c r="M910" s="54">
        <f>_xlfn.XLOOKUP(Survey!$F910,sections[Start],sections[Test Section],,-1,1)</f>
        <v>2</v>
      </c>
      <c r="N910" s="55">
        <f>_xlfn.XLOOKUP(Survey!$K910,pipedata[ID],pipedata[WT])</f>
        <v>0.88800000000000001</v>
      </c>
      <c r="O910" s="56">
        <f>_xlfn.XLOOKUP(Survey!$K910,pipedata[ID],pipedata[104%])</f>
        <v>3078.4</v>
      </c>
      <c r="P910" s="57">
        <f t="shared" si="14"/>
        <v>1850</v>
      </c>
      <c r="Q910" s="58">
        <f>_xlfn.MAXIFS(Survey!$G$2:$G$3647,Survey!$M$2:$M$3647,Survey!$M910)-Survey!$G910</f>
        <v>1255.7319554410492</v>
      </c>
      <c r="R910" s="59">
        <f>Survey!$P910+(Survey!$Q910*0.433)</f>
        <v>2393.7319367059745</v>
      </c>
    </row>
    <row r="911" spans="1:18" x14ac:dyDescent="0.25">
      <c r="A911" s="60" t="s">
        <v>17</v>
      </c>
      <c r="B911" s="61" t="s">
        <v>18</v>
      </c>
      <c r="C911" s="62" t="s">
        <v>19</v>
      </c>
      <c r="D911" s="63">
        <v>233.81918803877744</v>
      </c>
      <c r="E911" s="79">
        <v>1263249</v>
      </c>
      <c r="F911" s="80">
        <v>1235578.5476190427</v>
      </c>
      <c r="G911" s="66">
        <v>1506.1671757933568</v>
      </c>
      <c r="H911" s="67">
        <v>3</v>
      </c>
      <c r="I911" s="68" t="s">
        <v>20</v>
      </c>
      <c r="J911" s="69">
        <v>40</v>
      </c>
      <c r="K911" s="70">
        <v>3</v>
      </c>
      <c r="L911" s="68">
        <v>1</v>
      </c>
      <c r="M911" s="68">
        <f>_xlfn.XLOOKUP(Survey!$F911,sections[Start],sections[Test Section],,-1,1)</f>
        <v>2</v>
      </c>
      <c r="N911" s="55">
        <f>_xlfn.XLOOKUP(Survey!$K911,pipedata[ID],pipedata[WT])</f>
        <v>0.88800000000000001</v>
      </c>
      <c r="O911" s="56">
        <f>_xlfn.XLOOKUP(Survey!$K911,pipedata[ID],pipedata[104%])</f>
        <v>3078.4</v>
      </c>
      <c r="P911" s="57">
        <f t="shared" si="14"/>
        <v>1850</v>
      </c>
      <c r="Q911" s="58">
        <f>_xlfn.MAXIFS(Survey!$G$2:$G$3647,Survey!$M$2:$M$3647,Survey!$M911)-Survey!$G911</f>
        <v>1257.4990684083855</v>
      </c>
      <c r="R911" s="59">
        <f>Survey!$P911+(Survey!$Q911*0.433)</f>
        <v>2394.4970966208311</v>
      </c>
    </row>
    <row r="912" spans="1:18" x14ac:dyDescent="0.25">
      <c r="A912" s="71" t="s">
        <v>17</v>
      </c>
      <c r="B912" s="72" t="s">
        <v>18</v>
      </c>
      <c r="C912" s="73" t="s">
        <v>19</v>
      </c>
      <c r="D912" s="74">
        <v>233.8268274843866</v>
      </c>
      <c r="E912" s="81">
        <v>1263289</v>
      </c>
      <c r="F912" s="82">
        <v>1235617.8571428522</v>
      </c>
      <c r="G912" s="75">
        <v>1503.5051922163664</v>
      </c>
      <c r="H912" s="76">
        <v>3</v>
      </c>
      <c r="I912" s="54" t="s">
        <v>20</v>
      </c>
      <c r="J912" s="77">
        <v>40</v>
      </c>
      <c r="K912" s="78">
        <v>3</v>
      </c>
      <c r="L912" s="54">
        <v>1</v>
      </c>
      <c r="M912" s="54">
        <f>_xlfn.XLOOKUP(Survey!$F912,sections[Start],sections[Test Section],,-1,1)</f>
        <v>2</v>
      </c>
      <c r="N912" s="55">
        <f>_xlfn.XLOOKUP(Survey!$K912,pipedata[ID],pipedata[WT])</f>
        <v>0.88800000000000001</v>
      </c>
      <c r="O912" s="56">
        <f>_xlfn.XLOOKUP(Survey!$K912,pipedata[ID],pipedata[104%])</f>
        <v>3078.4</v>
      </c>
      <c r="P912" s="57">
        <f t="shared" si="14"/>
        <v>1850</v>
      </c>
      <c r="Q912" s="58">
        <f>_xlfn.MAXIFS(Survey!$G$2:$G$3647,Survey!$M$2:$M$3647,Survey!$M912)-Survey!$G912</f>
        <v>1260.1610519853759</v>
      </c>
      <c r="R912" s="59">
        <f>Survey!$P912+(Survey!$Q912*0.433)</f>
        <v>2395.6497355096676</v>
      </c>
    </row>
    <row r="913" spans="1:18" x14ac:dyDescent="0.25">
      <c r="A913" s="60" t="s">
        <v>17</v>
      </c>
      <c r="B913" s="61" t="s">
        <v>18</v>
      </c>
      <c r="C913" s="62" t="s">
        <v>19</v>
      </c>
      <c r="D913" s="63">
        <v>233.83446692999578</v>
      </c>
      <c r="E913" s="79">
        <v>1263329</v>
      </c>
      <c r="F913" s="80">
        <v>1235657.1666666616</v>
      </c>
      <c r="G913" s="66">
        <v>1501.1352611741365</v>
      </c>
      <c r="H913" s="67">
        <v>3</v>
      </c>
      <c r="I913" s="68" t="s">
        <v>20</v>
      </c>
      <c r="J913" s="69">
        <v>40</v>
      </c>
      <c r="K913" s="70">
        <v>3</v>
      </c>
      <c r="L913" s="68">
        <v>1</v>
      </c>
      <c r="M913" s="68">
        <f>_xlfn.XLOOKUP(Survey!$F913,sections[Start],sections[Test Section],,-1,1)</f>
        <v>2</v>
      </c>
      <c r="N913" s="55">
        <f>_xlfn.XLOOKUP(Survey!$K913,pipedata[ID],pipedata[WT])</f>
        <v>0.88800000000000001</v>
      </c>
      <c r="O913" s="56">
        <f>_xlfn.XLOOKUP(Survey!$K913,pipedata[ID],pipedata[104%])</f>
        <v>3078.4</v>
      </c>
      <c r="P913" s="57">
        <f t="shared" si="14"/>
        <v>1850</v>
      </c>
      <c r="Q913" s="58">
        <f>_xlfn.MAXIFS(Survey!$G$2:$G$3647,Survey!$M$2:$M$3647,Survey!$M913)-Survey!$G913</f>
        <v>1262.5309830276058</v>
      </c>
      <c r="R913" s="59">
        <f>Survey!$P913+(Survey!$Q913*0.433)</f>
        <v>2396.6759156509534</v>
      </c>
    </row>
    <row r="914" spans="1:18" x14ac:dyDescent="0.25">
      <c r="A914" s="71" t="s">
        <v>17</v>
      </c>
      <c r="B914" s="72" t="s">
        <v>18</v>
      </c>
      <c r="C914" s="73" t="s">
        <v>19</v>
      </c>
      <c r="D914" s="74">
        <v>233.84210637560494</v>
      </c>
      <c r="E914" s="81">
        <v>1263369</v>
      </c>
      <c r="F914" s="82">
        <v>1235696.4761904711</v>
      </c>
      <c r="G914" s="75">
        <v>1498.5330122520299</v>
      </c>
      <c r="H914" s="76">
        <v>3</v>
      </c>
      <c r="I914" s="54" t="s">
        <v>20</v>
      </c>
      <c r="J914" s="77">
        <v>40</v>
      </c>
      <c r="K914" s="78">
        <v>3</v>
      </c>
      <c r="L914" s="54">
        <v>1</v>
      </c>
      <c r="M914" s="54">
        <f>_xlfn.XLOOKUP(Survey!$F914,sections[Start],sections[Test Section],,-1,1)</f>
        <v>2</v>
      </c>
      <c r="N914" s="55">
        <f>_xlfn.XLOOKUP(Survey!$K914,pipedata[ID],pipedata[WT])</f>
        <v>0.88800000000000001</v>
      </c>
      <c r="O914" s="56">
        <f>_xlfn.XLOOKUP(Survey!$K914,pipedata[ID],pipedata[104%])</f>
        <v>3078.4</v>
      </c>
      <c r="P914" s="57">
        <f t="shared" si="14"/>
        <v>1850</v>
      </c>
      <c r="Q914" s="58">
        <f>_xlfn.MAXIFS(Survey!$G$2:$G$3647,Survey!$M$2:$M$3647,Survey!$M914)-Survey!$G914</f>
        <v>1265.1332319497124</v>
      </c>
      <c r="R914" s="59">
        <f>Survey!$P914+(Survey!$Q914*0.433)</f>
        <v>2397.8026894342256</v>
      </c>
    </row>
    <row r="915" spans="1:18" x14ac:dyDescent="0.25">
      <c r="A915" s="60" t="s">
        <v>17</v>
      </c>
      <c r="B915" s="61" t="s">
        <v>18</v>
      </c>
      <c r="C915" s="62" t="s">
        <v>19</v>
      </c>
      <c r="D915" s="63">
        <v>233.84996096614589</v>
      </c>
      <c r="E915" s="79">
        <v>1263409</v>
      </c>
      <c r="F915" s="80">
        <v>1235735.7857142806</v>
      </c>
      <c r="G915" s="66">
        <v>1494.9117847930788</v>
      </c>
      <c r="H915" s="67">
        <v>3</v>
      </c>
      <c r="I915" s="68" t="s">
        <v>20</v>
      </c>
      <c r="J915" s="69">
        <v>40</v>
      </c>
      <c r="K915" s="70">
        <v>3</v>
      </c>
      <c r="L915" s="68">
        <v>1</v>
      </c>
      <c r="M915" s="68">
        <f>_xlfn.XLOOKUP(Survey!$F915,sections[Start],sections[Test Section],,-1,1)</f>
        <v>2</v>
      </c>
      <c r="N915" s="55">
        <f>_xlfn.XLOOKUP(Survey!$K915,pipedata[ID],pipedata[WT])</f>
        <v>0.88800000000000001</v>
      </c>
      <c r="O915" s="56">
        <f>_xlfn.XLOOKUP(Survey!$K915,pipedata[ID],pipedata[104%])</f>
        <v>3078.4</v>
      </c>
      <c r="P915" s="57">
        <f t="shared" si="14"/>
        <v>1850</v>
      </c>
      <c r="Q915" s="58">
        <f>_xlfn.MAXIFS(Survey!$G$2:$G$3647,Survey!$M$2:$M$3647,Survey!$M915)-Survey!$G915</f>
        <v>1268.7544594086635</v>
      </c>
      <c r="R915" s="59">
        <f>Survey!$P915+(Survey!$Q915*0.433)</f>
        <v>2399.3706809239511</v>
      </c>
    </row>
    <row r="916" spans="1:18" x14ac:dyDescent="0.25">
      <c r="A916" s="71" t="s">
        <v>17</v>
      </c>
      <c r="B916" s="72" t="s">
        <v>18</v>
      </c>
      <c r="C916" s="73" t="s">
        <v>19</v>
      </c>
      <c r="D916" s="74">
        <v>233.85605486037215</v>
      </c>
      <c r="E916" s="81">
        <v>1263449</v>
      </c>
      <c r="F916" s="82">
        <v>1235775.09523809</v>
      </c>
      <c r="G916" s="75">
        <v>1490.71466405563</v>
      </c>
      <c r="H916" s="76">
        <v>3</v>
      </c>
      <c r="I916" s="54" t="s">
        <v>20</v>
      </c>
      <c r="J916" s="77">
        <v>40</v>
      </c>
      <c r="K916" s="78">
        <v>3</v>
      </c>
      <c r="L916" s="54">
        <v>1</v>
      </c>
      <c r="M916" s="54">
        <f>_xlfn.XLOOKUP(Survey!$F916,sections[Start],sections[Test Section],,-1,1)</f>
        <v>2</v>
      </c>
      <c r="N916" s="55">
        <f>_xlfn.XLOOKUP(Survey!$K916,pipedata[ID],pipedata[WT])</f>
        <v>0.88800000000000001</v>
      </c>
      <c r="O916" s="56">
        <f>_xlfn.XLOOKUP(Survey!$K916,pipedata[ID],pipedata[104%])</f>
        <v>3078.4</v>
      </c>
      <c r="P916" s="57">
        <f t="shared" si="14"/>
        <v>1850</v>
      </c>
      <c r="Q916" s="58">
        <f>_xlfn.MAXIFS(Survey!$G$2:$G$3647,Survey!$M$2:$M$3647,Survey!$M916)-Survey!$G916</f>
        <v>1272.9515801461123</v>
      </c>
      <c r="R916" s="59">
        <f>Survey!$P916+(Survey!$Q916*0.433)</f>
        <v>2401.1880342032664</v>
      </c>
    </row>
    <row r="917" spans="1:18" x14ac:dyDescent="0.25">
      <c r="A917" s="60" t="s">
        <v>17</v>
      </c>
      <c r="B917" s="61" t="s">
        <v>18</v>
      </c>
      <c r="C917" s="62" t="s">
        <v>19</v>
      </c>
      <c r="D917" s="63">
        <v>233.86390799340955</v>
      </c>
      <c r="E917" s="79">
        <v>1263489</v>
      </c>
      <c r="F917" s="80">
        <v>1235814.4047618995</v>
      </c>
      <c r="G917" s="66">
        <v>1484.2021975250861</v>
      </c>
      <c r="H917" s="67">
        <v>3</v>
      </c>
      <c r="I917" s="68" t="s">
        <v>20</v>
      </c>
      <c r="J917" s="69">
        <v>40</v>
      </c>
      <c r="K917" s="70">
        <v>3</v>
      </c>
      <c r="L917" s="68">
        <v>1</v>
      </c>
      <c r="M917" s="68">
        <f>_xlfn.XLOOKUP(Survey!$F917,sections[Start],sections[Test Section],,-1,1)</f>
        <v>2</v>
      </c>
      <c r="N917" s="55">
        <f>_xlfn.XLOOKUP(Survey!$K917,pipedata[ID],pipedata[WT])</f>
        <v>0.88800000000000001</v>
      </c>
      <c r="O917" s="56">
        <f>_xlfn.XLOOKUP(Survey!$K917,pipedata[ID],pipedata[104%])</f>
        <v>3078.4</v>
      </c>
      <c r="P917" s="57">
        <f t="shared" si="14"/>
        <v>1850</v>
      </c>
      <c r="Q917" s="58">
        <f>_xlfn.MAXIFS(Survey!$G$2:$G$3647,Survey!$M$2:$M$3647,Survey!$M917)-Survey!$G917</f>
        <v>1279.4640466766562</v>
      </c>
      <c r="R917" s="59">
        <f>Survey!$P917+(Survey!$Q917*0.433)</f>
        <v>2404.0079322109923</v>
      </c>
    </row>
    <row r="918" spans="1:18" x14ac:dyDescent="0.25">
      <c r="A918" s="71" t="s">
        <v>17</v>
      </c>
      <c r="B918" s="72" t="s">
        <v>18</v>
      </c>
      <c r="C918" s="73" t="s">
        <v>19</v>
      </c>
      <c r="D918" s="74">
        <v>233.87199259822475</v>
      </c>
      <c r="E918" s="81">
        <v>1263529</v>
      </c>
      <c r="F918" s="82">
        <v>1235853.714285709</v>
      </c>
      <c r="G918" s="75">
        <v>1475.5138371831945</v>
      </c>
      <c r="H918" s="76">
        <v>3</v>
      </c>
      <c r="I918" s="54" t="s">
        <v>20</v>
      </c>
      <c r="J918" s="77">
        <v>40</v>
      </c>
      <c r="K918" s="78">
        <v>3</v>
      </c>
      <c r="L918" s="54">
        <v>1</v>
      </c>
      <c r="M918" s="54">
        <f>_xlfn.XLOOKUP(Survey!$F918,sections[Start],sections[Test Section],,-1,1)</f>
        <v>2</v>
      </c>
      <c r="N918" s="55">
        <f>_xlfn.XLOOKUP(Survey!$K918,pipedata[ID],pipedata[WT])</f>
        <v>0.88800000000000001</v>
      </c>
      <c r="O918" s="56">
        <f>_xlfn.XLOOKUP(Survey!$K918,pipedata[ID],pipedata[104%])</f>
        <v>3078.4</v>
      </c>
      <c r="P918" s="57">
        <f t="shared" si="14"/>
        <v>1850</v>
      </c>
      <c r="Q918" s="58">
        <f>_xlfn.MAXIFS(Survey!$G$2:$G$3647,Survey!$M$2:$M$3647,Survey!$M918)-Survey!$G918</f>
        <v>1288.1524070185478</v>
      </c>
      <c r="R918" s="59">
        <f>Survey!$P918+(Survey!$Q918*0.433)</f>
        <v>2407.7699922390311</v>
      </c>
    </row>
    <row r="919" spans="1:18" x14ac:dyDescent="0.25">
      <c r="A919" s="60" t="s">
        <v>17</v>
      </c>
      <c r="B919" s="61" t="s">
        <v>18</v>
      </c>
      <c r="C919" s="62" t="s">
        <v>19</v>
      </c>
      <c r="D919" s="63">
        <v>233.8783303840178</v>
      </c>
      <c r="E919" s="79">
        <v>1263569</v>
      </c>
      <c r="F919" s="80">
        <v>1235893.0238095184</v>
      </c>
      <c r="G919" s="66">
        <v>1467.5655335501456</v>
      </c>
      <c r="H919" s="67">
        <v>3</v>
      </c>
      <c r="I919" s="68" t="s">
        <v>20</v>
      </c>
      <c r="J919" s="69">
        <v>40</v>
      </c>
      <c r="K919" s="70">
        <v>3</v>
      </c>
      <c r="L919" s="68">
        <v>1</v>
      </c>
      <c r="M919" s="68">
        <f>_xlfn.XLOOKUP(Survey!$F919,sections[Start],sections[Test Section],,-1,1)</f>
        <v>2</v>
      </c>
      <c r="N919" s="55">
        <f>_xlfn.XLOOKUP(Survey!$K919,pipedata[ID],pipedata[WT])</f>
        <v>0.88800000000000001</v>
      </c>
      <c r="O919" s="56">
        <f>_xlfn.XLOOKUP(Survey!$K919,pipedata[ID],pipedata[104%])</f>
        <v>3078.4</v>
      </c>
      <c r="P919" s="57">
        <f t="shared" si="14"/>
        <v>1850</v>
      </c>
      <c r="Q919" s="58">
        <f>_xlfn.MAXIFS(Survey!$G$2:$G$3647,Survey!$M$2:$M$3647,Survey!$M919)-Survey!$G919</f>
        <v>1296.1007106515967</v>
      </c>
      <c r="R919" s="59">
        <f>Survey!$P919+(Survey!$Q919*0.433)</f>
        <v>2411.2116077121414</v>
      </c>
    </row>
    <row r="920" spans="1:18" x14ac:dyDescent="0.25">
      <c r="A920" s="71" t="s">
        <v>17</v>
      </c>
      <c r="B920" s="72" t="s">
        <v>18</v>
      </c>
      <c r="C920" s="73" t="s">
        <v>19</v>
      </c>
      <c r="D920" s="74">
        <v>233.8860942069486</v>
      </c>
      <c r="E920" s="81">
        <v>1263609</v>
      </c>
      <c r="F920" s="82">
        <v>1235932.3333333279</v>
      </c>
      <c r="G920" s="75">
        <v>1456.3327591313655</v>
      </c>
      <c r="H920" s="76">
        <v>3</v>
      </c>
      <c r="I920" s="54" t="s">
        <v>20</v>
      </c>
      <c r="J920" s="77">
        <v>40</v>
      </c>
      <c r="K920" s="78">
        <v>3</v>
      </c>
      <c r="L920" s="54">
        <v>1</v>
      </c>
      <c r="M920" s="54">
        <f>_xlfn.XLOOKUP(Survey!$F920,sections[Start],sections[Test Section],,-1,1)</f>
        <v>2</v>
      </c>
      <c r="N920" s="55">
        <f>_xlfn.XLOOKUP(Survey!$K920,pipedata[ID],pipedata[WT])</f>
        <v>0.88800000000000001</v>
      </c>
      <c r="O920" s="56">
        <f>_xlfn.XLOOKUP(Survey!$K920,pipedata[ID],pipedata[104%])</f>
        <v>3078.4</v>
      </c>
      <c r="P920" s="57">
        <f t="shared" si="14"/>
        <v>1850</v>
      </c>
      <c r="Q920" s="58">
        <f>_xlfn.MAXIFS(Survey!$G$2:$G$3647,Survey!$M$2:$M$3647,Survey!$M920)-Survey!$G920</f>
        <v>1307.3334850703768</v>
      </c>
      <c r="R920" s="59">
        <f>Survey!$P920+(Survey!$Q920*0.433)</f>
        <v>2416.0753990354733</v>
      </c>
    </row>
    <row r="921" spans="1:18" x14ac:dyDescent="0.25">
      <c r="A921" s="60" t="s">
        <v>17</v>
      </c>
      <c r="B921" s="61" t="s">
        <v>18</v>
      </c>
      <c r="C921" s="62" t="s">
        <v>19</v>
      </c>
      <c r="D921" s="63">
        <v>233.89415422081186</v>
      </c>
      <c r="E921" s="79">
        <v>1263649</v>
      </c>
      <c r="F921" s="80">
        <v>1235971.6428571374</v>
      </c>
      <c r="G921" s="66">
        <v>1442.6450731382947</v>
      </c>
      <c r="H921" s="67">
        <v>3</v>
      </c>
      <c r="I921" s="68" t="s">
        <v>20</v>
      </c>
      <c r="J921" s="69">
        <v>40</v>
      </c>
      <c r="K921" s="70">
        <v>3</v>
      </c>
      <c r="L921" s="68">
        <v>1</v>
      </c>
      <c r="M921" s="68">
        <f>_xlfn.XLOOKUP(Survey!$F921,sections[Start],sections[Test Section],,-1,1)</f>
        <v>2</v>
      </c>
      <c r="N921" s="55">
        <f>_xlfn.XLOOKUP(Survey!$K921,pipedata[ID],pipedata[WT])</f>
        <v>0.88800000000000001</v>
      </c>
      <c r="O921" s="56">
        <f>_xlfn.XLOOKUP(Survey!$K921,pipedata[ID],pipedata[104%])</f>
        <v>3078.4</v>
      </c>
      <c r="P921" s="57">
        <f t="shared" si="14"/>
        <v>1850</v>
      </c>
      <c r="Q921" s="58">
        <f>_xlfn.MAXIFS(Survey!$G$2:$G$3647,Survey!$M$2:$M$3647,Survey!$M921)-Survey!$G921</f>
        <v>1321.0211710634476</v>
      </c>
      <c r="R921" s="59">
        <f>Survey!$P921+(Survey!$Q921*0.433)</f>
        <v>2422.0021670704728</v>
      </c>
    </row>
    <row r="922" spans="1:18" x14ac:dyDescent="0.25">
      <c r="A922" s="71" t="s">
        <v>17</v>
      </c>
      <c r="B922" s="72" t="s">
        <v>18</v>
      </c>
      <c r="C922" s="73" t="s">
        <v>19</v>
      </c>
      <c r="D922" s="74">
        <v>233.90035451246808</v>
      </c>
      <c r="E922" s="81">
        <v>1263689</v>
      </c>
      <c r="F922" s="82">
        <v>1236010.9523809468</v>
      </c>
      <c r="G922" s="75">
        <v>1430.3703793854472</v>
      </c>
      <c r="H922" s="76">
        <v>3</v>
      </c>
      <c r="I922" s="54" t="s">
        <v>20</v>
      </c>
      <c r="J922" s="77">
        <v>40</v>
      </c>
      <c r="K922" s="78">
        <v>3</v>
      </c>
      <c r="L922" s="54">
        <v>1</v>
      </c>
      <c r="M922" s="54">
        <f>_xlfn.XLOOKUP(Survey!$F922,sections[Start],sections[Test Section],,-1,1)</f>
        <v>2</v>
      </c>
      <c r="N922" s="55">
        <f>_xlfn.XLOOKUP(Survey!$K922,pipedata[ID],pipedata[WT])</f>
        <v>0.88800000000000001</v>
      </c>
      <c r="O922" s="56">
        <f>_xlfn.XLOOKUP(Survey!$K922,pipedata[ID],pipedata[104%])</f>
        <v>3078.4</v>
      </c>
      <c r="P922" s="57">
        <f t="shared" si="14"/>
        <v>1850</v>
      </c>
      <c r="Q922" s="58">
        <f>_xlfn.MAXIFS(Survey!$G$2:$G$3647,Survey!$M$2:$M$3647,Survey!$M922)-Survey!$G922</f>
        <v>1333.2958648162951</v>
      </c>
      <c r="R922" s="59">
        <f>Survey!$P922+(Survey!$Q922*0.433)</f>
        <v>2427.3171094654558</v>
      </c>
    </row>
    <row r="923" spans="1:18" x14ac:dyDescent="0.25">
      <c r="A923" s="60" t="s">
        <v>17</v>
      </c>
      <c r="B923" s="61" t="s">
        <v>18</v>
      </c>
      <c r="C923" s="62" t="s">
        <v>19</v>
      </c>
      <c r="D923" s="63">
        <v>233.908258234274</v>
      </c>
      <c r="E923" s="79">
        <v>1263729</v>
      </c>
      <c r="F923" s="80">
        <v>1236050.2619047563</v>
      </c>
      <c r="G923" s="66">
        <v>1421.8716641335911</v>
      </c>
      <c r="H923" s="67">
        <v>3</v>
      </c>
      <c r="I923" s="68" t="s">
        <v>20</v>
      </c>
      <c r="J923" s="69">
        <v>40</v>
      </c>
      <c r="K923" s="70">
        <v>3</v>
      </c>
      <c r="L923" s="68">
        <v>1</v>
      </c>
      <c r="M923" s="68">
        <f>_xlfn.XLOOKUP(Survey!$F923,sections[Start],sections[Test Section],,-1,1)</f>
        <v>2</v>
      </c>
      <c r="N923" s="55">
        <f>_xlfn.XLOOKUP(Survey!$K923,pipedata[ID],pipedata[WT])</f>
        <v>0.88800000000000001</v>
      </c>
      <c r="O923" s="56">
        <f>_xlfn.XLOOKUP(Survey!$K923,pipedata[ID],pipedata[104%])</f>
        <v>3078.4</v>
      </c>
      <c r="P923" s="57">
        <f t="shared" si="14"/>
        <v>1850</v>
      </c>
      <c r="Q923" s="58">
        <f>_xlfn.MAXIFS(Survey!$G$2:$G$3647,Survey!$M$2:$M$3647,Survey!$M923)-Survey!$G923</f>
        <v>1341.7945800681512</v>
      </c>
      <c r="R923" s="59">
        <f>Survey!$P923+(Survey!$Q923*0.433)</f>
        <v>2430.9970531695094</v>
      </c>
    </row>
    <row r="924" spans="1:18" x14ac:dyDescent="0.25">
      <c r="A924" s="71" t="s">
        <v>17</v>
      </c>
      <c r="B924" s="72" t="s">
        <v>18</v>
      </c>
      <c r="C924" s="73" t="s">
        <v>19</v>
      </c>
      <c r="D924" s="74">
        <v>233.9163259482882</v>
      </c>
      <c r="E924" s="81">
        <v>1263769</v>
      </c>
      <c r="F924" s="82">
        <v>1236089.5714285658</v>
      </c>
      <c r="G924" s="75">
        <v>1414.1382124231757</v>
      </c>
      <c r="H924" s="76">
        <v>3</v>
      </c>
      <c r="I924" s="54" t="s">
        <v>20</v>
      </c>
      <c r="J924" s="77">
        <v>40</v>
      </c>
      <c r="K924" s="78">
        <v>3</v>
      </c>
      <c r="L924" s="54">
        <v>1</v>
      </c>
      <c r="M924" s="54">
        <f>_xlfn.XLOOKUP(Survey!$F924,sections[Start],sections[Test Section],,-1,1)</f>
        <v>2</v>
      </c>
      <c r="N924" s="55">
        <f>_xlfn.XLOOKUP(Survey!$K924,pipedata[ID],pipedata[WT])</f>
        <v>0.88800000000000001</v>
      </c>
      <c r="O924" s="56">
        <f>_xlfn.XLOOKUP(Survey!$K924,pipedata[ID],pipedata[104%])</f>
        <v>3078.4</v>
      </c>
      <c r="P924" s="57">
        <f t="shared" si="14"/>
        <v>1850</v>
      </c>
      <c r="Q924" s="58">
        <f>_xlfn.MAXIFS(Survey!$G$2:$G$3647,Survey!$M$2:$M$3647,Survey!$M924)-Survey!$G924</f>
        <v>1349.5280317785666</v>
      </c>
      <c r="R924" s="59">
        <f>Survey!$P924+(Survey!$Q924*0.433)</f>
        <v>2434.3456377601192</v>
      </c>
    </row>
    <row r="925" spans="1:18" x14ac:dyDescent="0.25">
      <c r="A925" s="60" t="s">
        <v>17</v>
      </c>
      <c r="B925" s="61" t="s">
        <v>18</v>
      </c>
      <c r="C925" s="62" t="s">
        <v>19</v>
      </c>
      <c r="D925" s="63">
        <v>233.92386217628871</v>
      </c>
      <c r="E925" s="79">
        <v>1263809</v>
      </c>
      <c r="F925" s="80">
        <v>1236128.8809523752</v>
      </c>
      <c r="G925" s="66">
        <v>1413.0237993376027</v>
      </c>
      <c r="H925" s="67">
        <v>3</v>
      </c>
      <c r="I925" s="68" t="s">
        <v>20</v>
      </c>
      <c r="J925" s="69">
        <v>40</v>
      </c>
      <c r="K925" s="70">
        <v>3</v>
      </c>
      <c r="L925" s="68">
        <v>1</v>
      </c>
      <c r="M925" s="68">
        <f>_xlfn.XLOOKUP(Survey!$F925,sections[Start],sections[Test Section],,-1,1)</f>
        <v>2</v>
      </c>
      <c r="N925" s="55">
        <f>_xlfn.XLOOKUP(Survey!$K925,pipedata[ID],pipedata[WT])</f>
        <v>0.88800000000000001</v>
      </c>
      <c r="O925" s="56">
        <f>_xlfn.XLOOKUP(Survey!$K925,pipedata[ID],pipedata[104%])</f>
        <v>3078.4</v>
      </c>
      <c r="P925" s="57">
        <f t="shared" si="14"/>
        <v>1850</v>
      </c>
      <c r="Q925" s="58">
        <f>_xlfn.MAXIFS(Survey!$G$2:$G$3647,Survey!$M$2:$M$3647,Survey!$M925)-Survey!$G925</f>
        <v>1350.6424448641396</v>
      </c>
      <c r="R925" s="59">
        <f>Survey!$P925+(Survey!$Q925*0.433)</f>
        <v>2434.8281786261723</v>
      </c>
    </row>
    <row r="926" spans="1:18" x14ac:dyDescent="0.25">
      <c r="A926" s="71" t="s">
        <v>17</v>
      </c>
      <c r="B926" s="72" t="s">
        <v>18</v>
      </c>
      <c r="C926" s="73" t="s">
        <v>19</v>
      </c>
      <c r="D926" s="74">
        <v>233.93095456882364</v>
      </c>
      <c r="E926" s="81">
        <v>1263849</v>
      </c>
      <c r="F926" s="82">
        <v>1236168.1904761847</v>
      </c>
      <c r="G926" s="75">
        <v>1419.8611032628928</v>
      </c>
      <c r="H926" s="76">
        <v>3</v>
      </c>
      <c r="I926" s="54" t="s">
        <v>20</v>
      </c>
      <c r="J926" s="77">
        <v>40</v>
      </c>
      <c r="K926" s="78">
        <v>3</v>
      </c>
      <c r="L926" s="54">
        <v>1</v>
      </c>
      <c r="M926" s="54">
        <f>_xlfn.XLOOKUP(Survey!$F926,sections[Start],sections[Test Section],,-1,1)</f>
        <v>2</v>
      </c>
      <c r="N926" s="55">
        <f>_xlfn.XLOOKUP(Survey!$K926,pipedata[ID],pipedata[WT])</f>
        <v>0.88800000000000001</v>
      </c>
      <c r="O926" s="56">
        <f>_xlfn.XLOOKUP(Survey!$K926,pipedata[ID],pipedata[104%])</f>
        <v>3078.4</v>
      </c>
      <c r="P926" s="57">
        <f t="shared" si="14"/>
        <v>1850</v>
      </c>
      <c r="Q926" s="58">
        <f>_xlfn.MAXIFS(Survey!$G$2:$G$3647,Survey!$M$2:$M$3647,Survey!$M926)-Survey!$G926</f>
        <v>1343.8051409388495</v>
      </c>
      <c r="R926" s="59">
        <f>Survey!$P926+(Survey!$Q926*0.433)</f>
        <v>2431.867626026522</v>
      </c>
    </row>
    <row r="927" spans="1:18" x14ac:dyDescent="0.25">
      <c r="A927" s="60" t="s">
        <v>17</v>
      </c>
      <c r="B927" s="61" t="s">
        <v>18</v>
      </c>
      <c r="C927" s="62" t="s">
        <v>19</v>
      </c>
      <c r="D927" s="63">
        <v>233.93804696135857</v>
      </c>
      <c r="E927" s="79">
        <v>1263889</v>
      </c>
      <c r="F927" s="80">
        <v>1236207.4999999942</v>
      </c>
      <c r="G927" s="66">
        <v>1430.6396696629224</v>
      </c>
      <c r="H927" s="67">
        <v>3</v>
      </c>
      <c r="I927" s="68" t="s">
        <v>20</v>
      </c>
      <c r="J927" s="69">
        <v>40</v>
      </c>
      <c r="K927" s="70">
        <v>3</v>
      </c>
      <c r="L927" s="68">
        <v>1</v>
      </c>
      <c r="M927" s="68">
        <f>_xlfn.XLOOKUP(Survey!$F927,sections[Start],sections[Test Section],,-1,1)</f>
        <v>2</v>
      </c>
      <c r="N927" s="55">
        <f>_xlfn.XLOOKUP(Survey!$K927,pipedata[ID],pipedata[WT])</f>
        <v>0.88800000000000001</v>
      </c>
      <c r="O927" s="56">
        <f>_xlfn.XLOOKUP(Survey!$K927,pipedata[ID],pipedata[104%])</f>
        <v>3078.4</v>
      </c>
      <c r="P927" s="57">
        <f t="shared" si="14"/>
        <v>1850</v>
      </c>
      <c r="Q927" s="58">
        <f>_xlfn.MAXIFS(Survey!$G$2:$G$3647,Survey!$M$2:$M$3647,Survey!$M927)-Survey!$G927</f>
        <v>1333.0265745388199</v>
      </c>
      <c r="R927" s="59">
        <f>Survey!$P927+(Survey!$Q927*0.433)</f>
        <v>2427.2005067753089</v>
      </c>
    </row>
    <row r="928" spans="1:18" x14ac:dyDescent="0.25">
      <c r="A928" s="71" t="s">
        <v>17</v>
      </c>
      <c r="B928" s="72" t="s">
        <v>18</v>
      </c>
      <c r="C928" s="73" t="s">
        <v>19</v>
      </c>
      <c r="D928" s="74">
        <v>233.94513935389313</v>
      </c>
      <c r="E928" s="81">
        <v>1263929</v>
      </c>
      <c r="F928" s="82">
        <v>1236246.8095238036</v>
      </c>
      <c r="G928" s="75">
        <v>1440.3985384218797</v>
      </c>
      <c r="H928" s="76">
        <v>3</v>
      </c>
      <c r="I928" s="54" t="s">
        <v>20</v>
      </c>
      <c r="J928" s="77">
        <v>40</v>
      </c>
      <c r="K928" s="78">
        <v>3</v>
      </c>
      <c r="L928" s="54">
        <v>1</v>
      </c>
      <c r="M928" s="54">
        <f>_xlfn.XLOOKUP(Survey!$F928,sections[Start],sections[Test Section],,-1,1)</f>
        <v>2</v>
      </c>
      <c r="N928" s="55">
        <f>_xlfn.XLOOKUP(Survey!$K928,pipedata[ID],pipedata[WT])</f>
        <v>0.88800000000000001</v>
      </c>
      <c r="O928" s="56">
        <f>_xlfn.XLOOKUP(Survey!$K928,pipedata[ID],pipedata[104%])</f>
        <v>3078.4</v>
      </c>
      <c r="P928" s="57">
        <f t="shared" si="14"/>
        <v>1850</v>
      </c>
      <c r="Q928" s="58">
        <f>_xlfn.MAXIFS(Survey!$G$2:$G$3647,Survey!$M$2:$M$3647,Survey!$M928)-Survey!$G928</f>
        <v>1323.2677057798626</v>
      </c>
      <c r="R928" s="59">
        <f>Survey!$P928+(Survey!$Q928*0.433)</f>
        <v>2422.9749166026804</v>
      </c>
    </row>
    <row r="929" spans="1:18" x14ac:dyDescent="0.25">
      <c r="A929" s="60" t="s">
        <v>17</v>
      </c>
      <c r="B929" s="61" t="s">
        <v>18</v>
      </c>
      <c r="C929" s="62" t="s">
        <v>19</v>
      </c>
      <c r="D929" s="63">
        <v>233.95353264099805</v>
      </c>
      <c r="E929" s="79">
        <v>1263969</v>
      </c>
      <c r="F929" s="80">
        <v>1236286.1190476131</v>
      </c>
      <c r="G929" s="66">
        <v>1444.8604545318451</v>
      </c>
      <c r="H929" s="67">
        <v>3</v>
      </c>
      <c r="I929" s="68" t="s">
        <v>20</v>
      </c>
      <c r="J929" s="69">
        <v>40</v>
      </c>
      <c r="K929" s="70">
        <v>3</v>
      </c>
      <c r="L929" s="68">
        <v>1</v>
      </c>
      <c r="M929" s="68">
        <f>_xlfn.XLOOKUP(Survey!$F929,sections[Start],sections[Test Section],,-1,1)</f>
        <v>2</v>
      </c>
      <c r="N929" s="55">
        <f>_xlfn.XLOOKUP(Survey!$K929,pipedata[ID],pipedata[WT])</f>
        <v>0.88800000000000001</v>
      </c>
      <c r="O929" s="56">
        <f>_xlfn.XLOOKUP(Survey!$K929,pipedata[ID],pipedata[104%])</f>
        <v>3078.4</v>
      </c>
      <c r="P929" s="57">
        <f t="shared" si="14"/>
        <v>1850</v>
      </c>
      <c r="Q929" s="58">
        <f>_xlfn.MAXIFS(Survey!$G$2:$G$3647,Survey!$M$2:$M$3647,Survey!$M929)-Survey!$G929</f>
        <v>1318.8057896698972</v>
      </c>
      <c r="R929" s="59">
        <f>Survey!$P929+(Survey!$Q929*0.433)</f>
        <v>2421.0429069270654</v>
      </c>
    </row>
    <row r="930" spans="1:18" x14ac:dyDescent="0.25">
      <c r="A930" s="71" t="s">
        <v>17</v>
      </c>
      <c r="B930" s="72" t="s">
        <v>18</v>
      </c>
      <c r="C930" s="73" t="s">
        <v>19</v>
      </c>
      <c r="D930" s="74">
        <v>233.96085880592878</v>
      </c>
      <c r="E930" s="81">
        <v>1264009</v>
      </c>
      <c r="F930" s="82">
        <v>1236325.4285714226</v>
      </c>
      <c r="G930" s="75">
        <v>1446.8065410455092</v>
      </c>
      <c r="H930" s="76">
        <v>3</v>
      </c>
      <c r="I930" s="54" t="s">
        <v>20</v>
      </c>
      <c r="J930" s="77">
        <v>40</v>
      </c>
      <c r="K930" s="78">
        <v>3</v>
      </c>
      <c r="L930" s="54">
        <v>1</v>
      </c>
      <c r="M930" s="54">
        <f>_xlfn.XLOOKUP(Survey!$F930,sections[Start],sections[Test Section],,-1,1)</f>
        <v>2</v>
      </c>
      <c r="N930" s="55">
        <f>_xlfn.XLOOKUP(Survey!$K930,pipedata[ID],pipedata[WT])</f>
        <v>0.88800000000000001</v>
      </c>
      <c r="O930" s="56">
        <f>_xlfn.XLOOKUP(Survey!$K930,pipedata[ID],pipedata[104%])</f>
        <v>3078.4</v>
      </c>
      <c r="P930" s="57">
        <f t="shared" si="14"/>
        <v>1850</v>
      </c>
      <c r="Q930" s="58">
        <f>_xlfn.MAXIFS(Survey!$G$2:$G$3647,Survey!$M$2:$M$3647,Survey!$M930)-Survey!$G930</f>
        <v>1316.8597031562331</v>
      </c>
      <c r="R930" s="59">
        <f>Survey!$P930+(Survey!$Q930*0.433)</f>
        <v>2420.2002514666488</v>
      </c>
    </row>
    <row r="931" spans="1:18" x14ac:dyDescent="0.25">
      <c r="A931" s="60" t="s">
        <v>17</v>
      </c>
      <c r="B931" s="61" t="s">
        <v>18</v>
      </c>
      <c r="C931" s="62" t="s">
        <v>19</v>
      </c>
      <c r="D931" s="63">
        <v>233.96793118276824</v>
      </c>
      <c r="E931" s="79">
        <v>1264049</v>
      </c>
      <c r="F931" s="80">
        <v>1236364.7380952321</v>
      </c>
      <c r="G931" s="66">
        <v>1445.9362253063009</v>
      </c>
      <c r="H931" s="67">
        <v>3</v>
      </c>
      <c r="I931" s="68" t="s">
        <v>20</v>
      </c>
      <c r="J931" s="69">
        <v>40</v>
      </c>
      <c r="K931" s="70">
        <v>3</v>
      </c>
      <c r="L931" s="68">
        <v>1</v>
      </c>
      <c r="M931" s="68">
        <f>_xlfn.XLOOKUP(Survey!$F931,sections[Start],sections[Test Section],,-1,1)</f>
        <v>2</v>
      </c>
      <c r="N931" s="55">
        <f>_xlfn.XLOOKUP(Survey!$K931,pipedata[ID],pipedata[WT])</f>
        <v>0.88800000000000001</v>
      </c>
      <c r="O931" s="56">
        <f>_xlfn.XLOOKUP(Survey!$K931,pipedata[ID],pipedata[104%])</f>
        <v>3078.4</v>
      </c>
      <c r="P931" s="57">
        <f t="shared" si="14"/>
        <v>1850</v>
      </c>
      <c r="Q931" s="58">
        <f>_xlfn.MAXIFS(Survey!$G$2:$G$3647,Survey!$M$2:$M$3647,Survey!$M931)-Survey!$G931</f>
        <v>1317.7300188954414</v>
      </c>
      <c r="R931" s="59">
        <f>Survey!$P931+(Survey!$Q931*0.433)</f>
        <v>2420.5770981817259</v>
      </c>
    </row>
    <row r="932" spans="1:18" x14ac:dyDescent="0.25">
      <c r="A932" s="71" t="s">
        <v>17</v>
      </c>
      <c r="B932" s="72" t="s">
        <v>18</v>
      </c>
      <c r="C932" s="73" t="s">
        <v>19</v>
      </c>
      <c r="D932" s="74">
        <v>233.97569937977312</v>
      </c>
      <c r="E932" s="81">
        <v>1264089</v>
      </c>
      <c r="F932" s="82">
        <v>1236404.0476190415</v>
      </c>
      <c r="G932" s="75">
        <v>1443.8845527745052</v>
      </c>
      <c r="H932" s="76">
        <v>3</v>
      </c>
      <c r="I932" s="54" t="s">
        <v>20</v>
      </c>
      <c r="J932" s="77">
        <v>40</v>
      </c>
      <c r="K932" s="78">
        <v>3</v>
      </c>
      <c r="L932" s="54">
        <v>1</v>
      </c>
      <c r="M932" s="54">
        <f>_xlfn.XLOOKUP(Survey!$F932,sections[Start],sections[Test Section],,-1,1)</f>
        <v>2</v>
      </c>
      <c r="N932" s="55">
        <f>_xlfn.XLOOKUP(Survey!$K932,pipedata[ID],pipedata[WT])</f>
        <v>0.88800000000000001</v>
      </c>
      <c r="O932" s="56">
        <f>_xlfn.XLOOKUP(Survey!$K932,pipedata[ID],pipedata[104%])</f>
        <v>3078.4</v>
      </c>
      <c r="P932" s="57">
        <f t="shared" si="14"/>
        <v>1850</v>
      </c>
      <c r="Q932" s="58">
        <f>_xlfn.MAXIFS(Survey!$G$2:$G$3647,Survey!$M$2:$M$3647,Survey!$M932)-Survey!$G932</f>
        <v>1319.7816914272371</v>
      </c>
      <c r="R932" s="59">
        <f>Survey!$P932+(Survey!$Q932*0.433)</f>
        <v>2421.4654723879935</v>
      </c>
    </row>
    <row r="933" spans="1:18" x14ac:dyDescent="0.25">
      <c r="A933" s="60" t="s">
        <v>17</v>
      </c>
      <c r="B933" s="61" t="s">
        <v>18</v>
      </c>
      <c r="C933" s="62" t="s">
        <v>19</v>
      </c>
      <c r="D933" s="63">
        <v>233.98322619073733</v>
      </c>
      <c r="E933" s="79">
        <v>1264129</v>
      </c>
      <c r="F933" s="80">
        <v>1236443.357142851</v>
      </c>
      <c r="G933" s="66">
        <v>1441.8708064226898</v>
      </c>
      <c r="H933" s="67">
        <v>3</v>
      </c>
      <c r="I933" s="68" t="s">
        <v>20</v>
      </c>
      <c r="J933" s="69">
        <v>40</v>
      </c>
      <c r="K933" s="70">
        <v>3</v>
      </c>
      <c r="L933" s="68">
        <v>1</v>
      </c>
      <c r="M933" s="68">
        <f>_xlfn.XLOOKUP(Survey!$F933,sections[Start],sections[Test Section],,-1,1)</f>
        <v>2</v>
      </c>
      <c r="N933" s="55">
        <f>_xlfn.XLOOKUP(Survey!$K933,pipedata[ID],pipedata[WT])</f>
        <v>0.88800000000000001</v>
      </c>
      <c r="O933" s="56">
        <f>_xlfn.XLOOKUP(Survey!$K933,pipedata[ID],pipedata[104%])</f>
        <v>3078.4</v>
      </c>
      <c r="P933" s="57">
        <f t="shared" si="14"/>
        <v>1850</v>
      </c>
      <c r="Q933" s="58">
        <f>_xlfn.MAXIFS(Survey!$G$2:$G$3647,Survey!$M$2:$M$3647,Survey!$M933)-Survey!$G933</f>
        <v>1321.7954377790525</v>
      </c>
      <c r="R933" s="59">
        <f>Survey!$P933+(Survey!$Q933*0.433)</f>
        <v>2422.33742455833</v>
      </c>
    </row>
    <row r="934" spans="1:18" x14ac:dyDescent="0.25">
      <c r="A934" s="71" t="s">
        <v>17</v>
      </c>
      <c r="B934" s="72" t="s">
        <v>18</v>
      </c>
      <c r="C934" s="73" t="s">
        <v>19</v>
      </c>
      <c r="D934" s="74">
        <v>233.99091634999073</v>
      </c>
      <c r="E934" s="81">
        <v>1264169</v>
      </c>
      <c r="F934" s="82">
        <v>1236482.6666666605</v>
      </c>
      <c r="G934" s="75">
        <v>1438.7894060548588</v>
      </c>
      <c r="H934" s="76">
        <v>3</v>
      </c>
      <c r="I934" s="54" t="s">
        <v>20</v>
      </c>
      <c r="J934" s="77">
        <v>40</v>
      </c>
      <c r="K934" s="78">
        <v>3</v>
      </c>
      <c r="L934" s="54">
        <v>1</v>
      </c>
      <c r="M934" s="54">
        <f>_xlfn.XLOOKUP(Survey!$F934,sections[Start],sections[Test Section],,-1,1)</f>
        <v>2</v>
      </c>
      <c r="N934" s="55">
        <f>_xlfn.XLOOKUP(Survey!$K934,pipedata[ID],pipedata[WT])</f>
        <v>0.88800000000000001</v>
      </c>
      <c r="O934" s="56">
        <f>_xlfn.XLOOKUP(Survey!$K934,pipedata[ID],pipedata[104%])</f>
        <v>3078.4</v>
      </c>
      <c r="P934" s="57">
        <f t="shared" si="14"/>
        <v>1850</v>
      </c>
      <c r="Q934" s="58">
        <f>_xlfn.MAXIFS(Survey!$G$2:$G$3647,Survey!$M$2:$M$3647,Survey!$M934)-Survey!$G934</f>
        <v>1324.8768381468835</v>
      </c>
      <c r="R934" s="59">
        <f>Survey!$P934+(Survey!$Q934*0.433)</f>
        <v>2423.6716709176007</v>
      </c>
    </row>
    <row r="935" spans="1:18" x14ac:dyDescent="0.25">
      <c r="A935" s="60" t="s">
        <v>17</v>
      </c>
      <c r="B935" s="61" t="s">
        <v>18</v>
      </c>
      <c r="C935" s="62" t="s">
        <v>19</v>
      </c>
      <c r="D935" s="63">
        <v>233.99852119870647</v>
      </c>
      <c r="E935" s="79">
        <v>1264209</v>
      </c>
      <c r="F935" s="80">
        <v>1236521.9761904699</v>
      </c>
      <c r="G935" s="66">
        <v>1436.0043492462146</v>
      </c>
      <c r="H935" s="67">
        <v>3</v>
      </c>
      <c r="I935" s="68" t="s">
        <v>20</v>
      </c>
      <c r="J935" s="69">
        <v>40</v>
      </c>
      <c r="K935" s="70">
        <v>3</v>
      </c>
      <c r="L935" s="68">
        <v>1</v>
      </c>
      <c r="M935" s="68">
        <f>_xlfn.XLOOKUP(Survey!$F935,sections[Start],sections[Test Section],,-1,1)</f>
        <v>2</v>
      </c>
      <c r="N935" s="55">
        <f>_xlfn.XLOOKUP(Survey!$K935,pipedata[ID],pipedata[WT])</f>
        <v>0.88800000000000001</v>
      </c>
      <c r="O935" s="56">
        <f>_xlfn.XLOOKUP(Survey!$K935,pipedata[ID],pipedata[104%])</f>
        <v>3078.4</v>
      </c>
      <c r="P935" s="57">
        <f t="shared" si="14"/>
        <v>1850</v>
      </c>
      <c r="Q935" s="58">
        <f>_xlfn.MAXIFS(Survey!$G$2:$G$3647,Survey!$M$2:$M$3647,Survey!$M935)-Survey!$G935</f>
        <v>1327.6618949555277</v>
      </c>
      <c r="R935" s="59">
        <f>Survey!$P935+(Survey!$Q935*0.433)</f>
        <v>2424.8776005157433</v>
      </c>
    </row>
    <row r="936" spans="1:18" x14ac:dyDescent="0.25">
      <c r="A936" s="71" t="s">
        <v>17</v>
      </c>
      <c r="B936" s="72" t="s">
        <v>18</v>
      </c>
      <c r="C936" s="73" t="s">
        <v>19</v>
      </c>
      <c r="D936" s="74">
        <v>234.00613332020805</v>
      </c>
      <c r="E936" s="64">
        <v>1264249</v>
      </c>
      <c r="F936" s="65">
        <v>1236561.2857142794</v>
      </c>
      <c r="G936" s="75">
        <v>1431.161843512808</v>
      </c>
      <c r="H936" s="76">
        <v>3</v>
      </c>
      <c r="I936" s="54" t="s">
        <v>20</v>
      </c>
      <c r="J936" s="77">
        <v>40</v>
      </c>
      <c r="K936" s="78">
        <v>3</v>
      </c>
      <c r="L936" s="54">
        <v>1</v>
      </c>
      <c r="M936" s="54">
        <f>_xlfn.XLOOKUP(Survey!$F936,sections[Start],sections[Test Section],,-1,1)</f>
        <v>2</v>
      </c>
      <c r="N936" s="55">
        <f>_xlfn.XLOOKUP(Survey!$K936,pipedata[ID],pipedata[WT])</f>
        <v>0.88800000000000001</v>
      </c>
      <c r="O936" s="56">
        <f>_xlfn.XLOOKUP(Survey!$K936,pipedata[ID],pipedata[104%])</f>
        <v>3078.4</v>
      </c>
      <c r="P936" s="57">
        <f t="shared" si="14"/>
        <v>1850</v>
      </c>
      <c r="Q936" s="58">
        <f>_xlfn.MAXIFS(Survey!$G$2:$G$3647,Survey!$M$2:$M$3647,Survey!$M936)-Survey!$G936</f>
        <v>1332.5044006889343</v>
      </c>
      <c r="R936" s="59">
        <f>Survey!$P936+(Survey!$Q936*0.433)</f>
        <v>2426.9744054983084</v>
      </c>
    </row>
    <row r="937" spans="1:18" x14ac:dyDescent="0.25">
      <c r="A937" s="60" t="s">
        <v>17</v>
      </c>
      <c r="B937" s="61" t="s">
        <v>18</v>
      </c>
      <c r="C937" s="62" t="s">
        <v>19</v>
      </c>
      <c r="D937" s="63">
        <v>234.01381620667595</v>
      </c>
      <c r="E937" s="79">
        <v>1264289</v>
      </c>
      <c r="F937" s="80">
        <v>1236600.5952380889</v>
      </c>
      <c r="G937" s="66">
        <v>1425.6618318593924</v>
      </c>
      <c r="H937" s="67">
        <v>3</v>
      </c>
      <c r="I937" s="68" t="s">
        <v>20</v>
      </c>
      <c r="J937" s="69">
        <v>40</v>
      </c>
      <c r="K937" s="70">
        <v>3</v>
      </c>
      <c r="L937" s="68">
        <v>1</v>
      </c>
      <c r="M937" s="68">
        <f>_xlfn.XLOOKUP(Survey!$F937,sections[Start],sections[Test Section],,-1,1)</f>
        <v>2</v>
      </c>
      <c r="N937" s="55">
        <f>_xlfn.XLOOKUP(Survey!$K937,pipedata[ID],pipedata[WT])</f>
        <v>0.88800000000000001</v>
      </c>
      <c r="O937" s="56">
        <f>_xlfn.XLOOKUP(Survey!$K937,pipedata[ID],pipedata[104%])</f>
        <v>3078.4</v>
      </c>
      <c r="P937" s="57">
        <f t="shared" si="14"/>
        <v>1850</v>
      </c>
      <c r="Q937" s="58">
        <f>_xlfn.MAXIFS(Survey!$G$2:$G$3647,Survey!$M$2:$M$3647,Survey!$M937)-Survey!$G937</f>
        <v>1338.00441234235</v>
      </c>
      <c r="R937" s="59">
        <f>Survey!$P937+(Survey!$Q937*0.433)</f>
        <v>2429.3559105442373</v>
      </c>
    </row>
    <row r="938" spans="1:18" x14ac:dyDescent="0.25">
      <c r="A938" s="71" t="s">
        <v>17</v>
      </c>
      <c r="B938" s="72" t="s">
        <v>18</v>
      </c>
      <c r="C938" s="73" t="s">
        <v>19</v>
      </c>
      <c r="D938" s="74">
        <v>234.02056411085562</v>
      </c>
      <c r="E938" s="64">
        <v>1264329</v>
      </c>
      <c r="F938" s="65">
        <v>1236639.9047618983</v>
      </c>
      <c r="G938" s="75">
        <v>1418.7086778920386</v>
      </c>
      <c r="H938" s="76">
        <v>3</v>
      </c>
      <c r="I938" s="54" t="s">
        <v>20</v>
      </c>
      <c r="J938" s="77">
        <v>40</v>
      </c>
      <c r="K938" s="78">
        <v>3</v>
      </c>
      <c r="L938" s="54">
        <v>1</v>
      </c>
      <c r="M938" s="54">
        <f>_xlfn.XLOOKUP(Survey!$F938,sections[Start],sections[Test Section],,-1,1)</f>
        <v>2</v>
      </c>
      <c r="N938" s="55">
        <f>_xlfn.XLOOKUP(Survey!$K938,pipedata[ID],pipedata[WT])</f>
        <v>0.88800000000000001</v>
      </c>
      <c r="O938" s="56">
        <f>_xlfn.XLOOKUP(Survey!$K938,pipedata[ID],pipedata[104%])</f>
        <v>3078.4</v>
      </c>
      <c r="P938" s="57">
        <f t="shared" si="14"/>
        <v>1850</v>
      </c>
      <c r="Q938" s="58">
        <f>_xlfn.MAXIFS(Survey!$G$2:$G$3647,Survey!$M$2:$M$3647,Survey!$M938)-Survey!$G938</f>
        <v>1344.9575663097037</v>
      </c>
      <c r="R938" s="59">
        <f>Survey!$P938+(Survey!$Q938*0.433)</f>
        <v>2432.3666262121014</v>
      </c>
    </row>
    <row r="939" spans="1:18" x14ac:dyDescent="0.25">
      <c r="A939" s="60" t="s">
        <v>17</v>
      </c>
      <c r="B939" s="61" t="s">
        <v>18</v>
      </c>
      <c r="C939" s="62" t="s">
        <v>19</v>
      </c>
      <c r="D939" s="63">
        <v>234.02819047213657</v>
      </c>
      <c r="E939" s="79">
        <v>1264369</v>
      </c>
      <c r="F939" s="80">
        <v>1236679.2142857078</v>
      </c>
      <c r="G939" s="66">
        <v>1409.6927564090938</v>
      </c>
      <c r="H939" s="67">
        <v>3</v>
      </c>
      <c r="I939" s="68" t="s">
        <v>20</v>
      </c>
      <c r="J939" s="69">
        <v>40</v>
      </c>
      <c r="K939" s="70">
        <v>3</v>
      </c>
      <c r="L939" s="68">
        <v>1</v>
      </c>
      <c r="M939" s="68">
        <f>_xlfn.XLOOKUP(Survey!$F939,sections[Start],sections[Test Section],,-1,1)</f>
        <v>2</v>
      </c>
      <c r="N939" s="55">
        <f>_xlfn.XLOOKUP(Survey!$K939,pipedata[ID],pipedata[WT])</f>
        <v>0.88800000000000001</v>
      </c>
      <c r="O939" s="56">
        <f>_xlfn.XLOOKUP(Survey!$K939,pipedata[ID],pipedata[104%])</f>
        <v>3078.4</v>
      </c>
      <c r="P939" s="57">
        <f t="shared" si="14"/>
        <v>1850</v>
      </c>
      <c r="Q939" s="58">
        <f>_xlfn.MAXIFS(Survey!$G$2:$G$3647,Survey!$M$2:$M$3647,Survey!$M939)-Survey!$G939</f>
        <v>1353.9734877926485</v>
      </c>
      <c r="R939" s="59">
        <f>Survey!$P939+(Survey!$Q939*0.433)</f>
        <v>2436.270520214217</v>
      </c>
    </row>
    <row r="940" spans="1:18" x14ac:dyDescent="0.25">
      <c r="A940" s="71" t="s">
        <v>17</v>
      </c>
      <c r="B940" s="72" t="s">
        <v>18</v>
      </c>
      <c r="C940" s="73" t="s">
        <v>19</v>
      </c>
      <c r="D940" s="74">
        <v>234.03581683341753</v>
      </c>
      <c r="E940" s="81">
        <v>1264409</v>
      </c>
      <c r="F940" s="82">
        <v>1236718.5238095173</v>
      </c>
      <c r="G940" s="75">
        <v>1399.7154634965211</v>
      </c>
      <c r="H940" s="76">
        <v>3</v>
      </c>
      <c r="I940" s="54" t="s">
        <v>20</v>
      </c>
      <c r="J940" s="77">
        <v>40</v>
      </c>
      <c r="K940" s="78">
        <v>3</v>
      </c>
      <c r="L940" s="54">
        <v>1</v>
      </c>
      <c r="M940" s="54">
        <f>_xlfn.XLOOKUP(Survey!$F940,sections[Start],sections[Test Section],,-1,1)</f>
        <v>2</v>
      </c>
      <c r="N940" s="55">
        <f>_xlfn.XLOOKUP(Survey!$K940,pipedata[ID],pipedata[WT])</f>
        <v>0.88800000000000001</v>
      </c>
      <c r="O940" s="56">
        <f>_xlfn.XLOOKUP(Survey!$K940,pipedata[ID],pipedata[104%])</f>
        <v>3078.4</v>
      </c>
      <c r="P940" s="57">
        <f t="shared" si="14"/>
        <v>1850</v>
      </c>
      <c r="Q940" s="58">
        <f>_xlfn.MAXIFS(Survey!$G$2:$G$3647,Survey!$M$2:$M$3647,Survey!$M940)-Survey!$G940</f>
        <v>1363.9507807052212</v>
      </c>
      <c r="R940" s="59">
        <f>Survey!$P940+(Survey!$Q940*0.433)</f>
        <v>2440.5906880453608</v>
      </c>
    </row>
    <row r="941" spans="1:18" x14ac:dyDescent="0.25">
      <c r="A941" s="60" t="s">
        <v>17</v>
      </c>
      <c r="B941" s="61" t="s">
        <v>18</v>
      </c>
      <c r="C941" s="62" t="s">
        <v>19</v>
      </c>
      <c r="D941" s="63">
        <v>234.04344319469851</v>
      </c>
      <c r="E941" s="79">
        <v>1264449</v>
      </c>
      <c r="F941" s="80">
        <v>1236757.8333333267</v>
      </c>
      <c r="G941" s="66">
        <v>1389.1565280096197</v>
      </c>
      <c r="H941" s="67">
        <v>3</v>
      </c>
      <c r="I941" s="68" t="s">
        <v>20</v>
      </c>
      <c r="J941" s="69">
        <v>40</v>
      </c>
      <c r="K941" s="70">
        <v>3</v>
      </c>
      <c r="L941" s="68">
        <v>1</v>
      </c>
      <c r="M941" s="68">
        <f>_xlfn.XLOOKUP(Survey!$F941,sections[Start],sections[Test Section],,-1,1)</f>
        <v>2</v>
      </c>
      <c r="N941" s="55">
        <f>_xlfn.XLOOKUP(Survey!$K941,pipedata[ID],pipedata[WT])</f>
        <v>0.88800000000000001</v>
      </c>
      <c r="O941" s="56">
        <f>_xlfn.XLOOKUP(Survey!$K941,pipedata[ID],pipedata[104%])</f>
        <v>3078.4</v>
      </c>
      <c r="P941" s="57">
        <f t="shared" si="14"/>
        <v>1850</v>
      </c>
      <c r="Q941" s="58">
        <f>_xlfn.MAXIFS(Survey!$G$2:$G$3647,Survey!$M$2:$M$3647,Survey!$M941)-Survey!$G941</f>
        <v>1374.5097161921226</v>
      </c>
      <c r="R941" s="59">
        <f>Survey!$P941+(Survey!$Q941*0.433)</f>
        <v>2445.1627071111889</v>
      </c>
    </row>
    <row r="942" spans="1:18" x14ac:dyDescent="0.25">
      <c r="A942" s="71" t="s">
        <v>17</v>
      </c>
      <c r="B942" s="72" t="s">
        <v>18</v>
      </c>
      <c r="C942" s="73" t="s">
        <v>19</v>
      </c>
      <c r="D942" s="74">
        <v>234.04994274243384</v>
      </c>
      <c r="E942" s="81">
        <v>1264489</v>
      </c>
      <c r="F942" s="82">
        <v>1236797.1428571362</v>
      </c>
      <c r="G942" s="75">
        <v>1378.8101102016665</v>
      </c>
      <c r="H942" s="76">
        <v>3</v>
      </c>
      <c r="I942" s="54" t="s">
        <v>20</v>
      </c>
      <c r="J942" s="77">
        <v>40</v>
      </c>
      <c r="K942" s="78">
        <v>3</v>
      </c>
      <c r="L942" s="54">
        <v>1</v>
      </c>
      <c r="M942" s="54">
        <f>_xlfn.XLOOKUP(Survey!$F942,sections[Start],sections[Test Section],,-1,1)</f>
        <v>2</v>
      </c>
      <c r="N942" s="55">
        <f>_xlfn.XLOOKUP(Survey!$K942,pipedata[ID],pipedata[WT])</f>
        <v>0.88800000000000001</v>
      </c>
      <c r="O942" s="56">
        <f>_xlfn.XLOOKUP(Survey!$K942,pipedata[ID],pipedata[104%])</f>
        <v>3078.4</v>
      </c>
      <c r="P942" s="57">
        <f t="shared" si="14"/>
        <v>1850</v>
      </c>
      <c r="Q942" s="58">
        <f>_xlfn.MAXIFS(Survey!$G$2:$G$3647,Survey!$M$2:$M$3647,Survey!$M942)-Survey!$G942</f>
        <v>1384.8561340000758</v>
      </c>
      <c r="R942" s="59">
        <f>Survey!$P942+(Survey!$Q942*0.433)</f>
        <v>2449.6427060220331</v>
      </c>
    </row>
    <row r="943" spans="1:18" x14ac:dyDescent="0.25">
      <c r="A943" s="60" t="s">
        <v>17</v>
      </c>
      <c r="B943" s="61" t="s">
        <v>18</v>
      </c>
      <c r="C943" s="62" t="s">
        <v>19</v>
      </c>
      <c r="D943" s="63">
        <v>234.05772149071294</v>
      </c>
      <c r="E943" s="79">
        <v>1264529</v>
      </c>
      <c r="F943" s="80">
        <v>1236836.4523809457</v>
      </c>
      <c r="G943" s="66">
        <v>1364.3444438010454</v>
      </c>
      <c r="H943" s="67">
        <v>3</v>
      </c>
      <c r="I943" s="68" t="s">
        <v>20</v>
      </c>
      <c r="J943" s="69">
        <v>40</v>
      </c>
      <c r="K943" s="70">
        <v>3</v>
      </c>
      <c r="L943" s="68">
        <v>1</v>
      </c>
      <c r="M943" s="68">
        <f>_xlfn.XLOOKUP(Survey!$F943,sections[Start],sections[Test Section],,-1,1)</f>
        <v>2</v>
      </c>
      <c r="N943" s="55">
        <f>_xlfn.XLOOKUP(Survey!$K943,pipedata[ID],pipedata[WT])</f>
        <v>0.88800000000000001</v>
      </c>
      <c r="O943" s="56">
        <f>_xlfn.XLOOKUP(Survey!$K943,pipedata[ID],pipedata[104%])</f>
        <v>3078.4</v>
      </c>
      <c r="P943" s="57">
        <f t="shared" si="14"/>
        <v>1850</v>
      </c>
      <c r="Q943" s="58">
        <f>_xlfn.MAXIFS(Survey!$G$2:$G$3647,Survey!$M$2:$M$3647,Survey!$M943)-Survey!$G943</f>
        <v>1399.3218004006969</v>
      </c>
      <c r="R943" s="59">
        <f>Survey!$P943+(Survey!$Q943*0.433)</f>
        <v>2455.906339573502</v>
      </c>
    </row>
    <row r="944" spans="1:18" x14ac:dyDescent="0.25">
      <c r="A944" s="71" t="s">
        <v>17</v>
      </c>
      <c r="B944" s="72" t="s">
        <v>18</v>
      </c>
      <c r="C944" s="73" t="s">
        <v>19</v>
      </c>
      <c r="D944" s="74">
        <v>234.06442501094523</v>
      </c>
      <c r="E944" s="81">
        <v>1264569</v>
      </c>
      <c r="F944" s="82">
        <v>1236875.7619047551</v>
      </c>
      <c r="G944" s="75">
        <v>1351.649254163249</v>
      </c>
      <c r="H944" s="76">
        <v>3</v>
      </c>
      <c r="I944" s="54" t="s">
        <v>20</v>
      </c>
      <c r="J944" s="77">
        <v>40</v>
      </c>
      <c r="K944" s="78">
        <v>3</v>
      </c>
      <c r="L944" s="54">
        <v>1</v>
      </c>
      <c r="M944" s="54">
        <f>_xlfn.XLOOKUP(Survey!$F944,sections[Start],sections[Test Section],,-1,1)</f>
        <v>2</v>
      </c>
      <c r="N944" s="55">
        <f>_xlfn.XLOOKUP(Survey!$K944,pipedata[ID],pipedata[WT])</f>
        <v>0.88800000000000001</v>
      </c>
      <c r="O944" s="56">
        <f>_xlfn.XLOOKUP(Survey!$K944,pipedata[ID],pipedata[104%])</f>
        <v>3078.4</v>
      </c>
      <c r="P944" s="57">
        <f t="shared" si="14"/>
        <v>1850</v>
      </c>
      <c r="Q944" s="58">
        <f>_xlfn.MAXIFS(Survey!$G$2:$G$3647,Survey!$M$2:$M$3647,Survey!$M944)-Survey!$G944</f>
        <v>1412.0169900384933</v>
      </c>
      <c r="R944" s="59">
        <f>Survey!$P944+(Survey!$Q944*0.433)</f>
        <v>2461.4033566866674</v>
      </c>
    </row>
    <row r="945" spans="1:18" x14ac:dyDescent="0.25">
      <c r="A945" s="60" t="s">
        <v>17</v>
      </c>
      <c r="B945" s="61" t="s">
        <v>18</v>
      </c>
      <c r="C945" s="62" t="s">
        <v>19</v>
      </c>
      <c r="D945" s="63">
        <v>234.07116307405695</v>
      </c>
      <c r="E945" s="79">
        <v>1264609</v>
      </c>
      <c r="F945" s="80">
        <v>1236915.0714285646</v>
      </c>
      <c r="G945" s="66">
        <v>1334.5666534558684</v>
      </c>
      <c r="H945" s="67">
        <v>3</v>
      </c>
      <c r="I945" s="68" t="s">
        <v>20</v>
      </c>
      <c r="J945" s="69">
        <v>40</v>
      </c>
      <c r="K945" s="70">
        <v>3</v>
      </c>
      <c r="L945" s="68">
        <v>1</v>
      </c>
      <c r="M945" s="68">
        <f>_xlfn.XLOOKUP(Survey!$F945,sections[Start],sections[Test Section],,-1,1)</f>
        <v>2</v>
      </c>
      <c r="N945" s="55">
        <f>_xlfn.XLOOKUP(Survey!$K945,pipedata[ID],pipedata[WT])</f>
        <v>0.88800000000000001</v>
      </c>
      <c r="O945" s="56">
        <f>_xlfn.XLOOKUP(Survey!$K945,pipedata[ID],pipedata[104%])</f>
        <v>3078.4</v>
      </c>
      <c r="P945" s="57">
        <f t="shared" si="14"/>
        <v>1850</v>
      </c>
      <c r="Q945" s="58">
        <f>_xlfn.MAXIFS(Survey!$G$2:$G$3647,Survey!$M$2:$M$3647,Survey!$M945)-Survey!$G945</f>
        <v>1429.0995907458739</v>
      </c>
      <c r="R945" s="59">
        <f>Survey!$P945+(Survey!$Q945*0.433)</f>
        <v>2468.8001227929635</v>
      </c>
    </row>
    <row r="946" spans="1:18" x14ac:dyDescent="0.25">
      <c r="A946" s="71" t="s">
        <v>17</v>
      </c>
      <c r="B946" s="72" t="s">
        <v>18</v>
      </c>
      <c r="C946" s="73" t="s">
        <v>19</v>
      </c>
      <c r="D946" s="74">
        <v>234.07857326173271</v>
      </c>
      <c r="E946" s="81">
        <v>1264649</v>
      </c>
      <c r="F946" s="82">
        <v>1236954.3809523741</v>
      </c>
      <c r="G946" s="75">
        <v>1318.5720379644274</v>
      </c>
      <c r="H946" s="76">
        <v>3</v>
      </c>
      <c r="I946" s="54" t="s">
        <v>20</v>
      </c>
      <c r="J946" s="77">
        <v>40</v>
      </c>
      <c r="K946" s="78">
        <v>3</v>
      </c>
      <c r="L946" s="54">
        <v>1</v>
      </c>
      <c r="M946" s="54">
        <f>_xlfn.XLOOKUP(Survey!$F946,sections[Start],sections[Test Section],,-1,1)</f>
        <v>2</v>
      </c>
      <c r="N946" s="55">
        <f>_xlfn.XLOOKUP(Survey!$K946,pipedata[ID],pipedata[WT])</f>
        <v>0.88800000000000001</v>
      </c>
      <c r="O946" s="56">
        <f>_xlfn.XLOOKUP(Survey!$K946,pipedata[ID],pipedata[104%])</f>
        <v>3078.4</v>
      </c>
      <c r="P946" s="57">
        <f t="shared" si="14"/>
        <v>1850</v>
      </c>
      <c r="Q946" s="58">
        <f>_xlfn.MAXIFS(Survey!$G$2:$G$3647,Survey!$M$2:$M$3647,Survey!$M946)-Survey!$G946</f>
        <v>1445.0942062373149</v>
      </c>
      <c r="R946" s="59">
        <f>Survey!$P946+(Survey!$Q946*0.433)</f>
        <v>2475.7257913007575</v>
      </c>
    </row>
    <row r="947" spans="1:18" x14ac:dyDescent="0.25">
      <c r="A947" s="60" t="s">
        <v>17</v>
      </c>
      <c r="B947" s="61" t="s">
        <v>18</v>
      </c>
      <c r="C947" s="62" t="s">
        <v>19</v>
      </c>
      <c r="D947" s="63">
        <v>234.0842746623473</v>
      </c>
      <c r="E947" s="79">
        <v>1264689</v>
      </c>
      <c r="F947" s="80">
        <v>1236993.6904761835</v>
      </c>
      <c r="G947" s="66">
        <v>1301.6674608866313</v>
      </c>
      <c r="H947" s="67">
        <v>3</v>
      </c>
      <c r="I947" s="68" t="s">
        <v>20</v>
      </c>
      <c r="J947" s="69">
        <v>58</v>
      </c>
      <c r="K947" s="70">
        <v>3</v>
      </c>
      <c r="L947" s="68">
        <v>1</v>
      </c>
      <c r="M947" s="68">
        <f>_xlfn.XLOOKUP(Survey!$F947,sections[Start],sections[Test Section],,-1,1)</f>
        <v>2</v>
      </c>
      <c r="N947" s="55">
        <f>_xlfn.XLOOKUP(Survey!$K947,pipedata[ID],pipedata[WT])</f>
        <v>0.88800000000000001</v>
      </c>
      <c r="O947" s="56">
        <f>_xlfn.XLOOKUP(Survey!$K947,pipedata[ID],pipedata[104%])</f>
        <v>3078.4</v>
      </c>
      <c r="P947" s="57">
        <f t="shared" si="14"/>
        <v>1850</v>
      </c>
      <c r="Q947" s="58">
        <f>_xlfn.MAXIFS(Survey!$G$2:$G$3647,Survey!$M$2:$M$3647,Survey!$M947)-Survey!$G947</f>
        <v>1461.998783315111</v>
      </c>
      <c r="R947" s="59">
        <f>Survey!$P947+(Survey!$Q947*0.433)</f>
        <v>2483.045473175443</v>
      </c>
    </row>
    <row r="948" spans="1:18" x14ac:dyDescent="0.25">
      <c r="A948" s="71" t="s">
        <v>17</v>
      </c>
      <c r="B948" s="72" t="s">
        <v>18</v>
      </c>
      <c r="C948" s="73" t="s">
        <v>19</v>
      </c>
      <c r="D948" s="74">
        <v>234.09092357452491</v>
      </c>
      <c r="E948" s="64">
        <v>1264747</v>
      </c>
      <c r="F948" s="65">
        <v>1237033</v>
      </c>
      <c r="G948" s="75">
        <v>1287.5426457982101</v>
      </c>
      <c r="H948" s="76">
        <v>3</v>
      </c>
      <c r="I948" s="54" t="s">
        <v>21</v>
      </c>
      <c r="J948" s="77">
        <v>22</v>
      </c>
      <c r="K948" s="78">
        <v>5</v>
      </c>
      <c r="L948" s="54">
        <v>1</v>
      </c>
      <c r="M948" s="54">
        <f>_xlfn.XLOOKUP(Survey!$F948,sections[Start],sections[Test Section],,-1,1)</f>
        <v>2</v>
      </c>
      <c r="N948" s="55">
        <f>_xlfn.XLOOKUP(Survey!$K948,pipedata[ID],pipedata[WT])</f>
        <v>0.88800000000000001</v>
      </c>
      <c r="O948" s="56">
        <f>_xlfn.XLOOKUP(Survey!$K948,pipedata[ID],pipedata[104%])</f>
        <v>3078.4</v>
      </c>
      <c r="P948" s="57">
        <f t="shared" si="14"/>
        <v>1850</v>
      </c>
      <c r="Q948" s="58">
        <f>_xlfn.MAXIFS(Survey!$G$2:$G$3647,Survey!$M$2:$M$3647,Survey!$M948)-Survey!$G948</f>
        <v>1476.1235984035322</v>
      </c>
      <c r="R948" s="59">
        <f>Survey!$P948+(Survey!$Q948*0.433)</f>
        <v>2489.1615181087295</v>
      </c>
    </row>
    <row r="949" spans="1:18" x14ac:dyDescent="0.25">
      <c r="A949" s="60" t="s">
        <v>17</v>
      </c>
      <c r="B949" s="61" t="s">
        <v>18</v>
      </c>
      <c r="C949" s="62" t="s">
        <v>19</v>
      </c>
      <c r="D949" s="63">
        <v>234.09902642436597</v>
      </c>
      <c r="E949" s="64">
        <v>1264769</v>
      </c>
      <c r="F949" s="65">
        <v>1237067.75</v>
      </c>
      <c r="G949" s="66">
        <v>1276.3506618581639</v>
      </c>
      <c r="H949" s="67">
        <v>3</v>
      </c>
      <c r="I949" s="68" t="s">
        <v>21</v>
      </c>
      <c r="J949" s="69">
        <v>40</v>
      </c>
      <c r="K949" s="70">
        <v>5</v>
      </c>
      <c r="L949" s="68">
        <v>1</v>
      </c>
      <c r="M949" s="68">
        <f>_xlfn.XLOOKUP(Survey!$F949,sections[Start],sections[Test Section],,-1,1)</f>
        <v>2</v>
      </c>
      <c r="N949" s="55">
        <f>_xlfn.XLOOKUP(Survey!$K949,pipedata[ID],pipedata[WT])</f>
        <v>0.88800000000000001</v>
      </c>
      <c r="O949" s="56">
        <f>_xlfn.XLOOKUP(Survey!$K949,pipedata[ID],pipedata[104%])</f>
        <v>3078.4</v>
      </c>
      <c r="P949" s="57">
        <f t="shared" si="14"/>
        <v>1850</v>
      </c>
      <c r="Q949" s="58">
        <f>_xlfn.MAXIFS(Survey!$G$2:$G$3647,Survey!$M$2:$M$3647,Survey!$M949)-Survey!$G949</f>
        <v>1487.3155823435784</v>
      </c>
      <c r="R949" s="59">
        <f>Survey!$P949+(Survey!$Q949*0.433)</f>
        <v>2494.0076471547695</v>
      </c>
    </row>
    <row r="950" spans="1:18" x14ac:dyDescent="0.25">
      <c r="A950" s="71" t="s">
        <v>17</v>
      </c>
      <c r="B950" s="72" t="s">
        <v>18</v>
      </c>
      <c r="C950" s="73" t="s">
        <v>19</v>
      </c>
      <c r="D950" s="74">
        <v>234.105743949876</v>
      </c>
      <c r="E950" s="81">
        <v>1264809</v>
      </c>
      <c r="F950" s="82">
        <v>1237102.5</v>
      </c>
      <c r="G950" s="75">
        <v>1284.3930250208873</v>
      </c>
      <c r="H950" s="76">
        <v>3</v>
      </c>
      <c r="I950" s="54" t="s">
        <v>21</v>
      </c>
      <c r="J950" s="77">
        <v>40</v>
      </c>
      <c r="K950" s="78">
        <v>5</v>
      </c>
      <c r="L950" s="54">
        <v>1</v>
      </c>
      <c r="M950" s="54">
        <f>_xlfn.XLOOKUP(Survey!$F950,sections[Start],sections[Test Section],,-1,1)</f>
        <v>2</v>
      </c>
      <c r="N950" s="55">
        <f>_xlfn.XLOOKUP(Survey!$K950,pipedata[ID],pipedata[WT])</f>
        <v>0.88800000000000001</v>
      </c>
      <c r="O950" s="56">
        <f>_xlfn.XLOOKUP(Survey!$K950,pipedata[ID],pipedata[104%])</f>
        <v>3078.4</v>
      </c>
      <c r="P950" s="57">
        <f t="shared" si="14"/>
        <v>1850</v>
      </c>
      <c r="Q950" s="58">
        <f>_xlfn.MAXIFS(Survey!$G$2:$G$3647,Survey!$M$2:$M$3647,Survey!$M950)-Survey!$G950</f>
        <v>1479.273219180855</v>
      </c>
      <c r="R950" s="59">
        <f>Survey!$P950+(Survey!$Q950*0.433)</f>
        <v>2490.5253039053105</v>
      </c>
    </row>
    <row r="951" spans="1:18" x14ac:dyDescent="0.25">
      <c r="A951" s="60" t="s">
        <v>17</v>
      </c>
      <c r="B951" s="61" t="s">
        <v>18</v>
      </c>
      <c r="C951" s="62" t="s">
        <v>19</v>
      </c>
      <c r="D951" s="63">
        <v>234.11359184572657</v>
      </c>
      <c r="E951" s="79">
        <v>1264849</v>
      </c>
      <c r="F951" s="80">
        <v>1237137.25</v>
      </c>
      <c r="G951" s="66">
        <v>1301.0047632908913</v>
      </c>
      <c r="H951" s="67">
        <v>3</v>
      </c>
      <c r="I951" s="68" t="s">
        <v>21</v>
      </c>
      <c r="J951" s="69">
        <v>40</v>
      </c>
      <c r="K951" s="70">
        <v>5</v>
      </c>
      <c r="L951" s="68">
        <v>1</v>
      </c>
      <c r="M951" s="68">
        <f>_xlfn.XLOOKUP(Survey!$F951,sections[Start],sections[Test Section],,-1,1)</f>
        <v>2</v>
      </c>
      <c r="N951" s="55">
        <f>_xlfn.XLOOKUP(Survey!$K951,pipedata[ID],pipedata[WT])</f>
        <v>0.88800000000000001</v>
      </c>
      <c r="O951" s="56">
        <f>_xlfn.XLOOKUP(Survey!$K951,pipedata[ID],pipedata[104%])</f>
        <v>3078.4</v>
      </c>
      <c r="P951" s="57">
        <f t="shared" si="14"/>
        <v>1850</v>
      </c>
      <c r="Q951" s="58">
        <f>_xlfn.MAXIFS(Survey!$G$2:$G$3647,Survey!$M$2:$M$3647,Survey!$M951)-Survey!$G951</f>
        <v>1462.661480910851</v>
      </c>
      <c r="R951" s="59">
        <f>Survey!$P951+(Survey!$Q951*0.433)</f>
        <v>2483.3324212343987</v>
      </c>
    </row>
    <row r="952" spans="1:18" x14ac:dyDescent="0.25">
      <c r="A952" s="71" t="s">
        <v>17</v>
      </c>
      <c r="B952" s="72" t="s">
        <v>18</v>
      </c>
      <c r="C952" s="73" t="s">
        <v>19</v>
      </c>
      <c r="D952" s="74">
        <v>234.12073203286801</v>
      </c>
      <c r="E952" s="81">
        <v>1264889</v>
      </c>
      <c r="F952" s="82">
        <v>1237172</v>
      </c>
      <c r="G952" s="75">
        <v>1316.3719690494167</v>
      </c>
      <c r="H952" s="76">
        <v>3</v>
      </c>
      <c r="I952" s="54" t="s">
        <v>21</v>
      </c>
      <c r="J952" s="77">
        <v>40</v>
      </c>
      <c r="K952" s="78">
        <v>5</v>
      </c>
      <c r="L952" s="54">
        <v>1</v>
      </c>
      <c r="M952" s="54">
        <f>_xlfn.XLOOKUP(Survey!$F952,sections[Start],sections[Test Section],,-1,1)</f>
        <v>2</v>
      </c>
      <c r="N952" s="55">
        <f>_xlfn.XLOOKUP(Survey!$K952,pipedata[ID],pipedata[WT])</f>
        <v>0.88800000000000001</v>
      </c>
      <c r="O952" s="56">
        <f>_xlfn.XLOOKUP(Survey!$K952,pipedata[ID],pipedata[104%])</f>
        <v>3078.4</v>
      </c>
      <c r="P952" s="57">
        <f t="shared" si="14"/>
        <v>1850</v>
      </c>
      <c r="Q952" s="58">
        <f>_xlfn.MAXIFS(Survey!$G$2:$G$3647,Survey!$M$2:$M$3647,Survey!$M952)-Survey!$G952</f>
        <v>1447.2942751523256</v>
      </c>
      <c r="R952" s="59">
        <f>Survey!$P952+(Survey!$Q952*0.433)</f>
        <v>2476.6784211409567</v>
      </c>
    </row>
    <row r="953" spans="1:18" x14ac:dyDescent="0.25">
      <c r="A953" s="60" t="s">
        <v>17</v>
      </c>
      <c r="B953" s="61" t="s">
        <v>18</v>
      </c>
      <c r="C953" s="62" t="s">
        <v>19</v>
      </c>
      <c r="D953" s="63">
        <v>234.12787222000969</v>
      </c>
      <c r="E953" s="79">
        <v>1264929</v>
      </c>
      <c r="F953" s="80">
        <v>1237206.75</v>
      </c>
      <c r="G953" s="66">
        <v>1324.8890166875719</v>
      </c>
      <c r="H953" s="67">
        <v>3</v>
      </c>
      <c r="I953" s="68" t="s">
        <v>21</v>
      </c>
      <c r="J953" s="69">
        <v>40</v>
      </c>
      <c r="K953" s="70">
        <v>5</v>
      </c>
      <c r="L953" s="68">
        <v>1</v>
      </c>
      <c r="M953" s="68">
        <f>_xlfn.XLOOKUP(Survey!$F953,sections[Start],sections[Test Section],,-1,1)</f>
        <v>2</v>
      </c>
      <c r="N953" s="55">
        <f>_xlfn.XLOOKUP(Survey!$K953,pipedata[ID],pipedata[WT])</f>
        <v>0.88800000000000001</v>
      </c>
      <c r="O953" s="56">
        <f>_xlfn.XLOOKUP(Survey!$K953,pipedata[ID],pipedata[104%])</f>
        <v>3078.4</v>
      </c>
      <c r="P953" s="57">
        <f t="shared" si="14"/>
        <v>1850</v>
      </c>
      <c r="Q953" s="58">
        <f>_xlfn.MAXIFS(Survey!$G$2:$G$3647,Survey!$M$2:$M$3647,Survey!$M953)-Survey!$G953</f>
        <v>1438.7772275141704</v>
      </c>
      <c r="R953" s="59">
        <f>Survey!$P953+(Survey!$Q953*0.433)</f>
        <v>2472.9905395136357</v>
      </c>
    </row>
    <row r="954" spans="1:18" x14ac:dyDescent="0.25">
      <c r="A954" s="71" t="s">
        <v>17</v>
      </c>
      <c r="B954" s="72" t="s">
        <v>18</v>
      </c>
      <c r="C954" s="73" t="s">
        <v>19</v>
      </c>
      <c r="D954" s="74">
        <v>234.13513541181979</v>
      </c>
      <c r="E954" s="81">
        <v>1264969</v>
      </c>
      <c r="F954" s="82">
        <v>1237241.5</v>
      </c>
      <c r="G954" s="75">
        <v>1321.6638479625881</v>
      </c>
      <c r="H954" s="76">
        <v>3</v>
      </c>
      <c r="I954" s="54" t="s">
        <v>21</v>
      </c>
      <c r="J954" s="77">
        <v>40</v>
      </c>
      <c r="K954" s="78">
        <v>5</v>
      </c>
      <c r="L954" s="54">
        <v>1</v>
      </c>
      <c r="M954" s="54">
        <f>_xlfn.XLOOKUP(Survey!$F954,sections[Start],sections[Test Section],,-1,1)</f>
        <v>2</v>
      </c>
      <c r="N954" s="55">
        <f>_xlfn.XLOOKUP(Survey!$K954,pipedata[ID],pipedata[WT])</f>
        <v>0.88800000000000001</v>
      </c>
      <c r="O954" s="56">
        <f>_xlfn.XLOOKUP(Survey!$K954,pipedata[ID],pipedata[104%])</f>
        <v>3078.4</v>
      </c>
      <c r="P954" s="57">
        <f t="shared" si="14"/>
        <v>1850</v>
      </c>
      <c r="Q954" s="58">
        <f>_xlfn.MAXIFS(Survey!$G$2:$G$3647,Survey!$M$2:$M$3647,Survey!$M954)-Survey!$G954</f>
        <v>1442.0023962391542</v>
      </c>
      <c r="R954" s="59">
        <f>Survey!$P954+(Survey!$Q954*0.433)</f>
        <v>2474.3870375715537</v>
      </c>
    </row>
    <row r="955" spans="1:18" x14ac:dyDescent="0.25">
      <c r="A955" s="60" t="s">
        <v>17</v>
      </c>
      <c r="B955" s="61" t="s">
        <v>18</v>
      </c>
      <c r="C955" s="62" t="s">
        <v>19</v>
      </c>
      <c r="D955" s="63">
        <v>234.14215259429304</v>
      </c>
      <c r="E955" s="79">
        <v>1265009</v>
      </c>
      <c r="F955" s="80">
        <v>1237276.25</v>
      </c>
      <c r="G955" s="66">
        <v>1322.6033794119326</v>
      </c>
      <c r="H955" s="67">
        <v>3</v>
      </c>
      <c r="I955" s="68" t="s">
        <v>21</v>
      </c>
      <c r="J955" s="69">
        <v>40</v>
      </c>
      <c r="K955" s="70">
        <v>5</v>
      </c>
      <c r="L955" s="68">
        <v>1</v>
      </c>
      <c r="M955" s="68">
        <f>_xlfn.XLOOKUP(Survey!$F955,sections[Start],sections[Test Section],,-1,1)</f>
        <v>2</v>
      </c>
      <c r="N955" s="55">
        <f>_xlfn.XLOOKUP(Survey!$K955,pipedata[ID],pipedata[WT])</f>
        <v>0.88800000000000001</v>
      </c>
      <c r="O955" s="56">
        <f>_xlfn.XLOOKUP(Survey!$K955,pipedata[ID],pipedata[104%])</f>
        <v>3078.4</v>
      </c>
      <c r="P955" s="57">
        <f t="shared" si="14"/>
        <v>1850</v>
      </c>
      <c r="Q955" s="58">
        <f>_xlfn.MAXIFS(Survey!$G$2:$G$3647,Survey!$M$2:$M$3647,Survey!$M955)-Survey!$G955</f>
        <v>1441.0628647898097</v>
      </c>
      <c r="R955" s="59">
        <f>Survey!$P955+(Survey!$Q955*0.433)</f>
        <v>2473.9802204539874</v>
      </c>
    </row>
    <row r="956" spans="1:18" x14ac:dyDescent="0.25">
      <c r="A956" s="71" t="s">
        <v>17</v>
      </c>
      <c r="B956" s="72" t="s">
        <v>18</v>
      </c>
      <c r="C956" s="73" t="s">
        <v>19</v>
      </c>
      <c r="D956" s="74">
        <v>234.15077171180729</v>
      </c>
      <c r="E956" s="81">
        <v>1265049</v>
      </c>
      <c r="F956" s="82">
        <v>1237311</v>
      </c>
      <c r="G956" s="75">
        <v>1331.1512938259223</v>
      </c>
      <c r="H956" s="76">
        <v>3</v>
      </c>
      <c r="I956" s="54" t="s">
        <v>21</v>
      </c>
      <c r="J956" s="77">
        <v>40</v>
      </c>
      <c r="K956" s="78">
        <v>5</v>
      </c>
      <c r="L956" s="54">
        <v>1</v>
      </c>
      <c r="M956" s="54">
        <f>_xlfn.XLOOKUP(Survey!$F956,sections[Start],sections[Test Section],,-1,1)</f>
        <v>2</v>
      </c>
      <c r="N956" s="55">
        <f>_xlfn.XLOOKUP(Survey!$K956,pipedata[ID],pipedata[WT])</f>
        <v>0.88800000000000001</v>
      </c>
      <c r="O956" s="56">
        <f>_xlfn.XLOOKUP(Survey!$K956,pipedata[ID],pipedata[104%])</f>
        <v>3078.4</v>
      </c>
      <c r="P956" s="57">
        <f t="shared" si="14"/>
        <v>1850</v>
      </c>
      <c r="Q956" s="58">
        <f>_xlfn.MAXIFS(Survey!$G$2:$G$3647,Survey!$M$2:$M$3647,Survey!$M956)-Survey!$G956</f>
        <v>1432.51495037582</v>
      </c>
      <c r="R956" s="59">
        <f>Survey!$P956+(Survey!$Q956*0.433)</f>
        <v>2470.2789735127299</v>
      </c>
    </row>
    <row r="957" spans="1:18" x14ac:dyDescent="0.25">
      <c r="A957" s="60" t="s">
        <v>17</v>
      </c>
      <c r="B957" s="61" t="s">
        <v>18</v>
      </c>
      <c r="C957" s="62" t="s">
        <v>19</v>
      </c>
      <c r="D957" s="63">
        <v>234.15702623180221</v>
      </c>
      <c r="E957" s="79">
        <v>1265089</v>
      </c>
      <c r="F957" s="80">
        <v>1237345.75</v>
      </c>
      <c r="G957" s="66">
        <v>1331.2503296694188</v>
      </c>
      <c r="H957" s="67">
        <v>3</v>
      </c>
      <c r="I957" s="68" t="s">
        <v>21</v>
      </c>
      <c r="J957" s="69">
        <v>40</v>
      </c>
      <c r="K957" s="70">
        <v>5</v>
      </c>
      <c r="L957" s="68">
        <v>1</v>
      </c>
      <c r="M957" s="68">
        <f>_xlfn.XLOOKUP(Survey!$F957,sections[Start],sections[Test Section],,-1,1)</f>
        <v>2</v>
      </c>
      <c r="N957" s="55">
        <f>_xlfn.XLOOKUP(Survey!$K957,pipedata[ID],pipedata[WT])</f>
        <v>0.88800000000000001</v>
      </c>
      <c r="O957" s="56">
        <f>_xlfn.XLOOKUP(Survey!$K957,pipedata[ID],pipedata[104%])</f>
        <v>3078.4</v>
      </c>
      <c r="P957" s="57">
        <f t="shared" si="14"/>
        <v>1850</v>
      </c>
      <c r="Q957" s="58">
        <f>_xlfn.MAXIFS(Survey!$G$2:$G$3647,Survey!$M$2:$M$3647,Survey!$M957)-Survey!$G957</f>
        <v>1432.4159145323235</v>
      </c>
      <c r="R957" s="59">
        <f>Survey!$P957+(Survey!$Q957*0.433)</f>
        <v>2470.236090992496</v>
      </c>
    </row>
    <row r="958" spans="1:18" x14ac:dyDescent="0.25">
      <c r="A958" s="71" t="s">
        <v>17</v>
      </c>
      <c r="B958" s="72" t="s">
        <v>18</v>
      </c>
      <c r="C958" s="73" t="s">
        <v>19</v>
      </c>
      <c r="D958" s="74">
        <v>234.16385004360166</v>
      </c>
      <c r="E958" s="81">
        <v>1265129</v>
      </c>
      <c r="F958" s="82">
        <v>1237380.5</v>
      </c>
      <c r="G958" s="75">
        <v>1319.4941359639154</v>
      </c>
      <c r="H958" s="76">
        <v>3</v>
      </c>
      <c r="I958" s="54" t="s">
        <v>21</v>
      </c>
      <c r="J958" s="77">
        <v>40</v>
      </c>
      <c r="K958" s="78">
        <v>5</v>
      </c>
      <c r="L958" s="54">
        <v>1</v>
      </c>
      <c r="M958" s="54">
        <f>_xlfn.XLOOKUP(Survey!$F958,sections[Start],sections[Test Section],,-1,1)</f>
        <v>2</v>
      </c>
      <c r="N958" s="55">
        <f>_xlfn.XLOOKUP(Survey!$K958,pipedata[ID],pipedata[WT])</f>
        <v>0.88800000000000001</v>
      </c>
      <c r="O958" s="56">
        <f>_xlfn.XLOOKUP(Survey!$K958,pipedata[ID],pipedata[104%])</f>
        <v>3078.4</v>
      </c>
      <c r="P958" s="57">
        <f t="shared" si="14"/>
        <v>1850</v>
      </c>
      <c r="Q958" s="58">
        <f>_xlfn.MAXIFS(Survey!$G$2:$G$3647,Survey!$M$2:$M$3647,Survey!$M958)-Survey!$G958</f>
        <v>1444.1721082378269</v>
      </c>
      <c r="R958" s="59">
        <f>Survey!$P958+(Survey!$Q958*0.433)</f>
        <v>2475.3265228669788</v>
      </c>
    </row>
    <row r="959" spans="1:18" x14ac:dyDescent="0.25">
      <c r="A959" s="60" t="s">
        <v>17</v>
      </c>
      <c r="B959" s="61" t="s">
        <v>18</v>
      </c>
      <c r="C959" s="62" t="s">
        <v>19</v>
      </c>
      <c r="D959" s="63">
        <v>234.17149980242169</v>
      </c>
      <c r="E959" s="79">
        <v>1265169</v>
      </c>
      <c r="F959" s="80">
        <v>1237415.25</v>
      </c>
      <c r="G959" s="66">
        <v>1301.7873389755764</v>
      </c>
      <c r="H959" s="67">
        <v>3</v>
      </c>
      <c r="I959" s="68" t="s">
        <v>21</v>
      </c>
      <c r="J959" s="69">
        <v>18</v>
      </c>
      <c r="K959" s="70">
        <v>5</v>
      </c>
      <c r="L959" s="68">
        <v>1</v>
      </c>
      <c r="M959" s="68">
        <f>_xlfn.XLOOKUP(Survey!$F959,sections[Start],sections[Test Section],,-1,1)</f>
        <v>2</v>
      </c>
      <c r="N959" s="55">
        <f>_xlfn.XLOOKUP(Survey!$K959,pipedata[ID],pipedata[WT])</f>
        <v>0.88800000000000001</v>
      </c>
      <c r="O959" s="56">
        <f>_xlfn.XLOOKUP(Survey!$K959,pipedata[ID],pipedata[104%])</f>
        <v>3078.4</v>
      </c>
      <c r="P959" s="57">
        <f t="shared" si="14"/>
        <v>1850</v>
      </c>
      <c r="Q959" s="58">
        <f>_xlfn.MAXIFS(Survey!$G$2:$G$3647,Survey!$M$2:$M$3647,Survey!$M959)-Survey!$G959</f>
        <v>1461.8789052261659</v>
      </c>
      <c r="R959" s="59">
        <f>Survey!$P959+(Survey!$Q959*0.433)</f>
        <v>2482.99356596293</v>
      </c>
    </row>
    <row r="960" spans="1:18" x14ac:dyDescent="0.25">
      <c r="A960" s="71" t="s">
        <v>17</v>
      </c>
      <c r="B960" s="72" t="s">
        <v>18</v>
      </c>
      <c r="C960" s="73" t="s">
        <v>19</v>
      </c>
      <c r="D960" s="74">
        <v>234.17859364128799</v>
      </c>
      <c r="E960" s="81">
        <v>1265187</v>
      </c>
      <c r="F960" s="82">
        <v>1237450</v>
      </c>
      <c r="G960" s="75">
        <v>1313.5066357870828</v>
      </c>
      <c r="H960" s="76">
        <v>3</v>
      </c>
      <c r="I960" s="54" t="s">
        <v>20</v>
      </c>
      <c r="J960" s="77">
        <v>62</v>
      </c>
      <c r="K960" s="78">
        <v>5</v>
      </c>
      <c r="L960" s="54">
        <v>1</v>
      </c>
      <c r="M960" s="54">
        <f>_xlfn.XLOOKUP(Survey!$F960,sections[Start],sections[Test Section],,-1,1)</f>
        <v>2</v>
      </c>
      <c r="N960" s="55">
        <f>_xlfn.XLOOKUP(Survey!$K960,pipedata[ID],pipedata[WT])</f>
        <v>0.88800000000000001</v>
      </c>
      <c r="O960" s="56">
        <f>_xlfn.XLOOKUP(Survey!$K960,pipedata[ID],pipedata[104%])</f>
        <v>3078.4</v>
      </c>
      <c r="P960" s="57">
        <f t="shared" si="14"/>
        <v>1850</v>
      </c>
      <c r="Q960" s="58">
        <f>_xlfn.MAXIFS(Survey!$G$2:$G$3647,Survey!$M$2:$M$3647,Survey!$M960)-Survey!$G960</f>
        <v>1450.1596084146595</v>
      </c>
      <c r="R960" s="59">
        <f>Survey!$P960+(Survey!$Q960*0.433)</f>
        <v>2477.9191104435477</v>
      </c>
    </row>
    <row r="961" spans="1:18" x14ac:dyDescent="0.25">
      <c r="A961" s="60" t="s">
        <v>17</v>
      </c>
      <c r="B961" s="61" t="s">
        <v>18</v>
      </c>
      <c r="C961" s="62" t="s">
        <v>19</v>
      </c>
      <c r="D961" s="63">
        <v>234.1851334872608</v>
      </c>
      <c r="E961" s="79">
        <v>1265249</v>
      </c>
      <c r="F961" s="80">
        <v>1237489.654676259</v>
      </c>
      <c r="G961" s="66">
        <v>1325.3452693041656</v>
      </c>
      <c r="H961" s="67">
        <v>3</v>
      </c>
      <c r="I961" s="68" t="s">
        <v>20</v>
      </c>
      <c r="J961" s="69">
        <v>40</v>
      </c>
      <c r="K961" s="70">
        <v>3</v>
      </c>
      <c r="L961" s="68">
        <v>1</v>
      </c>
      <c r="M961" s="68">
        <f>_xlfn.XLOOKUP(Survey!$F961,sections[Start],sections[Test Section],,-1,1)</f>
        <v>2</v>
      </c>
      <c r="N961" s="55">
        <f>_xlfn.XLOOKUP(Survey!$K961,pipedata[ID],pipedata[WT])</f>
        <v>0.88800000000000001</v>
      </c>
      <c r="O961" s="56">
        <f>_xlfn.XLOOKUP(Survey!$K961,pipedata[ID],pipedata[104%])</f>
        <v>3078.4</v>
      </c>
      <c r="P961" s="57">
        <f t="shared" si="14"/>
        <v>1850</v>
      </c>
      <c r="Q961" s="58">
        <f>_xlfn.MAXIFS(Survey!$G$2:$G$3647,Survey!$M$2:$M$3647,Survey!$M961)-Survey!$G961</f>
        <v>1438.3209748975767</v>
      </c>
      <c r="R961" s="59">
        <f>Survey!$P961+(Survey!$Q961*0.433)</f>
        <v>2472.7929821306507</v>
      </c>
    </row>
    <row r="962" spans="1:18" x14ac:dyDescent="0.25">
      <c r="A962" s="71" t="s">
        <v>17</v>
      </c>
      <c r="B962" s="72" t="s">
        <v>18</v>
      </c>
      <c r="C962" s="73" t="s">
        <v>19</v>
      </c>
      <c r="D962" s="74">
        <v>234.19306370041519</v>
      </c>
      <c r="E962" s="81">
        <v>1265289</v>
      </c>
      <c r="F962" s="82">
        <v>1237529.3093525181</v>
      </c>
      <c r="G962" s="75">
        <v>1340.2103505107871</v>
      </c>
      <c r="H962" s="76">
        <v>3</v>
      </c>
      <c r="I962" s="54" t="s">
        <v>20</v>
      </c>
      <c r="J962" s="77">
        <v>40</v>
      </c>
      <c r="K962" s="78">
        <v>3</v>
      </c>
      <c r="L962" s="54">
        <v>1</v>
      </c>
      <c r="M962" s="54">
        <f>_xlfn.XLOOKUP(Survey!$F962,sections[Start],sections[Test Section],,-1,1)</f>
        <v>2</v>
      </c>
      <c r="N962" s="55">
        <f>_xlfn.XLOOKUP(Survey!$K962,pipedata[ID],pipedata[WT])</f>
        <v>0.88800000000000001</v>
      </c>
      <c r="O962" s="56">
        <f>_xlfn.XLOOKUP(Survey!$K962,pipedata[ID],pipedata[104%])</f>
        <v>3078.4</v>
      </c>
      <c r="P962" s="57">
        <f t="shared" ref="P962:P1025" si="15">IF(L962=1,1850,IF(L962=2,1850,2220))</f>
        <v>1850</v>
      </c>
      <c r="Q962" s="58">
        <f>_xlfn.MAXIFS(Survey!$G$2:$G$3647,Survey!$M$2:$M$3647,Survey!$M962)-Survey!$G962</f>
        <v>1423.4558936909552</v>
      </c>
      <c r="R962" s="59">
        <f>Survey!$P962+(Survey!$Q962*0.433)</f>
        <v>2466.3564019681835</v>
      </c>
    </row>
    <row r="963" spans="1:18" x14ac:dyDescent="0.25">
      <c r="A963" s="60" t="s">
        <v>17</v>
      </c>
      <c r="B963" s="61" t="s">
        <v>18</v>
      </c>
      <c r="C963" s="62" t="s">
        <v>19</v>
      </c>
      <c r="D963" s="63">
        <v>234.20039312786395</v>
      </c>
      <c r="E963" s="79">
        <v>1265329</v>
      </c>
      <c r="F963" s="80">
        <v>1237568.9640287771</v>
      </c>
      <c r="G963" s="66">
        <v>1348.0572753320316</v>
      </c>
      <c r="H963" s="67">
        <v>3</v>
      </c>
      <c r="I963" s="68" t="s">
        <v>20</v>
      </c>
      <c r="J963" s="69">
        <v>40</v>
      </c>
      <c r="K963" s="70">
        <v>3</v>
      </c>
      <c r="L963" s="68">
        <v>1</v>
      </c>
      <c r="M963" s="68">
        <f>_xlfn.XLOOKUP(Survey!$F963,sections[Start],sections[Test Section],,-1,1)</f>
        <v>2</v>
      </c>
      <c r="N963" s="55">
        <f>_xlfn.XLOOKUP(Survey!$K963,pipedata[ID],pipedata[WT])</f>
        <v>0.88800000000000001</v>
      </c>
      <c r="O963" s="56">
        <f>_xlfn.XLOOKUP(Survey!$K963,pipedata[ID],pipedata[104%])</f>
        <v>3078.4</v>
      </c>
      <c r="P963" s="57">
        <f t="shared" si="15"/>
        <v>1850</v>
      </c>
      <c r="Q963" s="58">
        <f>_xlfn.MAXIFS(Survey!$G$2:$G$3647,Survey!$M$2:$M$3647,Survey!$M963)-Survey!$G963</f>
        <v>1415.6089688697107</v>
      </c>
      <c r="R963" s="59">
        <f>Survey!$P963+(Survey!$Q963*0.433)</f>
        <v>2462.9586835205846</v>
      </c>
    </row>
    <row r="964" spans="1:18" x14ac:dyDescent="0.25">
      <c r="A964" s="71" t="s">
        <v>17</v>
      </c>
      <c r="B964" s="72" t="s">
        <v>18</v>
      </c>
      <c r="C964" s="73" t="s">
        <v>19</v>
      </c>
      <c r="D964" s="74">
        <v>234.20827049387373</v>
      </c>
      <c r="E964" s="81">
        <v>1265369</v>
      </c>
      <c r="F964" s="82">
        <v>1237608.6187050361</v>
      </c>
      <c r="G964" s="75">
        <v>1358.9869635499642</v>
      </c>
      <c r="H964" s="76">
        <v>3</v>
      </c>
      <c r="I964" s="54" t="s">
        <v>20</v>
      </c>
      <c r="J964" s="77">
        <v>40</v>
      </c>
      <c r="K964" s="78">
        <v>3</v>
      </c>
      <c r="L964" s="54">
        <v>1</v>
      </c>
      <c r="M964" s="54">
        <f>_xlfn.XLOOKUP(Survey!$F964,sections[Start],sections[Test Section],,-1,1)</f>
        <v>2</v>
      </c>
      <c r="N964" s="55">
        <f>_xlfn.XLOOKUP(Survey!$K964,pipedata[ID],pipedata[WT])</f>
        <v>0.88800000000000001</v>
      </c>
      <c r="O964" s="56">
        <f>_xlfn.XLOOKUP(Survey!$K964,pipedata[ID],pipedata[104%])</f>
        <v>3078.4</v>
      </c>
      <c r="P964" s="57">
        <f t="shared" si="15"/>
        <v>1850</v>
      </c>
      <c r="Q964" s="58">
        <f>_xlfn.MAXIFS(Survey!$G$2:$G$3647,Survey!$M$2:$M$3647,Survey!$M964)-Survey!$G964</f>
        <v>1404.6792806517781</v>
      </c>
      <c r="R964" s="59">
        <f>Survey!$P964+(Survey!$Q964*0.433)</f>
        <v>2458.2261285222198</v>
      </c>
    </row>
    <row r="965" spans="1:18" x14ac:dyDescent="0.25">
      <c r="A965" s="60" t="s">
        <v>17</v>
      </c>
      <c r="B965" s="61" t="s">
        <v>18</v>
      </c>
      <c r="C965" s="62" t="s">
        <v>19</v>
      </c>
      <c r="D965" s="63">
        <v>234.21357347593306</v>
      </c>
      <c r="E965" s="79">
        <v>1265409</v>
      </c>
      <c r="F965" s="80">
        <v>1237648.2733812951</v>
      </c>
      <c r="G965" s="66">
        <v>1368.58</v>
      </c>
      <c r="H965" s="67">
        <v>3</v>
      </c>
      <c r="I965" s="68" t="s">
        <v>20</v>
      </c>
      <c r="J965" s="69">
        <v>40</v>
      </c>
      <c r="K965" s="70">
        <v>3</v>
      </c>
      <c r="L965" s="68">
        <v>1</v>
      </c>
      <c r="M965" s="68">
        <f>_xlfn.XLOOKUP(Survey!$F965,sections[Start],sections[Test Section],,-1,1)</f>
        <v>2</v>
      </c>
      <c r="N965" s="55">
        <f>_xlfn.XLOOKUP(Survey!$K965,pipedata[ID],pipedata[WT])</f>
        <v>0.88800000000000001</v>
      </c>
      <c r="O965" s="56">
        <f>_xlfn.XLOOKUP(Survey!$K965,pipedata[ID],pipedata[104%])</f>
        <v>3078.4</v>
      </c>
      <c r="P965" s="57">
        <f t="shared" si="15"/>
        <v>1850</v>
      </c>
      <c r="Q965" s="58">
        <f>_xlfn.MAXIFS(Survey!$G$2:$G$3647,Survey!$M$2:$M$3647,Survey!$M965)-Survey!$G965</f>
        <v>1395.0862442017424</v>
      </c>
      <c r="R965" s="59">
        <f>Survey!$P965+(Survey!$Q965*0.433)</f>
        <v>2454.0723437393544</v>
      </c>
    </row>
    <row r="966" spans="1:18" x14ac:dyDescent="0.25">
      <c r="A966" s="71" t="s">
        <v>17</v>
      </c>
      <c r="B966" s="72" t="s">
        <v>18</v>
      </c>
      <c r="C966" s="73" t="s">
        <v>19</v>
      </c>
      <c r="D966" s="74">
        <v>234.22219261444013</v>
      </c>
      <c r="E966" s="81">
        <v>1265449</v>
      </c>
      <c r="F966" s="82">
        <v>1237687.9280575542</v>
      </c>
      <c r="G966" s="75">
        <v>1379.4141368704625</v>
      </c>
      <c r="H966" s="76">
        <v>3</v>
      </c>
      <c r="I966" s="54" t="s">
        <v>20</v>
      </c>
      <c r="J966" s="77">
        <v>40</v>
      </c>
      <c r="K966" s="78">
        <v>3</v>
      </c>
      <c r="L966" s="54">
        <v>1</v>
      </c>
      <c r="M966" s="54">
        <f>_xlfn.XLOOKUP(Survey!$F966,sections[Start],sections[Test Section],,-1,1)</f>
        <v>2</v>
      </c>
      <c r="N966" s="55">
        <f>_xlfn.XLOOKUP(Survey!$K966,pipedata[ID],pipedata[WT])</f>
        <v>0.88800000000000001</v>
      </c>
      <c r="O966" s="56">
        <f>_xlfn.XLOOKUP(Survey!$K966,pipedata[ID],pipedata[104%])</f>
        <v>3078.4</v>
      </c>
      <c r="P966" s="57">
        <f t="shared" si="15"/>
        <v>1850</v>
      </c>
      <c r="Q966" s="58">
        <f>_xlfn.MAXIFS(Survey!$G$2:$G$3647,Survey!$M$2:$M$3647,Survey!$M966)-Survey!$G966</f>
        <v>1384.2521073312798</v>
      </c>
      <c r="R966" s="59">
        <f>Survey!$P966+(Survey!$Q966*0.433)</f>
        <v>2449.381162474444</v>
      </c>
    </row>
    <row r="967" spans="1:18" x14ac:dyDescent="0.25">
      <c r="A967" s="60" t="s">
        <v>17</v>
      </c>
      <c r="B967" s="61" t="s">
        <v>18</v>
      </c>
      <c r="C967" s="62" t="s">
        <v>19</v>
      </c>
      <c r="D967" s="63">
        <v>234.22887299357367</v>
      </c>
      <c r="E967" s="79">
        <v>1265489</v>
      </c>
      <c r="F967" s="80">
        <v>1237727.5827338132</v>
      </c>
      <c r="G967" s="66">
        <v>1381.2960344958306</v>
      </c>
      <c r="H967" s="67">
        <v>3</v>
      </c>
      <c r="I967" s="68" t="s">
        <v>20</v>
      </c>
      <c r="J967" s="69">
        <v>40</v>
      </c>
      <c r="K967" s="70">
        <v>3</v>
      </c>
      <c r="L967" s="68">
        <v>1</v>
      </c>
      <c r="M967" s="68">
        <f>_xlfn.XLOOKUP(Survey!$F967,sections[Start],sections[Test Section],,-1,1)</f>
        <v>2</v>
      </c>
      <c r="N967" s="55">
        <f>_xlfn.XLOOKUP(Survey!$K967,pipedata[ID],pipedata[WT])</f>
        <v>0.88800000000000001</v>
      </c>
      <c r="O967" s="56">
        <f>_xlfn.XLOOKUP(Survey!$K967,pipedata[ID],pipedata[104%])</f>
        <v>3078.4</v>
      </c>
      <c r="P967" s="57">
        <f t="shared" si="15"/>
        <v>1850</v>
      </c>
      <c r="Q967" s="58">
        <f>_xlfn.MAXIFS(Survey!$G$2:$G$3647,Survey!$M$2:$M$3647,Survey!$M967)-Survey!$G967</f>
        <v>1382.3702097059117</v>
      </c>
      <c r="R967" s="59">
        <f>Survey!$P967+(Survey!$Q967*0.433)</f>
        <v>2448.5663008026595</v>
      </c>
    </row>
    <row r="968" spans="1:18" x14ac:dyDescent="0.25">
      <c r="A968" s="71" t="s">
        <v>17</v>
      </c>
      <c r="B968" s="72" t="s">
        <v>18</v>
      </c>
      <c r="C968" s="73" t="s">
        <v>19</v>
      </c>
      <c r="D968" s="74">
        <v>234.23745225504314</v>
      </c>
      <c r="E968" s="81">
        <v>1265529</v>
      </c>
      <c r="F968" s="82">
        <v>1237767.2374100722</v>
      </c>
      <c r="G968" s="75">
        <v>1376.3745718811085</v>
      </c>
      <c r="H968" s="76">
        <v>3</v>
      </c>
      <c r="I968" s="54" t="s">
        <v>20</v>
      </c>
      <c r="J968" s="77">
        <v>40</v>
      </c>
      <c r="K968" s="78">
        <v>3</v>
      </c>
      <c r="L968" s="54">
        <v>1</v>
      </c>
      <c r="M968" s="54">
        <f>_xlfn.XLOOKUP(Survey!$F968,sections[Start],sections[Test Section],,-1,1)</f>
        <v>2</v>
      </c>
      <c r="N968" s="55">
        <f>_xlfn.XLOOKUP(Survey!$K968,pipedata[ID],pipedata[WT])</f>
        <v>0.88800000000000001</v>
      </c>
      <c r="O968" s="56">
        <f>_xlfn.XLOOKUP(Survey!$K968,pipedata[ID],pipedata[104%])</f>
        <v>3078.4</v>
      </c>
      <c r="P968" s="57">
        <f t="shared" si="15"/>
        <v>1850</v>
      </c>
      <c r="Q968" s="58">
        <f>_xlfn.MAXIFS(Survey!$G$2:$G$3647,Survey!$M$2:$M$3647,Survey!$M968)-Survey!$G968</f>
        <v>1387.2916723206338</v>
      </c>
      <c r="R968" s="59">
        <f>Survey!$P968+(Survey!$Q968*0.433)</f>
        <v>2450.6972941148342</v>
      </c>
    </row>
    <row r="969" spans="1:18" x14ac:dyDescent="0.25">
      <c r="A969" s="60" t="s">
        <v>17</v>
      </c>
      <c r="B969" s="61" t="s">
        <v>18</v>
      </c>
      <c r="C969" s="62" t="s">
        <v>19</v>
      </c>
      <c r="D969" s="63">
        <v>234.24417251121412</v>
      </c>
      <c r="E969" s="79">
        <v>1265569</v>
      </c>
      <c r="F969" s="80">
        <v>1237806.8920863313</v>
      </c>
      <c r="G969" s="66">
        <v>1369.3831744298859</v>
      </c>
      <c r="H969" s="67">
        <v>3</v>
      </c>
      <c r="I969" s="68" t="s">
        <v>20</v>
      </c>
      <c r="J969" s="69">
        <v>40</v>
      </c>
      <c r="K969" s="70">
        <v>3</v>
      </c>
      <c r="L969" s="68">
        <v>1</v>
      </c>
      <c r="M969" s="68">
        <f>_xlfn.XLOOKUP(Survey!$F969,sections[Start],sections[Test Section],,-1,1)</f>
        <v>2</v>
      </c>
      <c r="N969" s="55">
        <f>_xlfn.XLOOKUP(Survey!$K969,pipedata[ID],pipedata[WT])</f>
        <v>0.88800000000000001</v>
      </c>
      <c r="O969" s="56">
        <f>_xlfn.XLOOKUP(Survey!$K969,pipedata[ID],pipedata[104%])</f>
        <v>3078.4</v>
      </c>
      <c r="P969" s="57">
        <f t="shared" si="15"/>
        <v>1850</v>
      </c>
      <c r="Q969" s="58">
        <f>_xlfn.MAXIFS(Survey!$G$2:$G$3647,Survey!$M$2:$M$3647,Survey!$M969)-Survey!$G969</f>
        <v>1394.2830697718564</v>
      </c>
      <c r="R969" s="59">
        <f>Survey!$P969+(Survey!$Q969*0.433)</f>
        <v>2453.7245692112137</v>
      </c>
    </row>
    <row r="970" spans="1:18" x14ac:dyDescent="0.25">
      <c r="A970" s="71" t="s">
        <v>17</v>
      </c>
      <c r="B970" s="72" t="s">
        <v>18</v>
      </c>
      <c r="C970" s="73" t="s">
        <v>19</v>
      </c>
      <c r="D970" s="74">
        <v>234.25271189564668</v>
      </c>
      <c r="E970" s="81">
        <v>1265609</v>
      </c>
      <c r="F970" s="82">
        <v>1237846.5467625903</v>
      </c>
      <c r="G970" s="75">
        <v>1367.1377077564828</v>
      </c>
      <c r="H970" s="76">
        <v>3</v>
      </c>
      <c r="I970" s="54" t="s">
        <v>20</v>
      </c>
      <c r="J970" s="77">
        <v>40</v>
      </c>
      <c r="K970" s="78">
        <v>3</v>
      </c>
      <c r="L970" s="54">
        <v>1</v>
      </c>
      <c r="M970" s="54">
        <f>_xlfn.XLOOKUP(Survey!$F970,sections[Start],sections[Test Section],,-1,1)</f>
        <v>2</v>
      </c>
      <c r="N970" s="55">
        <f>_xlfn.XLOOKUP(Survey!$K970,pipedata[ID],pipedata[WT])</f>
        <v>0.88800000000000001</v>
      </c>
      <c r="O970" s="56">
        <f>_xlfn.XLOOKUP(Survey!$K970,pipedata[ID],pipedata[104%])</f>
        <v>3078.4</v>
      </c>
      <c r="P970" s="57">
        <f t="shared" si="15"/>
        <v>1850</v>
      </c>
      <c r="Q970" s="58">
        <f>_xlfn.MAXIFS(Survey!$G$2:$G$3647,Survey!$M$2:$M$3647,Survey!$M970)-Survey!$G970</f>
        <v>1396.5285364452595</v>
      </c>
      <c r="R970" s="59">
        <f>Survey!$P970+(Survey!$Q970*0.433)</f>
        <v>2454.6968562807974</v>
      </c>
    </row>
    <row r="971" spans="1:18" x14ac:dyDescent="0.25">
      <c r="A971" s="60" t="s">
        <v>17</v>
      </c>
      <c r="B971" s="61" t="s">
        <v>18</v>
      </c>
      <c r="C971" s="62" t="s">
        <v>19</v>
      </c>
      <c r="D971" s="63">
        <v>234.25990787140609</v>
      </c>
      <c r="E971" s="79">
        <v>1265649</v>
      </c>
      <c r="F971" s="80">
        <v>1237886.2014388493</v>
      </c>
      <c r="G971" s="66">
        <v>1366.5063048219965</v>
      </c>
      <c r="H971" s="67">
        <v>3</v>
      </c>
      <c r="I971" s="68" t="s">
        <v>20</v>
      </c>
      <c r="J971" s="69">
        <v>40</v>
      </c>
      <c r="K971" s="70">
        <v>3</v>
      </c>
      <c r="L971" s="68">
        <v>1</v>
      </c>
      <c r="M971" s="68">
        <f>_xlfn.XLOOKUP(Survey!$F971,sections[Start],sections[Test Section],,-1,1)</f>
        <v>2</v>
      </c>
      <c r="N971" s="55">
        <f>_xlfn.XLOOKUP(Survey!$K971,pipedata[ID],pipedata[WT])</f>
        <v>0.88800000000000001</v>
      </c>
      <c r="O971" s="56">
        <f>_xlfn.XLOOKUP(Survey!$K971,pipedata[ID],pipedata[104%])</f>
        <v>3078.4</v>
      </c>
      <c r="P971" s="57">
        <f t="shared" si="15"/>
        <v>1850</v>
      </c>
      <c r="Q971" s="58">
        <f>_xlfn.MAXIFS(Survey!$G$2:$G$3647,Survey!$M$2:$M$3647,Survey!$M971)-Survey!$G971</f>
        <v>1397.1599393797458</v>
      </c>
      <c r="R971" s="59">
        <f>Survey!$P971+(Survey!$Q971*0.433)</f>
        <v>2454.9702537514299</v>
      </c>
    </row>
    <row r="972" spans="1:18" x14ac:dyDescent="0.25">
      <c r="A972" s="71" t="s">
        <v>17</v>
      </c>
      <c r="B972" s="72" t="s">
        <v>18</v>
      </c>
      <c r="C972" s="73" t="s">
        <v>19</v>
      </c>
      <c r="D972" s="74">
        <v>234.26632085278112</v>
      </c>
      <c r="E972" s="81">
        <v>1265689</v>
      </c>
      <c r="F972" s="82">
        <v>1237925.8561151084</v>
      </c>
      <c r="G972" s="75">
        <v>1364.0000476818764</v>
      </c>
      <c r="H972" s="76">
        <v>3</v>
      </c>
      <c r="I972" s="54" t="s">
        <v>20</v>
      </c>
      <c r="J972" s="77">
        <v>40</v>
      </c>
      <c r="K972" s="78">
        <v>3</v>
      </c>
      <c r="L972" s="54">
        <v>1</v>
      </c>
      <c r="M972" s="54">
        <f>_xlfn.XLOOKUP(Survey!$F972,sections[Start],sections[Test Section],,-1,1)</f>
        <v>2</v>
      </c>
      <c r="N972" s="55">
        <f>_xlfn.XLOOKUP(Survey!$K972,pipedata[ID],pipedata[WT])</f>
        <v>0.88800000000000001</v>
      </c>
      <c r="O972" s="56">
        <f>_xlfn.XLOOKUP(Survey!$K972,pipedata[ID],pipedata[104%])</f>
        <v>3078.4</v>
      </c>
      <c r="P972" s="57">
        <f t="shared" si="15"/>
        <v>1850</v>
      </c>
      <c r="Q972" s="58">
        <f>_xlfn.MAXIFS(Survey!$G$2:$G$3647,Survey!$M$2:$M$3647,Survey!$M972)-Survey!$G972</f>
        <v>1399.6661965198659</v>
      </c>
      <c r="R972" s="59">
        <f>Survey!$P972+(Survey!$Q972*0.433)</f>
        <v>2456.0554630931019</v>
      </c>
    </row>
    <row r="973" spans="1:18" x14ac:dyDescent="0.25">
      <c r="A973" s="60" t="s">
        <v>17</v>
      </c>
      <c r="B973" s="61" t="s">
        <v>18</v>
      </c>
      <c r="C973" s="62" t="s">
        <v>19</v>
      </c>
      <c r="D973" s="63">
        <v>234.27402614058849</v>
      </c>
      <c r="E973" s="79">
        <v>1265729</v>
      </c>
      <c r="F973" s="80">
        <v>1237965.5107913674</v>
      </c>
      <c r="G973" s="66">
        <v>1356.0403793622211</v>
      </c>
      <c r="H973" s="67">
        <v>3</v>
      </c>
      <c r="I973" s="68" t="s">
        <v>20</v>
      </c>
      <c r="J973" s="69">
        <v>40</v>
      </c>
      <c r="K973" s="70">
        <v>3</v>
      </c>
      <c r="L973" s="68">
        <v>1</v>
      </c>
      <c r="M973" s="68">
        <f>_xlfn.XLOOKUP(Survey!$F973,sections[Start],sections[Test Section],,-1,1)</f>
        <v>2</v>
      </c>
      <c r="N973" s="55">
        <f>_xlfn.XLOOKUP(Survey!$K973,pipedata[ID],pipedata[WT])</f>
        <v>0.88800000000000001</v>
      </c>
      <c r="O973" s="56">
        <f>_xlfn.XLOOKUP(Survey!$K973,pipedata[ID],pipedata[104%])</f>
        <v>3078.4</v>
      </c>
      <c r="P973" s="57">
        <f t="shared" si="15"/>
        <v>1850</v>
      </c>
      <c r="Q973" s="58">
        <f>_xlfn.MAXIFS(Survey!$G$2:$G$3647,Survey!$M$2:$M$3647,Survey!$M973)-Survey!$G973</f>
        <v>1407.6258648395212</v>
      </c>
      <c r="R973" s="59">
        <f>Survey!$P973+(Survey!$Q973*0.433)</f>
        <v>2459.5019994755125</v>
      </c>
    </row>
    <row r="974" spans="1:18" x14ac:dyDescent="0.25">
      <c r="A974" s="71" t="s">
        <v>17</v>
      </c>
      <c r="B974" s="72" t="s">
        <v>18</v>
      </c>
      <c r="C974" s="73" t="s">
        <v>19</v>
      </c>
      <c r="D974" s="74">
        <v>234.28164208683046</v>
      </c>
      <c r="E974" s="81">
        <v>1265769</v>
      </c>
      <c r="F974" s="82">
        <v>1238005.1654676264</v>
      </c>
      <c r="G974" s="75">
        <v>1338.5456417757459</v>
      </c>
      <c r="H974" s="76">
        <v>3</v>
      </c>
      <c r="I974" s="54" t="s">
        <v>20</v>
      </c>
      <c r="J974" s="77">
        <v>40</v>
      </c>
      <c r="K974" s="78">
        <v>3</v>
      </c>
      <c r="L974" s="54">
        <v>1</v>
      </c>
      <c r="M974" s="54">
        <f>_xlfn.XLOOKUP(Survey!$F974,sections[Start],sections[Test Section],,-1,1)</f>
        <v>2</v>
      </c>
      <c r="N974" s="55">
        <f>_xlfn.XLOOKUP(Survey!$K974,pipedata[ID],pipedata[WT])</f>
        <v>0.88800000000000001</v>
      </c>
      <c r="O974" s="56">
        <f>_xlfn.XLOOKUP(Survey!$K974,pipedata[ID],pipedata[104%])</f>
        <v>3078.4</v>
      </c>
      <c r="P974" s="57">
        <f t="shared" si="15"/>
        <v>1850</v>
      </c>
      <c r="Q974" s="58">
        <f>_xlfn.MAXIFS(Survey!$G$2:$G$3647,Survey!$M$2:$M$3647,Survey!$M974)-Survey!$G974</f>
        <v>1425.1206024259964</v>
      </c>
      <c r="R974" s="59">
        <f>Survey!$P974+(Survey!$Q974*0.433)</f>
        <v>2467.0772208504563</v>
      </c>
    </row>
    <row r="975" spans="1:18" x14ac:dyDescent="0.25">
      <c r="A975" s="60" t="s">
        <v>17</v>
      </c>
      <c r="B975" s="61" t="s">
        <v>18</v>
      </c>
      <c r="C975" s="62" t="s">
        <v>19</v>
      </c>
      <c r="D975" s="63">
        <v>234.28930270385521</v>
      </c>
      <c r="E975" s="79">
        <v>1265809</v>
      </c>
      <c r="F975" s="80">
        <v>1238044.8201438854</v>
      </c>
      <c r="G975" s="66">
        <v>1354.2630203207993</v>
      </c>
      <c r="H975" s="67">
        <v>3</v>
      </c>
      <c r="I975" s="68" t="s">
        <v>20</v>
      </c>
      <c r="J975" s="69">
        <v>40</v>
      </c>
      <c r="K975" s="70">
        <v>3</v>
      </c>
      <c r="L975" s="68">
        <v>1</v>
      </c>
      <c r="M975" s="68">
        <f>_xlfn.XLOOKUP(Survey!$F975,sections[Start],sections[Test Section],,-1,1)</f>
        <v>2</v>
      </c>
      <c r="N975" s="55">
        <f>_xlfn.XLOOKUP(Survey!$K975,pipedata[ID],pipedata[WT])</f>
        <v>0.88800000000000001</v>
      </c>
      <c r="O975" s="56">
        <f>_xlfn.XLOOKUP(Survey!$K975,pipedata[ID],pipedata[104%])</f>
        <v>3078.4</v>
      </c>
      <c r="P975" s="57">
        <f t="shared" si="15"/>
        <v>1850</v>
      </c>
      <c r="Q975" s="58">
        <f>_xlfn.MAXIFS(Survey!$G$2:$G$3647,Survey!$M$2:$M$3647,Survey!$M975)-Survey!$G975</f>
        <v>1409.403223880943</v>
      </c>
      <c r="R975" s="59">
        <f>Survey!$P975+(Survey!$Q975*0.433)</f>
        <v>2460.2715959404482</v>
      </c>
    </row>
    <row r="976" spans="1:18" x14ac:dyDescent="0.25">
      <c r="A976" s="71" t="s">
        <v>17</v>
      </c>
      <c r="B976" s="72" t="s">
        <v>18</v>
      </c>
      <c r="C976" s="73" t="s">
        <v>19</v>
      </c>
      <c r="D976" s="74">
        <v>234.29661537128013</v>
      </c>
      <c r="E976" s="81">
        <v>1265849</v>
      </c>
      <c r="F976" s="82">
        <v>1238084.4748201445</v>
      </c>
      <c r="G976" s="75">
        <v>1362.7099652265993</v>
      </c>
      <c r="H976" s="76">
        <v>3</v>
      </c>
      <c r="I976" s="54" t="s">
        <v>20</v>
      </c>
      <c r="J976" s="77">
        <v>40</v>
      </c>
      <c r="K976" s="78">
        <v>3</v>
      </c>
      <c r="L976" s="54">
        <v>1</v>
      </c>
      <c r="M976" s="54">
        <f>_xlfn.XLOOKUP(Survey!$F976,sections[Start],sections[Test Section],,-1,1)</f>
        <v>2</v>
      </c>
      <c r="N976" s="55">
        <f>_xlfn.XLOOKUP(Survey!$K976,pipedata[ID],pipedata[WT])</f>
        <v>0.88800000000000001</v>
      </c>
      <c r="O976" s="56">
        <f>_xlfn.XLOOKUP(Survey!$K976,pipedata[ID],pipedata[104%])</f>
        <v>3078.4</v>
      </c>
      <c r="P976" s="57">
        <f t="shared" si="15"/>
        <v>1850</v>
      </c>
      <c r="Q976" s="58">
        <f>_xlfn.MAXIFS(Survey!$G$2:$G$3647,Survey!$M$2:$M$3647,Survey!$M976)-Survey!$G976</f>
        <v>1400.9562789751431</v>
      </c>
      <c r="R976" s="59">
        <f>Survey!$P976+(Survey!$Q976*0.433)</f>
        <v>2456.614068796237</v>
      </c>
    </row>
    <row r="977" spans="1:18" x14ac:dyDescent="0.25">
      <c r="A977" s="60" t="s">
        <v>17</v>
      </c>
      <c r="B977" s="61" t="s">
        <v>18</v>
      </c>
      <c r="C977" s="62" t="s">
        <v>19</v>
      </c>
      <c r="D977" s="63">
        <v>234.30226267895341</v>
      </c>
      <c r="E977" s="79">
        <v>1265889</v>
      </c>
      <c r="F977" s="80">
        <v>1238124.1294964035</v>
      </c>
      <c r="G977" s="66">
        <v>1372.64918418766</v>
      </c>
      <c r="H977" s="67">
        <v>3</v>
      </c>
      <c r="I977" s="68" t="s">
        <v>20</v>
      </c>
      <c r="J977" s="69">
        <v>40</v>
      </c>
      <c r="K977" s="70">
        <v>3</v>
      </c>
      <c r="L977" s="68">
        <v>1</v>
      </c>
      <c r="M977" s="68">
        <f>_xlfn.XLOOKUP(Survey!$F977,sections[Start],sections[Test Section],,-1,1)</f>
        <v>2</v>
      </c>
      <c r="N977" s="55">
        <f>_xlfn.XLOOKUP(Survey!$K977,pipedata[ID],pipedata[WT])</f>
        <v>0.88800000000000001</v>
      </c>
      <c r="O977" s="56">
        <f>_xlfn.XLOOKUP(Survey!$K977,pipedata[ID],pipedata[104%])</f>
        <v>3078.4</v>
      </c>
      <c r="P977" s="57">
        <f t="shared" si="15"/>
        <v>1850</v>
      </c>
      <c r="Q977" s="58">
        <f>_xlfn.MAXIFS(Survey!$G$2:$G$3647,Survey!$M$2:$M$3647,Survey!$M977)-Survey!$G977</f>
        <v>1391.0170600140823</v>
      </c>
      <c r="R977" s="59">
        <f>Survey!$P977+(Survey!$Q977*0.433)</f>
        <v>2452.3103869860975</v>
      </c>
    </row>
    <row r="978" spans="1:18" x14ac:dyDescent="0.25">
      <c r="A978" s="71" t="s">
        <v>17</v>
      </c>
      <c r="B978" s="72" t="s">
        <v>18</v>
      </c>
      <c r="C978" s="73" t="s">
        <v>19</v>
      </c>
      <c r="D978" s="74">
        <v>234.3107336404631</v>
      </c>
      <c r="E978" s="81">
        <v>1265929</v>
      </c>
      <c r="F978" s="82">
        <v>1238163.7841726625</v>
      </c>
      <c r="G978" s="75">
        <v>1382.9400526657316</v>
      </c>
      <c r="H978" s="76">
        <v>3</v>
      </c>
      <c r="I978" s="54" t="s">
        <v>20</v>
      </c>
      <c r="J978" s="77">
        <v>40</v>
      </c>
      <c r="K978" s="78">
        <v>3</v>
      </c>
      <c r="L978" s="54">
        <v>1</v>
      </c>
      <c r="M978" s="54">
        <f>_xlfn.XLOOKUP(Survey!$F978,sections[Start],sections[Test Section],,-1,1)</f>
        <v>2</v>
      </c>
      <c r="N978" s="55">
        <f>_xlfn.XLOOKUP(Survey!$K978,pipedata[ID],pipedata[WT])</f>
        <v>0.88800000000000001</v>
      </c>
      <c r="O978" s="56">
        <f>_xlfn.XLOOKUP(Survey!$K978,pipedata[ID],pipedata[104%])</f>
        <v>3078.4</v>
      </c>
      <c r="P978" s="57">
        <f t="shared" si="15"/>
        <v>1850</v>
      </c>
      <c r="Q978" s="58">
        <f>_xlfn.MAXIFS(Survey!$G$2:$G$3647,Survey!$M$2:$M$3647,Survey!$M978)-Survey!$G978</f>
        <v>1380.7261915360107</v>
      </c>
      <c r="R978" s="59">
        <f>Survey!$P978+(Survey!$Q978*0.433)</f>
        <v>2447.8544409350925</v>
      </c>
    </row>
    <row r="979" spans="1:18" x14ac:dyDescent="0.25">
      <c r="A979" s="60" t="s">
        <v>17</v>
      </c>
      <c r="B979" s="61" t="s">
        <v>18</v>
      </c>
      <c r="C979" s="62" t="s">
        <v>19</v>
      </c>
      <c r="D979" s="63">
        <v>234.31825258163528</v>
      </c>
      <c r="E979" s="79">
        <v>1265969</v>
      </c>
      <c r="F979" s="80">
        <v>1238203.4388489216</v>
      </c>
      <c r="G979" s="66">
        <v>1389.5093386312569</v>
      </c>
      <c r="H979" s="67">
        <v>3</v>
      </c>
      <c r="I979" s="68" t="s">
        <v>20</v>
      </c>
      <c r="J979" s="69">
        <v>40</v>
      </c>
      <c r="K979" s="70">
        <v>3</v>
      </c>
      <c r="L979" s="68">
        <v>1</v>
      </c>
      <c r="M979" s="68">
        <f>_xlfn.XLOOKUP(Survey!$F979,sections[Start],sections[Test Section],,-1,1)</f>
        <v>2</v>
      </c>
      <c r="N979" s="55">
        <f>_xlfn.XLOOKUP(Survey!$K979,pipedata[ID],pipedata[WT])</f>
        <v>0.88800000000000001</v>
      </c>
      <c r="O979" s="56">
        <f>_xlfn.XLOOKUP(Survey!$K979,pipedata[ID],pipedata[104%])</f>
        <v>3078.4</v>
      </c>
      <c r="P979" s="57">
        <f t="shared" si="15"/>
        <v>1850</v>
      </c>
      <c r="Q979" s="58">
        <f>_xlfn.MAXIFS(Survey!$G$2:$G$3647,Survey!$M$2:$M$3647,Survey!$M979)-Survey!$G979</f>
        <v>1374.1569055704854</v>
      </c>
      <c r="R979" s="59">
        <f>Survey!$P979+(Survey!$Q979*0.433)</f>
        <v>2445.0099401120201</v>
      </c>
    </row>
    <row r="980" spans="1:18" x14ac:dyDescent="0.25">
      <c r="A980" s="71" t="s">
        <v>17</v>
      </c>
      <c r="B980" s="72" t="s">
        <v>18</v>
      </c>
      <c r="C980" s="73" t="s">
        <v>19</v>
      </c>
      <c r="D980" s="74">
        <v>234.32505224997061</v>
      </c>
      <c r="E980" s="81">
        <v>1266009</v>
      </c>
      <c r="F980" s="82">
        <v>1238243.0935251806</v>
      </c>
      <c r="G980" s="75">
        <v>1389.7227772924787</v>
      </c>
      <c r="H980" s="76">
        <v>3</v>
      </c>
      <c r="I980" s="54" t="s">
        <v>20</v>
      </c>
      <c r="J980" s="77">
        <v>40</v>
      </c>
      <c r="K980" s="78">
        <v>3</v>
      </c>
      <c r="L980" s="54">
        <v>1</v>
      </c>
      <c r="M980" s="54">
        <f>_xlfn.XLOOKUP(Survey!$F980,sections[Start],sections[Test Section],,-1,1)</f>
        <v>2</v>
      </c>
      <c r="N980" s="55">
        <f>_xlfn.XLOOKUP(Survey!$K980,pipedata[ID],pipedata[WT])</f>
        <v>0.88800000000000001</v>
      </c>
      <c r="O980" s="56">
        <f>_xlfn.XLOOKUP(Survey!$K980,pipedata[ID],pipedata[104%])</f>
        <v>3078.4</v>
      </c>
      <c r="P980" s="57">
        <f t="shared" si="15"/>
        <v>1850</v>
      </c>
      <c r="Q980" s="58">
        <f>_xlfn.MAXIFS(Survey!$G$2:$G$3647,Survey!$M$2:$M$3647,Survey!$M980)-Survey!$G980</f>
        <v>1373.9434669092636</v>
      </c>
      <c r="R980" s="59">
        <f>Survey!$P980+(Survey!$Q980*0.433)</f>
        <v>2444.9175211717111</v>
      </c>
    </row>
    <row r="981" spans="1:18" x14ac:dyDescent="0.25">
      <c r="A981" s="60" t="s">
        <v>17</v>
      </c>
      <c r="B981" s="61" t="s">
        <v>18</v>
      </c>
      <c r="C981" s="62" t="s">
        <v>19</v>
      </c>
      <c r="D981" s="63">
        <v>234.33332287115545</v>
      </c>
      <c r="E981" s="79">
        <v>1266049</v>
      </c>
      <c r="F981" s="80">
        <v>1238282.7482014396</v>
      </c>
      <c r="G981" s="66">
        <v>1388.3402053160034</v>
      </c>
      <c r="H981" s="67">
        <v>3</v>
      </c>
      <c r="I981" s="68" t="s">
        <v>20</v>
      </c>
      <c r="J981" s="69">
        <v>40</v>
      </c>
      <c r="K981" s="70">
        <v>3</v>
      </c>
      <c r="L981" s="68">
        <v>1</v>
      </c>
      <c r="M981" s="68">
        <f>_xlfn.XLOOKUP(Survey!$F981,sections[Start],sections[Test Section],,-1,1)</f>
        <v>2</v>
      </c>
      <c r="N981" s="55">
        <f>_xlfn.XLOOKUP(Survey!$K981,pipedata[ID],pipedata[WT])</f>
        <v>0.88800000000000001</v>
      </c>
      <c r="O981" s="56">
        <f>_xlfn.XLOOKUP(Survey!$K981,pipedata[ID],pipedata[104%])</f>
        <v>3078.4</v>
      </c>
      <c r="P981" s="57">
        <f t="shared" si="15"/>
        <v>1850</v>
      </c>
      <c r="Q981" s="58">
        <f>_xlfn.MAXIFS(Survey!$G$2:$G$3647,Survey!$M$2:$M$3647,Survey!$M981)-Survey!$G981</f>
        <v>1375.3260388857389</v>
      </c>
      <c r="R981" s="59">
        <f>Survey!$P981+(Survey!$Q981*0.433)</f>
        <v>2445.5161748375249</v>
      </c>
    </row>
    <row r="982" spans="1:18" x14ac:dyDescent="0.25">
      <c r="A982" s="71" t="s">
        <v>17</v>
      </c>
      <c r="B982" s="72" t="s">
        <v>18</v>
      </c>
      <c r="C982" s="73" t="s">
        <v>19</v>
      </c>
      <c r="D982" s="74">
        <v>234.34037348401995</v>
      </c>
      <c r="E982" s="81">
        <v>1266089</v>
      </c>
      <c r="F982" s="82">
        <v>1238322.4028776987</v>
      </c>
      <c r="G982" s="75">
        <v>1389.5280994568875</v>
      </c>
      <c r="H982" s="76">
        <v>3</v>
      </c>
      <c r="I982" s="54" t="s">
        <v>20</v>
      </c>
      <c r="J982" s="77">
        <v>40</v>
      </c>
      <c r="K982" s="78">
        <v>3</v>
      </c>
      <c r="L982" s="54">
        <v>1</v>
      </c>
      <c r="M982" s="54">
        <f>_xlfn.XLOOKUP(Survey!$F982,sections[Start],sections[Test Section],,-1,1)</f>
        <v>2</v>
      </c>
      <c r="N982" s="55">
        <f>_xlfn.XLOOKUP(Survey!$K982,pipedata[ID],pipedata[WT])</f>
        <v>0.88800000000000001</v>
      </c>
      <c r="O982" s="56">
        <f>_xlfn.XLOOKUP(Survey!$K982,pipedata[ID],pipedata[104%])</f>
        <v>3078.4</v>
      </c>
      <c r="P982" s="57">
        <f t="shared" si="15"/>
        <v>1850</v>
      </c>
      <c r="Q982" s="58">
        <f>_xlfn.MAXIFS(Survey!$G$2:$G$3647,Survey!$M$2:$M$3647,Survey!$M982)-Survey!$G982</f>
        <v>1374.1381447448548</v>
      </c>
      <c r="R982" s="59">
        <f>Survey!$P982+(Survey!$Q982*0.433)</f>
        <v>2445.0018166745222</v>
      </c>
    </row>
    <row r="983" spans="1:18" x14ac:dyDescent="0.25">
      <c r="A983" s="60" t="s">
        <v>17</v>
      </c>
      <c r="B983" s="61" t="s">
        <v>18</v>
      </c>
      <c r="C983" s="62" t="s">
        <v>19</v>
      </c>
      <c r="D983" s="63">
        <v>234.34803410104473</v>
      </c>
      <c r="E983" s="79">
        <v>1266129</v>
      </c>
      <c r="F983" s="80">
        <v>1238362.0575539577</v>
      </c>
      <c r="G983" s="66">
        <v>1402.4993992299774</v>
      </c>
      <c r="H983" s="67">
        <v>3</v>
      </c>
      <c r="I983" s="68" t="s">
        <v>20</v>
      </c>
      <c r="J983" s="69">
        <v>40</v>
      </c>
      <c r="K983" s="70">
        <v>3</v>
      </c>
      <c r="L983" s="68">
        <v>1</v>
      </c>
      <c r="M983" s="68">
        <f>_xlfn.XLOOKUP(Survey!$F983,sections[Start],sections[Test Section],,-1,1)</f>
        <v>2</v>
      </c>
      <c r="N983" s="55">
        <f>_xlfn.XLOOKUP(Survey!$K983,pipedata[ID],pipedata[WT])</f>
        <v>0.88800000000000001</v>
      </c>
      <c r="O983" s="56">
        <f>_xlfn.XLOOKUP(Survey!$K983,pipedata[ID],pipedata[104%])</f>
        <v>3078.4</v>
      </c>
      <c r="P983" s="57">
        <f t="shared" si="15"/>
        <v>1850</v>
      </c>
      <c r="Q983" s="58">
        <f>_xlfn.MAXIFS(Survey!$G$2:$G$3647,Survey!$M$2:$M$3647,Survey!$M983)-Survey!$G983</f>
        <v>1361.1668449717649</v>
      </c>
      <c r="R983" s="59">
        <f>Survey!$P983+(Survey!$Q983*0.433)</f>
        <v>2439.3852438727745</v>
      </c>
    </row>
    <row r="984" spans="1:18" x14ac:dyDescent="0.25">
      <c r="A984" s="71" t="s">
        <v>17</v>
      </c>
      <c r="B984" s="72" t="s">
        <v>18</v>
      </c>
      <c r="C984" s="73" t="s">
        <v>19</v>
      </c>
      <c r="D984" s="74">
        <v>234.35575458407632</v>
      </c>
      <c r="E984" s="81">
        <v>1266169</v>
      </c>
      <c r="F984" s="82">
        <v>1238401.7122302167</v>
      </c>
      <c r="G984" s="75">
        <v>1407.9643627072637</v>
      </c>
      <c r="H984" s="76">
        <v>3</v>
      </c>
      <c r="I984" s="54" t="s">
        <v>20</v>
      </c>
      <c r="J984" s="77">
        <v>40</v>
      </c>
      <c r="K984" s="78">
        <v>3</v>
      </c>
      <c r="L984" s="54">
        <v>1</v>
      </c>
      <c r="M984" s="54">
        <f>_xlfn.XLOOKUP(Survey!$F984,sections[Start],sections[Test Section],,-1,1)</f>
        <v>2</v>
      </c>
      <c r="N984" s="55">
        <f>_xlfn.XLOOKUP(Survey!$K984,pipedata[ID],pipedata[WT])</f>
        <v>0.88800000000000001</v>
      </c>
      <c r="O984" s="56">
        <f>_xlfn.XLOOKUP(Survey!$K984,pipedata[ID],pipedata[104%])</f>
        <v>3078.4</v>
      </c>
      <c r="P984" s="57">
        <f t="shared" si="15"/>
        <v>1850</v>
      </c>
      <c r="Q984" s="58">
        <f>_xlfn.MAXIFS(Survey!$G$2:$G$3647,Survey!$M$2:$M$3647,Survey!$M984)-Survey!$G984</f>
        <v>1355.7018814944786</v>
      </c>
      <c r="R984" s="59">
        <f>Survey!$P984+(Survey!$Q984*0.433)</f>
        <v>2437.0189146871094</v>
      </c>
    </row>
    <row r="985" spans="1:18" x14ac:dyDescent="0.25">
      <c r="A985" s="60" t="s">
        <v>17</v>
      </c>
      <c r="B985" s="61" t="s">
        <v>18</v>
      </c>
      <c r="C985" s="62" t="s">
        <v>19</v>
      </c>
      <c r="D985" s="63">
        <v>234.36312032978699</v>
      </c>
      <c r="E985" s="79">
        <v>1266209</v>
      </c>
      <c r="F985" s="80">
        <v>1238441.3669064757</v>
      </c>
      <c r="G985" s="66">
        <v>1419.7832700155379</v>
      </c>
      <c r="H985" s="67">
        <v>3</v>
      </c>
      <c r="I985" s="68" t="s">
        <v>20</v>
      </c>
      <c r="J985" s="69">
        <v>40</v>
      </c>
      <c r="K985" s="70">
        <v>3</v>
      </c>
      <c r="L985" s="68">
        <v>1</v>
      </c>
      <c r="M985" s="68">
        <f>_xlfn.XLOOKUP(Survey!$F985,sections[Start],sections[Test Section],,-1,1)</f>
        <v>2</v>
      </c>
      <c r="N985" s="55">
        <f>_xlfn.XLOOKUP(Survey!$K985,pipedata[ID],pipedata[WT])</f>
        <v>0.88800000000000001</v>
      </c>
      <c r="O985" s="56">
        <f>_xlfn.XLOOKUP(Survey!$K985,pipedata[ID],pipedata[104%])</f>
        <v>3078.4</v>
      </c>
      <c r="P985" s="57">
        <f t="shared" si="15"/>
        <v>1850</v>
      </c>
      <c r="Q985" s="58">
        <f>_xlfn.MAXIFS(Survey!$G$2:$G$3647,Survey!$M$2:$M$3647,Survey!$M985)-Survey!$G985</f>
        <v>1343.8829741862044</v>
      </c>
      <c r="R985" s="59">
        <f>Survey!$P985+(Survey!$Q985*0.433)</f>
        <v>2431.9013278226266</v>
      </c>
    </row>
    <row r="986" spans="1:18" x14ac:dyDescent="0.25">
      <c r="A986" s="71" t="s">
        <v>17</v>
      </c>
      <c r="B986" s="72" t="s">
        <v>18</v>
      </c>
      <c r="C986" s="73" t="s">
        <v>19</v>
      </c>
      <c r="D986" s="74">
        <v>234.37058645022978</v>
      </c>
      <c r="E986" s="81">
        <v>1266249</v>
      </c>
      <c r="F986" s="82">
        <v>1238481.0215827348</v>
      </c>
      <c r="G986" s="75">
        <v>1427.667863968024</v>
      </c>
      <c r="H986" s="76">
        <v>3</v>
      </c>
      <c r="I986" s="54" t="s">
        <v>20</v>
      </c>
      <c r="J986" s="77">
        <v>40</v>
      </c>
      <c r="K986" s="78">
        <v>3</v>
      </c>
      <c r="L986" s="54">
        <v>1</v>
      </c>
      <c r="M986" s="54">
        <f>_xlfn.XLOOKUP(Survey!$F986,sections[Start],sections[Test Section],,-1,1)</f>
        <v>2</v>
      </c>
      <c r="N986" s="55">
        <f>_xlfn.XLOOKUP(Survey!$K986,pipedata[ID],pipedata[WT])</f>
        <v>0.88800000000000001</v>
      </c>
      <c r="O986" s="56">
        <f>_xlfn.XLOOKUP(Survey!$K986,pipedata[ID],pipedata[104%])</f>
        <v>3078.4</v>
      </c>
      <c r="P986" s="57">
        <f t="shared" si="15"/>
        <v>1850</v>
      </c>
      <c r="Q986" s="58">
        <f>_xlfn.MAXIFS(Survey!$G$2:$G$3647,Survey!$M$2:$M$3647,Survey!$M986)-Survey!$G986</f>
        <v>1335.9983802337183</v>
      </c>
      <c r="R986" s="59">
        <f>Survey!$P986+(Survey!$Q986*0.433)</f>
        <v>2428.4872986412001</v>
      </c>
    </row>
    <row r="987" spans="1:18" x14ac:dyDescent="0.25">
      <c r="A987" s="60" t="s">
        <v>17</v>
      </c>
      <c r="B987" s="61" t="s">
        <v>18</v>
      </c>
      <c r="C987" s="62" t="s">
        <v>19</v>
      </c>
      <c r="D987" s="63">
        <v>234.37785182120888</v>
      </c>
      <c r="E987" s="79">
        <v>1266289</v>
      </c>
      <c r="F987" s="80">
        <v>1238520.6762589938</v>
      </c>
      <c r="G987" s="66">
        <v>1438.1906288500875</v>
      </c>
      <c r="H987" s="67">
        <v>3</v>
      </c>
      <c r="I987" s="68" t="s">
        <v>20</v>
      </c>
      <c r="J987" s="69">
        <v>40</v>
      </c>
      <c r="K987" s="70">
        <v>3</v>
      </c>
      <c r="L987" s="68">
        <v>1</v>
      </c>
      <c r="M987" s="68">
        <f>_xlfn.XLOOKUP(Survey!$F987,sections[Start],sections[Test Section],,-1,1)</f>
        <v>2</v>
      </c>
      <c r="N987" s="55">
        <f>_xlfn.XLOOKUP(Survey!$K987,pipedata[ID],pipedata[WT])</f>
        <v>0.88800000000000001</v>
      </c>
      <c r="O987" s="56">
        <f>_xlfn.XLOOKUP(Survey!$K987,pipedata[ID],pipedata[104%])</f>
        <v>3078.4</v>
      </c>
      <c r="P987" s="57">
        <f t="shared" si="15"/>
        <v>1850</v>
      </c>
      <c r="Q987" s="58">
        <f>_xlfn.MAXIFS(Survey!$G$2:$G$3647,Survey!$M$2:$M$3647,Survey!$M987)-Survey!$G987</f>
        <v>1325.4756153516548</v>
      </c>
      <c r="R987" s="59">
        <f>Survey!$P987+(Survey!$Q987*0.433)</f>
        <v>2423.9309414472664</v>
      </c>
    </row>
    <row r="988" spans="1:18" x14ac:dyDescent="0.25">
      <c r="A988" s="71" t="s">
        <v>17</v>
      </c>
      <c r="B988" s="72" t="s">
        <v>18</v>
      </c>
      <c r="C988" s="73" t="s">
        <v>19</v>
      </c>
      <c r="D988" s="74">
        <v>234.38521756691961</v>
      </c>
      <c r="E988" s="81">
        <v>1266329</v>
      </c>
      <c r="F988" s="82">
        <v>1238560.3309352528</v>
      </c>
      <c r="G988" s="75">
        <v>1448.684348006077</v>
      </c>
      <c r="H988" s="76">
        <v>3</v>
      </c>
      <c r="I988" s="54" t="s">
        <v>20</v>
      </c>
      <c r="J988" s="77">
        <v>40</v>
      </c>
      <c r="K988" s="78">
        <v>3</v>
      </c>
      <c r="L988" s="54">
        <v>1</v>
      </c>
      <c r="M988" s="54">
        <f>_xlfn.XLOOKUP(Survey!$F988,sections[Start],sections[Test Section],,-1,1)</f>
        <v>2</v>
      </c>
      <c r="N988" s="55">
        <f>_xlfn.XLOOKUP(Survey!$K988,pipedata[ID],pipedata[WT])</f>
        <v>0.88800000000000001</v>
      </c>
      <c r="O988" s="56">
        <f>_xlfn.XLOOKUP(Survey!$K988,pipedata[ID],pipedata[104%])</f>
        <v>3078.4</v>
      </c>
      <c r="P988" s="57">
        <f t="shared" si="15"/>
        <v>1850</v>
      </c>
      <c r="Q988" s="58">
        <f>_xlfn.MAXIFS(Survey!$G$2:$G$3647,Survey!$M$2:$M$3647,Survey!$M988)-Survey!$G988</f>
        <v>1314.9818961956653</v>
      </c>
      <c r="R988" s="59">
        <f>Survey!$P988+(Survey!$Q988*0.433)</f>
        <v>2419.3871610527231</v>
      </c>
    </row>
    <row r="989" spans="1:18" x14ac:dyDescent="0.25">
      <c r="A989" s="60" t="s">
        <v>17</v>
      </c>
      <c r="B989" s="61" t="s">
        <v>18</v>
      </c>
      <c r="C989" s="62" t="s">
        <v>19</v>
      </c>
      <c r="D989" s="63">
        <v>234.39258331263071</v>
      </c>
      <c r="E989" s="79">
        <v>1266369</v>
      </c>
      <c r="F989" s="80">
        <v>1238599.9856115119</v>
      </c>
      <c r="G989" s="66">
        <v>1456.6973898817896</v>
      </c>
      <c r="H989" s="67">
        <v>3</v>
      </c>
      <c r="I989" s="68" t="s">
        <v>20</v>
      </c>
      <c r="J989" s="69">
        <v>40</v>
      </c>
      <c r="K989" s="70">
        <v>3</v>
      </c>
      <c r="L989" s="68">
        <v>1</v>
      </c>
      <c r="M989" s="68">
        <f>_xlfn.XLOOKUP(Survey!$F989,sections[Start],sections[Test Section],,-1,1)</f>
        <v>2</v>
      </c>
      <c r="N989" s="55">
        <f>_xlfn.XLOOKUP(Survey!$K989,pipedata[ID],pipedata[WT])</f>
        <v>0.88800000000000001</v>
      </c>
      <c r="O989" s="56">
        <f>_xlfn.XLOOKUP(Survey!$K989,pipedata[ID],pipedata[104%])</f>
        <v>3078.4</v>
      </c>
      <c r="P989" s="57">
        <f t="shared" si="15"/>
        <v>1850</v>
      </c>
      <c r="Q989" s="58">
        <f>_xlfn.MAXIFS(Survey!$G$2:$G$3647,Survey!$M$2:$M$3647,Survey!$M989)-Survey!$G989</f>
        <v>1306.9688543199527</v>
      </c>
      <c r="R989" s="59">
        <f>Survey!$P989+(Survey!$Q989*0.433)</f>
        <v>2415.9175139205395</v>
      </c>
    </row>
    <row r="990" spans="1:18" x14ac:dyDescent="0.25">
      <c r="A990" s="71" t="s">
        <v>17</v>
      </c>
      <c r="B990" s="72" t="s">
        <v>18</v>
      </c>
      <c r="C990" s="73" t="s">
        <v>19</v>
      </c>
      <c r="D990" s="74">
        <v>234.3996242544226</v>
      </c>
      <c r="E990" s="81">
        <v>1266409</v>
      </c>
      <c r="F990" s="82">
        <v>1238639.6402877709</v>
      </c>
      <c r="G990" s="75">
        <v>1461.4091467713192</v>
      </c>
      <c r="H990" s="76">
        <v>3</v>
      </c>
      <c r="I990" s="54" t="s">
        <v>20</v>
      </c>
      <c r="J990" s="77">
        <v>40</v>
      </c>
      <c r="K990" s="78">
        <v>3</v>
      </c>
      <c r="L990" s="54">
        <v>1</v>
      </c>
      <c r="M990" s="54">
        <f>_xlfn.XLOOKUP(Survey!$F990,sections[Start],sections[Test Section],,-1,1)</f>
        <v>2</v>
      </c>
      <c r="N990" s="55">
        <f>_xlfn.XLOOKUP(Survey!$K990,pipedata[ID],pipedata[WT])</f>
        <v>0.88800000000000001</v>
      </c>
      <c r="O990" s="56">
        <f>_xlfn.XLOOKUP(Survey!$K990,pipedata[ID],pipedata[104%])</f>
        <v>3078.4</v>
      </c>
      <c r="P990" s="57">
        <f t="shared" si="15"/>
        <v>1850</v>
      </c>
      <c r="Q990" s="58">
        <f>_xlfn.MAXIFS(Survey!$G$2:$G$3647,Survey!$M$2:$M$3647,Survey!$M990)-Survey!$G990</f>
        <v>1302.2570974304231</v>
      </c>
      <c r="R990" s="59">
        <f>Survey!$P990+(Survey!$Q990*0.433)</f>
        <v>2413.8773231873733</v>
      </c>
    </row>
    <row r="991" spans="1:18" x14ac:dyDescent="0.25">
      <c r="A991" s="60" t="s">
        <v>17</v>
      </c>
      <c r="B991" s="61" t="s">
        <v>18</v>
      </c>
      <c r="C991" s="62" t="s">
        <v>19</v>
      </c>
      <c r="D991" s="63">
        <v>234.40756470304751</v>
      </c>
      <c r="E991" s="79">
        <v>1266449</v>
      </c>
      <c r="F991" s="80">
        <v>1238679.2949640299</v>
      </c>
      <c r="G991" s="66">
        <v>1466.0621378551702</v>
      </c>
      <c r="H991" s="67">
        <v>3</v>
      </c>
      <c r="I991" s="68" t="s">
        <v>20</v>
      </c>
      <c r="J991" s="69">
        <v>40</v>
      </c>
      <c r="K991" s="70">
        <v>3</v>
      </c>
      <c r="L991" s="68">
        <v>1</v>
      </c>
      <c r="M991" s="68">
        <f>_xlfn.XLOOKUP(Survey!$F991,sections[Start],sections[Test Section],,-1,1)</f>
        <v>2</v>
      </c>
      <c r="N991" s="55">
        <f>_xlfn.XLOOKUP(Survey!$K991,pipedata[ID],pipedata[WT])</f>
        <v>0.88800000000000001</v>
      </c>
      <c r="O991" s="56">
        <f>_xlfn.XLOOKUP(Survey!$K991,pipedata[ID],pipedata[104%])</f>
        <v>3078.4</v>
      </c>
      <c r="P991" s="57">
        <f t="shared" si="15"/>
        <v>1850</v>
      </c>
      <c r="Q991" s="58">
        <f>_xlfn.MAXIFS(Survey!$G$2:$G$3647,Survey!$M$2:$M$3647,Survey!$M991)-Survey!$G991</f>
        <v>1297.6041063465721</v>
      </c>
      <c r="R991" s="59">
        <f>Survey!$P991+(Survey!$Q991*0.433)</f>
        <v>2411.8625780480656</v>
      </c>
    </row>
    <row r="992" spans="1:18" x14ac:dyDescent="0.25">
      <c r="A992" s="71" t="s">
        <v>17</v>
      </c>
      <c r="B992" s="72" t="s">
        <v>18</v>
      </c>
      <c r="C992" s="73" t="s">
        <v>19</v>
      </c>
      <c r="D992" s="74">
        <v>234.41511108332546</v>
      </c>
      <c r="E992" s="81">
        <v>1266489</v>
      </c>
      <c r="F992" s="82">
        <v>1238718.9496402889</v>
      </c>
      <c r="G992" s="75">
        <v>1467.3635004667549</v>
      </c>
      <c r="H992" s="76">
        <v>3</v>
      </c>
      <c r="I992" s="54" t="s">
        <v>20</v>
      </c>
      <c r="J992" s="77">
        <v>40</v>
      </c>
      <c r="K992" s="78">
        <v>3</v>
      </c>
      <c r="L992" s="54">
        <v>1</v>
      </c>
      <c r="M992" s="54">
        <f>_xlfn.XLOOKUP(Survey!$F992,sections[Start],sections[Test Section],,-1,1)</f>
        <v>2</v>
      </c>
      <c r="N992" s="55">
        <f>_xlfn.XLOOKUP(Survey!$K992,pipedata[ID],pipedata[WT])</f>
        <v>0.88800000000000001</v>
      </c>
      <c r="O992" s="56">
        <f>_xlfn.XLOOKUP(Survey!$K992,pipedata[ID],pipedata[104%])</f>
        <v>3078.4</v>
      </c>
      <c r="P992" s="57">
        <f t="shared" si="15"/>
        <v>1850</v>
      </c>
      <c r="Q992" s="58">
        <f>_xlfn.MAXIFS(Survey!$G$2:$G$3647,Survey!$M$2:$M$3647,Survey!$M992)-Survey!$G992</f>
        <v>1296.3027437349874</v>
      </c>
      <c r="R992" s="59">
        <f>Survey!$P992+(Survey!$Q992*0.433)</f>
        <v>2411.2990880372495</v>
      </c>
    </row>
    <row r="993" spans="1:18" x14ac:dyDescent="0.25">
      <c r="A993" s="60" t="s">
        <v>17</v>
      </c>
      <c r="B993" s="61" t="s">
        <v>18</v>
      </c>
      <c r="C993" s="62" t="s">
        <v>19</v>
      </c>
      <c r="D993" s="63">
        <v>234.422854497777</v>
      </c>
      <c r="E993" s="79">
        <v>1266529</v>
      </c>
      <c r="F993" s="80">
        <v>1238758.604316548</v>
      </c>
      <c r="G993" s="66">
        <v>1466.9509637579563</v>
      </c>
      <c r="H993" s="67">
        <v>3</v>
      </c>
      <c r="I993" s="68" t="s">
        <v>20</v>
      </c>
      <c r="J993" s="69">
        <v>40</v>
      </c>
      <c r="K993" s="70">
        <v>3</v>
      </c>
      <c r="L993" s="68">
        <v>1</v>
      </c>
      <c r="M993" s="68">
        <f>_xlfn.XLOOKUP(Survey!$F993,sections[Start],sections[Test Section],,-1,1)</f>
        <v>2</v>
      </c>
      <c r="N993" s="55">
        <f>_xlfn.XLOOKUP(Survey!$K993,pipedata[ID],pipedata[WT])</f>
        <v>0.88800000000000001</v>
      </c>
      <c r="O993" s="56">
        <f>_xlfn.XLOOKUP(Survey!$K993,pipedata[ID],pipedata[104%])</f>
        <v>3078.4</v>
      </c>
      <c r="P993" s="57">
        <f t="shared" si="15"/>
        <v>1850</v>
      </c>
      <c r="Q993" s="58">
        <f>_xlfn.MAXIFS(Survey!$G$2:$G$3647,Survey!$M$2:$M$3647,Survey!$M993)-Survey!$G993</f>
        <v>1296.715280443786</v>
      </c>
      <c r="R993" s="59">
        <f>Survey!$P993+(Survey!$Q993*0.433)</f>
        <v>2411.4777164321595</v>
      </c>
    </row>
    <row r="994" spans="1:18" x14ac:dyDescent="0.25">
      <c r="A994" s="71" t="s">
        <v>17</v>
      </c>
      <c r="B994" s="72" t="s">
        <v>18</v>
      </c>
      <c r="C994" s="73" t="s">
        <v>19</v>
      </c>
      <c r="D994" s="74">
        <v>234.43059791222848</v>
      </c>
      <c r="E994" s="81">
        <v>1266569</v>
      </c>
      <c r="F994" s="82">
        <v>1238798.258992807</v>
      </c>
      <c r="G994" s="75">
        <v>1469.2026158684139</v>
      </c>
      <c r="H994" s="76">
        <v>3</v>
      </c>
      <c r="I994" s="54" t="s">
        <v>20</v>
      </c>
      <c r="J994" s="77">
        <v>40</v>
      </c>
      <c r="K994" s="78">
        <v>3</v>
      </c>
      <c r="L994" s="54">
        <v>1</v>
      </c>
      <c r="M994" s="54">
        <f>_xlfn.XLOOKUP(Survey!$F994,sections[Start],sections[Test Section],,-1,1)</f>
        <v>2</v>
      </c>
      <c r="N994" s="55">
        <f>_xlfn.XLOOKUP(Survey!$K994,pipedata[ID],pipedata[WT])</f>
        <v>0.88800000000000001</v>
      </c>
      <c r="O994" s="56">
        <f>_xlfn.XLOOKUP(Survey!$K994,pipedata[ID],pipedata[104%])</f>
        <v>3078.4</v>
      </c>
      <c r="P994" s="57">
        <f t="shared" si="15"/>
        <v>1850</v>
      </c>
      <c r="Q994" s="58">
        <f>_xlfn.MAXIFS(Survey!$G$2:$G$3647,Survey!$M$2:$M$3647,Survey!$M994)-Survey!$G994</f>
        <v>1294.4636283333284</v>
      </c>
      <c r="R994" s="59">
        <f>Survey!$P994+(Survey!$Q994*0.433)</f>
        <v>2410.5027510683312</v>
      </c>
    </row>
    <row r="995" spans="1:18" x14ac:dyDescent="0.25">
      <c r="A995" s="60" t="s">
        <v>17</v>
      </c>
      <c r="B995" s="61" t="s">
        <v>18</v>
      </c>
      <c r="C995" s="62" t="s">
        <v>19</v>
      </c>
      <c r="D995" s="63">
        <v>234.4367777868973</v>
      </c>
      <c r="E995" s="79">
        <v>1266609</v>
      </c>
      <c r="F995" s="80">
        <v>1238837.913669066</v>
      </c>
      <c r="G995" s="66">
        <v>1472.1045909410482</v>
      </c>
      <c r="H995" s="67">
        <v>3</v>
      </c>
      <c r="I995" s="68" t="s">
        <v>20</v>
      </c>
      <c r="J995" s="69">
        <v>40</v>
      </c>
      <c r="K995" s="70">
        <v>3</v>
      </c>
      <c r="L995" s="68">
        <v>1</v>
      </c>
      <c r="M995" s="68">
        <f>_xlfn.XLOOKUP(Survey!$F995,sections[Start],sections[Test Section],,-1,1)</f>
        <v>2</v>
      </c>
      <c r="N995" s="55">
        <f>_xlfn.XLOOKUP(Survey!$K995,pipedata[ID],pipedata[WT])</f>
        <v>0.88800000000000001</v>
      </c>
      <c r="O995" s="56">
        <f>_xlfn.XLOOKUP(Survey!$K995,pipedata[ID],pipedata[104%])</f>
        <v>3078.4</v>
      </c>
      <c r="P995" s="57">
        <f t="shared" si="15"/>
        <v>1850</v>
      </c>
      <c r="Q995" s="58">
        <f>_xlfn.MAXIFS(Survey!$G$2:$G$3647,Survey!$M$2:$M$3647,Survey!$M995)-Survey!$G995</f>
        <v>1291.5616532606941</v>
      </c>
      <c r="R995" s="59">
        <f>Survey!$P995+(Survey!$Q995*0.433)</f>
        <v>2409.2461958618806</v>
      </c>
    </row>
    <row r="996" spans="1:18" x14ac:dyDescent="0.25">
      <c r="A996" s="71" t="s">
        <v>17</v>
      </c>
      <c r="B996" s="72" t="s">
        <v>18</v>
      </c>
      <c r="C996" s="73" t="s">
        <v>19</v>
      </c>
      <c r="D996" s="74">
        <v>234.44416884597754</v>
      </c>
      <c r="E996" s="64">
        <v>1266649</v>
      </c>
      <c r="F996" s="65">
        <v>1238877.5683453251</v>
      </c>
      <c r="G996" s="75">
        <v>1473.1961859405833</v>
      </c>
      <c r="H996" s="76">
        <v>3</v>
      </c>
      <c r="I996" s="54" t="s">
        <v>20</v>
      </c>
      <c r="J996" s="77">
        <v>40</v>
      </c>
      <c r="K996" s="78">
        <v>3</v>
      </c>
      <c r="L996" s="54">
        <v>1</v>
      </c>
      <c r="M996" s="54">
        <f>_xlfn.XLOOKUP(Survey!$F996,sections[Start],sections[Test Section],,-1,1)</f>
        <v>2</v>
      </c>
      <c r="N996" s="55">
        <f>_xlfn.XLOOKUP(Survey!$K996,pipedata[ID],pipedata[WT])</f>
        <v>0.88800000000000001</v>
      </c>
      <c r="O996" s="56">
        <f>_xlfn.XLOOKUP(Survey!$K996,pipedata[ID],pipedata[104%])</f>
        <v>3078.4</v>
      </c>
      <c r="P996" s="57">
        <f t="shared" si="15"/>
        <v>1850</v>
      </c>
      <c r="Q996" s="58">
        <f>_xlfn.MAXIFS(Survey!$G$2:$G$3647,Survey!$M$2:$M$3647,Survey!$M996)-Survey!$G996</f>
        <v>1290.470058261159</v>
      </c>
      <c r="R996" s="59">
        <f>Survey!$P996+(Survey!$Q996*0.433)</f>
        <v>2408.773535227082</v>
      </c>
    </row>
    <row r="997" spans="1:18" x14ac:dyDescent="0.25">
      <c r="A997" s="60" t="s">
        <v>17</v>
      </c>
      <c r="B997" s="61" t="s">
        <v>18</v>
      </c>
      <c r="C997" s="62" t="s">
        <v>19</v>
      </c>
      <c r="D997" s="63">
        <v>234.45331988171151</v>
      </c>
      <c r="E997" s="64">
        <v>1266689</v>
      </c>
      <c r="F997" s="65">
        <v>1238917.2230215841</v>
      </c>
      <c r="G997" s="66">
        <v>1474.6184027793631</v>
      </c>
      <c r="H997" s="67">
        <v>3</v>
      </c>
      <c r="I997" s="68" t="s">
        <v>20</v>
      </c>
      <c r="J997" s="69">
        <v>40</v>
      </c>
      <c r="K997" s="70">
        <v>3</v>
      </c>
      <c r="L997" s="68">
        <v>1</v>
      </c>
      <c r="M997" s="68">
        <f>_xlfn.XLOOKUP(Survey!$F997,sections[Start],sections[Test Section],,-1,1)</f>
        <v>2</v>
      </c>
      <c r="N997" s="55">
        <f>_xlfn.XLOOKUP(Survey!$K997,pipedata[ID],pipedata[WT])</f>
        <v>0.88800000000000001</v>
      </c>
      <c r="O997" s="56">
        <f>_xlfn.XLOOKUP(Survey!$K997,pipedata[ID],pipedata[104%])</f>
        <v>3078.4</v>
      </c>
      <c r="P997" s="57">
        <f t="shared" si="15"/>
        <v>1850</v>
      </c>
      <c r="Q997" s="58">
        <f>_xlfn.MAXIFS(Survey!$G$2:$G$3647,Survey!$M$2:$M$3647,Survey!$M997)-Survey!$G997</f>
        <v>1289.0478414223792</v>
      </c>
      <c r="R997" s="59">
        <f>Survey!$P997+(Survey!$Q997*0.433)</f>
        <v>2408.1577153358903</v>
      </c>
    </row>
    <row r="998" spans="1:18" x14ac:dyDescent="0.25">
      <c r="A998" s="71" t="s">
        <v>17</v>
      </c>
      <c r="B998" s="72" t="s">
        <v>18</v>
      </c>
      <c r="C998" s="73" t="s">
        <v>19</v>
      </c>
      <c r="D998" s="74">
        <v>234.45963571642136</v>
      </c>
      <c r="E998" s="81">
        <v>1266729</v>
      </c>
      <c r="F998" s="82">
        <v>1238956.8776978431</v>
      </c>
      <c r="G998" s="75">
        <v>1472.8954140633828</v>
      </c>
      <c r="H998" s="76">
        <v>3</v>
      </c>
      <c r="I998" s="54" t="s">
        <v>20</v>
      </c>
      <c r="J998" s="77">
        <v>40</v>
      </c>
      <c r="K998" s="78">
        <v>3</v>
      </c>
      <c r="L998" s="54">
        <v>1</v>
      </c>
      <c r="M998" s="54">
        <f>_xlfn.XLOOKUP(Survey!$F998,sections[Start],sections[Test Section],,-1,1)</f>
        <v>2</v>
      </c>
      <c r="N998" s="55">
        <f>_xlfn.XLOOKUP(Survey!$K998,pipedata[ID],pipedata[WT])</f>
        <v>0.88800000000000001</v>
      </c>
      <c r="O998" s="56">
        <f>_xlfn.XLOOKUP(Survey!$K998,pipedata[ID],pipedata[104%])</f>
        <v>3078.4</v>
      </c>
      <c r="P998" s="57">
        <f t="shared" si="15"/>
        <v>1850</v>
      </c>
      <c r="Q998" s="58">
        <f>_xlfn.MAXIFS(Survey!$G$2:$G$3647,Survey!$M$2:$M$3647,Survey!$M998)-Survey!$G998</f>
        <v>1290.7708301383595</v>
      </c>
      <c r="R998" s="59">
        <f>Survey!$P998+(Survey!$Q998*0.433)</f>
        <v>2408.9037694499098</v>
      </c>
    </row>
    <row r="999" spans="1:18" x14ac:dyDescent="0.25">
      <c r="A999" s="60" t="s">
        <v>17</v>
      </c>
      <c r="B999" s="61" t="s">
        <v>18</v>
      </c>
      <c r="C999" s="62" t="s">
        <v>19</v>
      </c>
      <c r="D999" s="63">
        <v>234.46811995930815</v>
      </c>
      <c r="E999" s="79">
        <v>1266769</v>
      </c>
      <c r="F999" s="80">
        <v>1238996.5323741022</v>
      </c>
      <c r="G999" s="66">
        <v>1474.2340116747393</v>
      </c>
      <c r="H999" s="67">
        <v>3</v>
      </c>
      <c r="I999" s="68" t="s">
        <v>20</v>
      </c>
      <c r="J999" s="69">
        <v>40</v>
      </c>
      <c r="K999" s="70">
        <v>3</v>
      </c>
      <c r="L999" s="68">
        <v>1</v>
      </c>
      <c r="M999" s="68">
        <f>_xlfn.XLOOKUP(Survey!$F999,sections[Start],sections[Test Section],,-1,1)</f>
        <v>2</v>
      </c>
      <c r="N999" s="55">
        <f>_xlfn.XLOOKUP(Survey!$K999,pipedata[ID],pipedata[WT])</f>
        <v>0.88800000000000001</v>
      </c>
      <c r="O999" s="56">
        <f>_xlfn.XLOOKUP(Survey!$K999,pipedata[ID],pipedata[104%])</f>
        <v>3078.4</v>
      </c>
      <c r="P999" s="57">
        <f t="shared" si="15"/>
        <v>1850</v>
      </c>
      <c r="Q999" s="58">
        <f>_xlfn.MAXIFS(Survey!$G$2:$G$3647,Survey!$M$2:$M$3647,Survey!$M999)-Survey!$G999</f>
        <v>1289.432232527003</v>
      </c>
      <c r="R999" s="59">
        <f>Survey!$P999+(Survey!$Q999*0.433)</f>
        <v>2408.3241566841925</v>
      </c>
    </row>
    <row r="1000" spans="1:18" x14ac:dyDescent="0.25">
      <c r="A1000" s="71" t="s">
        <v>17</v>
      </c>
      <c r="B1000" s="72" t="s">
        <v>18</v>
      </c>
      <c r="C1000" s="73" t="s">
        <v>19</v>
      </c>
      <c r="D1000" s="74">
        <v>234.47606176402164</v>
      </c>
      <c r="E1000" s="81">
        <v>1266809</v>
      </c>
      <c r="F1000" s="82">
        <v>1239036.1870503612</v>
      </c>
      <c r="G1000" s="75">
        <v>1471.7111044980788</v>
      </c>
      <c r="H1000" s="76">
        <v>3</v>
      </c>
      <c r="I1000" s="54" t="s">
        <v>20</v>
      </c>
      <c r="J1000" s="77">
        <v>40</v>
      </c>
      <c r="K1000" s="78">
        <v>3</v>
      </c>
      <c r="L1000" s="54">
        <v>1</v>
      </c>
      <c r="M1000" s="54">
        <f>_xlfn.XLOOKUP(Survey!$F1000,sections[Start],sections[Test Section],,-1,1)</f>
        <v>2</v>
      </c>
      <c r="N1000" s="55">
        <f>_xlfn.XLOOKUP(Survey!$K1000,pipedata[ID],pipedata[WT])</f>
        <v>0.88800000000000001</v>
      </c>
      <c r="O1000" s="56">
        <f>_xlfn.XLOOKUP(Survey!$K1000,pipedata[ID],pipedata[104%])</f>
        <v>3078.4</v>
      </c>
      <c r="P1000" s="57">
        <f t="shared" si="15"/>
        <v>1850</v>
      </c>
      <c r="Q1000" s="58">
        <f>_xlfn.MAXIFS(Survey!$G$2:$G$3647,Survey!$M$2:$M$3647,Survey!$M1000)-Survey!$G1000</f>
        <v>1291.9551397036635</v>
      </c>
      <c r="R1000" s="59">
        <f>Survey!$P1000+(Survey!$Q1000*0.433)</f>
        <v>2409.4165754916862</v>
      </c>
    </row>
    <row r="1001" spans="1:18" x14ac:dyDescent="0.25">
      <c r="A1001" s="60" t="s">
        <v>17</v>
      </c>
      <c r="B1001" s="61" t="s">
        <v>18</v>
      </c>
      <c r="C1001" s="62" t="s">
        <v>19</v>
      </c>
      <c r="D1001" s="63">
        <v>234.48342750973288</v>
      </c>
      <c r="E1001" s="79">
        <v>1266849</v>
      </c>
      <c r="F1001" s="80">
        <v>1239075.8417266202</v>
      </c>
      <c r="G1001" s="66">
        <v>1469.7664820027803</v>
      </c>
      <c r="H1001" s="67">
        <v>3</v>
      </c>
      <c r="I1001" s="68" t="s">
        <v>20</v>
      </c>
      <c r="J1001" s="69">
        <v>40</v>
      </c>
      <c r="K1001" s="70">
        <v>3</v>
      </c>
      <c r="L1001" s="68">
        <v>1</v>
      </c>
      <c r="M1001" s="68">
        <f>_xlfn.XLOOKUP(Survey!$F1001,sections[Start],sections[Test Section],,-1,1)</f>
        <v>2</v>
      </c>
      <c r="N1001" s="55">
        <f>_xlfn.XLOOKUP(Survey!$K1001,pipedata[ID],pipedata[WT])</f>
        <v>0.88800000000000001</v>
      </c>
      <c r="O1001" s="56">
        <f>_xlfn.XLOOKUP(Survey!$K1001,pipedata[ID],pipedata[104%])</f>
        <v>3078.4</v>
      </c>
      <c r="P1001" s="57">
        <f t="shared" si="15"/>
        <v>1850</v>
      </c>
      <c r="Q1001" s="58">
        <f>_xlfn.MAXIFS(Survey!$G$2:$G$3647,Survey!$M$2:$M$3647,Survey!$M1001)-Survey!$G1001</f>
        <v>1293.899762198962</v>
      </c>
      <c r="R1001" s="59">
        <f>Survey!$P1001+(Survey!$Q1001*0.433)</f>
        <v>2410.2585970321506</v>
      </c>
    </row>
    <row r="1002" spans="1:18" x14ac:dyDescent="0.25">
      <c r="A1002" s="71" t="s">
        <v>17</v>
      </c>
      <c r="B1002" s="72" t="s">
        <v>18</v>
      </c>
      <c r="C1002" s="73" t="s">
        <v>19</v>
      </c>
      <c r="D1002" s="74">
        <v>234.49079325544423</v>
      </c>
      <c r="E1002" s="81">
        <v>1266889</v>
      </c>
      <c r="F1002" s="82">
        <v>1239115.4964028792</v>
      </c>
      <c r="G1002" s="75">
        <v>1468.975402965357</v>
      </c>
      <c r="H1002" s="76">
        <v>3</v>
      </c>
      <c r="I1002" s="54" t="s">
        <v>20</v>
      </c>
      <c r="J1002" s="77">
        <v>40</v>
      </c>
      <c r="K1002" s="78">
        <v>3</v>
      </c>
      <c r="L1002" s="54">
        <v>1</v>
      </c>
      <c r="M1002" s="54">
        <f>_xlfn.XLOOKUP(Survey!$F1002,sections[Start],sections[Test Section],,-1,1)</f>
        <v>2</v>
      </c>
      <c r="N1002" s="55">
        <f>_xlfn.XLOOKUP(Survey!$K1002,pipedata[ID],pipedata[WT])</f>
        <v>0.88800000000000001</v>
      </c>
      <c r="O1002" s="56">
        <f>_xlfn.XLOOKUP(Survey!$K1002,pipedata[ID],pipedata[104%])</f>
        <v>3078.4</v>
      </c>
      <c r="P1002" s="57">
        <f t="shared" si="15"/>
        <v>1850</v>
      </c>
      <c r="Q1002" s="58">
        <f>_xlfn.MAXIFS(Survey!$G$2:$G$3647,Survey!$M$2:$M$3647,Survey!$M1002)-Survey!$G1002</f>
        <v>1294.6908412363853</v>
      </c>
      <c r="R1002" s="59">
        <f>Survey!$P1002+(Survey!$Q1002*0.433)</f>
        <v>2410.6011342553547</v>
      </c>
    </row>
    <row r="1003" spans="1:18" x14ac:dyDescent="0.25">
      <c r="A1003" s="60" t="s">
        <v>17</v>
      </c>
      <c r="B1003" s="61" t="s">
        <v>18</v>
      </c>
      <c r="C1003" s="62" t="s">
        <v>19</v>
      </c>
      <c r="D1003" s="63">
        <v>234.49833371516527</v>
      </c>
      <c r="E1003" s="79">
        <v>1266929</v>
      </c>
      <c r="F1003" s="80">
        <v>1239155.1510791383</v>
      </c>
      <c r="G1003" s="66">
        <v>1464.6016198803297</v>
      </c>
      <c r="H1003" s="67">
        <v>3</v>
      </c>
      <c r="I1003" s="68" t="s">
        <v>20</v>
      </c>
      <c r="J1003" s="69">
        <v>40</v>
      </c>
      <c r="K1003" s="70">
        <v>3</v>
      </c>
      <c r="L1003" s="68">
        <v>1</v>
      </c>
      <c r="M1003" s="68">
        <f>_xlfn.XLOOKUP(Survey!$F1003,sections[Start],sections[Test Section],,-1,1)</f>
        <v>2</v>
      </c>
      <c r="N1003" s="55">
        <f>_xlfn.XLOOKUP(Survey!$K1003,pipedata[ID],pipedata[WT])</f>
        <v>0.88800000000000001</v>
      </c>
      <c r="O1003" s="56">
        <f>_xlfn.XLOOKUP(Survey!$K1003,pipedata[ID],pipedata[104%])</f>
        <v>3078.4</v>
      </c>
      <c r="P1003" s="57">
        <f t="shared" si="15"/>
        <v>1850</v>
      </c>
      <c r="Q1003" s="58">
        <f>_xlfn.MAXIFS(Survey!$G$2:$G$3647,Survey!$M$2:$M$3647,Survey!$M1003)-Survey!$G1003</f>
        <v>1299.0646243214126</v>
      </c>
      <c r="R1003" s="59">
        <f>Survey!$P1003+(Survey!$Q1003*0.433)</f>
        <v>2412.4949823311717</v>
      </c>
    </row>
    <row r="1004" spans="1:18" x14ac:dyDescent="0.25">
      <c r="A1004" s="71" t="s">
        <v>17</v>
      </c>
      <c r="B1004" s="72" t="s">
        <v>18</v>
      </c>
      <c r="C1004" s="73" t="s">
        <v>19</v>
      </c>
      <c r="D1004" s="74">
        <v>234.50574604519446</v>
      </c>
      <c r="E1004" s="81">
        <v>1266969</v>
      </c>
      <c r="F1004" s="82">
        <v>1239194.8057553973</v>
      </c>
      <c r="G1004" s="75">
        <v>1458.0240577303393</v>
      </c>
      <c r="H1004" s="76">
        <v>3</v>
      </c>
      <c r="I1004" s="54" t="s">
        <v>20</v>
      </c>
      <c r="J1004" s="77">
        <v>40</v>
      </c>
      <c r="K1004" s="78">
        <v>3</v>
      </c>
      <c r="L1004" s="54">
        <v>1</v>
      </c>
      <c r="M1004" s="54">
        <f>_xlfn.XLOOKUP(Survey!$F1004,sections[Start],sections[Test Section],,-1,1)</f>
        <v>2</v>
      </c>
      <c r="N1004" s="55">
        <f>_xlfn.XLOOKUP(Survey!$K1004,pipedata[ID],pipedata[WT])</f>
        <v>0.88800000000000001</v>
      </c>
      <c r="O1004" s="56">
        <f>_xlfn.XLOOKUP(Survey!$K1004,pipedata[ID],pipedata[104%])</f>
        <v>3078.4</v>
      </c>
      <c r="P1004" s="57">
        <f t="shared" si="15"/>
        <v>1850</v>
      </c>
      <c r="Q1004" s="58">
        <f>_xlfn.MAXIFS(Survey!$G$2:$G$3647,Survey!$M$2:$M$3647,Survey!$M1004)-Survey!$G1004</f>
        <v>1305.642186471403</v>
      </c>
      <c r="R1004" s="59">
        <f>Survey!$P1004+(Survey!$Q1004*0.433)</f>
        <v>2415.3430667421176</v>
      </c>
    </row>
    <row r="1005" spans="1:18" x14ac:dyDescent="0.25">
      <c r="A1005" s="60" t="s">
        <v>17</v>
      </c>
      <c r="B1005" s="61" t="s">
        <v>18</v>
      </c>
      <c r="C1005" s="62" t="s">
        <v>19</v>
      </c>
      <c r="D1005" s="63">
        <v>234.51315837522364</v>
      </c>
      <c r="E1005" s="79">
        <v>1267009</v>
      </c>
      <c r="F1005" s="80">
        <v>1239234.4604316563</v>
      </c>
      <c r="G1005" s="66">
        <v>1455.6502073145471</v>
      </c>
      <c r="H1005" s="67">
        <v>3</v>
      </c>
      <c r="I1005" s="68" t="s">
        <v>20</v>
      </c>
      <c r="J1005" s="69">
        <v>40</v>
      </c>
      <c r="K1005" s="70">
        <v>3</v>
      </c>
      <c r="L1005" s="68">
        <v>1</v>
      </c>
      <c r="M1005" s="68">
        <f>_xlfn.XLOOKUP(Survey!$F1005,sections[Start],sections[Test Section],,-1,1)</f>
        <v>2</v>
      </c>
      <c r="N1005" s="55">
        <f>_xlfn.XLOOKUP(Survey!$K1005,pipedata[ID],pipedata[WT])</f>
        <v>0.88800000000000001</v>
      </c>
      <c r="O1005" s="56">
        <f>_xlfn.XLOOKUP(Survey!$K1005,pipedata[ID],pipedata[104%])</f>
        <v>3078.4</v>
      </c>
      <c r="P1005" s="57">
        <f t="shared" si="15"/>
        <v>1850</v>
      </c>
      <c r="Q1005" s="58">
        <f>_xlfn.MAXIFS(Survey!$G$2:$G$3647,Survey!$M$2:$M$3647,Survey!$M1005)-Survey!$G1005</f>
        <v>1308.0160368871952</v>
      </c>
      <c r="R1005" s="59">
        <f>Survey!$P1005+(Survey!$Q1005*0.433)</f>
        <v>2416.3709439721556</v>
      </c>
    </row>
    <row r="1006" spans="1:18" x14ac:dyDescent="0.25">
      <c r="A1006" s="71" t="s">
        <v>17</v>
      </c>
      <c r="B1006" s="72" t="s">
        <v>18</v>
      </c>
      <c r="C1006" s="73" t="s">
        <v>19</v>
      </c>
      <c r="D1006" s="74">
        <v>234.52057070525285</v>
      </c>
      <c r="E1006" s="81">
        <v>1267049</v>
      </c>
      <c r="F1006" s="82">
        <v>1239274.1151079154</v>
      </c>
      <c r="G1006" s="75">
        <v>1452.5585072851256</v>
      </c>
      <c r="H1006" s="76">
        <v>3</v>
      </c>
      <c r="I1006" s="54" t="s">
        <v>20</v>
      </c>
      <c r="J1006" s="77">
        <v>40</v>
      </c>
      <c r="K1006" s="78">
        <v>3</v>
      </c>
      <c r="L1006" s="54">
        <v>1</v>
      </c>
      <c r="M1006" s="54">
        <f>_xlfn.XLOOKUP(Survey!$F1006,sections[Start],sections[Test Section],,-1,1)</f>
        <v>2</v>
      </c>
      <c r="N1006" s="55">
        <f>_xlfn.XLOOKUP(Survey!$K1006,pipedata[ID],pipedata[WT])</f>
        <v>0.88800000000000001</v>
      </c>
      <c r="O1006" s="56">
        <f>_xlfn.XLOOKUP(Survey!$K1006,pipedata[ID],pipedata[104%])</f>
        <v>3078.4</v>
      </c>
      <c r="P1006" s="57">
        <f t="shared" si="15"/>
        <v>1850</v>
      </c>
      <c r="Q1006" s="58">
        <f>_xlfn.MAXIFS(Survey!$G$2:$G$3647,Survey!$M$2:$M$3647,Survey!$M1006)-Survey!$G1006</f>
        <v>1311.1077369166167</v>
      </c>
      <c r="R1006" s="59">
        <f>Survey!$P1006+(Survey!$Q1006*0.433)</f>
        <v>2417.7096500848947</v>
      </c>
    </row>
    <row r="1007" spans="1:18" x14ac:dyDescent="0.25">
      <c r="A1007" s="60" t="s">
        <v>17</v>
      </c>
      <c r="B1007" s="61" t="s">
        <v>18</v>
      </c>
      <c r="C1007" s="62" t="s">
        <v>19</v>
      </c>
      <c r="D1007" s="63">
        <v>234.52859175024565</v>
      </c>
      <c r="E1007" s="79">
        <v>1267089</v>
      </c>
      <c r="F1007" s="80">
        <v>1239313.7697841744</v>
      </c>
      <c r="G1007" s="66">
        <v>1450.632501782962</v>
      </c>
      <c r="H1007" s="67">
        <v>3</v>
      </c>
      <c r="I1007" s="68" t="s">
        <v>20</v>
      </c>
      <c r="J1007" s="69">
        <v>40</v>
      </c>
      <c r="K1007" s="70">
        <v>3</v>
      </c>
      <c r="L1007" s="68">
        <v>1</v>
      </c>
      <c r="M1007" s="68">
        <f>_xlfn.XLOOKUP(Survey!$F1007,sections[Start],sections[Test Section],,-1,1)</f>
        <v>2</v>
      </c>
      <c r="N1007" s="55">
        <f>_xlfn.XLOOKUP(Survey!$K1007,pipedata[ID],pipedata[WT])</f>
        <v>0.88800000000000001</v>
      </c>
      <c r="O1007" s="56">
        <f>_xlfn.XLOOKUP(Survey!$K1007,pipedata[ID],pipedata[104%])</f>
        <v>3078.4</v>
      </c>
      <c r="P1007" s="57">
        <f t="shared" si="15"/>
        <v>1850</v>
      </c>
      <c r="Q1007" s="58">
        <f>_xlfn.MAXIFS(Survey!$G$2:$G$3647,Survey!$M$2:$M$3647,Survey!$M1007)-Survey!$G1007</f>
        <v>1313.0337424187803</v>
      </c>
      <c r="R1007" s="59">
        <f>Survey!$P1007+(Survey!$Q1007*0.433)</f>
        <v>2418.5436104673317</v>
      </c>
    </row>
    <row r="1008" spans="1:18" x14ac:dyDescent="0.25">
      <c r="A1008" s="71" t="s">
        <v>17</v>
      </c>
      <c r="B1008" s="72" t="s">
        <v>18</v>
      </c>
      <c r="C1008" s="73" t="s">
        <v>19</v>
      </c>
      <c r="D1008" s="74">
        <v>234.53539536531136</v>
      </c>
      <c r="E1008" s="81">
        <v>1267129</v>
      </c>
      <c r="F1008" s="82">
        <v>1239353.4244604334</v>
      </c>
      <c r="G1008" s="75">
        <v>1447.3555112648494</v>
      </c>
      <c r="H1008" s="76">
        <v>3</v>
      </c>
      <c r="I1008" s="54" t="s">
        <v>20</v>
      </c>
      <c r="J1008" s="77">
        <v>40</v>
      </c>
      <c r="K1008" s="78">
        <v>3</v>
      </c>
      <c r="L1008" s="54">
        <v>1</v>
      </c>
      <c r="M1008" s="54">
        <f>_xlfn.XLOOKUP(Survey!$F1008,sections[Start],sections[Test Section],,-1,1)</f>
        <v>2</v>
      </c>
      <c r="N1008" s="55">
        <f>_xlfn.XLOOKUP(Survey!$K1008,pipedata[ID],pipedata[WT])</f>
        <v>0.88800000000000001</v>
      </c>
      <c r="O1008" s="56">
        <f>_xlfn.XLOOKUP(Survey!$K1008,pipedata[ID],pipedata[104%])</f>
        <v>3078.4</v>
      </c>
      <c r="P1008" s="57">
        <f t="shared" si="15"/>
        <v>1850</v>
      </c>
      <c r="Q1008" s="58">
        <f>_xlfn.MAXIFS(Survey!$G$2:$G$3647,Survey!$M$2:$M$3647,Survey!$M1008)-Survey!$G1008</f>
        <v>1316.3107329368929</v>
      </c>
      <c r="R1008" s="59">
        <f>Survey!$P1008+(Survey!$Q1008*0.433)</f>
        <v>2419.9625473616748</v>
      </c>
    </row>
    <row r="1009" spans="1:18" x14ac:dyDescent="0.25">
      <c r="A1009" s="60" t="s">
        <v>17</v>
      </c>
      <c r="B1009" s="61" t="s">
        <v>18</v>
      </c>
      <c r="C1009" s="62" t="s">
        <v>19</v>
      </c>
      <c r="D1009" s="63">
        <v>234.54333743398087</v>
      </c>
      <c r="E1009" s="79">
        <v>1267169</v>
      </c>
      <c r="F1009" s="80">
        <v>1239393.0791366925</v>
      </c>
      <c r="G1009" s="66">
        <v>1445.2344500196259</v>
      </c>
      <c r="H1009" s="67">
        <v>3</v>
      </c>
      <c r="I1009" s="68" t="s">
        <v>20</v>
      </c>
      <c r="J1009" s="69">
        <v>40</v>
      </c>
      <c r="K1009" s="70">
        <v>3</v>
      </c>
      <c r="L1009" s="68">
        <v>1</v>
      </c>
      <c r="M1009" s="68">
        <f>_xlfn.XLOOKUP(Survey!$F1009,sections[Start],sections[Test Section],,-1,1)</f>
        <v>2</v>
      </c>
      <c r="N1009" s="55">
        <f>_xlfn.XLOOKUP(Survey!$K1009,pipedata[ID],pipedata[WT])</f>
        <v>0.88800000000000001</v>
      </c>
      <c r="O1009" s="56">
        <f>_xlfn.XLOOKUP(Survey!$K1009,pipedata[ID],pipedata[104%])</f>
        <v>3078.4</v>
      </c>
      <c r="P1009" s="57">
        <f t="shared" si="15"/>
        <v>1850</v>
      </c>
      <c r="Q1009" s="58">
        <f>_xlfn.MAXIFS(Survey!$G$2:$G$3647,Survey!$M$2:$M$3647,Survey!$M1009)-Survey!$G1009</f>
        <v>1318.4317941821164</v>
      </c>
      <c r="R1009" s="59">
        <f>Survey!$P1009+(Survey!$Q1009*0.433)</f>
        <v>2420.8809668808562</v>
      </c>
    </row>
    <row r="1010" spans="1:18" x14ac:dyDescent="0.25">
      <c r="A1010" s="71" t="s">
        <v>17</v>
      </c>
      <c r="B1010" s="72" t="s">
        <v>18</v>
      </c>
      <c r="C1010" s="73" t="s">
        <v>19</v>
      </c>
      <c r="D1010" s="74">
        <v>234.55022002536998</v>
      </c>
      <c r="E1010" s="81">
        <v>1267209</v>
      </c>
      <c r="F1010" s="82">
        <v>1239432.7338129515</v>
      </c>
      <c r="G1010" s="75">
        <v>1445.3374000784011</v>
      </c>
      <c r="H1010" s="76">
        <v>3</v>
      </c>
      <c r="I1010" s="54" t="s">
        <v>20</v>
      </c>
      <c r="J1010" s="77">
        <v>40</v>
      </c>
      <c r="K1010" s="78">
        <v>3</v>
      </c>
      <c r="L1010" s="54">
        <v>1</v>
      </c>
      <c r="M1010" s="54">
        <f>_xlfn.XLOOKUP(Survey!$F1010,sections[Start],sections[Test Section],,-1,1)</f>
        <v>2</v>
      </c>
      <c r="N1010" s="55">
        <f>_xlfn.XLOOKUP(Survey!$K1010,pipedata[ID],pipedata[WT])</f>
        <v>0.88800000000000001</v>
      </c>
      <c r="O1010" s="56">
        <f>_xlfn.XLOOKUP(Survey!$K1010,pipedata[ID],pipedata[104%])</f>
        <v>3078.4</v>
      </c>
      <c r="P1010" s="57">
        <f t="shared" si="15"/>
        <v>1850</v>
      </c>
      <c r="Q1010" s="58">
        <f>_xlfn.MAXIFS(Survey!$G$2:$G$3647,Survey!$M$2:$M$3647,Survey!$M1010)-Survey!$G1010</f>
        <v>1318.3288441233412</v>
      </c>
      <c r="R1010" s="59">
        <f>Survey!$P1010+(Survey!$Q1010*0.433)</f>
        <v>2420.8363895054067</v>
      </c>
    </row>
    <row r="1011" spans="1:18" x14ac:dyDescent="0.25">
      <c r="A1011" s="60" t="s">
        <v>17</v>
      </c>
      <c r="B1011" s="61" t="s">
        <v>18</v>
      </c>
      <c r="C1011" s="62" t="s">
        <v>19</v>
      </c>
      <c r="D1011" s="63">
        <v>234.55808311771597</v>
      </c>
      <c r="E1011" s="79">
        <v>1267249</v>
      </c>
      <c r="F1011" s="80">
        <v>1239472.3884892105</v>
      </c>
      <c r="G1011" s="66">
        <v>1449.8375447380868</v>
      </c>
      <c r="H1011" s="67">
        <v>3</v>
      </c>
      <c r="I1011" s="68" t="s">
        <v>20</v>
      </c>
      <c r="J1011" s="69">
        <v>40</v>
      </c>
      <c r="K1011" s="70">
        <v>3</v>
      </c>
      <c r="L1011" s="68">
        <v>1</v>
      </c>
      <c r="M1011" s="68">
        <f>_xlfn.XLOOKUP(Survey!$F1011,sections[Start],sections[Test Section],,-1,1)</f>
        <v>2</v>
      </c>
      <c r="N1011" s="55">
        <f>_xlfn.XLOOKUP(Survey!$K1011,pipedata[ID],pipedata[WT])</f>
        <v>0.88800000000000001</v>
      </c>
      <c r="O1011" s="56">
        <f>_xlfn.XLOOKUP(Survey!$K1011,pipedata[ID],pipedata[104%])</f>
        <v>3078.4</v>
      </c>
      <c r="P1011" s="57">
        <f t="shared" si="15"/>
        <v>1850</v>
      </c>
      <c r="Q1011" s="58">
        <f>_xlfn.MAXIFS(Survey!$G$2:$G$3647,Survey!$M$2:$M$3647,Survey!$M1011)-Survey!$G1011</f>
        <v>1313.8286994636555</v>
      </c>
      <c r="R1011" s="59">
        <f>Survey!$P1011+(Survey!$Q1011*0.433)</f>
        <v>2418.8878268677627</v>
      </c>
    </row>
    <row r="1012" spans="1:18" x14ac:dyDescent="0.25">
      <c r="A1012" s="71" t="s">
        <v>17</v>
      </c>
      <c r="B1012" s="72" t="s">
        <v>18</v>
      </c>
      <c r="C1012" s="73" t="s">
        <v>19</v>
      </c>
      <c r="D1012" s="74">
        <v>234.56615525816403</v>
      </c>
      <c r="E1012" s="81">
        <v>1267289</v>
      </c>
      <c r="F1012" s="82">
        <v>1239512.0431654695</v>
      </c>
      <c r="G1012" s="75">
        <v>1450.8218485759987</v>
      </c>
      <c r="H1012" s="76">
        <v>3</v>
      </c>
      <c r="I1012" s="54" t="s">
        <v>20</v>
      </c>
      <c r="J1012" s="77">
        <v>40</v>
      </c>
      <c r="K1012" s="78">
        <v>3</v>
      </c>
      <c r="L1012" s="54">
        <v>1</v>
      </c>
      <c r="M1012" s="54">
        <f>_xlfn.XLOOKUP(Survey!$F1012,sections[Start],sections[Test Section],,-1,1)</f>
        <v>2</v>
      </c>
      <c r="N1012" s="55">
        <f>_xlfn.XLOOKUP(Survey!$K1012,pipedata[ID],pipedata[WT])</f>
        <v>0.88800000000000001</v>
      </c>
      <c r="O1012" s="56">
        <f>_xlfn.XLOOKUP(Survey!$K1012,pipedata[ID],pipedata[104%])</f>
        <v>3078.4</v>
      </c>
      <c r="P1012" s="57">
        <f t="shared" si="15"/>
        <v>1850</v>
      </c>
      <c r="Q1012" s="58">
        <f>_xlfn.MAXIFS(Survey!$G$2:$G$3647,Survey!$M$2:$M$3647,Survey!$M1012)-Survey!$G1012</f>
        <v>1312.8443956257436</v>
      </c>
      <c r="R1012" s="59">
        <f>Survey!$P1012+(Survey!$Q1012*0.433)</f>
        <v>2418.4616233059469</v>
      </c>
    </row>
    <row r="1013" spans="1:18" x14ac:dyDescent="0.25">
      <c r="A1013" s="60" t="s">
        <v>17</v>
      </c>
      <c r="B1013" s="61" t="s">
        <v>18</v>
      </c>
      <c r="C1013" s="62" t="s">
        <v>19</v>
      </c>
      <c r="D1013" s="63">
        <v>234.57298980411835</v>
      </c>
      <c r="E1013" s="79">
        <v>1267329</v>
      </c>
      <c r="F1013" s="80">
        <v>1239551.6978417286</v>
      </c>
      <c r="G1013" s="66">
        <v>1451.7629283125048</v>
      </c>
      <c r="H1013" s="67">
        <v>3</v>
      </c>
      <c r="I1013" s="68" t="s">
        <v>20</v>
      </c>
      <c r="J1013" s="69">
        <v>40</v>
      </c>
      <c r="K1013" s="70">
        <v>3</v>
      </c>
      <c r="L1013" s="68">
        <v>1</v>
      </c>
      <c r="M1013" s="68">
        <f>_xlfn.XLOOKUP(Survey!$F1013,sections[Start],sections[Test Section],,-1,1)</f>
        <v>2</v>
      </c>
      <c r="N1013" s="55">
        <f>_xlfn.XLOOKUP(Survey!$K1013,pipedata[ID],pipedata[WT])</f>
        <v>0.88800000000000001</v>
      </c>
      <c r="O1013" s="56">
        <f>_xlfn.XLOOKUP(Survey!$K1013,pipedata[ID],pipedata[104%])</f>
        <v>3078.4</v>
      </c>
      <c r="P1013" s="57">
        <f t="shared" si="15"/>
        <v>1850</v>
      </c>
      <c r="Q1013" s="58">
        <f>_xlfn.MAXIFS(Survey!$G$2:$G$3647,Survey!$M$2:$M$3647,Survey!$M1013)-Survey!$G1013</f>
        <v>1311.9033158892375</v>
      </c>
      <c r="R1013" s="59">
        <f>Survey!$P1013+(Survey!$Q1013*0.433)</f>
        <v>2418.0541357800398</v>
      </c>
    </row>
    <row r="1014" spans="1:18" x14ac:dyDescent="0.25">
      <c r="A1014" s="71" t="s">
        <v>17</v>
      </c>
      <c r="B1014" s="72" t="s">
        <v>18</v>
      </c>
      <c r="C1014" s="73" t="s">
        <v>19</v>
      </c>
      <c r="D1014" s="74">
        <v>234.58047916810668</v>
      </c>
      <c r="E1014" s="81">
        <v>1267369</v>
      </c>
      <c r="F1014" s="82">
        <v>1239591.3525179876</v>
      </c>
      <c r="G1014" s="75">
        <v>1454.7822376845031</v>
      </c>
      <c r="H1014" s="76">
        <v>3</v>
      </c>
      <c r="I1014" s="54" t="s">
        <v>20</v>
      </c>
      <c r="J1014" s="77">
        <v>40</v>
      </c>
      <c r="K1014" s="78">
        <v>3</v>
      </c>
      <c r="L1014" s="54">
        <v>1</v>
      </c>
      <c r="M1014" s="54">
        <f>_xlfn.XLOOKUP(Survey!$F1014,sections[Start],sections[Test Section],,-1,1)</f>
        <v>2</v>
      </c>
      <c r="N1014" s="55">
        <f>_xlfn.XLOOKUP(Survey!$K1014,pipedata[ID],pipedata[WT])</f>
        <v>0.88800000000000001</v>
      </c>
      <c r="O1014" s="56">
        <f>_xlfn.XLOOKUP(Survey!$K1014,pipedata[ID],pipedata[104%])</f>
        <v>3078.4</v>
      </c>
      <c r="P1014" s="57">
        <f t="shared" si="15"/>
        <v>1850</v>
      </c>
      <c r="Q1014" s="58">
        <f>_xlfn.MAXIFS(Survey!$G$2:$G$3647,Survey!$M$2:$M$3647,Survey!$M1014)-Survey!$G1014</f>
        <v>1308.8840065172392</v>
      </c>
      <c r="R1014" s="59">
        <f>Survey!$P1014+(Survey!$Q1014*0.433)</f>
        <v>2416.7467748219647</v>
      </c>
    </row>
    <row r="1015" spans="1:18" x14ac:dyDescent="0.25">
      <c r="A1015" s="60" t="s">
        <v>17</v>
      </c>
      <c r="B1015" s="61" t="s">
        <v>18</v>
      </c>
      <c r="C1015" s="62" t="s">
        <v>19</v>
      </c>
      <c r="D1015" s="63">
        <v>234.58907456515749</v>
      </c>
      <c r="E1015" s="79">
        <v>1267409</v>
      </c>
      <c r="F1015" s="80">
        <v>1239631.0071942466</v>
      </c>
      <c r="G1015" s="66">
        <v>1458.890360922037</v>
      </c>
      <c r="H1015" s="67">
        <v>3</v>
      </c>
      <c r="I1015" s="68" t="s">
        <v>20</v>
      </c>
      <c r="J1015" s="69">
        <v>40</v>
      </c>
      <c r="K1015" s="70">
        <v>3</v>
      </c>
      <c r="L1015" s="68">
        <v>1</v>
      </c>
      <c r="M1015" s="68">
        <f>_xlfn.XLOOKUP(Survey!$F1015,sections[Start],sections[Test Section],,-1,1)</f>
        <v>2</v>
      </c>
      <c r="N1015" s="55">
        <f>_xlfn.XLOOKUP(Survey!$K1015,pipedata[ID],pipedata[WT])</f>
        <v>0.88800000000000001</v>
      </c>
      <c r="O1015" s="56">
        <f>_xlfn.XLOOKUP(Survey!$K1015,pipedata[ID],pipedata[104%])</f>
        <v>3078.4</v>
      </c>
      <c r="P1015" s="57">
        <f t="shared" si="15"/>
        <v>1850</v>
      </c>
      <c r="Q1015" s="58">
        <f>_xlfn.MAXIFS(Survey!$G$2:$G$3647,Survey!$M$2:$M$3647,Survey!$M1015)-Survey!$G1015</f>
        <v>1304.7758832797053</v>
      </c>
      <c r="R1015" s="59">
        <f>Survey!$P1015+(Survey!$Q1015*0.433)</f>
        <v>2414.9679574601123</v>
      </c>
    </row>
    <row r="1016" spans="1:18" x14ac:dyDescent="0.25">
      <c r="A1016" s="71" t="s">
        <v>17</v>
      </c>
      <c r="B1016" s="72" t="s">
        <v>18</v>
      </c>
      <c r="C1016" s="73" t="s">
        <v>19</v>
      </c>
      <c r="D1016" s="74">
        <v>234.59654408425206</v>
      </c>
      <c r="E1016" s="81">
        <v>1267449</v>
      </c>
      <c r="F1016" s="82">
        <v>1239670.6618705057</v>
      </c>
      <c r="G1016" s="75">
        <v>1459.0524755288261</v>
      </c>
      <c r="H1016" s="76">
        <v>3</v>
      </c>
      <c r="I1016" s="54" t="s">
        <v>20</v>
      </c>
      <c r="J1016" s="77">
        <v>40</v>
      </c>
      <c r="K1016" s="78">
        <v>3</v>
      </c>
      <c r="L1016" s="54">
        <v>1</v>
      </c>
      <c r="M1016" s="54">
        <f>_xlfn.XLOOKUP(Survey!$F1016,sections[Start],sections[Test Section],,-1,1)</f>
        <v>2</v>
      </c>
      <c r="N1016" s="55">
        <f>_xlfn.XLOOKUP(Survey!$K1016,pipedata[ID],pipedata[WT])</f>
        <v>0.88800000000000001</v>
      </c>
      <c r="O1016" s="56">
        <f>_xlfn.XLOOKUP(Survey!$K1016,pipedata[ID],pipedata[104%])</f>
        <v>3078.4</v>
      </c>
      <c r="P1016" s="57">
        <f t="shared" si="15"/>
        <v>1850</v>
      </c>
      <c r="Q1016" s="58">
        <f>_xlfn.MAXIFS(Survey!$G$2:$G$3647,Survey!$M$2:$M$3647,Survey!$M1016)-Survey!$G1016</f>
        <v>1304.6137686729162</v>
      </c>
      <c r="R1016" s="59">
        <f>Survey!$P1016+(Survey!$Q1016*0.433)</f>
        <v>2414.8977618353729</v>
      </c>
    </row>
    <row r="1017" spans="1:18" x14ac:dyDescent="0.25">
      <c r="A1017" s="60" t="s">
        <v>17</v>
      </c>
      <c r="B1017" s="61" t="s">
        <v>18</v>
      </c>
      <c r="C1017" s="62" t="s">
        <v>19</v>
      </c>
      <c r="D1017" s="63">
        <v>234.6038551970328</v>
      </c>
      <c r="E1017" s="79">
        <v>1267489</v>
      </c>
      <c r="F1017" s="80">
        <v>1239710.3165467647</v>
      </c>
      <c r="G1017" s="66">
        <v>1458.4470105008177</v>
      </c>
      <c r="H1017" s="67">
        <v>3</v>
      </c>
      <c r="I1017" s="68" t="s">
        <v>20</v>
      </c>
      <c r="J1017" s="69">
        <v>40</v>
      </c>
      <c r="K1017" s="70">
        <v>3</v>
      </c>
      <c r="L1017" s="68">
        <v>1</v>
      </c>
      <c r="M1017" s="68">
        <f>_xlfn.XLOOKUP(Survey!$F1017,sections[Start],sections[Test Section],,-1,1)</f>
        <v>2</v>
      </c>
      <c r="N1017" s="55">
        <f>_xlfn.XLOOKUP(Survey!$K1017,pipedata[ID],pipedata[WT])</f>
        <v>0.88800000000000001</v>
      </c>
      <c r="O1017" s="56">
        <f>_xlfn.XLOOKUP(Survey!$K1017,pipedata[ID],pipedata[104%])</f>
        <v>3078.4</v>
      </c>
      <c r="P1017" s="57">
        <f t="shared" si="15"/>
        <v>1850</v>
      </c>
      <c r="Q1017" s="58">
        <f>_xlfn.MAXIFS(Survey!$G$2:$G$3647,Survey!$M$2:$M$3647,Survey!$M1017)-Survey!$G1017</f>
        <v>1305.2192337009246</v>
      </c>
      <c r="R1017" s="59">
        <f>Survey!$P1017+(Survey!$Q1017*0.433)</f>
        <v>2415.1599281925005</v>
      </c>
    </row>
    <row r="1018" spans="1:18" x14ac:dyDescent="0.25">
      <c r="A1018" s="71" t="s">
        <v>17</v>
      </c>
      <c r="B1018" s="72" t="s">
        <v>18</v>
      </c>
      <c r="C1018" s="73" t="s">
        <v>19</v>
      </c>
      <c r="D1018" s="74">
        <v>234.61129078395928</v>
      </c>
      <c r="E1018" s="81">
        <v>1267529</v>
      </c>
      <c r="F1018" s="82">
        <v>1239749.9712230237</v>
      </c>
      <c r="G1018" s="75">
        <v>1461.5411808540732</v>
      </c>
      <c r="H1018" s="76">
        <v>3</v>
      </c>
      <c r="I1018" s="54" t="s">
        <v>20</v>
      </c>
      <c r="J1018" s="77">
        <v>40</v>
      </c>
      <c r="K1018" s="78">
        <v>3</v>
      </c>
      <c r="L1018" s="54">
        <v>1</v>
      </c>
      <c r="M1018" s="54">
        <f>_xlfn.XLOOKUP(Survey!$F1018,sections[Start],sections[Test Section],,-1,1)</f>
        <v>2</v>
      </c>
      <c r="N1018" s="55">
        <f>_xlfn.XLOOKUP(Survey!$K1018,pipedata[ID],pipedata[WT])</f>
        <v>0.88800000000000001</v>
      </c>
      <c r="O1018" s="56">
        <f>_xlfn.XLOOKUP(Survey!$K1018,pipedata[ID],pipedata[104%])</f>
        <v>3078.4</v>
      </c>
      <c r="P1018" s="57">
        <f t="shared" si="15"/>
        <v>1850</v>
      </c>
      <c r="Q1018" s="58">
        <f>_xlfn.MAXIFS(Survey!$G$2:$G$3647,Survey!$M$2:$M$3647,Survey!$M1018)-Survey!$G1018</f>
        <v>1302.1250633476691</v>
      </c>
      <c r="R1018" s="59">
        <f>Survey!$P1018+(Survey!$Q1018*0.433)</f>
        <v>2413.8201524295409</v>
      </c>
    </row>
    <row r="1019" spans="1:18" x14ac:dyDescent="0.25">
      <c r="A1019" s="60" t="s">
        <v>17</v>
      </c>
      <c r="B1019" s="61" t="s">
        <v>18</v>
      </c>
      <c r="C1019" s="62" t="s">
        <v>19</v>
      </c>
      <c r="D1019" s="63">
        <v>234.61813421412688</v>
      </c>
      <c r="E1019" s="79">
        <v>1267569</v>
      </c>
      <c r="F1019" s="80">
        <v>1239789.6258992827</v>
      </c>
      <c r="G1019" s="66">
        <v>1466.9853378369287</v>
      </c>
      <c r="H1019" s="67">
        <v>3</v>
      </c>
      <c r="I1019" s="68" t="s">
        <v>20</v>
      </c>
      <c r="J1019" s="69">
        <v>40</v>
      </c>
      <c r="K1019" s="70">
        <v>3</v>
      </c>
      <c r="L1019" s="68">
        <v>1</v>
      </c>
      <c r="M1019" s="68">
        <f>_xlfn.XLOOKUP(Survey!$F1019,sections[Start],sections[Test Section],,-1,1)</f>
        <v>2</v>
      </c>
      <c r="N1019" s="55">
        <f>_xlfn.XLOOKUP(Survey!$K1019,pipedata[ID],pipedata[WT])</f>
        <v>0.88800000000000001</v>
      </c>
      <c r="O1019" s="56">
        <f>_xlfn.XLOOKUP(Survey!$K1019,pipedata[ID],pipedata[104%])</f>
        <v>3078.4</v>
      </c>
      <c r="P1019" s="57">
        <f t="shared" si="15"/>
        <v>1850</v>
      </c>
      <c r="Q1019" s="58">
        <f>_xlfn.MAXIFS(Survey!$G$2:$G$3647,Survey!$M$2:$M$3647,Survey!$M1019)-Survey!$G1019</f>
        <v>1296.6809063648136</v>
      </c>
      <c r="R1019" s="59">
        <f>Survey!$P1019+(Survey!$Q1019*0.433)</f>
        <v>2411.4628324559644</v>
      </c>
    </row>
    <row r="1020" spans="1:18" x14ac:dyDescent="0.25">
      <c r="A1020" s="71" t="s">
        <v>17</v>
      </c>
      <c r="B1020" s="72" t="s">
        <v>18</v>
      </c>
      <c r="C1020" s="73" t="s">
        <v>19</v>
      </c>
      <c r="D1020" s="74">
        <v>234.6267405424253</v>
      </c>
      <c r="E1020" s="81">
        <v>1267609</v>
      </c>
      <c r="F1020" s="82">
        <v>1239829.2805755418</v>
      </c>
      <c r="G1020" s="75">
        <v>1471.5963600617874</v>
      </c>
      <c r="H1020" s="76">
        <v>3</v>
      </c>
      <c r="I1020" s="54" t="s">
        <v>20</v>
      </c>
      <c r="J1020" s="77">
        <v>40</v>
      </c>
      <c r="K1020" s="78">
        <v>3</v>
      </c>
      <c r="L1020" s="54">
        <v>1</v>
      </c>
      <c r="M1020" s="54">
        <f>_xlfn.XLOOKUP(Survey!$F1020,sections[Start],sections[Test Section],,-1,1)</f>
        <v>2</v>
      </c>
      <c r="N1020" s="55">
        <f>_xlfn.XLOOKUP(Survey!$K1020,pipedata[ID],pipedata[WT])</f>
        <v>0.88800000000000001</v>
      </c>
      <c r="O1020" s="56">
        <f>_xlfn.XLOOKUP(Survey!$K1020,pipedata[ID],pipedata[104%])</f>
        <v>3078.4</v>
      </c>
      <c r="P1020" s="57">
        <f t="shared" si="15"/>
        <v>1850</v>
      </c>
      <c r="Q1020" s="58">
        <f>_xlfn.MAXIFS(Survey!$G$2:$G$3647,Survey!$M$2:$M$3647,Survey!$M1020)-Survey!$G1020</f>
        <v>1292.0698841399549</v>
      </c>
      <c r="R1020" s="59">
        <f>Survey!$P1020+(Survey!$Q1020*0.433)</f>
        <v>2409.4662598326004</v>
      </c>
    </row>
    <row r="1021" spans="1:18" x14ac:dyDescent="0.25">
      <c r="A1021" s="60" t="s">
        <v>17</v>
      </c>
      <c r="B1021" s="61" t="s">
        <v>18</v>
      </c>
      <c r="C1021" s="62" t="s">
        <v>19</v>
      </c>
      <c r="D1021" s="63">
        <v>234.6343083975801</v>
      </c>
      <c r="E1021" s="79">
        <v>1267649</v>
      </c>
      <c r="F1021" s="80">
        <v>1239868.9352518008</v>
      </c>
      <c r="G1021" s="66">
        <v>1476.3718368467964</v>
      </c>
      <c r="H1021" s="67">
        <v>3</v>
      </c>
      <c r="I1021" s="68" t="s">
        <v>20</v>
      </c>
      <c r="J1021" s="69">
        <v>40</v>
      </c>
      <c r="K1021" s="70">
        <v>3</v>
      </c>
      <c r="L1021" s="68">
        <v>1</v>
      </c>
      <c r="M1021" s="68">
        <f>_xlfn.XLOOKUP(Survey!$F1021,sections[Start],sections[Test Section],,-1,1)</f>
        <v>2</v>
      </c>
      <c r="N1021" s="55">
        <f>_xlfn.XLOOKUP(Survey!$K1021,pipedata[ID],pipedata[WT])</f>
        <v>0.88800000000000001</v>
      </c>
      <c r="O1021" s="56">
        <f>_xlfn.XLOOKUP(Survey!$K1021,pipedata[ID],pipedata[104%])</f>
        <v>3078.4</v>
      </c>
      <c r="P1021" s="57">
        <f t="shared" si="15"/>
        <v>1850</v>
      </c>
      <c r="Q1021" s="58">
        <f>_xlfn.MAXIFS(Survey!$G$2:$G$3647,Survey!$M$2:$M$3647,Survey!$M1021)-Survey!$G1021</f>
        <v>1287.2944073549459</v>
      </c>
      <c r="R1021" s="59">
        <f>Survey!$P1021+(Survey!$Q1021*0.433)</f>
        <v>2407.3984783846918</v>
      </c>
    </row>
    <row r="1022" spans="1:18" x14ac:dyDescent="0.25">
      <c r="A1022" s="71" t="s">
        <v>17</v>
      </c>
      <c r="B1022" s="72" t="s">
        <v>18</v>
      </c>
      <c r="C1022" s="73" t="s">
        <v>19</v>
      </c>
      <c r="D1022" s="74">
        <v>234.64110428534701</v>
      </c>
      <c r="E1022" s="81">
        <v>1267689</v>
      </c>
      <c r="F1022" s="82">
        <v>1239908.5899280598</v>
      </c>
      <c r="G1022" s="75">
        <v>1481.2079106045012</v>
      </c>
      <c r="H1022" s="76">
        <v>3</v>
      </c>
      <c r="I1022" s="54" t="s">
        <v>20</v>
      </c>
      <c r="J1022" s="77">
        <v>40</v>
      </c>
      <c r="K1022" s="78">
        <v>3</v>
      </c>
      <c r="L1022" s="54">
        <v>1</v>
      </c>
      <c r="M1022" s="54">
        <f>_xlfn.XLOOKUP(Survey!$F1022,sections[Start],sections[Test Section],,-1,1)</f>
        <v>2</v>
      </c>
      <c r="N1022" s="55">
        <f>_xlfn.XLOOKUP(Survey!$K1022,pipedata[ID],pipedata[WT])</f>
        <v>0.88800000000000001</v>
      </c>
      <c r="O1022" s="56">
        <f>_xlfn.XLOOKUP(Survey!$K1022,pipedata[ID],pipedata[104%])</f>
        <v>3078.4</v>
      </c>
      <c r="P1022" s="57">
        <f t="shared" si="15"/>
        <v>1850</v>
      </c>
      <c r="Q1022" s="58">
        <f>_xlfn.MAXIFS(Survey!$G$2:$G$3647,Survey!$M$2:$M$3647,Survey!$M1022)-Survey!$G1022</f>
        <v>1282.4583335972411</v>
      </c>
      <c r="R1022" s="59">
        <f>Survey!$P1022+(Survey!$Q1022*0.433)</f>
        <v>2405.3044584476056</v>
      </c>
    </row>
    <row r="1023" spans="1:18" x14ac:dyDescent="0.25">
      <c r="A1023" s="60" t="s">
        <v>17</v>
      </c>
      <c r="B1023" s="61" t="s">
        <v>18</v>
      </c>
      <c r="C1023" s="62" t="s">
        <v>19</v>
      </c>
      <c r="D1023" s="63">
        <v>234.6479001731139</v>
      </c>
      <c r="E1023" s="79">
        <v>1267729</v>
      </c>
      <c r="F1023" s="80">
        <v>1239948.2446043189</v>
      </c>
      <c r="G1023" s="66">
        <v>1488.8657145035563</v>
      </c>
      <c r="H1023" s="67">
        <v>3</v>
      </c>
      <c r="I1023" s="68" t="s">
        <v>20</v>
      </c>
      <c r="J1023" s="69">
        <v>40</v>
      </c>
      <c r="K1023" s="70">
        <v>3</v>
      </c>
      <c r="L1023" s="68">
        <v>1</v>
      </c>
      <c r="M1023" s="68">
        <f>_xlfn.XLOOKUP(Survey!$F1023,sections[Start],sections[Test Section],,-1,1)</f>
        <v>2</v>
      </c>
      <c r="N1023" s="55">
        <f>_xlfn.XLOOKUP(Survey!$K1023,pipedata[ID],pipedata[WT])</f>
        <v>0.88800000000000001</v>
      </c>
      <c r="O1023" s="56">
        <f>_xlfn.XLOOKUP(Survey!$K1023,pipedata[ID],pipedata[104%])</f>
        <v>3078.4</v>
      </c>
      <c r="P1023" s="57">
        <f t="shared" si="15"/>
        <v>1850</v>
      </c>
      <c r="Q1023" s="58">
        <f>_xlfn.MAXIFS(Survey!$G$2:$G$3647,Survey!$M$2:$M$3647,Survey!$M1023)-Survey!$G1023</f>
        <v>1274.800529698186</v>
      </c>
      <c r="R1023" s="59">
        <f>Survey!$P1023+(Survey!$Q1023*0.433)</f>
        <v>2401.9886293593145</v>
      </c>
    </row>
    <row r="1024" spans="1:18" x14ac:dyDescent="0.25">
      <c r="A1024" s="71" t="s">
        <v>17</v>
      </c>
      <c r="B1024" s="72" t="s">
        <v>18</v>
      </c>
      <c r="C1024" s="73" t="s">
        <v>19</v>
      </c>
      <c r="D1024" s="74">
        <v>234.65623604657696</v>
      </c>
      <c r="E1024" s="81">
        <v>1267769</v>
      </c>
      <c r="F1024" s="82">
        <v>1239987.8992805779</v>
      </c>
      <c r="G1024" s="75">
        <v>1493.0842105137483</v>
      </c>
      <c r="H1024" s="76">
        <v>3</v>
      </c>
      <c r="I1024" s="54" t="s">
        <v>20</v>
      </c>
      <c r="J1024" s="77">
        <v>40</v>
      </c>
      <c r="K1024" s="78">
        <v>3</v>
      </c>
      <c r="L1024" s="54">
        <v>1</v>
      </c>
      <c r="M1024" s="54">
        <f>_xlfn.XLOOKUP(Survey!$F1024,sections[Start],sections[Test Section],,-1,1)</f>
        <v>2</v>
      </c>
      <c r="N1024" s="55">
        <f>_xlfn.XLOOKUP(Survey!$K1024,pipedata[ID],pipedata[WT])</f>
        <v>0.88800000000000001</v>
      </c>
      <c r="O1024" s="56">
        <f>_xlfn.XLOOKUP(Survey!$K1024,pipedata[ID],pipedata[104%])</f>
        <v>3078.4</v>
      </c>
      <c r="P1024" s="57">
        <f t="shared" si="15"/>
        <v>1850</v>
      </c>
      <c r="Q1024" s="58">
        <f>_xlfn.MAXIFS(Survey!$G$2:$G$3647,Survey!$M$2:$M$3647,Survey!$M1024)-Survey!$G1024</f>
        <v>1270.582033687994</v>
      </c>
      <c r="R1024" s="59">
        <f>Survey!$P1024+(Survey!$Q1024*0.433)</f>
        <v>2400.1620205869012</v>
      </c>
    </row>
    <row r="1025" spans="1:18" x14ac:dyDescent="0.25">
      <c r="A1025" s="60" t="s">
        <v>17</v>
      </c>
      <c r="B1025" s="61" t="s">
        <v>18</v>
      </c>
      <c r="C1025" s="62" t="s">
        <v>19</v>
      </c>
      <c r="D1025" s="63">
        <v>234.66358079989772</v>
      </c>
      <c r="E1025" s="79">
        <v>1267809</v>
      </c>
      <c r="F1025" s="80">
        <v>1240027.5539568369</v>
      </c>
      <c r="G1025" s="66">
        <v>1495.9374727015438</v>
      </c>
      <c r="H1025" s="67">
        <v>3</v>
      </c>
      <c r="I1025" s="68" t="s">
        <v>20</v>
      </c>
      <c r="J1025" s="69">
        <v>40</v>
      </c>
      <c r="K1025" s="70">
        <v>3</v>
      </c>
      <c r="L1025" s="68">
        <v>1</v>
      </c>
      <c r="M1025" s="68">
        <f>_xlfn.XLOOKUP(Survey!$F1025,sections[Start],sections[Test Section],,-1,1)</f>
        <v>2</v>
      </c>
      <c r="N1025" s="55">
        <f>_xlfn.XLOOKUP(Survey!$K1025,pipedata[ID],pipedata[WT])</f>
        <v>0.88800000000000001</v>
      </c>
      <c r="O1025" s="56">
        <f>_xlfn.XLOOKUP(Survey!$K1025,pipedata[ID],pipedata[104%])</f>
        <v>3078.4</v>
      </c>
      <c r="P1025" s="57">
        <f t="shared" si="15"/>
        <v>1850</v>
      </c>
      <c r="Q1025" s="58">
        <f>_xlfn.MAXIFS(Survey!$G$2:$G$3647,Survey!$M$2:$M$3647,Survey!$M1025)-Survey!$G1025</f>
        <v>1267.7287715001985</v>
      </c>
      <c r="R1025" s="59">
        <f>Survey!$P1025+(Survey!$Q1025*0.433)</f>
        <v>2398.9265580595857</v>
      </c>
    </row>
    <row r="1026" spans="1:18" x14ac:dyDescent="0.25">
      <c r="A1026" s="71" t="s">
        <v>17</v>
      </c>
      <c r="B1026" s="72" t="s">
        <v>18</v>
      </c>
      <c r="C1026" s="73" t="s">
        <v>19</v>
      </c>
      <c r="D1026" s="74">
        <v>234.67203092673344</v>
      </c>
      <c r="E1026" s="81">
        <v>1267849</v>
      </c>
      <c r="F1026" s="82">
        <v>1240067.208633096</v>
      </c>
      <c r="G1026" s="75">
        <v>1496.4387757374589</v>
      </c>
      <c r="H1026" s="76">
        <v>3</v>
      </c>
      <c r="I1026" s="54" t="s">
        <v>20</v>
      </c>
      <c r="J1026" s="77">
        <v>40</v>
      </c>
      <c r="K1026" s="78">
        <v>3</v>
      </c>
      <c r="L1026" s="54">
        <v>1</v>
      </c>
      <c r="M1026" s="54">
        <f>_xlfn.XLOOKUP(Survey!$F1026,sections[Start],sections[Test Section],,-1,1)</f>
        <v>2</v>
      </c>
      <c r="N1026" s="55">
        <f>_xlfn.XLOOKUP(Survey!$K1026,pipedata[ID],pipedata[WT])</f>
        <v>0.88800000000000001</v>
      </c>
      <c r="O1026" s="56">
        <f>_xlfn.XLOOKUP(Survey!$K1026,pipedata[ID],pipedata[104%])</f>
        <v>3078.4</v>
      </c>
      <c r="P1026" s="57">
        <f t="shared" ref="P1026:P1089" si="16">IF(L1026=1,1850,IF(L1026=2,1850,2220))</f>
        <v>1850</v>
      </c>
      <c r="Q1026" s="58">
        <f>_xlfn.MAXIFS(Survey!$G$2:$G$3647,Survey!$M$2:$M$3647,Survey!$M1026)-Survey!$G1026</f>
        <v>1267.2274684642834</v>
      </c>
      <c r="R1026" s="59">
        <f>Survey!$P1026+(Survey!$Q1026*0.433)</f>
        <v>2398.7094938450346</v>
      </c>
    </row>
    <row r="1027" spans="1:18" x14ac:dyDescent="0.25">
      <c r="A1027" s="60" t="s">
        <v>17</v>
      </c>
      <c r="B1027" s="61" t="s">
        <v>18</v>
      </c>
      <c r="C1027" s="62" t="s">
        <v>19</v>
      </c>
      <c r="D1027" s="63">
        <v>234.67880016108623</v>
      </c>
      <c r="E1027" s="79">
        <v>1267889</v>
      </c>
      <c r="F1027" s="80">
        <v>1240106.863309355</v>
      </c>
      <c r="G1027" s="66">
        <v>1497.2823752549623</v>
      </c>
      <c r="H1027" s="67">
        <v>3</v>
      </c>
      <c r="I1027" s="68" t="s">
        <v>20</v>
      </c>
      <c r="J1027" s="69">
        <v>40</v>
      </c>
      <c r="K1027" s="70">
        <v>3</v>
      </c>
      <c r="L1027" s="68">
        <v>1</v>
      </c>
      <c r="M1027" s="68">
        <f>_xlfn.XLOOKUP(Survey!$F1027,sections[Start],sections[Test Section],,-1,1)</f>
        <v>2</v>
      </c>
      <c r="N1027" s="55">
        <f>_xlfn.XLOOKUP(Survey!$K1027,pipedata[ID],pipedata[WT])</f>
        <v>0.88800000000000001</v>
      </c>
      <c r="O1027" s="56">
        <f>_xlfn.XLOOKUP(Survey!$K1027,pipedata[ID],pipedata[104%])</f>
        <v>3078.4</v>
      </c>
      <c r="P1027" s="57">
        <f t="shared" si="16"/>
        <v>1850</v>
      </c>
      <c r="Q1027" s="58">
        <f>_xlfn.MAXIFS(Survey!$G$2:$G$3647,Survey!$M$2:$M$3647,Survey!$M1027)-Survey!$G1027</f>
        <v>1266.38386894678</v>
      </c>
      <c r="R1027" s="59">
        <f>Survey!$P1027+(Survey!$Q1027*0.433)</f>
        <v>2398.3442152539556</v>
      </c>
    </row>
    <row r="1028" spans="1:18" x14ac:dyDescent="0.25">
      <c r="A1028" s="71" t="s">
        <v>17</v>
      </c>
      <c r="B1028" s="72" t="s">
        <v>18</v>
      </c>
      <c r="C1028" s="73" t="s">
        <v>19</v>
      </c>
      <c r="D1028" s="74">
        <v>234.68708160981353</v>
      </c>
      <c r="E1028" s="81">
        <v>1267929</v>
      </c>
      <c r="F1028" s="82">
        <v>1240146.517985614</v>
      </c>
      <c r="G1028" s="75">
        <v>1497.2223534883401</v>
      </c>
      <c r="H1028" s="76">
        <v>3</v>
      </c>
      <c r="I1028" s="54" t="s">
        <v>20</v>
      </c>
      <c r="J1028" s="77">
        <v>40</v>
      </c>
      <c r="K1028" s="78">
        <v>3</v>
      </c>
      <c r="L1028" s="54">
        <v>1</v>
      </c>
      <c r="M1028" s="54">
        <f>_xlfn.XLOOKUP(Survey!$F1028,sections[Start],sections[Test Section],,-1,1)</f>
        <v>2</v>
      </c>
      <c r="N1028" s="55">
        <f>_xlfn.XLOOKUP(Survey!$K1028,pipedata[ID],pipedata[WT])</f>
        <v>0.88800000000000001</v>
      </c>
      <c r="O1028" s="56">
        <f>_xlfn.XLOOKUP(Survey!$K1028,pipedata[ID],pipedata[104%])</f>
        <v>3078.4</v>
      </c>
      <c r="P1028" s="57">
        <f t="shared" si="16"/>
        <v>1850</v>
      </c>
      <c r="Q1028" s="58">
        <f>_xlfn.MAXIFS(Survey!$G$2:$G$3647,Survey!$M$2:$M$3647,Survey!$M1028)-Survey!$G1028</f>
        <v>1266.4438907134022</v>
      </c>
      <c r="R1028" s="59">
        <f>Survey!$P1028+(Survey!$Q1028*0.433)</f>
        <v>2398.3702046789031</v>
      </c>
    </row>
    <row r="1029" spans="1:18" x14ac:dyDescent="0.25">
      <c r="A1029" s="60" t="s">
        <v>17</v>
      </c>
      <c r="B1029" s="61" t="s">
        <v>18</v>
      </c>
      <c r="C1029" s="62" t="s">
        <v>19</v>
      </c>
      <c r="D1029" s="63">
        <v>234.69459504124313</v>
      </c>
      <c r="E1029" s="79">
        <v>1267969</v>
      </c>
      <c r="F1029" s="80">
        <v>1240186.172661873</v>
      </c>
      <c r="G1029" s="66">
        <v>1497.3461454683784</v>
      </c>
      <c r="H1029" s="67">
        <v>3</v>
      </c>
      <c r="I1029" s="68" t="s">
        <v>20</v>
      </c>
      <c r="J1029" s="69">
        <v>40</v>
      </c>
      <c r="K1029" s="70">
        <v>3</v>
      </c>
      <c r="L1029" s="68">
        <v>1</v>
      </c>
      <c r="M1029" s="68">
        <f>_xlfn.XLOOKUP(Survey!$F1029,sections[Start],sections[Test Section],,-1,1)</f>
        <v>2</v>
      </c>
      <c r="N1029" s="55">
        <f>_xlfn.XLOOKUP(Survey!$K1029,pipedata[ID],pipedata[WT])</f>
        <v>0.88800000000000001</v>
      </c>
      <c r="O1029" s="56">
        <f>_xlfn.XLOOKUP(Survey!$K1029,pipedata[ID],pipedata[104%])</f>
        <v>3078.4</v>
      </c>
      <c r="P1029" s="57">
        <f t="shared" si="16"/>
        <v>1850</v>
      </c>
      <c r="Q1029" s="58">
        <f>_xlfn.MAXIFS(Survey!$G$2:$G$3647,Survey!$M$2:$M$3647,Survey!$M1029)-Survey!$G1029</f>
        <v>1266.3200987333639</v>
      </c>
      <c r="R1029" s="59">
        <f>Survey!$P1029+(Survey!$Q1029*0.433)</f>
        <v>2398.3166027515467</v>
      </c>
    </row>
    <row r="1030" spans="1:18" x14ac:dyDescent="0.25">
      <c r="A1030" s="71" t="s">
        <v>17</v>
      </c>
      <c r="B1030" s="72" t="s">
        <v>18</v>
      </c>
      <c r="C1030" s="73" t="s">
        <v>19</v>
      </c>
      <c r="D1030" s="74">
        <v>234.70199980001419</v>
      </c>
      <c r="E1030" s="81">
        <v>1268009</v>
      </c>
      <c r="F1030" s="82">
        <v>1240225.8273381321</v>
      </c>
      <c r="G1030" s="75">
        <v>1495.6528926414176</v>
      </c>
      <c r="H1030" s="76">
        <v>3</v>
      </c>
      <c r="I1030" s="54" t="s">
        <v>20</v>
      </c>
      <c r="J1030" s="77">
        <v>40</v>
      </c>
      <c r="K1030" s="78">
        <v>3</v>
      </c>
      <c r="L1030" s="54">
        <v>1</v>
      </c>
      <c r="M1030" s="54">
        <f>_xlfn.XLOOKUP(Survey!$F1030,sections[Start],sections[Test Section],,-1,1)</f>
        <v>2</v>
      </c>
      <c r="N1030" s="55">
        <f>_xlfn.XLOOKUP(Survey!$K1030,pipedata[ID],pipedata[WT])</f>
        <v>0.88800000000000001</v>
      </c>
      <c r="O1030" s="56">
        <f>_xlfn.XLOOKUP(Survey!$K1030,pipedata[ID],pipedata[104%])</f>
        <v>3078.4</v>
      </c>
      <c r="P1030" s="57">
        <f t="shared" si="16"/>
        <v>1850</v>
      </c>
      <c r="Q1030" s="58">
        <f>_xlfn.MAXIFS(Survey!$G$2:$G$3647,Survey!$M$2:$M$3647,Survey!$M1030)-Survey!$G1030</f>
        <v>1268.0133515603247</v>
      </c>
      <c r="R1030" s="59">
        <f>Survey!$P1030+(Survey!$Q1030*0.433)</f>
        <v>2399.0497812256208</v>
      </c>
    </row>
    <row r="1031" spans="1:18" x14ac:dyDescent="0.25">
      <c r="A1031" s="60" t="s">
        <v>17</v>
      </c>
      <c r="B1031" s="61" t="s">
        <v>18</v>
      </c>
      <c r="C1031" s="62" t="s">
        <v>19</v>
      </c>
      <c r="D1031" s="63">
        <v>234.7084029667009</v>
      </c>
      <c r="E1031" s="79">
        <v>1268049</v>
      </c>
      <c r="F1031" s="80">
        <v>1240265.4820143911</v>
      </c>
      <c r="G1031" s="66">
        <v>1491.1129216056306</v>
      </c>
      <c r="H1031" s="67">
        <v>3</v>
      </c>
      <c r="I1031" s="68" t="s">
        <v>20</v>
      </c>
      <c r="J1031" s="69">
        <v>40</v>
      </c>
      <c r="K1031" s="70">
        <v>3</v>
      </c>
      <c r="L1031" s="68">
        <v>1</v>
      </c>
      <c r="M1031" s="68">
        <f>_xlfn.XLOOKUP(Survey!$F1031,sections[Start],sections[Test Section],,-1,1)</f>
        <v>2</v>
      </c>
      <c r="N1031" s="55">
        <f>_xlfn.XLOOKUP(Survey!$K1031,pipedata[ID],pipedata[WT])</f>
        <v>0.88800000000000001</v>
      </c>
      <c r="O1031" s="56">
        <f>_xlfn.XLOOKUP(Survey!$K1031,pipedata[ID],pipedata[104%])</f>
        <v>3078.4</v>
      </c>
      <c r="P1031" s="57">
        <f t="shared" si="16"/>
        <v>1850</v>
      </c>
      <c r="Q1031" s="58">
        <f>_xlfn.MAXIFS(Survey!$G$2:$G$3647,Survey!$M$2:$M$3647,Survey!$M1031)-Survey!$G1031</f>
        <v>1272.5533225961117</v>
      </c>
      <c r="R1031" s="59">
        <f>Survey!$P1031+(Survey!$Q1031*0.433)</f>
        <v>2401.0155886841162</v>
      </c>
    </row>
    <row r="1032" spans="1:18" x14ac:dyDescent="0.25">
      <c r="A1032" s="71" t="s">
        <v>17</v>
      </c>
      <c r="B1032" s="72" t="s">
        <v>18</v>
      </c>
      <c r="C1032" s="73" t="s">
        <v>19</v>
      </c>
      <c r="D1032" s="74">
        <v>234.71715915575297</v>
      </c>
      <c r="E1032" s="81">
        <v>1268089</v>
      </c>
      <c r="F1032" s="82">
        <v>1240305.1366906501</v>
      </c>
      <c r="G1032" s="75">
        <v>1485.9490137202799</v>
      </c>
      <c r="H1032" s="76">
        <v>3</v>
      </c>
      <c r="I1032" s="54" t="s">
        <v>20</v>
      </c>
      <c r="J1032" s="77">
        <v>40</v>
      </c>
      <c r="K1032" s="78">
        <v>3</v>
      </c>
      <c r="L1032" s="54">
        <v>1</v>
      </c>
      <c r="M1032" s="54">
        <f>_xlfn.XLOOKUP(Survey!$F1032,sections[Start],sections[Test Section],,-1,1)</f>
        <v>2</v>
      </c>
      <c r="N1032" s="55">
        <f>_xlfn.XLOOKUP(Survey!$K1032,pipedata[ID],pipedata[WT])</f>
        <v>0.88800000000000001</v>
      </c>
      <c r="O1032" s="56">
        <f>_xlfn.XLOOKUP(Survey!$K1032,pipedata[ID],pipedata[104%])</f>
        <v>3078.4</v>
      </c>
      <c r="P1032" s="57">
        <f t="shared" si="16"/>
        <v>1850</v>
      </c>
      <c r="Q1032" s="58">
        <f>_xlfn.MAXIFS(Survey!$G$2:$G$3647,Survey!$M$2:$M$3647,Survey!$M1032)-Survey!$G1032</f>
        <v>1277.7172304814624</v>
      </c>
      <c r="R1032" s="59">
        <f>Survey!$P1032+(Survey!$Q1032*0.433)</f>
        <v>2403.2515607984733</v>
      </c>
    </row>
    <row r="1033" spans="1:18" x14ac:dyDescent="0.25">
      <c r="A1033" s="60" t="s">
        <v>17</v>
      </c>
      <c r="B1033" s="61" t="s">
        <v>18</v>
      </c>
      <c r="C1033" s="62" t="s">
        <v>19</v>
      </c>
      <c r="D1033" s="63">
        <v>234.72392839010575</v>
      </c>
      <c r="E1033" s="79">
        <v>1268129</v>
      </c>
      <c r="F1033" s="80">
        <v>1240344.7913669092</v>
      </c>
      <c r="G1033" s="66">
        <v>1481.0058995121474</v>
      </c>
      <c r="H1033" s="67">
        <v>3</v>
      </c>
      <c r="I1033" s="68" t="s">
        <v>20</v>
      </c>
      <c r="J1033" s="69">
        <v>40</v>
      </c>
      <c r="K1033" s="70">
        <v>3</v>
      </c>
      <c r="L1033" s="68">
        <v>1</v>
      </c>
      <c r="M1033" s="68">
        <f>_xlfn.XLOOKUP(Survey!$F1033,sections[Start],sections[Test Section],,-1,1)</f>
        <v>2</v>
      </c>
      <c r="N1033" s="55">
        <f>_xlfn.XLOOKUP(Survey!$K1033,pipedata[ID],pipedata[WT])</f>
        <v>0.88800000000000001</v>
      </c>
      <c r="O1033" s="56">
        <f>_xlfn.XLOOKUP(Survey!$K1033,pipedata[ID],pipedata[104%])</f>
        <v>3078.4</v>
      </c>
      <c r="P1033" s="57">
        <f t="shared" si="16"/>
        <v>1850</v>
      </c>
      <c r="Q1033" s="58">
        <f>_xlfn.MAXIFS(Survey!$G$2:$G$3647,Survey!$M$2:$M$3647,Survey!$M1033)-Survey!$G1033</f>
        <v>1282.6603446895949</v>
      </c>
      <c r="R1033" s="59">
        <f>Survey!$P1033+(Survey!$Q1033*0.433)</f>
        <v>2405.3919292505943</v>
      </c>
    </row>
    <row r="1034" spans="1:18" x14ac:dyDescent="0.25">
      <c r="A1034" s="71" t="s">
        <v>17</v>
      </c>
      <c r="B1034" s="72" t="s">
        <v>18</v>
      </c>
      <c r="C1034" s="73" t="s">
        <v>19</v>
      </c>
      <c r="D1034" s="74">
        <v>234.7323763792366</v>
      </c>
      <c r="E1034" s="64">
        <v>1268169</v>
      </c>
      <c r="F1034" s="65">
        <v>1240384.4460431682</v>
      </c>
      <c r="G1034" s="75">
        <v>1475.1502406494726</v>
      </c>
      <c r="H1034" s="76">
        <v>3</v>
      </c>
      <c r="I1034" s="54" t="s">
        <v>20</v>
      </c>
      <c r="J1034" s="77">
        <v>40</v>
      </c>
      <c r="K1034" s="78">
        <v>3</v>
      </c>
      <c r="L1034" s="54">
        <v>1</v>
      </c>
      <c r="M1034" s="54">
        <f>_xlfn.XLOOKUP(Survey!$F1034,sections[Start],sections[Test Section],,-1,1)</f>
        <v>2</v>
      </c>
      <c r="N1034" s="55">
        <f>_xlfn.XLOOKUP(Survey!$K1034,pipedata[ID],pipedata[WT])</f>
        <v>0.88800000000000001</v>
      </c>
      <c r="O1034" s="56">
        <f>_xlfn.XLOOKUP(Survey!$K1034,pipedata[ID],pipedata[104%])</f>
        <v>3078.4</v>
      </c>
      <c r="P1034" s="57">
        <f t="shared" si="16"/>
        <v>1850</v>
      </c>
      <c r="Q1034" s="58">
        <f>_xlfn.MAXIFS(Survey!$G$2:$G$3647,Survey!$M$2:$M$3647,Survey!$M1034)-Survey!$G1034</f>
        <v>1288.5160035522697</v>
      </c>
      <c r="R1034" s="59">
        <f>Survey!$P1034+(Survey!$Q1034*0.433)</f>
        <v>2407.9274295381329</v>
      </c>
    </row>
    <row r="1035" spans="1:18" x14ac:dyDescent="0.25">
      <c r="A1035" s="60" t="s">
        <v>17</v>
      </c>
      <c r="B1035" s="61" t="s">
        <v>18</v>
      </c>
      <c r="C1035" s="62" t="s">
        <v>19</v>
      </c>
      <c r="D1035" s="63">
        <v>234.73972327026254</v>
      </c>
      <c r="E1035" s="64">
        <v>1268209</v>
      </c>
      <c r="F1035" s="65">
        <v>1240424.1007194272</v>
      </c>
      <c r="G1035" s="66">
        <v>1468.5801366916523</v>
      </c>
      <c r="H1035" s="67">
        <v>3</v>
      </c>
      <c r="I1035" s="68" t="s">
        <v>20</v>
      </c>
      <c r="J1035" s="69">
        <v>40</v>
      </c>
      <c r="K1035" s="70">
        <v>3</v>
      </c>
      <c r="L1035" s="68">
        <v>1</v>
      </c>
      <c r="M1035" s="68">
        <f>_xlfn.XLOOKUP(Survey!$F1035,sections[Start],sections[Test Section],,-1,1)</f>
        <v>2</v>
      </c>
      <c r="N1035" s="55">
        <f>_xlfn.XLOOKUP(Survey!$K1035,pipedata[ID],pipedata[WT])</f>
        <v>0.88800000000000001</v>
      </c>
      <c r="O1035" s="56">
        <f>_xlfn.XLOOKUP(Survey!$K1035,pipedata[ID],pipedata[104%])</f>
        <v>3078.4</v>
      </c>
      <c r="P1035" s="57">
        <f t="shared" si="16"/>
        <v>1850</v>
      </c>
      <c r="Q1035" s="58">
        <f>_xlfn.MAXIFS(Survey!$G$2:$G$3647,Survey!$M$2:$M$3647,Survey!$M1035)-Survey!$G1035</f>
        <v>1295.08610751009</v>
      </c>
      <c r="R1035" s="59">
        <f>Survey!$P1035+(Survey!$Q1035*0.433)</f>
        <v>2410.7722845518688</v>
      </c>
    </row>
    <row r="1036" spans="1:18" x14ac:dyDescent="0.25">
      <c r="A1036" s="71" t="s">
        <v>17</v>
      </c>
      <c r="B1036" s="72" t="s">
        <v>18</v>
      </c>
      <c r="C1036" s="73" t="s">
        <v>19</v>
      </c>
      <c r="D1036" s="74">
        <v>234.7468219668159</v>
      </c>
      <c r="E1036" s="81">
        <v>1268249</v>
      </c>
      <c r="F1036" s="82">
        <v>1240463.7553956863</v>
      </c>
      <c r="G1036" s="75">
        <v>1464.1698078530653</v>
      </c>
      <c r="H1036" s="76">
        <v>3</v>
      </c>
      <c r="I1036" s="54" t="s">
        <v>20</v>
      </c>
      <c r="J1036" s="77">
        <v>40</v>
      </c>
      <c r="K1036" s="78">
        <v>3</v>
      </c>
      <c r="L1036" s="54">
        <v>1</v>
      </c>
      <c r="M1036" s="54">
        <f>_xlfn.XLOOKUP(Survey!$F1036,sections[Start],sections[Test Section],,-1,1)</f>
        <v>2</v>
      </c>
      <c r="N1036" s="55">
        <f>_xlfn.XLOOKUP(Survey!$K1036,pipedata[ID],pipedata[WT])</f>
        <v>0.88800000000000001</v>
      </c>
      <c r="O1036" s="56">
        <f>_xlfn.XLOOKUP(Survey!$K1036,pipedata[ID],pipedata[104%])</f>
        <v>3078.4</v>
      </c>
      <c r="P1036" s="57">
        <f t="shared" si="16"/>
        <v>1850</v>
      </c>
      <c r="Q1036" s="58">
        <f>_xlfn.MAXIFS(Survey!$G$2:$G$3647,Survey!$M$2:$M$3647,Survey!$M1036)-Survey!$G1036</f>
        <v>1299.496436348677</v>
      </c>
      <c r="R1036" s="59">
        <f>Survey!$P1036+(Survey!$Q1036*0.433)</f>
        <v>2412.6819569389772</v>
      </c>
    </row>
    <row r="1037" spans="1:18" x14ac:dyDescent="0.25">
      <c r="A1037" s="60" t="s">
        <v>17</v>
      </c>
      <c r="B1037" s="61" t="s">
        <v>18</v>
      </c>
      <c r="C1037" s="62" t="s">
        <v>19</v>
      </c>
      <c r="D1037" s="63">
        <v>234.75328165743178</v>
      </c>
      <c r="E1037" s="79">
        <v>1268289</v>
      </c>
      <c r="F1037" s="80">
        <v>1240503.4100719453</v>
      </c>
      <c r="G1037" s="66">
        <v>1460.7436017513014</v>
      </c>
      <c r="H1037" s="67">
        <v>3</v>
      </c>
      <c r="I1037" s="68" t="s">
        <v>20</v>
      </c>
      <c r="J1037" s="69">
        <v>40</v>
      </c>
      <c r="K1037" s="70">
        <v>3</v>
      </c>
      <c r="L1037" s="68">
        <v>1</v>
      </c>
      <c r="M1037" s="68">
        <f>_xlfn.XLOOKUP(Survey!$F1037,sections[Start],sections[Test Section],,-1,1)</f>
        <v>2</v>
      </c>
      <c r="N1037" s="55">
        <f>_xlfn.XLOOKUP(Survey!$K1037,pipedata[ID],pipedata[WT])</f>
        <v>0.88800000000000001</v>
      </c>
      <c r="O1037" s="56">
        <f>_xlfn.XLOOKUP(Survey!$K1037,pipedata[ID],pipedata[104%])</f>
        <v>3078.4</v>
      </c>
      <c r="P1037" s="57">
        <f t="shared" si="16"/>
        <v>1850</v>
      </c>
      <c r="Q1037" s="58">
        <f>_xlfn.MAXIFS(Survey!$G$2:$G$3647,Survey!$M$2:$M$3647,Survey!$M1037)-Survey!$G1037</f>
        <v>1302.9226424504409</v>
      </c>
      <c r="R1037" s="59">
        <f>Survey!$P1037+(Survey!$Q1037*0.433)</f>
        <v>2414.1655041810409</v>
      </c>
    </row>
    <row r="1038" spans="1:18" x14ac:dyDescent="0.25">
      <c r="A1038" s="71" t="s">
        <v>17</v>
      </c>
      <c r="B1038" s="72" t="s">
        <v>18</v>
      </c>
      <c r="C1038" s="73" t="s">
        <v>19</v>
      </c>
      <c r="D1038" s="74">
        <v>234.76228738477164</v>
      </c>
      <c r="E1038" s="81">
        <v>1268329</v>
      </c>
      <c r="F1038" s="82">
        <v>1240543.0647482043</v>
      </c>
      <c r="G1038" s="75">
        <v>1455.1281230968432</v>
      </c>
      <c r="H1038" s="76">
        <v>3</v>
      </c>
      <c r="I1038" s="54" t="s">
        <v>20</v>
      </c>
      <c r="J1038" s="77">
        <v>40</v>
      </c>
      <c r="K1038" s="78">
        <v>3</v>
      </c>
      <c r="L1038" s="54">
        <v>1</v>
      </c>
      <c r="M1038" s="54">
        <f>_xlfn.XLOOKUP(Survey!$F1038,sections[Start],sections[Test Section],,-1,1)</f>
        <v>2</v>
      </c>
      <c r="N1038" s="55">
        <f>_xlfn.XLOOKUP(Survey!$K1038,pipedata[ID],pipedata[WT])</f>
        <v>0.88800000000000001</v>
      </c>
      <c r="O1038" s="56">
        <f>_xlfn.XLOOKUP(Survey!$K1038,pipedata[ID],pipedata[104%])</f>
        <v>3078.4</v>
      </c>
      <c r="P1038" s="57">
        <f t="shared" si="16"/>
        <v>1850</v>
      </c>
      <c r="Q1038" s="58">
        <f>_xlfn.MAXIFS(Survey!$G$2:$G$3647,Survey!$M$2:$M$3647,Survey!$M1038)-Survey!$G1038</f>
        <v>1308.5381211048991</v>
      </c>
      <c r="R1038" s="59">
        <f>Survey!$P1038+(Survey!$Q1038*0.433)</f>
        <v>2416.5970064384214</v>
      </c>
    </row>
    <row r="1039" spans="1:18" x14ac:dyDescent="0.25">
      <c r="A1039" s="60" t="s">
        <v>17</v>
      </c>
      <c r="B1039" s="61" t="s">
        <v>18</v>
      </c>
      <c r="C1039" s="62" t="s">
        <v>19</v>
      </c>
      <c r="D1039" s="63">
        <v>234.76905661912468</v>
      </c>
      <c r="E1039" s="79">
        <v>1268369</v>
      </c>
      <c r="F1039" s="80">
        <v>1240582.7194244633</v>
      </c>
      <c r="G1039" s="66">
        <v>1449.8526016772767</v>
      </c>
      <c r="H1039" s="67">
        <v>3</v>
      </c>
      <c r="I1039" s="68" t="s">
        <v>20</v>
      </c>
      <c r="J1039" s="69">
        <v>40</v>
      </c>
      <c r="K1039" s="70">
        <v>3</v>
      </c>
      <c r="L1039" s="68">
        <v>1</v>
      </c>
      <c r="M1039" s="68">
        <f>_xlfn.XLOOKUP(Survey!$F1039,sections[Start],sections[Test Section],,-1,1)</f>
        <v>2</v>
      </c>
      <c r="N1039" s="55">
        <f>_xlfn.XLOOKUP(Survey!$K1039,pipedata[ID],pipedata[WT])</f>
        <v>0.88800000000000001</v>
      </c>
      <c r="O1039" s="56">
        <f>_xlfn.XLOOKUP(Survey!$K1039,pipedata[ID],pipedata[104%])</f>
        <v>3078.4</v>
      </c>
      <c r="P1039" s="57">
        <f t="shared" si="16"/>
        <v>1850</v>
      </c>
      <c r="Q1039" s="58">
        <f>_xlfn.MAXIFS(Survey!$G$2:$G$3647,Survey!$M$2:$M$3647,Survey!$M1039)-Survey!$G1039</f>
        <v>1313.8136425244656</v>
      </c>
      <c r="R1039" s="59">
        <f>Survey!$P1039+(Survey!$Q1039*0.433)</f>
        <v>2418.8813072130934</v>
      </c>
    </row>
    <row r="1040" spans="1:18" x14ac:dyDescent="0.25">
      <c r="A1040" s="71" t="s">
        <v>17</v>
      </c>
      <c r="B1040" s="72" t="s">
        <v>18</v>
      </c>
      <c r="C1040" s="73" t="s">
        <v>19</v>
      </c>
      <c r="D1040" s="74">
        <v>234.77582585347758</v>
      </c>
      <c r="E1040" s="81">
        <v>1268409</v>
      </c>
      <c r="F1040" s="82">
        <v>1240622.3741007224</v>
      </c>
      <c r="G1040" s="75">
        <v>1443.2317299441324</v>
      </c>
      <c r="H1040" s="76">
        <v>3</v>
      </c>
      <c r="I1040" s="54" t="s">
        <v>20</v>
      </c>
      <c r="J1040" s="77">
        <v>40</v>
      </c>
      <c r="K1040" s="78">
        <v>3</v>
      </c>
      <c r="L1040" s="54">
        <v>1</v>
      </c>
      <c r="M1040" s="54">
        <f>_xlfn.XLOOKUP(Survey!$F1040,sections[Start],sections[Test Section],,-1,1)</f>
        <v>2</v>
      </c>
      <c r="N1040" s="55">
        <f>_xlfn.XLOOKUP(Survey!$K1040,pipedata[ID],pipedata[WT])</f>
        <v>0.88800000000000001</v>
      </c>
      <c r="O1040" s="56">
        <f>_xlfn.XLOOKUP(Survey!$K1040,pipedata[ID],pipedata[104%])</f>
        <v>3078.4</v>
      </c>
      <c r="P1040" s="57">
        <f t="shared" si="16"/>
        <v>1850</v>
      </c>
      <c r="Q1040" s="58">
        <f>_xlfn.MAXIFS(Survey!$G$2:$G$3647,Survey!$M$2:$M$3647,Survey!$M1040)-Survey!$G1040</f>
        <v>1320.4345142576099</v>
      </c>
      <c r="R1040" s="59">
        <f>Survey!$P1040+(Survey!$Q1040*0.433)</f>
        <v>2421.7481446735451</v>
      </c>
    </row>
    <row r="1041" spans="1:18" x14ac:dyDescent="0.25">
      <c r="A1041" s="60" t="s">
        <v>17</v>
      </c>
      <c r="B1041" s="61" t="s">
        <v>18</v>
      </c>
      <c r="C1041" s="62" t="s">
        <v>19</v>
      </c>
      <c r="D1041" s="63">
        <v>234.78485149928156</v>
      </c>
      <c r="E1041" s="79">
        <v>1268449</v>
      </c>
      <c r="F1041" s="80">
        <v>1240662.0287769814</v>
      </c>
      <c r="G1041" s="66">
        <v>1433.7840536311269</v>
      </c>
      <c r="H1041" s="67">
        <v>3</v>
      </c>
      <c r="I1041" s="68" t="s">
        <v>20</v>
      </c>
      <c r="J1041" s="69">
        <v>40</v>
      </c>
      <c r="K1041" s="70">
        <v>3</v>
      </c>
      <c r="L1041" s="68">
        <v>1</v>
      </c>
      <c r="M1041" s="68">
        <f>_xlfn.XLOOKUP(Survey!$F1041,sections[Start],sections[Test Section],,-1,1)</f>
        <v>2</v>
      </c>
      <c r="N1041" s="55">
        <f>_xlfn.XLOOKUP(Survey!$K1041,pipedata[ID],pipedata[WT])</f>
        <v>0.88800000000000001</v>
      </c>
      <c r="O1041" s="56">
        <f>_xlfn.XLOOKUP(Survey!$K1041,pipedata[ID],pipedata[104%])</f>
        <v>3078.4</v>
      </c>
      <c r="P1041" s="57">
        <f t="shared" si="16"/>
        <v>1850</v>
      </c>
      <c r="Q1041" s="58">
        <f>_xlfn.MAXIFS(Survey!$G$2:$G$3647,Survey!$M$2:$M$3647,Survey!$M1041)-Survey!$G1041</f>
        <v>1329.8821905706154</v>
      </c>
      <c r="R1041" s="59">
        <f>Survey!$P1041+(Survey!$Q1041*0.433)</f>
        <v>2425.8389885170764</v>
      </c>
    </row>
    <row r="1042" spans="1:18" x14ac:dyDescent="0.25">
      <c r="A1042" s="71" t="s">
        <v>17</v>
      </c>
      <c r="B1042" s="72" t="s">
        <v>18</v>
      </c>
      <c r="C1042" s="73" t="s">
        <v>19</v>
      </c>
      <c r="D1042" s="74">
        <v>234.79164413361349</v>
      </c>
      <c r="E1042" s="81">
        <v>1268489</v>
      </c>
      <c r="F1042" s="82">
        <v>1240701.6834532404</v>
      </c>
      <c r="G1042" s="75">
        <v>1425.9348569289891</v>
      </c>
      <c r="H1042" s="76">
        <v>3</v>
      </c>
      <c r="I1042" s="54" t="s">
        <v>20</v>
      </c>
      <c r="J1042" s="77">
        <v>40</v>
      </c>
      <c r="K1042" s="78">
        <v>3</v>
      </c>
      <c r="L1042" s="54">
        <v>1</v>
      </c>
      <c r="M1042" s="54">
        <f>_xlfn.XLOOKUP(Survey!$F1042,sections[Start],sections[Test Section],,-1,1)</f>
        <v>2</v>
      </c>
      <c r="N1042" s="55">
        <f>_xlfn.XLOOKUP(Survey!$K1042,pipedata[ID],pipedata[WT])</f>
        <v>0.88800000000000001</v>
      </c>
      <c r="O1042" s="56">
        <f>_xlfn.XLOOKUP(Survey!$K1042,pipedata[ID],pipedata[104%])</f>
        <v>3078.4</v>
      </c>
      <c r="P1042" s="57">
        <f t="shared" si="16"/>
        <v>1850</v>
      </c>
      <c r="Q1042" s="58">
        <f>_xlfn.MAXIFS(Survey!$G$2:$G$3647,Survey!$M$2:$M$3647,Survey!$M1042)-Survey!$G1042</f>
        <v>1337.7313872727532</v>
      </c>
      <c r="R1042" s="59">
        <f>Survey!$P1042+(Survey!$Q1042*0.433)</f>
        <v>2429.2376906891022</v>
      </c>
    </row>
    <row r="1043" spans="1:18" x14ac:dyDescent="0.25">
      <c r="A1043" s="60" t="s">
        <v>17</v>
      </c>
      <c r="B1043" s="61" t="s">
        <v>18</v>
      </c>
      <c r="C1043" s="62" t="s">
        <v>19</v>
      </c>
      <c r="D1043" s="63">
        <v>234.79857642685701</v>
      </c>
      <c r="E1043" s="79">
        <v>1268529</v>
      </c>
      <c r="F1043" s="80">
        <v>1240741.3381294995</v>
      </c>
      <c r="G1043" s="66">
        <v>1415.6796600230095</v>
      </c>
      <c r="H1043" s="67">
        <v>3</v>
      </c>
      <c r="I1043" s="68" t="s">
        <v>20</v>
      </c>
      <c r="J1043" s="69">
        <v>40</v>
      </c>
      <c r="K1043" s="70">
        <v>3</v>
      </c>
      <c r="L1043" s="68">
        <v>1</v>
      </c>
      <c r="M1043" s="68">
        <f>_xlfn.XLOOKUP(Survey!$F1043,sections[Start],sections[Test Section],,-1,1)</f>
        <v>2</v>
      </c>
      <c r="N1043" s="55">
        <f>_xlfn.XLOOKUP(Survey!$K1043,pipedata[ID],pipedata[WT])</f>
        <v>0.88800000000000001</v>
      </c>
      <c r="O1043" s="56">
        <f>_xlfn.XLOOKUP(Survey!$K1043,pipedata[ID],pipedata[104%])</f>
        <v>3078.4</v>
      </c>
      <c r="P1043" s="57">
        <f t="shared" si="16"/>
        <v>1850</v>
      </c>
      <c r="Q1043" s="58">
        <f>_xlfn.MAXIFS(Survey!$G$2:$G$3647,Survey!$M$2:$M$3647,Survey!$M1043)-Survey!$G1043</f>
        <v>1347.9865841787328</v>
      </c>
      <c r="R1043" s="59">
        <f>Survey!$P1043+(Survey!$Q1043*0.433)</f>
        <v>2433.6781909493911</v>
      </c>
    </row>
    <row r="1044" spans="1:18" x14ac:dyDescent="0.25">
      <c r="A1044" s="71" t="s">
        <v>17</v>
      </c>
      <c r="B1044" s="72" t="s">
        <v>18</v>
      </c>
      <c r="C1044" s="73" t="s">
        <v>19</v>
      </c>
      <c r="D1044" s="74">
        <v>234.80554485292276</v>
      </c>
      <c r="E1044" s="81">
        <v>1268569</v>
      </c>
      <c r="F1044" s="82">
        <v>1240780.9928057585</v>
      </c>
      <c r="G1044" s="75">
        <v>1408.0939908800692</v>
      </c>
      <c r="H1044" s="76">
        <v>3</v>
      </c>
      <c r="I1044" s="54" t="s">
        <v>20</v>
      </c>
      <c r="J1044" s="77">
        <v>40</v>
      </c>
      <c r="K1044" s="78">
        <v>3</v>
      </c>
      <c r="L1044" s="54">
        <v>1</v>
      </c>
      <c r="M1044" s="54">
        <f>_xlfn.XLOOKUP(Survey!$F1044,sections[Start],sections[Test Section],,-1,1)</f>
        <v>2</v>
      </c>
      <c r="N1044" s="55">
        <f>_xlfn.XLOOKUP(Survey!$K1044,pipedata[ID],pipedata[WT])</f>
        <v>0.88800000000000001</v>
      </c>
      <c r="O1044" s="56">
        <f>_xlfn.XLOOKUP(Survey!$K1044,pipedata[ID],pipedata[104%])</f>
        <v>3078.4</v>
      </c>
      <c r="P1044" s="57">
        <f t="shared" si="16"/>
        <v>1850</v>
      </c>
      <c r="Q1044" s="58">
        <f>_xlfn.MAXIFS(Survey!$G$2:$G$3647,Survey!$M$2:$M$3647,Survey!$M1044)-Survey!$G1044</f>
        <v>1355.5722533216731</v>
      </c>
      <c r="R1044" s="59">
        <f>Survey!$P1044+(Survey!$Q1044*0.433)</f>
        <v>2436.9627856882844</v>
      </c>
    </row>
    <row r="1045" spans="1:18" x14ac:dyDescent="0.25">
      <c r="A1045" s="60" t="s">
        <v>17</v>
      </c>
      <c r="B1045" s="61" t="s">
        <v>18</v>
      </c>
      <c r="C1045" s="62" t="s">
        <v>19</v>
      </c>
      <c r="D1045" s="63">
        <v>234.81418484814273</v>
      </c>
      <c r="E1045" s="79">
        <v>1268609</v>
      </c>
      <c r="F1045" s="80">
        <v>1240820.6474820175</v>
      </c>
      <c r="G1045" s="66">
        <v>1401.6312313371868</v>
      </c>
      <c r="H1045" s="67">
        <v>3</v>
      </c>
      <c r="I1045" s="68" t="s">
        <v>20</v>
      </c>
      <c r="J1045" s="69">
        <v>40</v>
      </c>
      <c r="K1045" s="70">
        <v>3</v>
      </c>
      <c r="L1045" s="68">
        <v>1</v>
      </c>
      <c r="M1045" s="68">
        <f>_xlfn.XLOOKUP(Survey!$F1045,sections[Start],sections[Test Section],,-1,1)</f>
        <v>2</v>
      </c>
      <c r="N1045" s="55">
        <f>_xlfn.XLOOKUP(Survey!$K1045,pipedata[ID],pipedata[WT])</f>
        <v>0.88800000000000001</v>
      </c>
      <c r="O1045" s="56">
        <f>_xlfn.XLOOKUP(Survey!$K1045,pipedata[ID],pipedata[104%])</f>
        <v>3078.4</v>
      </c>
      <c r="P1045" s="57">
        <f t="shared" si="16"/>
        <v>1850</v>
      </c>
      <c r="Q1045" s="58">
        <f>_xlfn.MAXIFS(Survey!$G$2:$G$3647,Survey!$M$2:$M$3647,Survey!$M1045)-Survey!$G1045</f>
        <v>1362.0350128645555</v>
      </c>
      <c r="R1045" s="59">
        <f>Survey!$P1045+(Survey!$Q1045*0.433)</f>
        <v>2439.7611605703523</v>
      </c>
    </row>
    <row r="1046" spans="1:18" x14ac:dyDescent="0.25">
      <c r="A1046" s="71" t="s">
        <v>17</v>
      </c>
      <c r="B1046" s="72" t="s">
        <v>18</v>
      </c>
      <c r="C1046" s="73" t="s">
        <v>19</v>
      </c>
      <c r="D1046" s="74">
        <v>234.82095408249549</v>
      </c>
      <c r="E1046" s="81">
        <v>1268649</v>
      </c>
      <c r="F1046" s="82">
        <v>1240860.3021582766</v>
      </c>
      <c r="G1046" s="75">
        <v>1394.4724346036046</v>
      </c>
      <c r="H1046" s="76">
        <v>3</v>
      </c>
      <c r="I1046" s="54" t="s">
        <v>20</v>
      </c>
      <c r="J1046" s="77">
        <v>40</v>
      </c>
      <c r="K1046" s="78">
        <v>3</v>
      </c>
      <c r="L1046" s="54">
        <v>1</v>
      </c>
      <c r="M1046" s="54">
        <f>_xlfn.XLOOKUP(Survey!$F1046,sections[Start],sections[Test Section],,-1,1)</f>
        <v>2</v>
      </c>
      <c r="N1046" s="55">
        <f>_xlfn.XLOOKUP(Survey!$K1046,pipedata[ID],pipedata[WT])</f>
        <v>0.88800000000000001</v>
      </c>
      <c r="O1046" s="56">
        <f>_xlfn.XLOOKUP(Survey!$K1046,pipedata[ID],pipedata[104%])</f>
        <v>3078.4</v>
      </c>
      <c r="P1046" s="57">
        <f t="shared" si="16"/>
        <v>1850</v>
      </c>
      <c r="Q1046" s="58">
        <f>_xlfn.MAXIFS(Survey!$G$2:$G$3647,Survey!$M$2:$M$3647,Survey!$M1046)-Survey!$G1046</f>
        <v>1369.1938095981377</v>
      </c>
      <c r="R1046" s="59">
        <f>Survey!$P1046+(Survey!$Q1046*0.433)</f>
        <v>2442.8609195559939</v>
      </c>
    </row>
    <row r="1047" spans="1:18" x14ac:dyDescent="0.25">
      <c r="A1047" s="60" t="s">
        <v>17</v>
      </c>
      <c r="B1047" s="61" t="s">
        <v>18</v>
      </c>
      <c r="C1047" s="62" t="s">
        <v>19</v>
      </c>
      <c r="D1047" s="63">
        <v>234.82876713278603</v>
      </c>
      <c r="E1047" s="79">
        <v>1268689</v>
      </c>
      <c r="F1047" s="80">
        <v>1240899.9568345356</v>
      </c>
      <c r="G1047" s="66">
        <v>1385.9345844190568</v>
      </c>
      <c r="H1047" s="67">
        <v>3</v>
      </c>
      <c r="I1047" s="68" t="s">
        <v>20</v>
      </c>
      <c r="J1047" s="69">
        <v>40</v>
      </c>
      <c r="K1047" s="70">
        <v>3</v>
      </c>
      <c r="L1047" s="68">
        <v>1</v>
      </c>
      <c r="M1047" s="68">
        <f>_xlfn.XLOOKUP(Survey!$F1047,sections[Start],sections[Test Section],,-1,1)</f>
        <v>2</v>
      </c>
      <c r="N1047" s="55">
        <f>_xlfn.XLOOKUP(Survey!$K1047,pipedata[ID],pipedata[WT])</f>
        <v>0.88800000000000001</v>
      </c>
      <c r="O1047" s="56">
        <f>_xlfn.XLOOKUP(Survey!$K1047,pipedata[ID],pipedata[104%])</f>
        <v>3078.4</v>
      </c>
      <c r="P1047" s="57">
        <f t="shared" si="16"/>
        <v>1850</v>
      </c>
      <c r="Q1047" s="58">
        <f>_xlfn.MAXIFS(Survey!$G$2:$G$3647,Survey!$M$2:$M$3647,Survey!$M1047)-Survey!$G1047</f>
        <v>1377.7316597826855</v>
      </c>
      <c r="R1047" s="59">
        <f>Survey!$P1047+(Survey!$Q1047*0.433)</f>
        <v>2446.5578086859027</v>
      </c>
    </row>
    <row r="1048" spans="1:18" x14ac:dyDescent="0.25">
      <c r="A1048" s="71" t="s">
        <v>17</v>
      </c>
      <c r="B1048" s="72" t="s">
        <v>18</v>
      </c>
      <c r="C1048" s="73" t="s">
        <v>19</v>
      </c>
      <c r="D1048" s="74">
        <v>234.83622555936299</v>
      </c>
      <c r="E1048" s="81">
        <v>1268729</v>
      </c>
      <c r="F1048" s="82">
        <v>1240939.6115107946</v>
      </c>
      <c r="G1048" s="75">
        <v>1380.216788806483</v>
      </c>
      <c r="H1048" s="76">
        <v>3</v>
      </c>
      <c r="I1048" s="54" t="s">
        <v>20</v>
      </c>
      <c r="J1048" s="77">
        <v>40</v>
      </c>
      <c r="K1048" s="78">
        <v>3</v>
      </c>
      <c r="L1048" s="54">
        <v>1</v>
      </c>
      <c r="M1048" s="54">
        <f>_xlfn.XLOOKUP(Survey!$F1048,sections[Start],sections[Test Section],,-1,1)</f>
        <v>2</v>
      </c>
      <c r="N1048" s="55">
        <f>_xlfn.XLOOKUP(Survey!$K1048,pipedata[ID],pipedata[WT])</f>
        <v>0.88800000000000001</v>
      </c>
      <c r="O1048" s="56">
        <f>_xlfn.XLOOKUP(Survey!$K1048,pipedata[ID],pipedata[104%])</f>
        <v>3078.4</v>
      </c>
      <c r="P1048" s="57">
        <f t="shared" si="16"/>
        <v>1850</v>
      </c>
      <c r="Q1048" s="58">
        <f>_xlfn.MAXIFS(Survey!$G$2:$G$3647,Survey!$M$2:$M$3647,Survey!$M1048)-Survey!$G1048</f>
        <v>1383.4494553952593</v>
      </c>
      <c r="R1048" s="59">
        <f>Survey!$P1048+(Survey!$Q1048*0.433)</f>
        <v>2449.0336141861471</v>
      </c>
    </row>
    <row r="1049" spans="1:18" x14ac:dyDescent="0.25">
      <c r="A1049" s="60" t="s">
        <v>17</v>
      </c>
      <c r="B1049" s="61" t="s">
        <v>18</v>
      </c>
      <c r="C1049" s="62" t="s">
        <v>19</v>
      </c>
      <c r="D1049" s="63">
        <v>234.84394101392743</v>
      </c>
      <c r="E1049" s="79">
        <v>1268769</v>
      </c>
      <c r="F1049" s="80">
        <v>1240979.2661870536</v>
      </c>
      <c r="G1049" s="66">
        <v>1377.8847966834783</v>
      </c>
      <c r="H1049" s="67">
        <v>3</v>
      </c>
      <c r="I1049" s="68" t="s">
        <v>20</v>
      </c>
      <c r="J1049" s="69">
        <v>40</v>
      </c>
      <c r="K1049" s="70">
        <v>3</v>
      </c>
      <c r="L1049" s="68">
        <v>1</v>
      </c>
      <c r="M1049" s="68">
        <f>_xlfn.XLOOKUP(Survey!$F1049,sections[Start],sections[Test Section],,-1,1)</f>
        <v>3</v>
      </c>
      <c r="N1049" s="55">
        <f>_xlfn.XLOOKUP(Survey!$K1049,pipedata[ID],pipedata[WT])</f>
        <v>0.88800000000000001</v>
      </c>
      <c r="O1049" s="56">
        <f>_xlfn.XLOOKUP(Survey!$K1049,pipedata[ID],pipedata[104%])</f>
        <v>3078.4</v>
      </c>
      <c r="P1049" s="57">
        <f t="shared" si="16"/>
        <v>1850</v>
      </c>
      <c r="Q1049" s="58">
        <f>_xlfn.MAXIFS(Survey!$G$2:$G$3647,Survey!$M$2:$M$3647,Survey!$M1049)-Survey!$G1049</f>
        <v>0</v>
      </c>
      <c r="R1049" s="59">
        <f>Survey!$P1049+(Survey!$Q1049*0.433)</f>
        <v>1850</v>
      </c>
    </row>
    <row r="1050" spans="1:18" x14ac:dyDescent="0.25">
      <c r="A1050" s="71" t="s">
        <v>17</v>
      </c>
      <c r="B1050" s="72" t="s">
        <v>18</v>
      </c>
      <c r="C1050" s="73" t="s">
        <v>19</v>
      </c>
      <c r="D1050" s="74">
        <v>234.85199359499887</v>
      </c>
      <c r="E1050" s="81">
        <v>1268809</v>
      </c>
      <c r="F1050" s="82">
        <v>1241018.9208633127</v>
      </c>
      <c r="G1050" s="75">
        <v>1374.3639851483088</v>
      </c>
      <c r="H1050" s="76">
        <v>3</v>
      </c>
      <c r="I1050" s="54" t="s">
        <v>20</v>
      </c>
      <c r="J1050" s="77">
        <v>40</v>
      </c>
      <c r="K1050" s="78">
        <v>3</v>
      </c>
      <c r="L1050" s="54">
        <v>1</v>
      </c>
      <c r="M1050" s="54">
        <f>_xlfn.XLOOKUP(Survey!$F1050,sections[Start],sections[Test Section],,-1,1)</f>
        <v>3</v>
      </c>
      <c r="N1050" s="55">
        <f>_xlfn.XLOOKUP(Survey!$K1050,pipedata[ID],pipedata[WT])</f>
        <v>0.88800000000000001</v>
      </c>
      <c r="O1050" s="56">
        <f>_xlfn.XLOOKUP(Survey!$K1050,pipedata[ID],pipedata[104%])</f>
        <v>3078.4</v>
      </c>
      <c r="P1050" s="57">
        <f t="shared" si="16"/>
        <v>1850</v>
      </c>
      <c r="Q1050" s="58">
        <f>_xlfn.MAXIFS(Survey!$G$2:$G$3647,Survey!$M$2:$M$3647,Survey!$M1050)-Survey!$G1050</f>
        <v>3.5208115351695142</v>
      </c>
      <c r="R1050" s="59">
        <f>Survey!$P1050+(Survey!$Q1050*0.433)</f>
        <v>1851.5245113947285</v>
      </c>
    </row>
    <row r="1051" spans="1:18" x14ac:dyDescent="0.25">
      <c r="A1051" s="60" t="s">
        <v>17</v>
      </c>
      <c r="B1051" s="61" t="s">
        <v>18</v>
      </c>
      <c r="C1051" s="62" t="s">
        <v>19</v>
      </c>
      <c r="D1051" s="63">
        <v>234.85857290491253</v>
      </c>
      <c r="E1051" s="79">
        <v>1268849</v>
      </c>
      <c r="F1051" s="80">
        <v>1241058.5755395717</v>
      </c>
      <c r="G1051" s="66">
        <v>1371.4571010027546</v>
      </c>
      <c r="H1051" s="67">
        <v>3</v>
      </c>
      <c r="I1051" s="68" t="s">
        <v>20</v>
      </c>
      <c r="J1051" s="69">
        <v>40</v>
      </c>
      <c r="K1051" s="70">
        <v>3</v>
      </c>
      <c r="L1051" s="68">
        <v>1</v>
      </c>
      <c r="M1051" s="68">
        <f>_xlfn.XLOOKUP(Survey!$F1051,sections[Start],sections[Test Section],,-1,1)</f>
        <v>3</v>
      </c>
      <c r="N1051" s="55">
        <f>_xlfn.XLOOKUP(Survey!$K1051,pipedata[ID],pipedata[WT])</f>
        <v>0.88800000000000001</v>
      </c>
      <c r="O1051" s="56">
        <f>_xlfn.XLOOKUP(Survey!$K1051,pipedata[ID],pipedata[104%])</f>
        <v>3078.4</v>
      </c>
      <c r="P1051" s="57">
        <f t="shared" si="16"/>
        <v>1850</v>
      </c>
      <c r="Q1051" s="58">
        <f>_xlfn.MAXIFS(Survey!$G$2:$G$3647,Survey!$M$2:$M$3647,Survey!$M1051)-Survey!$G1051</f>
        <v>6.4276956807236729</v>
      </c>
      <c r="R1051" s="59">
        <f>Survey!$P1051+(Survey!$Q1051*0.433)</f>
        <v>1852.7831922297532</v>
      </c>
    </row>
    <row r="1052" spans="1:18" x14ac:dyDescent="0.25">
      <c r="A1052" s="71" t="s">
        <v>17</v>
      </c>
      <c r="B1052" s="72" t="s">
        <v>18</v>
      </c>
      <c r="C1052" s="73" t="s">
        <v>19</v>
      </c>
      <c r="D1052" s="74">
        <v>234.86717050060716</v>
      </c>
      <c r="E1052" s="81">
        <v>1268889</v>
      </c>
      <c r="F1052" s="82">
        <v>1241098.2302158307</v>
      </c>
      <c r="G1052" s="75">
        <v>1368.2514453033955</v>
      </c>
      <c r="H1052" s="76">
        <v>3</v>
      </c>
      <c r="I1052" s="54" t="s">
        <v>20</v>
      </c>
      <c r="J1052" s="77">
        <v>40</v>
      </c>
      <c r="K1052" s="78">
        <v>3</v>
      </c>
      <c r="L1052" s="54">
        <v>1</v>
      </c>
      <c r="M1052" s="54">
        <f>_xlfn.XLOOKUP(Survey!$F1052,sections[Start],sections[Test Section],,-1,1)</f>
        <v>3</v>
      </c>
      <c r="N1052" s="55">
        <f>_xlfn.XLOOKUP(Survey!$K1052,pipedata[ID],pipedata[WT])</f>
        <v>0.88800000000000001</v>
      </c>
      <c r="O1052" s="56">
        <f>_xlfn.XLOOKUP(Survey!$K1052,pipedata[ID],pipedata[104%])</f>
        <v>3078.4</v>
      </c>
      <c r="P1052" s="57">
        <f t="shared" si="16"/>
        <v>1850</v>
      </c>
      <c r="Q1052" s="58">
        <f>_xlfn.MAXIFS(Survey!$G$2:$G$3647,Survey!$M$2:$M$3647,Survey!$M1052)-Survey!$G1052</f>
        <v>9.6333513800827859</v>
      </c>
      <c r="R1052" s="59">
        <f>Survey!$P1052+(Survey!$Q1052*0.433)</f>
        <v>1854.1712411475758</v>
      </c>
    </row>
    <row r="1053" spans="1:18" x14ac:dyDescent="0.25">
      <c r="A1053" s="60" t="s">
        <v>17</v>
      </c>
      <c r="B1053" s="61" t="s">
        <v>18</v>
      </c>
      <c r="C1053" s="62" t="s">
        <v>19</v>
      </c>
      <c r="D1053" s="63">
        <v>234.87413819294531</v>
      </c>
      <c r="E1053" s="79">
        <v>1268929</v>
      </c>
      <c r="F1053" s="80">
        <v>1241137.8848920898</v>
      </c>
      <c r="G1053" s="66">
        <v>1365.127519181762</v>
      </c>
      <c r="H1053" s="67">
        <v>3</v>
      </c>
      <c r="I1053" s="68" t="s">
        <v>20</v>
      </c>
      <c r="J1053" s="69">
        <v>40</v>
      </c>
      <c r="K1053" s="70">
        <v>3</v>
      </c>
      <c r="L1053" s="68">
        <v>1</v>
      </c>
      <c r="M1053" s="68">
        <f>_xlfn.XLOOKUP(Survey!$F1053,sections[Start],sections[Test Section],,-1,1)</f>
        <v>3</v>
      </c>
      <c r="N1053" s="55">
        <f>_xlfn.XLOOKUP(Survey!$K1053,pipedata[ID],pipedata[WT])</f>
        <v>0.88800000000000001</v>
      </c>
      <c r="O1053" s="56">
        <f>_xlfn.XLOOKUP(Survey!$K1053,pipedata[ID],pipedata[104%])</f>
        <v>3078.4</v>
      </c>
      <c r="P1053" s="57">
        <f t="shared" si="16"/>
        <v>1850</v>
      </c>
      <c r="Q1053" s="58">
        <f>_xlfn.MAXIFS(Survey!$G$2:$G$3647,Survey!$M$2:$M$3647,Survey!$M1053)-Survey!$G1053</f>
        <v>12.757277501716317</v>
      </c>
      <c r="R1053" s="59">
        <f>Survey!$P1053+(Survey!$Q1053*0.433)</f>
        <v>1855.5239011582432</v>
      </c>
    </row>
    <row r="1054" spans="1:18" x14ac:dyDescent="0.25">
      <c r="A1054" s="71" t="s">
        <v>17</v>
      </c>
      <c r="B1054" s="72" t="s">
        <v>18</v>
      </c>
      <c r="C1054" s="73" t="s">
        <v>19</v>
      </c>
      <c r="D1054" s="74">
        <v>234.88219077401652</v>
      </c>
      <c r="E1054" s="81">
        <v>1268969</v>
      </c>
      <c r="F1054" s="82">
        <v>1241177.5395683488</v>
      </c>
      <c r="G1054" s="75">
        <v>1359.4375874447487</v>
      </c>
      <c r="H1054" s="76">
        <v>3</v>
      </c>
      <c r="I1054" s="54" t="s">
        <v>20</v>
      </c>
      <c r="J1054" s="77">
        <v>40</v>
      </c>
      <c r="K1054" s="78">
        <v>3</v>
      </c>
      <c r="L1054" s="54">
        <v>1</v>
      </c>
      <c r="M1054" s="54">
        <f>_xlfn.XLOOKUP(Survey!$F1054,sections[Start],sections[Test Section],,-1,1)</f>
        <v>3</v>
      </c>
      <c r="N1054" s="55">
        <f>_xlfn.XLOOKUP(Survey!$K1054,pipedata[ID],pipedata[WT])</f>
        <v>0.88800000000000001</v>
      </c>
      <c r="O1054" s="56">
        <f>_xlfn.XLOOKUP(Survey!$K1054,pipedata[ID],pipedata[104%])</f>
        <v>3078.4</v>
      </c>
      <c r="P1054" s="57">
        <f t="shared" si="16"/>
        <v>1850</v>
      </c>
      <c r="Q1054" s="58">
        <f>_xlfn.MAXIFS(Survey!$G$2:$G$3647,Survey!$M$2:$M$3647,Survey!$M1054)-Survey!$G1054</f>
        <v>18.447209238729556</v>
      </c>
      <c r="R1054" s="59">
        <f>Survey!$P1054+(Survey!$Q1054*0.433)</f>
        <v>1857.9876416003699</v>
      </c>
    </row>
    <row r="1055" spans="1:18" x14ac:dyDescent="0.25">
      <c r="A1055" s="60" t="s">
        <v>17</v>
      </c>
      <c r="B1055" s="61" t="s">
        <v>18</v>
      </c>
      <c r="C1055" s="62" t="s">
        <v>19</v>
      </c>
      <c r="D1055" s="63">
        <v>234.88925366181502</v>
      </c>
      <c r="E1055" s="79">
        <v>1269009</v>
      </c>
      <c r="F1055" s="80">
        <v>1241217.1942446078</v>
      </c>
      <c r="G1055" s="66">
        <v>1354.0767404231428</v>
      </c>
      <c r="H1055" s="67">
        <v>3</v>
      </c>
      <c r="I1055" s="68" t="s">
        <v>20</v>
      </c>
      <c r="J1055" s="69">
        <v>40</v>
      </c>
      <c r="K1055" s="70">
        <v>3</v>
      </c>
      <c r="L1055" s="68">
        <v>1</v>
      </c>
      <c r="M1055" s="68">
        <f>_xlfn.XLOOKUP(Survey!$F1055,sections[Start],sections[Test Section],,-1,1)</f>
        <v>3</v>
      </c>
      <c r="N1055" s="55">
        <f>_xlfn.XLOOKUP(Survey!$K1055,pipedata[ID],pipedata[WT])</f>
        <v>0.88800000000000001</v>
      </c>
      <c r="O1055" s="56">
        <f>_xlfn.XLOOKUP(Survey!$K1055,pipedata[ID],pipedata[104%])</f>
        <v>3078.4</v>
      </c>
      <c r="P1055" s="57">
        <f t="shared" si="16"/>
        <v>1850</v>
      </c>
      <c r="Q1055" s="58">
        <f>_xlfn.MAXIFS(Survey!$G$2:$G$3647,Survey!$M$2:$M$3647,Survey!$M1055)-Survey!$G1055</f>
        <v>23.808056260335434</v>
      </c>
      <c r="R1055" s="59">
        <f>Survey!$P1055+(Survey!$Q1055*0.433)</f>
        <v>1860.3088883607252</v>
      </c>
    </row>
    <row r="1056" spans="1:18" x14ac:dyDescent="0.25">
      <c r="A1056" s="71" t="s">
        <v>17</v>
      </c>
      <c r="B1056" s="72" t="s">
        <v>18</v>
      </c>
      <c r="C1056" s="73" t="s">
        <v>19</v>
      </c>
      <c r="D1056" s="74">
        <v>234.89628279089101</v>
      </c>
      <c r="E1056" s="81">
        <v>1269049</v>
      </c>
      <c r="F1056" s="82">
        <v>1241256.8489208668</v>
      </c>
      <c r="G1056" s="75">
        <v>1348.2846822439908</v>
      </c>
      <c r="H1056" s="76">
        <v>3</v>
      </c>
      <c r="I1056" s="54" t="s">
        <v>20</v>
      </c>
      <c r="J1056" s="77">
        <v>40</v>
      </c>
      <c r="K1056" s="78">
        <v>3</v>
      </c>
      <c r="L1056" s="54">
        <v>1</v>
      </c>
      <c r="M1056" s="54">
        <f>_xlfn.XLOOKUP(Survey!$F1056,sections[Start],sections[Test Section],,-1,1)</f>
        <v>3</v>
      </c>
      <c r="N1056" s="55">
        <f>_xlfn.XLOOKUP(Survey!$K1056,pipedata[ID],pipedata[WT])</f>
        <v>0.88800000000000001</v>
      </c>
      <c r="O1056" s="56">
        <f>_xlfn.XLOOKUP(Survey!$K1056,pipedata[ID],pipedata[104%])</f>
        <v>3078.4</v>
      </c>
      <c r="P1056" s="57">
        <f t="shared" si="16"/>
        <v>1850</v>
      </c>
      <c r="Q1056" s="58">
        <f>_xlfn.MAXIFS(Survey!$G$2:$G$3647,Survey!$M$2:$M$3647,Survey!$M1056)-Survey!$G1056</f>
        <v>29.60011443948747</v>
      </c>
      <c r="R1056" s="59">
        <f>Survey!$P1056+(Survey!$Q1056*0.433)</f>
        <v>1862.816849552298</v>
      </c>
    </row>
    <row r="1057" spans="1:18" x14ac:dyDescent="0.25">
      <c r="A1057" s="60" t="s">
        <v>17</v>
      </c>
      <c r="B1057" s="61" t="s">
        <v>18</v>
      </c>
      <c r="C1057" s="62" t="s">
        <v>19</v>
      </c>
      <c r="D1057" s="63">
        <v>234.90433537196228</v>
      </c>
      <c r="E1057" s="79">
        <v>1269089</v>
      </c>
      <c r="F1057" s="80">
        <v>1241296.5035971259</v>
      </c>
      <c r="G1057" s="66">
        <v>1345.9911781847684</v>
      </c>
      <c r="H1057" s="67">
        <v>3</v>
      </c>
      <c r="I1057" s="68" t="s">
        <v>20</v>
      </c>
      <c r="J1057" s="69">
        <v>40</v>
      </c>
      <c r="K1057" s="70">
        <v>3</v>
      </c>
      <c r="L1057" s="68">
        <v>1</v>
      </c>
      <c r="M1057" s="68">
        <f>_xlfn.XLOOKUP(Survey!$F1057,sections[Start],sections[Test Section],,-1,1)</f>
        <v>3</v>
      </c>
      <c r="N1057" s="55">
        <f>_xlfn.XLOOKUP(Survey!$K1057,pipedata[ID],pipedata[WT])</f>
        <v>0.88800000000000001</v>
      </c>
      <c r="O1057" s="56">
        <f>_xlfn.XLOOKUP(Survey!$K1057,pipedata[ID],pipedata[104%])</f>
        <v>3078.4</v>
      </c>
      <c r="P1057" s="57">
        <f t="shared" si="16"/>
        <v>1850</v>
      </c>
      <c r="Q1057" s="58">
        <f>_xlfn.MAXIFS(Survey!$G$2:$G$3647,Survey!$M$2:$M$3647,Survey!$M1057)-Survey!$G1057</f>
        <v>31.893618498709884</v>
      </c>
      <c r="R1057" s="59">
        <f>Survey!$P1057+(Survey!$Q1057*0.433)</f>
        <v>1863.8099368099413</v>
      </c>
    </row>
    <row r="1058" spans="1:18" x14ac:dyDescent="0.25">
      <c r="A1058" s="71" t="s">
        <v>17</v>
      </c>
      <c r="B1058" s="72" t="s">
        <v>18</v>
      </c>
      <c r="C1058" s="73" t="s">
        <v>19</v>
      </c>
      <c r="D1058" s="74">
        <v>234.91238795303371</v>
      </c>
      <c r="E1058" s="81">
        <v>1269129</v>
      </c>
      <c r="F1058" s="82">
        <v>1241336.1582733849</v>
      </c>
      <c r="G1058" s="75">
        <v>1345.2481902951001</v>
      </c>
      <c r="H1058" s="76">
        <v>3</v>
      </c>
      <c r="I1058" s="54" t="s">
        <v>20</v>
      </c>
      <c r="J1058" s="77">
        <v>40</v>
      </c>
      <c r="K1058" s="78">
        <v>3</v>
      </c>
      <c r="L1058" s="54">
        <v>2</v>
      </c>
      <c r="M1058" s="54">
        <f>_xlfn.XLOOKUP(Survey!$F1058,sections[Start],sections[Test Section],,-1,1)</f>
        <v>3</v>
      </c>
      <c r="N1058" s="55">
        <f>_xlfn.XLOOKUP(Survey!$K1058,pipedata[ID],pipedata[WT])</f>
        <v>0.88800000000000001</v>
      </c>
      <c r="O1058" s="56">
        <f>_xlfn.XLOOKUP(Survey!$K1058,pipedata[ID],pipedata[104%])</f>
        <v>3078.4</v>
      </c>
      <c r="P1058" s="57">
        <f t="shared" si="16"/>
        <v>1850</v>
      </c>
      <c r="Q1058" s="58">
        <f>_xlfn.MAXIFS(Survey!$G$2:$G$3647,Survey!$M$2:$M$3647,Survey!$M1058)-Survey!$G1058</f>
        <v>32.636606388378141</v>
      </c>
      <c r="R1058" s="59">
        <f>Survey!$P1058+(Survey!$Q1058*0.433)</f>
        <v>1864.1316505661678</v>
      </c>
    </row>
    <row r="1059" spans="1:18" x14ac:dyDescent="0.25">
      <c r="A1059" s="60" t="s">
        <v>17</v>
      </c>
      <c r="B1059" s="61" t="s">
        <v>18</v>
      </c>
      <c r="C1059" s="62" t="s">
        <v>19</v>
      </c>
      <c r="D1059" s="63">
        <v>234.91842738883693</v>
      </c>
      <c r="E1059" s="79">
        <v>1269169</v>
      </c>
      <c r="F1059" s="80">
        <v>1241375.8129496439</v>
      </c>
      <c r="G1059" s="66">
        <v>1343.8695835054586</v>
      </c>
      <c r="H1059" s="67">
        <v>3</v>
      </c>
      <c r="I1059" s="68" t="s">
        <v>20</v>
      </c>
      <c r="J1059" s="69">
        <v>40</v>
      </c>
      <c r="K1059" s="70">
        <v>3</v>
      </c>
      <c r="L1059" s="68">
        <v>2</v>
      </c>
      <c r="M1059" s="68">
        <f>_xlfn.XLOOKUP(Survey!$F1059,sections[Start],sections[Test Section],,-1,1)</f>
        <v>3</v>
      </c>
      <c r="N1059" s="55">
        <f>_xlfn.XLOOKUP(Survey!$K1059,pipedata[ID],pipedata[WT])</f>
        <v>0.88800000000000001</v>
      </c>
      <c r="O1059" s="56">
        <f>_xlfn.XLOOKUP(Survey!$K1059,pipedata[ID],pipedata[104%])</f>
        <v>3078.4</v>
      </c>
      <c r="P1059" s="57">
        <f t="shared" si="16"/>
        <v>1850</v>
      </c>
      <c r="Q1059" s="58">
        <f>_xlfn.MAXIFS(Survey!$G$2:$G$3647,Survey!$M$2:$M$3647,Survey!$M1059)-Survey!$G1059</f>
        <v>34.015213178019621</v>
      </c>
      <c r="R1059" s="59">
        <f>Survey!$P1059+(Survey!$Q1059*0.433)</f>
        <v>1864.7285873060825</v>
      </c>
    </row>
    <row r="1060" spans="1:18" x14ac:dyDescent="0.25">
      <c r="A1060" s="71" t="s">
        <v>17</v>
      </c>
      <c r="B1060" s="72" t="s">
        <v>18</v>
      </c>
      <c r="C1060" s="73" t="s">
        <v>19</v>
      </c>
      <c r="D1060" s="74">
        <v>234.9269672609598</v>
      </c>
      <c r="E1060" s="81">
        <v>1269209</v>
      </c>
      <c r="F1060" s="82">
        <v>1241415.467625903</v>
      </c>
      <c r="G1060" s="75">
        <v>1343.9178891157819</v>
      </c>
      <c r="H1060" s="76">
        <v>3</v>
      </c>
      <c r="I1060" s="54" t="s">
        <v>20</v>
      </c>
      <c r="J1060" s="77">
        <v>40</v>
      </c>
      <c r="K1060" s="78">
        <v>3</v>
      </c>
      <c r="L1060" s="54">
        <v>2</v>
      </c>
      <c r="M1060" s="54">
        <f>_xlfn.XLOOKUP(Survey!$F1060,sections[Start],sections[Test Section],,-1,1)</f>
        <v>3</v>
      </c>
      <c r="N1060" s="55">
        <f>_xlfn.XLOOKUP(Survey!$K1060,pipedata[ID],pipedata[WT])</f>
        <v>0.88800000000000001</v>
      </c>
      <c r="O1060" s="56">
        <f>_xlfn.XLOOKUP(Survey!$K1060,pipedata[ID],pipedata[104%])</f>
        <v>3078.4</v>
      </c>
      <c r="P1060" s="57">
        <f t="shared" si="16"/>
        <v>1850</v>
      </c>
      <c r="Q1060" s="58">
        <f>_xlfn.MAXIFS(Survey!$G$2:$G$3647,Survey!$M$2:$M$3647,Survey!$M1060)-Survey!$G1060</f>
        <v>33.966907567696353</v>
      </c>
      <c r="R1060" s="59">
        <f>Survey!$P1060+(Survey!$Q1060*0.433)</f>
        <v>1864.7076709768126</v>
      </c>
    </row>
    <row r="1061" spans="1:18" x14ac:dyDescent="0.25">
      <c r="A1061" s="60" t="s">
        <v>17</v>
      </c>
      <c r="B1061" s="61" t="s">
        <v>18</v>
      </c>
      <c r="C1061" s="62" t="s">
        <v>19</v>
      </c>
      <c r="D1061" s="63">
        <v>234.93397989023745</v>
      </c>
      <c r="E1061" s="79">
        <v>1269249</v>
      </c>
      <c r="F1061" s="80">
        <v>1241455.122302162</v>
      </c>
      <c r="G1061" s="66">
        <v>1344.3847425566428</v>
      </c>
      <c r="H1061" s="67">
        <v>3</v>
      </c>
      <c r="I1061" s="68" t="s">
        <v>20</v>
      </c>
      <c r="J1061" s="69">
        <v>40</v>
      </c>
      <c r="K1061" s="70">
        <v>3</v>
      </c>
      <c r="L1061" s="68">
        <v>2</v>
      </c>
      <c r="M1061" s="68">
        <f>_xlfn.XLOOKUP(Survey!$F1061,sections[Start],sections[Test Section],,-1,1)</f>
        <v>3</v>
      </c>
      <c r="N1061" s="55">
        <f>_xlfn.XLOOKUP(Survey!$K1061,pipedata[ID],pipedata[WT])</f>
        <v>0.88800000000000001</v>
      </c>
      <c r="O1061" s="56">
        <f>_xlfn.XLOOKUP(Survey!$K1061,pipedata[ID],pipedata[104%])</f>
        <v>3078.4</v>
      </c>
      <c r="P1061" s="57">
        <f t="shared" si="16"/>
        <v>1850</v>
      </c>
      <c r="Q1061" s="58">
        <f>_xlfn.MAXIFS(Survey!$G$2:$G$3647,Survey!$M$2:$M$3647,Survey!$M1061)-Survey!$G1061</f>
        <v>33.500054126835494</v>
      </c>
      <c r="R1061" s="59">
        <f>Survey!$P1061+(Survey!$Q1061*0.433)</f>
        <v>1864.5055234369197</v>
      </c>
    </row>
    <row r="1062" spans="1:18" x14ac:dyDescent="0.25">
      <c r="A1062" s="71" t="s">
        <v>17</v>
      </c>
      <c r="B1062" s="72" t="s">
        <v>18</v>
      </c>
      <c r="C1062" s="73" t="s">
        <v>19</v>
      </c>
      <c r="D1062" s="74">
        <v>234.94201965995109</v>
      </c>
      <c r="E1062" s="81">
        <v>1269289</v>
      </c>
      <c r="F1062" s="82">
        <v>1241494.776978421</v>
      </c>
      <c r="G1062" s="75">
        <v>1343.0063944896349</v>
      </c>
      <c r="H1062" s="76">
        <v>3</v>
      </c>
      <c r="I1062" s="54" t="s">
        <v>20</v>
      </c>
      <c r="J1062" s="77">
        <v>40</v>
      </c>
      <c r="K1062" s="78">
        <v>3</v>
      </c>
      <c r="L1062" s="54">
        <v>2</v>
      </c>
      <c r="M1062" s="54">
        <f>_xlfn.XLOOKUP(Survey!$F1062,sections[Start],sections[Test Section],,-1,1)</f>
        <v>3</v>
      </c>
      <c r="N1062" s="55">
        <f>_xlfn.XLOOKUP(Survey!$K1062,pipedata[ID],pipedata[WT])</f>
        <v>0.88800000000000001</v>
      </c>
      <c r="O1062" s="56">
        <f>_xlfn.XLOOKUP(Survey!$K1062,pipedata[ID],pipedata[104%])</f>
        <v>3078.4</v>
      </c>
      <c r="P1062" s="57">
        <f t="shared" si="16"/>
        <v>1850</v>
      </c>
      <c r="Q1062" s="58">
        <f>_xlfn.MAXIFS(Survey!$G$2:$G$3647,Survey!$M$2:$M$3647,Survey!$M1062)-Survey!$G1062</f>
        <v>34.878402193843385</v>
      </c>
      <c r="R1062" s="59">
        <f>Survey!$P1062+(Survey!$Q1062*0.433)</f>
        <v>1865.1023481499342</v>
      </c>
    </row>
    <row r="1063" spans="1:18" x14ac:dyDescent="0.25">
      <c r="A1063" s="60" t="s">
        <v>17</v>
      </c>
      <c r="B1063" s="61" t="s">
        <v>18</v>
      </c>
      <c r="C1063" s="62" t="s">
        <v>19</v>
      </c>
      <c r="D1063" s="63">
        <v>234.9501159625004</v>
      </c>
      <c r="E1063" s="79">
        <v>1269329</v>
      </c>
      <c r="F1063" s="80">
        <v>1241534.4316546801</v>
      </c>
      <c r="G1063" s="66">
        <v>1342.7246187020762</v>
      </c>
      <c r="H1063" s="67">
        <v>3</v>
      </c>
      <c r="I1063" s="68" t="s">
        <v>20</v>
      </c>
      <c r="J1063" s="69">
        <v>40</v>
      </c>
      <c r="K1063" s="70">
        <v>3</v>
      </c>
      <c r="L1063" s="68">
        <v>2</v>
      </c>
      <c r="M1063" s="68">
        <f>_xlfn.XLOOKUP(Survey!$F1063,sections[Start],sections[Test Section],,-1,1)</f>
        <v>3</v>
      </c>
      <c r="N1063" s="55">
        <f>_xlfn.XLOOKUP(Survey!$K1063,pipedata[ID],pipedata[WT])</f>
        <v>0.88800000000000001</v>
      </c>
      <c r="O1063" s="56">
        <f>_xlfn.XLOOKUP(Survey!$K1063,pipedata[ID],pipedata[104%])</f>
        <v>3078.4</v>
      </c>
      <c r="P1063" s="57">
        <f t="shared" si="16"/>
        <v>1850</v>
      </c>
      <c r="Q1063" s="58">
        <f>_xlfn.MAXIFS(Survey!$G$2:$G$3647,Survey!$M$2:$M$3647,Survey!$M1063)-Survey!$G1063</f>
        <v>35.160177981402057</v>
      </c>
      <c r="R1063" s="59">
        <f>Survey!$P1063+(Survey!$Q1063*0.433)</f>
        <v>1865.2243570659471</v>
      </c>
    </row>
    <row r="1064" spans="1:18" x14ac:dyDescent="0.25">
      <c r="A1064" s="71" t="s">
        <v>17</v>
      </c>
      <c r="B1064" s="72" t="s">
        <v>18</v>
      </c>
      <c r="C1064" s="73" t="s">
        <v>19</v>
      </c>
      <c r="D1064" s="74">
        <v>234.95773348826151</v>
      </c>
      <c r="E1064" s="81">
        <v>1269369</v>
      </c>
      <c r="F1064" s="82">
        <v>1241574.0863309391</v>
      </c>
      <c r="G1064" s="75">
        <v>1342.4963344879784</v>
      </c>
      <c r="H1064" s="76">
        <v>3</v>
      </c>
      <c r="I1064" s="54" t="s">
        <v>20</v>
      </c>
      <c r="J1064" s="77">
        <v>40</v>
      </c>
      <c r="K1064" s="78">
        <v>3</v>
      </c>
      <c r="L1064" s="54">
        <v>2</v>
      </c>
      <c r="M1064" s="54">
        <f>_xlfn.XLOOKUP(Survey!$F1064,sections[Start],sections[Test Section],,-1,1)</f>
        <v>3</v>
      </c>
      <c r="N1064" s="55">
        <f>_xlfn.XLOOKUP(Survey!$K1064,pipedata[ID],pipedata[WT])</f>
        <v>0.88800000000000001</v>
      </c>
      <c r="O1064" s="56">
        <f>_xlfn.XLOOKUP(Survey!$K1064,pipedata[ID],pipedata[104%])</f>
        <v>3078.4</v>
      </c>
      <c r="P1064" s="57">
        <f t="shared" si="16"/>
        <v>1850</v>
      </c>
      <c r="Q1064" s="58">
        <f>_xlfn.MAXIFS(Survey!$G$2:$G$3647,Survey!$M$2:$M$3647,Survey!$M1064)-Survey!$G1064</f>
        <v>35.388462195499869</v>
      </c>
      <c r="R1064" s="59">
        <f>Survey!$P1064+(Survey!$Q1064*0.433)</f>
        <v>1865.3232041306514</v>
      </c>
    </row>
    <row r="1065" spans="1:18" x14ac:dyDescent="0.25">
      <c r="A1065" s="60" t="s">
        <v>17</v>
      </c>
      <c r="B1065" s="61" t="s">
        <v>18</v>
      </c>
      <c r="C1065" s="62" t="s">
        <v>19</v>
      </c>
      <c r="D1065" s="63">
        <v>234.96487104282119</v>
      </c>
      <c r="E1065" s="79">
        <v>1269409</v>
      </c>
      <c r="F1065" s="80">
        <v>1241613.7410071981</v>
      </c>
      <c r="G1065" s="66">
        <v>1342.4012992806995</v>
      </c>
      <c r="H1065" s="67">
        <v>3</v>
      </c>
      <c r="I1065" s="68" t="s">
        <v>20</v>
      </c>
      <c r="J1065" s="69">
        <v>40</v>
      </c>
      <c r="K1065" s="70">
        <v>3</v>
      </c>
      <c r="L1065" s="68">
        <v>2</v>
      </c>
      <c r="M1065" s="68">
        <f>_xlfn.XLOOKUP(Survey!$F1065,sections[Start],sections[Test Section],,-1,1)</f>
        <v>3</v>
      </c>
      <c r="N1065" s="55">
        <f>_xlfn.XLOOKUP(Survey!$K1065,pipedata[ID],pipedata[WT])</f>
        <v>0.88800000000000001</v>
      </c>
      <c r="O1065" s="56">
        <f>_xlfn.XLOOKUP(Survey!$K1065,pipedata[ID],pipedata[104%])</f>
        <v>3078.4</v>
      </c>
      <c r="P1065" s="57">
        <f t="shared" si="16"/>
        <v>1850</v>
      </c>
      <c r="Q1065" s="58">
        <f>_xlfn.MAXIFS(Survey!$G$2:$G$3647,Survey!$M$2:$M$3647,Survey!$M1065)-Survey!$G1065</f>
        <v>35.483497402778767</v>
      </c>
      <c r="R1065" s="59">
        <f>Survey!$P1065+(Survey!$Q1065*0.433)</f>
        <v>1865.3643543754033</v>
      </c>
    </row>
    <row r="1066" spans="1:18" x14ac:dyDescent="0.25">
      <c r="A1066" s="71" t="s">
        <v>17</v>
      </c>
      <c r="B1066" s="72" t="s">
        <v>18</v>
      </c>
      <c r="C1066" s="73" t="s">
        <v>19</v>
      </c>
      <c r="D1066" s="74">
        <v>234.97257948702685</v>
      </c>
      <c r="E1066" s="81">
        <v>1269449</v>
      </c>
      <c r="F1066" s="82">
        <v>1241653.3956834571</v>
      </c>
      <c r="G1066" s="75">
        <v>1341.843331584314</v>
      </c>
      <c r="H1066" s="76">
        <v>3</v>
      </c>
      <c r="I1066" s="54" t="s">
        <v>20</v>
      </c>
      <c r="J1066" s="77">
        <v>40</v>
      </c>
      <c r="K1066" s="78">
        <v>3</v>
      </c>
      <c r="L1066" s="54">
        <v>2</v>
      </c>
      <c r="M1066" s="54">
        <f>_xlfn.XLOOKUP(Survey!$F1066,sections[Start],sections[Test Section],,-1,1)</f>
        <v>3</v>
      </c>
      <c r="N1066" s="55">
        <f>_xlfn.XLOOKUP(Survey!$K1066,pipedata[ID],pipedata[WT])</f>
        <v>0.88800000000000001</v>
      </c>
      <c r="O1066" s="56">
        <f>_xlfn.XLOOKUP(Survey!$K1066,pipedata[ID],pipedata[104%])</f>
        <v>3078.4</v>
      </c>
      <c r="P1066" s="57">
        <f t="shared" si="16"/>
        <v>1850</v>
      </c>
      <c r="Q1066" s="58">
        <f>_xlfn.MAXIFS(Survey!$G$2:$G$3647,Survey!$M$2:$M$3647,Survey!$M1066)-Survey!$G1066</f>
        <v>36.04146509916427</v>
      </c>
      <c r="R1066" s="59">
        <f>Survey!$P1066+(Survey!$Q1066*0.433)</f>
        <v>1865.605954387938</v>
      </c>
    </row>
    <row r="1067" spans="1:18" x14ac:dyDescent="0.25">
      <c r="A1067" s="60" t="s">
        <v>17</v>
      </c>
      <c r="B1067" s="61" t="s">
        <v>18</v>
      </c>
      <c r="C1067" s="62" t="s">
        <v>19</v>
      </c>
      <c r="D1067" s="63">
        <v>234.97962612314171</v>
      </c>
      <c r="E1067" s="79">
        <v>1269489</v>
      </c>
      <c r="F1067" s="80">
        <v>1241693.0503597162</v>
      </c>
      <c r="G1067" s="66">
        <v>1341.6294387074056</v>
      </c>
      <c r="H1067" s="67">
        <v>3</v>
      </c>
      <c r="I1067" s="68" t="s">
        <v>20</v>
      </c>
      <c r="J1067" s="69">
        <v>40</v>
      </c>
      <c r="K1067" s="70">
        <v>3</v>
      </c>
      <c r="L1067" s="68">
        <v>2</v>
      </c>
      <c r="M1067" s="68">
        <f>_xlfn.XLOOKUP(Survey!$F1067,sections[Start],sections[Test Section],,-1,1)</f>
        <v>3</v>
      </c>
      <c r="N1067" s="55">
        <f>_xlfn.XLOOKUP(Survey!$K1067,pipedata[ID],pipedata[WT])</f>
        <v>0.88800000000000001</v>
      </c>
      <c r="O1067" s="56">
        <f>_xlfn.XLOOKUP(Survey!$K1067,pipedata[ID],pipedata[104%])</f>
        <v>3078.4</v>
      </c>
      <c r="P1067" s="57">
        <f t="shared" si="16"/>
        <v>1850</v>
      </c>
      <c r="Q1067" s="58">
        <f>_xlfn.MAXIFS(Survey!$G$2:$G$3647,Survey!$M$2:$M$3647,Survey!$M1067)-Survey!$G1067</f>
        <v>36.255357976072673</v>
      </c>
      <c r="R1067" s="59">
        <f>Survey!$P1067+(Survey!$Q1067*0.433)</f>
        <v>1865.6985700036394</v>
      </c>
    </row>
    <row r="1068" spans="1:18" x14ac:dyDescent="0.25">
      <c r="A1068" s="71" t="s">
        <v>17</v>
      </c>
      <c r="B1068" s="72" t="s">
        <v>18</v>
      </c>
      <c r="C1068" s="73" t="s">
        <v>19</v>
      </c>
      <c r="D1068" s="74">
        <v>234.98742548579187</v>
      </c>
      <c r="E1068" s="81">
        <v>1269529</v>
      </c>
      <c r="F1068" s="82">
        <v>1241732.7050359752</v>
      </c>
      <c r="G1068" s="75">
        <v>1341.3266908369615</v>
      </c>
      <c r="H1068" s="76">
        <v>3</v>
      </c>
      <c r="I1068" s="54" t="s">
        <v>20</v>
      </c>
      <c r="J1068" s="77">
        <v>40</v>
      </c>
      <c r="K1068" s="78">
        <v>3</v>
      </c>
      <c r="L1068" s="54">
        <v>2</v>
      </c>
      <c r="M1068" s="54">
        <f>_xlfn.XLOOKUP(Survey!$F1068,sections[Start],sections[Test Section],,-1,1)</f>
        <v>3</v>
      </c>
      <c r="N1068" s="55">
        <f>_xlfn.XLOOKUP(Survey!$K1068,pipedata[ID],pipedata[WT])</f>
        <v>0.88800000000000001</v>
      </c>
      <c r="O1068" s="56">
        <f>_xlfn.XLOOKUP(Survey!$K1068,pipedata[ID],pipedata[104%])</f>
        <v>3078.4</v>
      </c>
      <c r="P1068" s="57">
        <f t="shared" si="16"/>
        <v>1850</v>
      </c>
      <c r="Q1068" s="58">
        <f>_xlfn.MAXIFS(Survey!$G$2:$G$3647,Survey!$M$2:$M$3647,Survey!$M1068)-Survey!$G1068</f>
        <v>36.55810584651681</v>
      </c>
      <c r="R1068" s="59">
        <f>Survey!$P1068+(Survey!$Q1068*0.433)</f>
        <v>1865.8296598315417</v>
      </c>
    </row>
    <row r="1069" spans="1:18" x14ac:dyDescent="0.25">
      <c r="A1069" s="60" t="s">
        <v>17</v>
      </c>
      <c r="B1069" s="61" t="s">
        <v>18</v>
      </c>
      <c r="C1069" s="62" t="s">
        <v>19</v>
      </c>
      <c r="D1069" s="63">
        <v>234.99526545040911</v>
      </c>
      <c r="E1069" s="79">
        <v>1269569</v>
      </c>
      <c r="F1069" s="80">
        <v>1241772.3597122342</v>
      </c>
      <c r="G1069" s="66">
        <v>1342.0934849880859</v>
      </c>
      <c r="H1069" s="67">
        <v>3</v>
      </c>
      <c r="I1069" s="68" t="s">
        <v>20</v>
      </c>
      <c r="J1069" s="69">
        <v>40</v>
      </c>
      <c r="K1069" s="70">
        <v>3</v>
      </c>
      <c r="L1069" s="68">
        <v>2</v>
      </c>
      <c r="M1069" s="68">
        <f>_xlfn.XLOOKUP(Survey!$F1069,sections[Start],sections[Test Section],,-1,1)</f>
        <v>3</v>
      </c>
      <c r="N1069" s="55">
        <f>_xlfn.XLOOKUP(Survey!$K1069,pipedata[ID],pipedata[WT])</f>
        <v>0.88800000000000001</v>
      </c>
      <c r="O1069" s="56">
        <f>_xlfn.XLOOKUP(Survey!$K1069,pipedata[ID],pipedata[104%])</f>
        <v>3078.4</v>
      </c>
      <c r="P1069" s="57">
        <f t="shared" si="16"/>
        <v>1850</v>
      </c>
      <c r="Q1069" s="58">
        <f>_xlfn.MAXIFS(Survey!$G$2:$G$3647,Survey!$M$2:$M$3647,Survey!$M1069)-Survey!$G1069</f>
        <v>35.791311695392324</v>
      </c>
      <c r="R1069" s="59">
        <f>Survey!$P1069+(Survey!$Q1069*0.433)</f>
        <v>1865.4976379641048</v>
      </c>
    </row>
    <row r="1070" spans="1:18" x14ac:dyDescent="0.25">
      <c r="A1070" s="71" t="s">
        <v>17</v>
      </c>
      <c r="B1070" s="72" t="s">
        <v>18</v>
      </c>
      <c r="C1070" s="73" t="s">
        <v>19</v>
      </c>
      <c r="D1070" s="74">
        <v>235.0022714845569</v>
      </c>
      <c r="E1070" s="81">
        <v>1269609</v>
      </c>
      <c r="F1070" s="82">
        <v>1241812.0143884933</v>
      </c>
      <c r="G1070" s="75">
        <v>1341.3703098372882</v>
      </c>
      <c r="H1070" s="76">
        <v>3</v>
      </c>
      <c r="I1070" s="54" t="s">
        <v>20</v>
      </c>
      <c r="J1070" s="77">
        <v>40</v>
      </c>
      <c r="K1070" s="78">
        <v>3</v>
      </c>
      <c r="L1070" s="54">
        <v>2</v>
      </c>
      <c r="M1070" s="54">
        <f>_xlfn.XLOOKUP(Survey!$F1070,sections[Start],sections[Test Section],,-1,1)</f>
        <v>3</v>
      </c>
      <c r="N1070" s="55">
        <f>_xlfn.XLOOKUP(Survey!$K1070,pipedata[ID],pipedata[WT])</f>
        <v>0.88800000000000001</v>
      </c>
      <c r="O1070" s="56">
        <f>_xlfn.XLOOKUP(Survey!$K1070,pipedata[ID],pipedata[104%])</f>
        <v>3078.4</v>
      </c>
      <c r="P1070" s="57">
        <f t="shared" si="16"/>
        <v>1850</v>
      </c>
      <c r="Q1070" s="58">
        <f>_xlfn.MAXIFS(Survey!$G$2:$G$3647,Survey!$M$2:$M$3647,Survey!$M1070)-Survey!$G1070</f>
        <v>36.514486846190039</v>
      </c>
      <c r="R1070" s="59">
        <f>Survey!$P1070+(Survey!$Q1070*0.433)</f>
        <v>1865.8107728044004</v>
      </c>
    </row>
    <row r="1071" spans="1:18" x14ac:dyDescent="0.25">
      <c r="A1071" s="60" t="s">
        <v>17</v>
      </c>
      <c r="B1071" s="61" t="s">
        <v>18</v>
      </c>
      <c r="C1071" s="62" t="s">
        <v>19</v>
      </c>
      <c r="D1071" s="63">
        <v>235.00913628378316</v>
      </c>
      <c r="E1071" s="79">
        <v>1269649</v>
      </c>
      <c r="F1071" s="80">
        <v>1241851.6690647523</v>
      </c>
      <c r="G1071" s="66">
        <v>1341.9941103766084</v>
      </c>
      <c r="H1071" s="67">
        <v>3</v>
      </c>
      <c r="I1071" s="68" t="s">
        <v>20</v>
      </c>
      <c r="J1071" s="69">
        <v>40</v>
      </c>
      <c r="K1071" s="70">
        <v>3</v>
      </c>
      <c r="L1071" s="68">
        <v>2</v>
      </c>
      <c r="M1071" s="68">
        <f>_xlfn.XLOOKUP(Survey!$F1071,sections[Start],sections[Test Section],,-1,1)</f>
        <v>3</v>
      </c>
      <c r="N1071" s="55">
        <f>_xlfn.XLOOKUP(Survey!$K1071,pipedata[ID],pipedata[WT])</f>
        <v>0.88800000000000001</v>
      </c>
      <c r="O1071" s="56">
        <f>_xlfn.XLOOKUP(Survey!$K1071,pipedata[ID],pipedata[104%])</f>
        <v>3078.4</v>
      </c>
      <c r="P1071" s="57">
        <f t="shared" si="16"/>
        <v>1850</v>
      </c>
      <c r="Q1071" s="58">
        <f>_xlfn.MAXIFS(Survey!$G$2:$G$3647,Survey!$M$2:$M$3647,Survey!$M1071)-Survey!$G1071</f>
        <v>35.890686306869839</v>
      </c>
      <c r="R1071" s="59">
        <f>Survey!$P1071+(Survey!$Q1071*0.433)</f>
        <v>1865.5406671708747</v>
      </c>
    </row>
    <row r="1072" spans="1:18" x14ac:dyDescent="0.25">
      <c r="A1072" s="71" t="s">
        <v>17</v>
      </c>
      <c r="B1072" s="72" t="s">
        <v>18</v>
      </c>
      <c r="C1072" s="73" t="s">
        <v>19</v>
      </c>
      <c r="D1072" s="74">
        <v>235.01711748332195</v>
      </c>
      <c r="E1072" s="81">
        <v>1269689</v>
      </c>
      <c r="F1072" s="82">
        <v>1241891.3237410113</v>
      </c>
      <c r="G1072" s="75">
        <v>1343.243127513578</v>
      </c>
      <c r="H1072" s="76">
        <v>3</v>
      </c>
      <c r="I1072" s="54" t="s">
        <v>20</v>
      </c>
      <c r="J1072" s="77">
        <v>40</v>
      </c>
      <c r="K1072" s="78">
        <v>3</v>
      </c>
      <c r="L1072" s="54">
        <v>2</v>
      </c>
      <c r="M1072" s="54">
        <f>_xlfn.XLOOKUP(Survey!$F1072,sections[Start],sections[Test Section],,-1,1)</f>
        <v>3</v>
      </c>
      <c r="N1072" s="55">
        <f>_xlfn.XLOOKUP(Survey!$K1072,pipedata[ID],pipedata[WT])</f>
        <v>0.88800000000000001</v>
      </c>
      <c r="O1072" s="56">
        <f>_xlfn.XLOOKUP(Survey!$K1072,pipedata[ID],pipedata[104%])</f>
        <v>3078.4</v>
      </c>
      <c r="P1072" s="57">
        <f t="shared" si="16"/>
        <v>1850</v>
      </c>
      <c r="Q1072" s="58">
        <f>_xlfn.MAXIFS(Survey!$G$2:$G$3647,Survey!$M$2:$M$3647,Survey!$M1072)-Survey!$G1072</f>
        <v>34.641669169900297</v>
      </c>
      <c r="R1072" s="59">
        <f>Survey!$P1072+(Survey!$Q1072*0.433)</f>
        <v>1864.9998427505668</v>
      </c>
    </row>
    <row r="1073" spans="1:18" x14ac:dyDescent="0.25">
      <c r="A1073" s="60" t="s">
        <v>17</v>
      </c>
      <c r="B1073" s="61" t="s">
        <v>18</v>
      </c>
      <c r="C1073" s="62" t="s">
        <v>19</v>
      </c>
      <c r="D1073" s="63">
        <v>235.02602508258093</v>
      </c>
      <c r="E1073" s="79">
        <v>1269729</v>
      </c>
      <c r="F1073" s="80">
        <v>1241930.9784172704</v>
      </c>
      <c r="G1073" s="66">
        <v>1344.0682081806847</v>
      </c>
      <c r="H1073" s="67">
        <v>3</v>
      </c>
      <c r="I1073" s="68" t="s">
        <v>20</v>
      </c>
      <c r="J1073" s="69">
        <v>40</v>
      </c>
      <c r="K1073" s="70">
        <v>3</v>
      </c>
      <c r="L1073" s="68">
        <v>2</v>
      </c>
      <c r="M1073" s="68">
        <f>_xlfn.XLOOKUP(Survey!$F1073,sections[Start],sections[Test Section],,-1,1)</f>
        <v>3</v>
      </c>
      <c r="N1073" s="55">
        <f>_xlfn.XLOOKUP(Survey!$K1073,pipedata[ID],pipedata[WT])</f>
        <v>0.88800000000000001</v>
      </c>
      <c r="O1073" s="56">
        <f>_xlfn.XLOOKUP(Survey!$K1073,pipedata[ID],pipedata[104%])</f>
        <v>3078.4</v>
      </c>
      <c r="P1073" s="57">
        <f t="shared" si="16"/>
        <v>1850</v>
      </c>
      <c r="Q1073" s="58">
        <f>_xlfn.MAXIFS(Survey!$G$2:$G$3647,Survey!$M$2:$M$3647,Survey!$M1073)-Survey!$G1073</f>
        <v>33.816588502793593</v>
      </c>
      <c r="R1073" s="59">
        <f>Survey!$P1073+(Survey!$Q1073*0.433)</f>
        <v>1864.6425828217095</v>
      </c>
    </row>
    <row r="1074" spans="1:18" x14ac:dyDescent="0.25">
      <c r="A1074" s="71" t="s">
        <v>17</v>
      </c>
      <c r="B1074" s="72" t="s">
        <v>18</v>
      </c>
      <c r="C1074" s="73" t="s">
        <v>19</v>
      </c>
      <c r="D1074" s="74">
        <v>235.03312411007522</v>
      </c>
      <c r="E1074" s="81">
        <v>1269769</v>
      </c>
      <c r="F1074" s="82">
        <v>1241970.6330935294</v>
      </c>
      <c r="G1074" s="75">
        <v>1344.1229900000117</v>
      </c>
      <c r="H1074" s="76">
        <v>3</v>
      </c>
      <c r="I1074" s="54" t="s">
        <v>20</v>
      </c>
      <c r="J1074" s="77">
        <v>40</v>
      </c>
      <c r="K1074" s="78">
        <v>3</v>
      </c>
      <c r="L1074" s="54">
        <v>2</v>
      </c>
      <c r="M1074" s="54">
        <f>_xlfn.XLOOKUP(Survey!$F1074,sections[Start],sections[Test Section],,-1,1)</f>
        <v>3</v>
      </c>
      <c r="N1074" s="55">
        <f>_xlfn.XLOOKUP(Survey!$K1074,pipedata[ID],pipedata[WT])</f>
        <v>0.88800000000000001</v>
      </c>
      <c r="O1074" s="56">
        <f>_xlfn.XLOOKUP(Survey!$K1074,pipedata[ID],pipedata[104%])</f>
        <v>3078.4</v>
      </c>
      <c r="P1074" s="57">
        <f t="shared" si="16"/>
        <v>1850</v>
      </c>
      <c r="Q1074" s="58">
        <f>_xlfn.MAXIFS(Survey!$G$2:$G$3647,Survey!$M$2:$M$3647,Survey!$M1074)-Survey!$G1074</f>
        <v>33.761806683466602</v>
      </c>
      <c r="R1074" s="59">
        <f>Survey!$P1074+(Survey!$Q1074*0.433)</f>
        <v>1864.618862293941</v>
      </c>
    </row>
    <row r="1075" spans="1:18" x14ac:dyDescent="0.25">
      <c r="A1075" s="60" t="s">
        <v>17</v>
      </c>
      <c r="B1075" s="61" t="s">
        <v>18</v>
      </c>
      <c r="C1075" s="62" t="s">
        <v>19</v>
      </c>
      <c r="D1075" s="63">
        <v>235.04069990607945</v>
      </c>
      <c r="E1075" s="79">
        <v>1269809</v>
      </c>
      <c r="F1075" s="80">
        <v>1242010.2877697884</v>
      </c>
      <c r="G1075" s="66">
        <v>1341.256943772127</v>
      </c>
      <c r="H1075" s="67">
        <v>3</v>
      </c>
      <c r="I1075" s="68" t="s">
        <v>20</v>
      </c>
      <c r="J1075" s="69">
        <v>40</v>
      </c>
      <c r="K1075" s="70">
        <v>3</v>
      </c>
      <c r="L1075" s="68">
        <v>2</v>
      </c>
      <c r="M1075" s="68">
        <f>_xlfn.XLOOKUP(Survey!$F1075,sections[Start],sections[Test Section],,-1,1)</f>
        <v>3</v>
      </c>
      <c r="N1075" s="55">
        <f>_xlfn.XLOOKUP(Survey!$K1075,pipedata[ID],pipedata[WT])</f>
        <v>0.88800000000000001</v>
      </c>
      <c r="O1075" s="56">
        <f>_xlfn.XLOOKUP(Survey!$K1075,pipedata[ID],pipedata[104%])</f>
        <v>3078.4</v>
      </c>
      <c r="P1075" s="57">
        <f t="shared" si="16"/>
        <v>1850</v>
      </c>
      <c r="Q1075" s="58">
        <f>_xlfn.MAXIFS(Survey!$G$2:$G$3647,Survey!$M$2:$M$3647,Survey!$M1075)-Survey!$G1075</f>
        <v>36.627852911351283</v>
      </c>
      <c r="R1075" s="59">
        <f>Survey!$P1075+(Survey!$Q1075*0.433)</f>
        <v>1865.8598603106152</v>
      </c>
    </row>
    <row r="1076" spans="1:18" x14ac:dyDescent="0.25">
      <c r="A1076" s="71" t="s">
        <v>17</v>
      </c>
      <c r="B1076" s="72" t="s">
        <v>18</v>
      </c>
      <c r="C1076" s="73" t="s">
        <v>19</v>
      </c>
      <c r="D1076" s="74">
        <v>235.04827570208366</v>
      </c>
      <c r="E1076" s="81">
        <v>1269849</v>
      </c>
      <c r="F1076" s="82">
        <v>1242049.9424460474</v>
      </c>
      <c r="G1076" s="75">
        <v>1339.6452041966188</v>
      </c>
      <c r="H1076" s="76">
        <v>3</v>
      </c>
      <c r="I1076" s="54" t="s">
        <v>20</v>
      </c>
      <c r="J1076" s="77">
        <v>40</v>
      </c>
      <c r="K1076" s="78">
        <v>3</v>
      </c>
      <c r="L1076" s="54">
        <v>2</v>
      </c>
      <c r="M1076" s="54">
        <f>_xlfn.XLOOKUP(Survey!$F1076,sections[Start],sections[Test Section],,-1,1)</f>
        <v>3</v>
      </c>
      <c r="N1076" s="55">
        <f>_xlfn.XLOOKUP(Survey!$K1076,pipedata[ID],pipedata[WT])</f>
        <v>0.88800000000000001</v>
      </c>
      <c r="O1076" s="56">
        <f>_xlfn.XLOOKUP(Survey!$K1076,pipedata[ID],pipedata[104%])</f>
        <v>3078.4</v>
      </c>
      <c r="P1076" s="57">
        <f t="shared" si="16"/>
        <v>1850</v>
      </c>
      <c r="Q1076" s="58">
        <f>_xlfn.MAXIFS(Survey!$G$2:$G$3647,Survey!$M$2:$M$3647,Survey!$M1076)-Survey!$G1076</f>
        <v>38.239592486859465</v>
      </c>
      <c r="R1076" s="59">
        <f>Survey!$P1076+(Survey!$Q1076*0.433)</f>
        <v>1866.5577435468101</v>
      </c>
    </row>
    <row r="1077" spans="1:18" x14ac:dyDescent="0.25">
      <c r="A1077" s="60" t="s">
        <v>17</v>
      </c>
      <c r="B1077" s="61" t="s">
        <v>18</v>
      </c>
      <c r="C1077" s="62" t="s">
        <v>19</v>
      </c>
      <c r="D1077" s="63">
        <v>235.05585149808792</v>
      </c>
      <c r="E1077" s="79">
        <v>1269889</v>
      </c>
      <c r="F1077" s="80">
        <v>1242089.5971223065</v>
      </c>
      <c r="G1077" s="66">
        <v>1339.4797353281811</v>
      </c>
      <c r="H1077" s="67">
        <v>3</v>
      </c>
      <c r="I1077" s="68" t="s">
        <v>20</v>
      </c>
      <c r="J1077" s="69">
        <v>40</v>
      </c>
      <c r="K1077" s="70">
        <v>3</v>
      </c>
      <c r="L1077" s="68">
        <v>2</v>
      </c>
      <c r="M1077" s="68">
        <f>_xlfn.XLOOKUP(Survey!$F1077,sections[Start],sections[Test Section],,-1,1)</f>
        <v>3</v>
      </c>
      <c r="N1077" s="55">
        <f>_xlfn.XLOOKUP(Survey!$K1077,pipedata[ID],pipedata[WT])</f>
        <v>0.88800000000000001</v>
      </c>
      <c r="O1077" s="56">
        <f>_xlfn.XLOOKUP(Survey!$K1077,pipedata[ID],pipedata[104%])</f>
        <v>3078.4</v>
      </c>
      <c r="P1077" s="57">
        <f t="shared" si="16"/>
        <v>1850</v>
      </c>
      <c r="Q1077" s="58">
        <f>_xlfn.MAXIFS(Survey!$G$2:$G$3647,Survey!$M$2:$M$3647,Survey!$M1077)-Survey!$G1077</f>
        <v>38.405061355297221</v>
      </c>
      <c r="R1077" s="59">
        <f>Survey!$P1077+(Survey!$Q1077*0.433)</f>
        <v>1866.6293915668437</v>
      </c>
    </row>
    <row r="1078" spans="1:18" x14ac:dyDescent="0.25">
      <c r="A1078" s="71" t="s">
        <v>17</v>
      </c>
      <c r="B1078" s="72" t="s">
        <v>18</v>
      </c>
      <c r="C1078" s="73" t="s">
        <v>19</v>
      </c>
      <c r="D1078" s="74">
        <v>235.06342729409212</v>
      </c>
      <c r="E1078" s="81">
        <v>1269929</v>
      </c>
      <c r="F1078" s="82">
        <v>1242129.2517985655</v>
      </c>
      <c r="G1078" s="75">
        <v>1341.0434430731368</v>
      </c>
      <c r="H1078" s="76">
        <v>3</v>
      </c>
      <c r="I1078" s="54" t="s">
        <v>20</v>
      </c>
      <c r="J1078" s="77">
        <v>40</v>
      </c>
      <c r="K1078" s="78">
        <v>3</v>
      </c>
      <c r="L1078" s="54">
        <v>2</v>
      </c>
      <c r="M1078" s="54">
        <f>_xlfn.XLOOKUP(Survey!$F1078,sections[Start],sections[Test Section],,-1,1)</f>
        <v>3</v>
      </c>
      <c r="N1078" s="55">
        <f>_xlfn.XLOOKUP(Survey!$K1078,pipedata[ID],pipedata[WT])</f>
        <v>0.88800000000000001</v>
      </c>
      <c r="O1078" s="56">
        <f>_xlfn.XLOOKUP(Survey!$K1078,pipedata[ID],pipedata[104%])</f>
        <v>3078.4</v>
      </c>
      <c r="P1078" s="57">
        <f t="shared" si="16"/>
        <v>1850</v>
      </c>
      <c r="Q1078" s="58">
        <f>_xlfn.MAXIFS(Survey!$G$2:$G$3647,Survey!$M$2:$M$3647,Survey!$M1078)-Survey!$G1078</f>
        <v>36.841353610341457</v>
      </c>
      <c r="R1078" s="59">
        <f>Survey!$P1078+(Survey!$Q1078*0.433)</f>
        <v>1865.9523061132779</v>
      </c>
    </row>
    <row r="1079" spans="1:18" x14ac:dyDescent="0.25">
      <c r="A1079" s="60" t="s">
        <v>17</v>
      </c>
      <c r="B1079" s="61" t="s">
        <v>18</v>
      </c>
      <c r="C1079" s="62" t="s">
        <v>19</v>
      </c>
      <c r="D1079" s="63">
        <v>235.07100309009641</v>
      </c>
      <c r="E1079" s="79">
        <v>1269969</v>
      </c>
      <c r="F1079" s="80">
        <v>1242168.9064748245</v>
      </c>
      <c r="G1079" s="66">
        <v>1343.2774822683919</v>
      </c>
      <c r="H1079" s="67">
        <v>3</v>
      </c>
      <c r="I1079" s="68" t="s">
        <v>20</v>
      </c>
      <c r="J1079" s="69">
        <v>40</v>
      </c>
      <c r="K1079" s="70">
        <v>3</v>
      </c>
      <c r="L1079" s="68">
        <v>2</v>
      </c>
      <c r="M1079" s="68">
        <f>_xlfn.XLOOKUP(Survey!$F1079,sections[Start],sections[Test Section],,-1,1)</f>
        <v>3</v>
      </c>
      <c r="N1079" s="55">
        <f>_xlfn.XLOOKUP(Survey!$K1079,pipedata[ID],pipedata[WT])</f>
        <v>0.88800000000000001</v>
      </c>
      <c r="O1079" s="56">
        <f>_xlfn.XLOOKUP(Survey!$K1079,pipedata[ID],pipedata[104%])</f>
        <v>3078.4</v>
      </c>
      <c r="P1079" s="57">
        <f t="shared" si="16"/>
        <v>1850</v>
      </c>
      <c r="Q1079" s="58">
        <f>_xlfn.MAXIFS(Survey!$G$2:$G$3647,Survey!$M$2:$M$3647,Survey!$M1079)-Survey!$G1079</f>
        <v>34.607314415086421</v>
      </c>
      <c r="R1079" s="59">
        <f>Survey!$P1079+(Survey!$Q1079*0.433)</f>
        <v>1864.9849671417323</v>
      </c>
    </row>
    <row r="1080" spans="1:18" x14ac:dyDescent="0.25">
      <c r="A1080" s="71" t="s">
        <v>17</v>
      </c>
      <c r="B1080" s="72" t="s">
        <v>18</v>
      </c>
      <c r="C1080" s="73" t="s">
        <v>19</v>
      </c>
      <c r="D1080" s="74">
        <v>235.07857888610059</v>
      </c>
      <c r="E1080" s="81">
        <v>1270009</v>
      </c>
      <c r="F1080" s="82">
        <v>1242208.5611510836</v>
      </c>
      <c r="G1080" s="75">
        <v>1345.5094605470458</v>
      </c>
      <c r="H1080" s="76">
        <v>3</v>
      </c>
      <c r="I1080" s="54" t="s">
        <v>20</v>
      </c>
      <c r="J1080" s="77">
        <v>40</v>
      </c>
      <c r="K1080" s="78">
        <v>3</v>
      </c>
      <c r="L1080" s="54">
        <v>2</v>
      </c>
      <c r="M1080" s="54">
        <f>_xlfn.XLOOKUP(Survey!$F1080,sections[Start],sections[Test Section],,-1,1)</f>
        <v>3</v>
      </c>
      <c r="N1080" s="55">
        <f>_xlfn.XLOOKUP(Survey!$K1080,pipedata[ID],pipedata[WT])</f>
        <v>0.88800000000000001</v>
      </c>
      <c r="O1080" s="56">
        <f>_xlfn.XLOOKUP(Survey!$K1080,pipedata[ID],pipedata[104%])</f>
        <v>3078.4</v>
      </c>
      <c r="P1080" s="57">
        <f t="shared" si="16"/>
        <v>1850</v>
      </c>
      <c r="Q1080" s="58">
        <f>_xlfn.MAXIFS(Survey!$G$2:$G$3647,Survey!$M$2:$M$3647,Survey!$M1080)-Survey!$G1080</f>
        <v>32.375336136432452</v>
      </c>
      <c r="R1080" s="59">
        <f>Survey!$P1080+(Survey!$Q1080*0.433)</f>
        <v>1864.0185205470752</v>
      </c>
    </row>
    <row r="1081" spans="1:18" x14ac:dyDescent="0.25">
      <c r="A1081" s="60" t="s">
        <v>17</v>
      </c>
      <c r="B1081" s="61" t="s">
        <v>18</v>
      </c>
      <c r="C1081" s="62" t="s">
        <v>19</v>
      </c>
      <c r="D1081" s="63">
        <v>235.08584561477139</v>
      </c>
      <c r="E1081" s="79">
        <v>1270049</v>
      </c>
      <c r="F1081" s="80">
        <v>1242248.2158273426</v>
      </c>
      <c r="G1081" s="66">
        <v>1348.2269672645925</v>
      </c>
      <c r="H1081" s="67">
        <v>3</v>
      </c>
      <c r="I1081" s="68" t="s">
        <v>20</v>
      </c>
      <c r="J1081" s="69">
        <v>40</v>
      </c>
      <c r="K1081" s="70">
        <v>3</v>
      </c>
      <c r="L1081" s="68">
        <v>2</v>
      </c>
      <c r="M1081" s="68">
        <f>_xlfn.XLOOKUP(Survey!$F1081,sections[Start],sections[Test Section],,-1,1)</f>
        <v>3</v>
      </c>
      <c r="N1081" s="55">
        <f>_xlfn.XLOOKUP(Survey!$K1081,pipedata[ID],pipedata[WT])</f>
        <v>0.88800000000000001</v>
      </c>
      <c r="O1081" s="56">
        <f>_xlfn.XLOOKUP(Survey!$K1081,pipedata[ID],pipedata[104%])</f>
        <v>3078.4</v>
      </c>
      <c r="P1081" s="57">
        <f t="shared" si="16"/>
        <v>1850</v>
      </c>
      <c r="Q1081" s="58">
        <f>_xlfn.MAXIFS(Survey!$G$2:$G$3647,Survey!$M$2:$M$3647,Survey!$M1081)-Survey!$G1081</f>
        <v>29.65782941888574</v>
      </c>
      <c r="R1081" s="59">
        <f>Survey!$P1081+(Survey!$Q1081*0.433)</f>
        <v>1862.8418401383776</v>
      </c>
    </row>
    <row r="1082" spans="1:18" x14ac:dyDescent="0.25">
      <c r="A1082" s="71" t="s">
        <v>17</v>
      </c>
      <c r="B1082" s="72" t="s">
        <v>18</v>
      </c>
      <c r="C1082" s="73" t="s">
        <v>19</v>
      </c>
      <c r="D1082" s="74">
        <v>235.09372836171184</v>
      </c>
      <c r="E1082" s="81">
        <v>1270089</v>
      </c>
      <c r="F1082" s="82">
        <v>1242287.8705036016</v>
      </c>
      <c r="G1082" s="75">
        <v>1348.7565174079555</v>
      </c>
      <c r="H1082" s="76">
        <v>3</v>
      </c>
      <c r="I1082" s="54" t="s">
        <v>20</v>
      </c>
      <c r="J1082" s="77">
        <v>40</v>
      </c>
      <c r="K1082" s="78">
        <v>3</v>
      </c>
      <c r="L1082" s="54">
        <v>2</v>
      </c>
      <c r="M1082" s="54">
        <f>_xlfn.XLOOKUP(Survey!$F1082,sections[Start],sections[Test Section],,-1,1)</f>
        <v>3</v>
      </c>
      <c r="N1082" s="55">
        <f>_xlfn.XLOOKUP(Survey!$K1082,pipedata[ID],pipedata[WT])</f>
        <v>0.88800000000000001</v>
      </c>
      <c r="O1082" s="56">
        <f>_xlfn.XLOOKUP(Survey!$K1082,pipedata[ID],pipedata[104%])</f>
        <v>3078.4</v>
      </c>
      <c r="P1082" s="57">
        <f t="shared" si="16"/>
        <v>1850</v>
      </c>
      <c r="Q1082" s="58">
        <f>_xlfn.MAXIFS(Survey!$G$2:$G$3647,Survey!$M$2:$M$3647,Survey!$M1082)-Survey!$G1082</f>
        <v>29.1282792755228</v>
      </c>
      <c r="R1082" s="59">
        <f>Survey!$P1082+(Survey!$Q1082*0.433)</f>
        <v>1862.6125449263013</v>
      </c>
    </row>
    <row r="1083" spans="1:18" x14ac:dyDescent="0.25">
      <c r="A1083" s="60" t="s">
        <v>17</v>
      </c>
      <c r="B1083" s="61" t="s">
        <v>18</v>
      </c>
      <c r="C1083" s="62" t="s">
        <v>19</v>
      </c>
      <c r="D1083" s="63">
        <v>235.10084535297395</v>
      </c>
      <c r="E1083" s="79">
        <v>1270129</v>
      </c>
      <c r="F1083" s="80">
        <v>1242327.5251798606</v>
      </c>
      <c r="G1083" s="66">
        <v>1347.2010462902022</v>
      </c>
      <c r="H1083" s="67">
        <v>3</v>
      </c>
      <c r="I1083" s="68" t="s">
        <v>20</v>
      </c>
      <c r="J1083" s="69">
        <v>40</v>
      </c>
      <c r="K1083" s="70">
        <v>3</v>
      </c>
      <c r="L1083" s="68">
        <v>2</v>
      </c>
      <c r="M1083" s="68">
        <f>_xlfn.XLOOKUP(Survey!$F1083,sections[Start],sections[Test Section],,-1,1)</f>
        <v>3</v>
      </c>
      <c r="N1083" s="55">
        <f>_xlfn.XLOOKUP(Survey!$K1083,pipedata[ID],pipedata[WT])</f>
        <v>0.88800000000000001</v>
      </c>
      <c r="O1083" s="56">
        <f>_xlfn.XLOOKUP(Survey!$K1083,pipedata[ID],pipedata[104%])</f>
        <v>3078.4</v>
      </c>
      <c r="P1083" s="57">
        <f t="shared" si="16"/>
        <v>1850</v>
      </c>
      <c r="Q1083" s="58">
        <f>_xlfn.MAXIFS(Survey!$G$2:$G$3647,Survey!$M$2:$M$3647,Survey!$M1083)-Survey!$G1083</f>
        <v>30.683750393276114</v>
      </c>
      <c r="R1083" s="59">
        <f>Survey!$P1083+(Survey!$Q1083*0.433)</f>
        <v>1863.2860639202886</v>
      </c>
    </row>
    <row r="1084" spans="1:18" x14ac:dyDescent="0.25">
      <c r="A1084" s="71" t="s">
        <v>17</v>
      </c>
      <c r="B1084" s="72" t="s">
        <v>18</v>
      </c>
      <c r="C1084" s="73" t="s">
        <v>19</v>
      </c>
      <c r="D1084" s="74">
        <v>235.10799086794555</v>
      </c>
      <c r="E1084" s="81">
        <v>1270169</v>
      </c>
      <c r="F1084" s="82">
        <v>1242367.1798561197</v>
      </c>
      <c r="G1084" s="75">
        <v>1346.2067314879337</v>
      </c>
      <c r="H1084" s="76">
        <v>3</v>
      </c>
      <c r="I1084" s="54" t="s">
        <v>20</v>
      </c>
      <c r="J1084" s="77">
        <v>40</v>
      </c>
      <c r="K1084" s="78">
        <v>3</v>
      </c>
      <c r="L1084" s="54">
        <v>2</v>
      </c>
      <c r="M1084" s="54">
        <f>_xlfn.XLOOKUP(Survey!$F1084,sections[Start],sections[Test Section],,-1,1)</f>
        <v>3</v>
      </c>
      <c r="N1084" s="55">
        <f>_xlfn.XLOOKUP(Survey!$K1084,pipedata[ID],pipedata[WT])</f>
        <v>0.88800000000000001</v>
      </c>
      <c r="O1084" s="56">
        <f>_xlfn.XLOOKUP(Survey!$K1084,pipedata[ID],pipedata[104%])</f>
        <v>3078.4</v>
      </c>
      <c r="P1084" s="57">
        <f t="shared" si="16"/>
        <v>1850</v>
      </c>
      <c r="Q1084" s="58">
        <f>_xlfn.MAXIFS(Survey!$G$2:$G$3647,Survey!$M$2:$M$3647,Survey!$M1084)-Survey!$G1084</f>
        <v>31.678065195544605</v>
      </c>
      <c r="R1084" s="59">
        <f>Survey!$P1084+(Survey!$Q1084*0.433)</f>
        <v>1863.7166022296708</v>
      </c>
    </row>
    <row r="1085" spans="1:18" x14ac:dyDescent="0.25">
      <c r="A1085" s="60" t="s">
        <v>17</v>
      </c>
      <c r="B1085" s="61" t="s">
        <v>18</v>
      </c>
      <c r="C1085" s="62" t="s">
        <v>19</v>
      </c>
      <c r="D1085" s="63">
        <v>235.11507933549817</v>
      </c>
      <c r="E1085" s="79">
        <v>1270209</v>
      </c>
      <c r="F1085" s="80">
        <v>1242406.8345323787</v>
      </c>
      <c r="G1085" s="66">
        <v>1346.2952747321167</v>
      </c>
      <c r="H1085" s="67">
        <v>3</v>
      </c>
      <c r="I1085" s="68" t="s">
        <v>20</v>
      </c>
      <c r="J1085" s="69">
        <v>40</v>
      </c>
      <c r="K1085" s="70">
        <v>3</v>
      </c>
      <c r="L1085" s="68">
        <v>2</v>
      </c>
      <c r="M1085" s="68">
        <f>_xlfn.XLOOKUP(Survey!$F1085,sections[Start],sections[Test Section],,-1,1)</f>
        <v>3</v>
      </c>
      <c r="N1085" s="55">
        <f>_xlfn.XLOOKUP(Survey!$K1085,pipedata[ID],pipedata[WT])</f>
        <v>0.88800000000000001</v>
      </c>
      <c r="O1085" s="56">
        <f>_xlfn.XLOOKUP(Survey!$K1085,pipedata[ID],pipedata[104%])</f>
        <v>3078.4</v>
      </c>
      <c r="P1085" s="57">
        <f t="shared" si="16"/>
        <v>1850</v>
      </c>
      <c r="Q1085" s="58">
        <f>_xlfn.MAXIFS(Survey!$G$2:$G$3647,Survey!$M$2:$M$3647,Survey!$M1085)-Survey!$G1085</f>
        <v>31.589521951361576</v>
      </c>
      <c r="R1085" s="59">
        <f>Survey!$P1085+(Survey!$Q1085*0.433)</f>
        <v>1863.6782630049395</v>
      </c>
    </row>
    <row r="1086" spans="1:18" x14ac:dyDescent="0.25">
      <c r="A1086" s="71" t="s">
        <v>17</v>
      </c>
      <c r="B1086" s="72" t="s">
        <v>18</v>
      </c>
      <c r="C1086" s="73" t="s">
        <v>19</v>
      </c>
      <c r="D1086" s="74">
        <v>235.12371604659509</v>
      </c>
      <c r="E1086" s="81">
        <v>1270249</v>
      </c>
      <c r="F1086" s="82">
        <v>1242446.4892086377</v>
      </c>
      <c r="G1086" s="75">
        <v>1346.7098284111714</v>
      </c>
      <c r="H1086" s="76">
        <v>3</v>
      </c>
      <c r="I1086" s="54" t="s">
        <v>20</v>
      </c>
      <c r="J1086" s="77">
        <v>40</v>
      </c>
      <c r="K1086" s="78">
        <v>3</v>
      </c>
      <c r="L1086" s="54">
        <v>2</v>
      </c>
      <c r="M1086" s="54">
        <f>_xlfn.XLOOKUP(Survey!$F1086,sections[Start],sections[Test Section],,-1,1)</f>
        <v>3</v>
      </c>
      <c r="N1086" s="55">
        <f>_xlfn.XLOOKUP(Survey!$K1086,pipedata[ID],pipedata[WT])</f>
        <v>0.88800000000000001</v>
      </c>
      <c r="O1086" s="56">
        <f>_xlfn.XLOOKUP(Survey!$K1086,pipedata[ID],pipedata[104%])</f>
        <v>3078.4</v>
      </c>
      <c r="P1086" s="57">
        <f t="shared" si="16"/>
        <v>1850</v>
      </c>
      <c r="Q1086" s="58">
        <f>_xlfn.MAXIFS(Survey!$G$2:$G$3647,Survey!$M$2:$M$3647,Survey!$M1086)-Survey!$G1086</f>
        <v>31.174968272306842</v>
      </c>
      <c r="R1086" s="59">
        <f>Survey!$P1086+(Survey!$Q1086*0.433)</f>
        <v>1863.4987612619088</v>
      </c>
    </row>
    <row r="1087" spans="1:18" x14ac:dyDescent="0.25">
      <c r="A1087" s="60" t="s">
        <v>17</v>
      </c>
      <c r="B1087" s="61" t="s">
        <v>18</v>
      </c>
      <c r="C1087" s="62" t="s">
        <v>19</v>
      </c>
      <c r="D1087" s="63">
        <v>235.13168564844275</v>
      </c>
      <c r="E1087" s="79">
        <v>1270289</v>
      </c>
      <c r="F1087" s="80">
        <v>1242486.1438848968</v>
      </c>
      <c r="G1087" s="66">
        <v>1346.1752039908054</v>
      </c>
      <c r="H1087" s="67">
        <v>3</v>
      </c>
      <c r="I1087" s="68" t="s">
        <v>20</v>
      </c>
      <c r="J1087" s="69">
        <v>40</v>
      </c>
      <c r="K1087" s="70">
        <v>3</v>
      </c>
      <c r="L1087" s="68">
        <v>2</v>
      </c>
      <c r="M1087" s="68">
        <f>_xlfn.XLOOKUP(Survey!$F1087,sections[Start],sections[Test Section],,-1,1)</f>
        <v>3</v>
      </c>
      <c r="N1087" s="55">
        <f>_xlfn.XLOOKUP(Survey!$K1087,pipedata[ID],pipedata[WT])</f>
        <v>0.88800000000000001</v>
      </c>
      <c r="O1087" s="56">
        <f>_xlfn.XLOOKUP(Survey!$K1087,pipedata[ID],pipedata[104%])</f>
        <v>3078.4</v>
      </c>
      <c r="P1087" s="57">
        <f t="shared" si="16"/>
        <v>1850</v>
      </c>
      <c r="Q1087" s="58">
        <f>_xlfn.MAXIFS(Survey!$G$2:$G$3647,Survey!$M$2:$M$3647,Survey!$M1087)-Survey!$G1087</f>
        <v>31.709592692672913</v>
      </c>
      <c r="R1087" s="59">
        <f>Survey!$P1087+(Survey!$Q1087*0.433)</f>
        <v>1863.7302536359273</v>
      </c>
    </row>
    <row r="1088" spans="1:18" x14ac:dyDescent="0.25">
      <c r="A1088" s="71" t="s">
        <v>17</v>
      </c>
      <c r="B1088" s="72" t="s">
        <v>18</v>
      </c>
      <c r="C1088" s="73" t="s">
        <v>19</v>
      </c>
      <c r="D1088" s="74">
        <v>235.13944122524478</v>
      </c>
      <c r="E1088" s="81">
        <v>1270329</v>
      </c>
      <c r="F1088" s="82">
        <v>1242525.7985611558</v>
      </c>
      <c r="G1088" s="75">
        <v>1343.9869987708516</v>
      </c>
      <c r="H1088" s="76">
        <v>3</v>
      </c>
      <c r="I1088" s="54" t="s">
        <v>20</v>
      </c>
      <c r="J1088" s="77">
        <v>40</v>
      </c>
      <c r="K1088" s="78">
        <v>3</v>
      </c>
      <c r="L1088" s="54">
        <v>2</v>
      </c>
      <c r="M1088" s="54">
        <f>_xlfn.XLOOKUP(Survey!$F1088,sections[Start],sections[Test Section],,-1,1)</f>
        <v>3</v>
      </c>
      <c r="N1088" s="55">
        <f>_xlfn.XLOOKUP(Survey!$K1088,pipedata[ID],pipedata[WT])</f>
        <v>0.88800000000000001</v>
      </c>
      <c r="O1088" s="56">
        <f>_xlfn.XLOOKUP(Survey!$K1088,pipedata[ID],pipedata[104%])</f>
        <v>3078.4</v>
      </c>
      <c r="P1088" s="57">
        <f t="shared" si="16"/>
        <v>1850</v>
      </c>
      <c r="Q1088" s="58">
        <f>_xlfn.MAXIFS(Survey!$G$2:$G$3647,Survey!$M$2:$M$3647,Survey!$M1088)-Survey!$G1088</f>
        <v>33.897797912626629</v>
      </c>
      <c r="R1088" s="59">
        <f>Survey!$P1088+(Survey!$Q1088*0.433)</f>
        <v>1864.6777464961674</v>
      </c>
    </row>
    <row r="1089" spans="1:18" x14ac:dyDescent="0.25">
      <c r="A1089" s="60" t="s">
        <v>17</v>
      </c>
      <c r="B1089" s="61" t="s">
        <v>18</v>
      </c>
      <c r="C1089" s="62" t="s">
        <v>19</v>
      </c>
      <c r="D1089" s="63">
        <v>235.14630373553663</v>
      </c>
      <c r="E1089" s="79">
        <v>1270369</v>
      </c>
      <c r="F1089" s="80">
        <v>1242565.4532374148</v>
      </c>
      <c r="G1089" s="66">
        <v>1338.7505444308408</v>
      </c>
      <c r="H1089" s="67">
        <v>3</v>
      </c>
      <c r="I1089" s="68" t="s">
        <v>20</v>
      </c>
      <c r="J1089" s="69">
        <v>40</v>
      </c>
      <c r="K1089" s="70">
        <v>3</v>
      </c>
      <c r="L1089" s="68">
        <v>2</v>
      </c>
      <c r="M1089" s="68">
        <f>_xlfn.XLOOKUP(Survey!$F1089,sections[Start],sections[Test Section],,-1,1)</f>
        <v>3</v>
      </c>
      <c r="N1089" s="55">
        <f>_xlfn.XLOOKUP(Survey!$K1089,pipedata[ID],pipedata[WT])</f>
        <v>0.88800000000000001</v>
      </c>
      <c r="O1089" s="56">
        <f>_xlfn.XLOOKUP(Survey!$K1089,pipedata[ID],pipedata[104%])</f>
        <v>3078.4</v>
      </c>
      <c r="P1089" s="57">
        <f t="shared" si="16"/>
        <v>1850</v>
      </c>
      <c r="Q1089" s="58">
        <f>_xlfn.MAXIFS(Survey!$G$2:$G$3647,Survey!$M$2:$M$3647,Survey!$M1089)-Survey!$G1089</f>
        <v>39.134252252637452</v>
      </c>
      <c r="R1089" s="59">
        <f>Survey!$P1089+(Survey!$Q1089*0.433)</f>
        <v>1866.9451312253921</v>
      </c>
    </row>
    <row r="1090" spans="1:18" x14ac:dyDescent="0.25">
      <c r="A1090" s="71" t="s">
        <v>17</v>
      </c>
      <c r="B1090" s="72" t="s">
        <v>18</v>
      </c>
      <c r="C1090" s="73" t="s">
        <v>19</v>
      </c>
      <c r="D1090" s="74">
        <v>235.15321219419036</v>
      </c>
      <c r="E1090" s="81">
        <v>1270409</v>
      </c>
      <c r="F1090" s="82">
        <v>1242605.1079136739</v>
      </c>
      <c r="G1090" s="75">
        <v>1333.1409268083369</v>
      </c>
      <c r="H1090" s="76">
        <v>3</v>
      </c>
      <c r="I1090" s="54" t="s">
        <v>20</v>
      </c>
      <c r="J1090" s="77">
        <v>40</v>
      </c>
      <c r="K1090" s="78">
        <v>3</v>
      </c>
      <c r="L1090" s="54">
        <v>2</v>
      </c>
      <c r="M1090" s="54">
        <f>_xlfn.XLOOKUP(Survey!$F1090,sections[Start],sections[Test Section],,-1,1)</f>
        <v>3</v>
      </c>
      <c r="N1090" s="55">
        <f>_xlfn.XLOOKUP(Survey!$K1090,pipedata[ID],pipedata[WT])</f>
        <v>0.88800000000000001</v>
      </c>
      <c r="O1090" s="56">
        <f>_xlfn.XLOOKUP(Survey!$K1090,pipedata[ID],pipedata[104%])</f>
        <v>3078.4</v>
      </c>
      <c r="P1090" s="57">
        <f t="shared" ref="P1090:P1153" si="17">IF(L1090=1,1850,IF(L1090=2,1850,2220))</f>
        <v>1850</v>
      </c>
      <c r="Q1090" s="58">
        <f>_xlfn.MAXIFS(Survey!$G$2:$G$3647,Survey!$M$2:$M$3647,Survey!$M1090)-Survey!$G1090</f>
        <v>44.743869875141399</v>
      </c>
      <c r="R1090" s="59">
        <f>Survey!$P1090+(Survey!$Q1090*0.433)</f>
        <v>1869.3740956559361</v>
      </c>
    </row>
    <row r="1091" spans="1:18" x14ac:dyDescent="0.25">
      <c r="A1091" s="60" t="s">
        <v>17</v>
      </c>
      <c r="B1091" s="61" t="s">
        <v>18</v>
      </c>
      <c r="C1091" s="62" t="s">
        <v>19</v>
      </c>
      <c r="D1091" s="63">
        <v>235.16084261300938</v>
      </c>
      <c r="E1091" s="79">
        <v>1270449</v>
      </c>
      <c r="F1091" s="80">
        <v>1242644.7625899329</v>
      </c>
      <c r="G1091" s="66">
        <v>1320.3462553191625</v>
      </c>
      <c r="H1091" s="67">
        <v>3</v>
      </c>
      <c r="I1091" s="68" t="s">
        <v>20</v>
      </c>
      <c r="J1091" s="69">
        <v>40</v>
      </c>
      <c r="K1091" s="70">
        <v>3</v>
      </c>
      <c r="L1091" s="68">
        <v>2</v>
      </c>
      <c r="M1091" s="68">
        <f>_xlfn.XLOOKUP(Survey!$F1091,sections[Start],sections[Test Section],,-1,1)</f>
        <v>3</v>
      </c>
      <c r="N1091" s="55">
        <f>_xlfn.XLOOKUP(Survey!$K1091,pipedata[ID],pipedata[WT])</f>
        <v>0.88800000000000001</v>
      </c>
      <c r="O1091" s="56">
        <f>_xlfn.XLOOKUP(Survey!$K1091,pipedata[ID],pipedata[104%])</f>
        <v>3078.4</v>
      </c>
      <c r="P1091" s="57">
        <f t="shared" si="17"/>
        <v>1850</v>
      </c>
      <c r="Q1091" s="58">
        <f>_xlfn.MAXIFS(Survey!$G$2:$G$3647,Survey!$M$2:$M$3647,Survey!$M1091)-Survey!$G1091</f>
        <v>57.538541364315734</v>
      </c>
      <c r="R1091" s="59">
        <f>Survey!$P1091+(Survey!$Q1091*0.433)</f>
        <v>1874.9141884107487</v>
      </c>
    </row>
    <row r="1092" spans="1:18" x14ac:dyDescent="0.25">
      <c r="A1092" s="71" t="s">
        <v>17</v>
      </c>
      <c r="B1092" s="72" t="s">
        <v>18</v>
      </c>
      <c r="C1092" s="73" t="s">
        <v>19</v>
      </c>
      <c r="D1092" s="74">
        <v>235.16847303182831</v>
      </c>
      <c r="E1092" s="81">
        <v>1270489</v>
      </c>
      <c r="F1092" s="82">
        <v>1242684.4172661919</v>
      </c>
      <c r="G1092" s="75">
        <v>1307.2478987473248</v>
      </c>
      <c r="H1092" s="76">
        <v>3</v>
      </c>
      <c r="I1092" s="54" t="s">
        <v>20</v>
      </c>
      <c r="J1092" s="77">
        <v>40</v>
      </c>
      <c r="K1092" s="78">
        <v>3</v>
      </c>
      <c r="L1092" s="54">
        <v>2</v>
      </c>
      <c r="M1092" s="54">
        <f>_xlfn.XLOOKUP(Survey!$F1092,sections[Start],sections[Test Section],,-1,1)</f>
        <v>3</v>
      </c>
      <c r="N1092" s="55">
        <f>_xlfn.XLOOKUP(Survey!$K1092,pipedata[ID],pipedata[WT])</f>
        <v>0.88800000000000001</v>
      </c>
      <c r="O1092" s="56">
        <f>_xlfn.XLOOKUP(Survey!$K1092,pipedata[ID],pipedata[104%])</f>
        <v>3078.4</v>
      </c>
      <c r="P1092" s="57">
        <f t="shared" si="17"/>
        <v>1850</v>
      </c>
      <c r="Q1092" s="58">
        <f>_xlfn.MAXIFS(Survey!$G$2:$G$3647,Survey!$M$2:$M$3647,Survey!$M1092)-Survey!$G1092</f>
        <v>70.636897936153446</v>
      </c>
      <c r="R1092" s="59">
        <f>Survey!$P1092+(Survey!$Q1092*0.433)</f>
        <v>1880.5857768063545</v>
      </c>
    </row>
    <row r="1093" spans="1:18" x14ac:dyDescent="0.25">
      <c r="A1093" s="60" t="s">
        <v>17</v>
      </c>
      <c r="B1093" s="61" t="s">
        <v>18</v>
      </c>
      <c r="C1093" s="62" t="s">
        <v>19</v>
      </c>
      <c r="D1093" s="63">
        <v>235.17524956464803</v>
      </c>
      <c r="E1093" s="79">
        <v>1270529</v>
      </c>
      <c r="F1093" s="80">
        <v>1242724.0719424509</v>
      </c>
      <c r="G1093" s="66">
        <v>1290.8292761664252</v>
      </c>
      <c r="H1093" s="67">
        <v>3</v>
      </c>
      <c r="I1093" s="68" t="s">
        <v>20</v>
      </c>
      <c r="J1093" s="69">
        <v>40</v>
      </c>
      <c r="K1093" s="70">
        <v>3</v>
      </c>
      <c r="L1093" s="68">
        <v>2</v>
      </c>
      <c r="M1093" s="68">
        <f>_xlfn.XLOOKUP(Survey!$F1093,sections[Start],sections[Test Section],,-1,1)</f>
        <v>3</v>
      </c>
      <c r="N1093" s="55">
        <f>_xlfn.XLOOKUP(Survey!$K1093,pipedata[ID],pipedata[WT])</f>
        <v>0.88800000000000001</v>
      </c>
      <c r="O1093" s="56">
        <f>_xlfn.XLOOKUP(Survey!$K1093,pipedata[ID],pipedata[104%])</f>
        <v>3078.4</v>
      </c>
      <c r="P1093" s="57">
        <f t="shared" si="17"/>
        <v>1850</v>
      </c>
      <c r="Q1093" s="58">
        <f>_xlfn.MAXIFS(Survey!$G$2:$G$3647,Survey!$M$2:$M$3647,Survey!$M1093)-Survey!$G1093</f>
        <v>87.055520517053083</v>
      </c>
      <c r="R1093" s="59">
        <f>Survey!$P1093+(Survey!$Q1093*0.433)</f>
        <v>1887.6950403838839</v>
      </c>
    </row>
    <row r="1094" spans="1:18" x14ac:dyDescent="0.25">
      <c r="A1094" s="71" t="s">
        <v>17</v>
      </c>
      <c r="B1094" s="72" t="s">
        <v>18</v>
      </c>
      <c r="C1094" s="73" t="s">
        <v>19</v>
      </c>
      <c r="D1094" s="74">
        <v>235.18206034796873</v>
      </c>
      <c r="E1094" s="81">
        <v>1270569</v>
      </c>
      <c r="F1094" s="82">
        <v>1242763.72661871</v>
      </c>
      <c r="G1094" s="75">
        <v>1275.8179445966873</v>
      </c>
      <c r="H1094" s="76">
        <v>3</v>
      </c>
      <c r="I1094" s="54" t="s">
        <v>20</v>
      </c>
      <c r="J1094" s="77">
        <v>40</v>
      </c>
      <c r="K1094" s="78">
        <v>3</v>
      </c>
      <c r="L1094" s="54">
        <v>2</v>
      </c>
      <c r="M1094" s="54">
        <f>_xlfn.XLOOKUP(Survey!$F1094,sections[Start],sections[Test Section],,-1,1)</f>
        <v>3</v>
      </c>
      <c r="N1094" s="55">
        <f>_xlfn.XLOOKUP(Survey!$K1094,pipedata[ID],pipedata[WT])</f>
        <v>0.88800000000000001</v>
      </c>
      <c r="O1094" s="56">
        <f>_xlfn.XLOOKUP(Survey!$K1094,pipedata[ID],pipedata[104%])</f>
        <v>3078.4</v>
      </c>
      <c r="P1094" s="57">
        <f t="shared" si="17"/>
        <v>1850</v>
      </c>
      <c r="Q1094" s="58">
        <f>_xlfn.MAXIFS(Survey!$G$2:$G$3647,Survey!$M$2:$M$3647,Survey!$M1094)-Survey!$G1094</f>
        <v>102.06685208679096</v>
      </c>
      <c r="R1094" s="59">
        <f>Survey!$P1094+(Survey!$Q1094*0.433)</f>
        <v>1894.1949469535805</v>
      </c>
    </row>
    <row r="1095" spans="1:18" x14ac:dyDescent="0.25">
      <c r="A1095" s="60" t="s">
        <v>17</v>
      </c>
      <c r="B1095" s="61" t="s">
        <v>18</v>
      </c>
      <c r="C1095" s="62" t="s">
        <v>19</v>
      </c>
      <c r="D1095" s="63">
        <v>235.18945668358037</v>
      </c>
      <c r="E1095" s="79">
        <v>1270609</v>
      </c>
      <c r="F1095" s="80">
        <v>1242803.381294969</v>
      </c>
      <c r="G1095" s="66">
        <v>1259.5782233073935</v>
      </c>
      <c r="H1095" s="67">
        <v>3</v>
      </c>
      <c r="I1095" s="68" t="s">
        <v>20</v>
      </c>
      <c r="J1095" s="69">
        <v>40</v>
      </c>
      <c r="K1095" s="70">
        <v>3</v>
      </c>
      <c r="L1095" s="68">
        <v>2</v>
      </c>
      <c r="M1095" s="68">
        <f>_xlfn.XLOOKUP(Survey!$F1095,sections[Start],sections[Test Section],,-1,1)</f>
        <v>3</v>
      </c>
      <c r="N1095" s="55">
        <f>_xlfn.XLOOKUP(Survey!$K1095,pipedata[ID],pipedata[WT])</f>
        <v>0.88800000000000001</v>
      </c>
      <c r="O1095" s="56">
        <f>_xlfn.XLOOKUP(Survey!$K1095,pipedata[ID],pipedata[104%])</f>
        <v>3078.4</v>
      </c>
      <c r="P1095" s="57">
        <f t="shared" si="17"/>
        <v>1850</v>
      </c>
      <c r="Q1095" s="58">
        <f>_xlfn.MAXIFS(Survey!$G$2:$G$3647,Survey!$M$2:$M$3647,Survey!$M1095)-Survey!$G1095</f>
        <v>118.30657337608477</v>
      </c>
      <c r="R1095" s="59">
        <f>Survey!$P1095+(Survey!$Q1095*0.433)</f>
        <v>1901.2267462718446</v>
      </c>
    </row>
    <row r="1096" spans="1:18" x14ac:dyDescent="0.25">
      <c r="A1096" s="71" t="s">
        <v>17</v>
      </c>
      <c r="B1096" s="72" t="s">
        <v>18</v>
      </c>
      <c r="C1096" s="73" t="s">
        <v>19</v>
      </c>
      <c r="D1096" s="74">
        <v>235.1956819146092</v>
      </c>
      <c r="E1096" s="81">
        <v>1270649</v>
      </c>
      <c r="F1096" s="82">
        <v>1242843.035971228</v>
      </c>
      <c r="G1096" s="75">
        <v>1238.3502388316504</v>
      </c>
      <c r="H1096" s="76">
        <v>3</v>
      </c>
      <c r="I1096" s="54" t="s">
        <v>20</v>
      </c>
      <c r="J1096" s="77">
        <v>40</v>
      </c>
      <c r="K1096" s="78">
        <v>3</v>
      </c>
      <c r="L1096" s="54">
        <v>2</v>
      </c>
      <c r="M1096" s="54">
        <f>_xlfn.XLOOKUP(Survey!$F1096,sections[Start],sections[Test Section],,-1,1)</f>
        <v>3</v>
      </c>
      <c r="N1096" s="55">
        <f>_xlfn.XLOOKUP(Survey!$K1096,pipedata[ID],pipedata[WT])</f>
        <v>0.88800000000000001</v>
      </c>
      <c r="O1096" s="56">
        <f>_xlfn.XLOOKUP(Survey!$K1096,pipedata[ID],pipedata[104%])</f>
        <v>3078.4</v>
      </c>
      <c r="P1096" s="57">
        <f t="shared" si="17"/>
        <v>1850</v>
      </c>
      <c r="Q1096" s="58">
        <f>_xlfn.MAXIFS(Survey!$G$2:$G$3647,Survey!$M$2:$M$3647,Survey!$M1096)-Survey!$G1096</f>
        <v>139.53455785182791</v>
      </c>
      <c r="R1096" s="59">
        <f>Survey!$P1096+(Survey!$Q1096*0.433)</f>
        <v>1910.4184635498416</v>
      </c>
    </row>
    <row r="1097" spans="1:18" x14ac:dyDescent="0.25">
      <c r="A1097" s="60" t="s">
        <v>17</v>
      </c>
      <c r="B1097" s="61" t="s">
        <v>18</v>
      </c>
      <c r="C1097" s="62" t="s">
        <v>19</v>
      </c>
      <c r="D1097" s="63">
        <v>235.2028099165135</v>
      </c>
      <c r="E1097" s="79">
        <v>1270689</v>
      </c>
      <c r="F1097" s="80">
        <v>1242882.6906474871</v>
      </c>
      <c r="G1097" s="66">
        <v>1221.554249289293</v>
      </c>
      <c r="H1097" s="67">
        <v>3</v>
      </c>
      <c r="I1097" s="68" t="s">
        <v>20</v>
      </c>
      <c r="J1097" s="69">
        <v>40</v>
      </c>
      <c r="K1097" s="70">
        <v>3</v>
      </c>
      <c r="L1097" s="68">
        <v>2</v>
      </c>
      <c r="M1097" s="68">
        <f>_xlfn.XLOOKUP(Survey!$F1097,sections[Start],sections[Test Section],,-1,1)</f>
        <v>3</v>
      </c>
      <c r="N1097" s="55">
        <f>_xlfn.XLOOKUP(Survey!$K1097,pipedata[ID],pipedata[WT])</f>
        <v>0.88800000000000001</v>
      </c>
      <c r="O1097" s="56">
        <f>_xlfn.XLOOKUP(Survey!$K1097,pipedata[ID],pipedata[104%])</f>
        <v>3078.4</v>
      </c>
      <c r="P1097" s="57">
        <f t="shared" si="17"/>
        <v>1850</v>
      </c>
      <c r="Q1097" s="58">
        <f>_xlfn.MAXIFS(Survey!$G$2:$G$3647,Survey!$M$2:$M$3647,Survey!$M1097)-Survey!$G1097</f>
        <v>156.33054739418526</v>
      </c>
      <c r="R1097" s="59">
        <f>Survey!$P1097+(Survey!$Q1097*0.433)</f>
        <v>1917.6911270216822</v>
      </c>
    </row>
    <row r="1098" spans="1:18" x14ac:dyDescent="0.25">
      <c r="A1098" s="71" t="s">
        <v>17</v>
      </c>
      <c r="B1098" s="72" t="s">
        <v>18</v>
      </c>
      <c r="C1098" s="73" t="s">
        <v>19</v>
      </c>
      <c r="D1098" s="74">
        <v>235.20930348124989</v>
      </c>
      <c r="E1098" s="81">
        <v>1270729</v>
      </c>
      <c r="F1098" s="82">
        <v>1242922.3453237461</v>
      </c>
      <c r="G1098" s="75">
        <v>1207.0750139576494</v>
      </c>
      <c r="H1098" s="76">
        <v>3</v>
      </c>
      <c r="I1098" s="54" t="s">
        <v>20</v>
      </c>
      <c r="J1098" s="77">
        <v>45</v>
      </c>
      <c r="K1098" s="78">
        <v>3</v>
      </c>
      <c r="L1098" s="54">
        <v>2</v>
      </c>
      <c r="M1098" s="54">
        <f>_xlfn.XLOOKUP(Survey!$F1098,sections[Start],sections[Test Section],,-1,1)</f>
        <v>3</v>
      </c>
      <c r="N1098" s="55">
        <f>_xlfn.XLOOKUP(Survey!$K1098,pipedata[ID],pipedata[WT])</f>
        <v>0.88800000000000001</v>
      </c>
      <c r="O1098" s="56">
        <f>_xlfn.XLOOKUP(Survey!$K1098,pipedata[ID],pipedata[104%])</f>
        <v>3078.4</v>
      </c>
      <c r="P1098" s="57">
        <f t="shared" si="17"/>
        <v>1850</v>
      </c>
      <c r="Q1098" s="58">
        <f>_xlfn.MAXIFS(Survey!$G$2:$G$3647,Survey!$M$2:$M$3647,Survey!$M1098)-Survey!$G1098</f>
        <v>170.80978272582888</v>
      </c>
      <c r="R1098" s="59">
        <f>Survey!$P1098+(Survey!$Q1098*0.433)</f>
        <v>1923.9606359202839</v>
      </c>
    </row>
    <row r="1099" spans="1:18" x14ac:dyDescent="0.25">
      <c r="A1099" s="60" t="s">
        <v>17</v>
      </c>
      <c r="B1099" s="61" t="s">
        <v>18</v>
      </c>
      <c r="C1099" s="62" t="s">
        <v>19</v>
      </c>
      <c r="D1099" s="63">
        <v>235.21616314944683</v>
      </c>
      <c r="E1099" s="79">
        <v>1270774</v>
      </c>
      <c r="F1099" s="80">
        <v>1242962</v>
      </c>
      <c r="G1099" s="66">
        <v>1196.1716797258546</v>
      </c>
      <c r="H1099" s="67">
        <v>3</v>
      </c>
      <c r="I1099" s="68" t="s">
        <v>21</v>
      </c>
      <c r="J1099" s="69">
        <v>35</v>
      </c>
      <c r="K1099" s="70">
        <v>5</v>
      </c>
      <c r="L1099" s="68">
        <v>2</v>
      </c>
      <c r="M1099" s="68">
        <f>_xlfn.XLOOKUP(Survey!$F1099,sections[Start],sections[Test Section],,-1,1)</f>
        <v>3</v>
      </c>
      <c r="N1099" s="55">
        <f>_xlfn.XLOOKUP(Survey!$K1099,pipedata[ID],pipedata[WT])</f>
        <v>0.88800000000000001</v>
      </c>
      <c r="O1099" s="56">
        <f>_xlfn.XLOOKUP(Survey!$K1099,pipedata[ID],pipedata[104%])</f>
        <v>3078.4</v>
      </c>
      <c r="P1099" s="57">
        <f t="shared" si="17"/>
        <v>1850</v>
      </c>
      <c r="Q1099" s="58">
        <f>_xlfn.MAXIFS(Survey!$G$2:$G$3647,Survey!$M$2:$M$3647,Survey!$M1099)-Survey!$G1099</f>
        <v>181.7131169576237</v>
      </c>
      <c r="R1099" s="59">
        <f>Survey!$P1099+(Survey!$Q1099*0.433)</f>
        <v>1928.681779642651</v>
      </c>
    </row>
    <row r="1100" spans="1:18" x14ac:dyDescent="0.25">
      <c r="A1100" s="71" t="s">
        <v>17</v>
      </c>
      <c r="B1100" s="72" t="s">
        <v>18</v>
      </c>
      <c r="C1100" s="73" t="s">
        <v>19</v>
      </c>
      <c r="D1100" s="74">
        <v>235.22379356826568</v>
      </c>
      <c r="E1100" s="81">
        <v>1270809</v>
      </c>
      <c r="F1100" s="82">
        <v>1243002</v>
      </c>
      <c r="G1100" s="75">
        <v>1185.790650236368</v>
      </c>
      <c r="H1100" s="76">
        <v>3</v>
      </c>
      <c r="I1100" s="54" t="s">
        <v>21</v>
      </c>
      <c r="J1100" s="77">
        <v>40</v>
      </c>
      <c r="K1100" s="78">
        <v>5</v>
      </c>
      <c r="L1100" s="54">
        <v>2</v>
      </c>
      <c r="M1100" s="54">
        <f>_xlfn.XLOOKUP(Survey!$F1100,sections[Start],sections[Test Section],,-1,1)</f>
        <v>3</v>
      </c>
      <c r="N1100" s="55">
        <f>_xlfn.XLOOKUP(Survey!$K1100,pipedata[ID],pipedata[WT])</f>
        <v>0.88800000000000001</v>
      </c>
      <c r="O1100" s="56">
        <f>_xlfn.XLOOKUP(Survey!$K1100,pipedata[ID],pipedata[104%])</f>
        <v>3078.4</v>
      </c>
      <c r="P1100" s="57">
        <f t="shared" si="17"/>
        <v>1850</v>
      </c>
      <c r="Q1100" s="58">
        <f>_xlfn.MAXIFS(Survey!$G$2:$G$3647,Survey!$M$2:$M$3647,Survey!$M1100)-Survey!$G1100</f>
        <v>192.09414644711023</v>
      </c>
      <c r="R1100" s="59">
        <f>Survey!$P1100+(Survey!$Q1100*0.433)</f>
        <v>1933.1767654115988</v>
      </c>
    </row>
    <row r="1101" spans="1:18" x14ac:dyDescent="0.25">
      <c r="A1101" s="60" t="s">
        <v>17</v>
      </c>
      <c r="B1101" s="61" t="s">
        <v>18</v>
      </c>
      <c r="C1101" s="62" t="s">
        <v>19</v>
      </c>
      <c r="D1101" s="63">
        <v>235.23155934720245</v>
      </c>
      <c r="E1101" s="79">
        <v>1270849</v>
      </c>
      <c r="F1101" s="80">
        <v>1243042</v>
      </c>
      <c r="G1101" s="66">
        <v>1184.4753406300849</v>
      </c>
      <c r="H1101" s="67">
        <v>3</v>
      </c>
      <c r="I1101" s="68" t="s">
        <v>21</v>
      </c>
      <c r="J1101" s="69">
        <v>45</v>
      </c>
      <c r="K1101" s="70">
        <v>5</v>
      </c>
      <c r="L1101" s="68">
        <v>2</v>
      </c>
      <c r="M1101" s="68">
        <f>_xlfn.XLOOKUP(Survey!$F1101,sections[Start],sections[Test Section],,-1,1)</f>
        <v>3</v>
      </c>
      <c r="N1101" s="55">
        <f>_xlfn.XLOOKUP(Survey!$K1101,pipedata[ID],pipedata[WT])</f>
        <v>0.88800000000000001</v>
      </c>
      <c r="O1101" s="56">
        <f>_xlfn.XLOOKUP(Survey!$K1101,pipedata[ID],pipedata[104%])</f>
        <v>3078.4</v>
      </c>
      <c r="P1101" s="57">
        <f t="shared" si="17"/>
        <v>1850</v>
      </c>
      <c r="Q1101" s="58">
        <f>_xlfn.MAXIFS(Survey!$G$2:$G$3647,Survey!$M$2:$M$3647,Survey!$M1101)-Survey!$G1101</f>
        <v>193.40945605339334</v>
      </c>
      <c r="R1101" s="59">
        <f>Survey!$P1101+(Survey!$Q1101*0.433)</f>
        <v>1933.7462944711192</v>
      </c>
    </row>
    <row r="1102" spans="1:18" x14ac:dyDescent="0.25">
      <c r="A1102" s="71" t="s">
        <v>17</v>
      </c>
      <c r="B1102" s="72" t="s">
        <v>18</v>
      </c>
      <c r="C1102" s="73" t="s">
        <v>19</v>
      </c>
      <c r="D1102" s="74">
        <v>235.23905440590354</v>
      </c>
      <c r="E1102" s="81">
        <v>1270894</v>
      </c>
      <c r="F1102" s="82">
        <v>1243082</v>
      </c>
      <c r="G1102" s="75">
        <v>1181.3042507348393</v>
      </c>
      <c r="H1102" s="76">
        <v>3</v>
      </c>
      <c r="I1102" s="54" t="s">
        <v>20</v>
      </c>
      <c r="J1102" s="77">
        <v>35</v>
      </c>
      <c r="K1102" s="78">
        <v>3</v>
      </c>
      <c r="L1102" s="54">
        <v>2</v>
      </c>
      <c r="M1102" s="54">
        <f>_xlfn.XLOOKUP(Survey!$F1102,sections[Start],sections[Test Section],,-1,1)</f>
        <v>3</v>
      </c>
      <c r="N1102" s="55">
        <f>_xlfn.XLOOKUP(Survey!$K1102,pipedata[ID],pipedata[WT])</f>
        <v>0.88800000000000001</v>
      </c>
      <c r="O1102" s="56">
        <f>_xlfn.XLOOKUP(Survey!$K1102,pipedata[ID],pipedata[104%])</f>
        <v>3078.4</v>
      </c>
      <c r="P1102" s="57">
        <f t="shared" si="17"/>
        <v>1850</v>
      </c>
      <c r="Q1102" s="58">
        <f>_xlfn.MAXIFS(Survey!$G$2:$G$3647,Survey!$M$2:$M$3647,Survey!$M1102)-Survey!$G1102</f>
        <v>196.58054594863893</v>
      </c>
      <c r="R1102" s="59">
        <f>Survey!$P1102+(Survey!$Q1102*0.433)</f>
        <v>1935.1193763957606</v>
      </c>
    </row>
    <row r="1103" spans="1:18" x14ac:dyDescent="0.25">
      <c r="A1103" s="60" t="s">
        <v>17</v>
      </c>
      <c r="B1103" s="61" t="s">
        <v>18</v>
      </c>
      <c r="C1103" s="62" t="s">
        <v>19</v>
      </c>
      <c r="D1103" s="63">
        <v>235.24676278951193</v>
      </c>
      <c r="E1103" s="79">
        <v>1270929</v>
      </c>
      <c r="F1103" s="80">
        <v>1243122</v>
      </c>
      <c r="G1103" s="66">
        <v>1179.9204859752454</v>
      </c>
      <c r="H1103" s="67">
        <v>3</v>
      </c>
      <c r="I1103" s="68" t="s">
        <v>20</v>
      </c>
      <c r="J1103" s="69">
        <v>40</v>
      </c>
      <c r="K1103" s="70">
        <v>3</v>
      </c>
      <c r="L1103" s="68">
        <v>2</v>
      </c>
      <c r="M1103" s="68">
        <f>_xlfn.XLOOKUP(Survey!$F1103,sections[Start],sections[Test Section],,-1,1)</f>
        <v>3</v>
      </c>
      <c r="N1103" s="55">
        <f>_xlfn.XLOOKUP(Survey!$K1103,pipedata[ID],pipedata[WT])</f>
        <v>0.88800000000000001</v>
      </c>
      <c r="O1103" s="56">
        <f>_xlfn.XLOOKUP(Survey!$K1103,pipedata[ID],pipedata[104%])</f>
        <v>3078.4</v>
      </c>
      <c r="P1103" s="57">
        <f t="shared" si="17"/>
        <v>1850</v>
      </c>
      <c r="Q1103" s="58">
        <f>_xlfn.MAXIFS(Survey!$G$2:$G$3647,Survey!$M$2:$M$3647,Survey!$M1103)-Survey!$G1103</f>
        <v>197.96431070823292</v>
      </c>
      <c r="R1103" s="59">
        <f>Survey!$P1103+(Survey!$Q1103*0.433)</f>
        <v>1935.7185465366649</v>
      </c>
    </row>
    <row r="1104" spans="1:18" x14ac:dyDescent="0.25">
      <c r="A1104" s="71" t="s">
        <v>17</v>
      </c>
      <c r="B1104" s="72" t="s">
        <v>18</v>
      </c>
      <c r="C1104" s="73" t="s">
        <v>19</v>
      </c>
      <c r="D1104" s="74">
        <v>235.2543152435415</v>
      </c>
      <c r="E1104" s="81">
        <v>1270969</v>
      </c>
      <c r="F1104" s="82">
        <v>1243162</v>
      </c>
      <c r="G1104" s="75">
        <v>1177.2077291083197</v>
      </c>
      <c r="H1104" s="76">
        <v>3</v>
      </c>
      <c r="I1104" s="54" t="s">
        <v>20</v>
      </c>
      <c r="J1104" s="77">
        <v>40</v>
      </c>
      <c r="K1104" s="78">
        <v>3</v>
      </c>
      <c r="L1104" s="54">
        <v>2</v>
      </c>
      <c r="M1104" s="54">
        <f>_xlfn.XLOOKUP(Survey!$F1104,sections[Start],sections[Test Section],,-1,1)</f>
        <v>3</v>
      </c>
      <c r="N1104" s="55">
        <f>_xlfn.XLOOKUP(Survey!$K1104,pipedata[ID],pipedata[WT])</f>
        <v>0.88800000000000001</v>
      </c>
      <c r="O1104" s="56">
        <f>_xlfn.XLOOKUP(Survey!$K1104,pipedata[ID],pipedata[104%])</f>
        <v>3078.4</v>
      </c>
      <c r="P1104" s="57">
        <f t="shared" si="17"/>
        <v>1850</v>
      </c>
      <c r="Q1104" s="58">
        <f>_xlfn.MAXIFS(Survey!$G$2:$G$3647,Survey!$M$2:$M$3647,Survey!$M1104)-Survey!$G1104</f>
        <v>200.67706757515862</v>
      </c>
      <c r="R1104" s="59">
        <f>Survey!$P1104+(Survey!$Q1104*0.433)</f>
        <v>1936.8931702600437</v>
      </c>
    </row>
    <row r="1105" spans="1:18" x14ac:dyDescent="0.25">
      <c r="A1105" s="60" t="s">
        <v>17</v>
      </c>
      <c r="B1105" s="61" t="s">
        <v>18</v>
      </c>
      <c r="C1105" s="62" t="s">
        <v>19</v>
      </c>
      <c r="D1105" s="63">
        <v>235.2620870519828</v>
      </c>
      <c r="E1105" s="79">
        <v>1271009</v>
      </c>
      <c r="F1105" s="80">
        <v>1243202</v>
      </c>
      <c r="G1105" s="66">
        <v>1174.745451007765</v>
      </c>
      <c r="H1105" s="67">
        <v>3</v>
      </c>
      <c r="I1105" s="68" t="s">
        <v>20</v>
      </c>
      <c r="J1105" s="69">
        <v>40</v>
      </c>
      <c r="K1105" s="70">
        <v>3</v>
      </c>
      <c r="L1105" s="68">
        <v>2</v>
      </c>
      <c r="M1105" s="68">
        <f>_xlfn.XLOOKUP(Survey!$F1105,sections[Start],sections[Test Section],,-1,1)</f>
        <v>3</v>
      </c>
      <c r="N1105" s="55">
        <f>_xlfn.XLOOKUP(Survey!$K1105,pipedata[ID],pipedata[WT])</f>
        <v>0.88800000000000001</v>
      </c>
      <c r="O1105" s="56">
        <f>_xlfn.XLOOKUP(Survey!$K1105,pipedata[ID],pipedata[104%])</f>
        <v>3078.4</v>
      </c>
      <c r="P1105" s="57">
        <f t="shared" si="17"/>
        <v>1850</v>
      </c>
      <c r="Q1105" s="58">
        <f>_xlfn.MAXIFS(Survey!$G$2:$G$3647,Survey!$M$2:$M$3647,Survey!$M1105)-Survey!$G1105</f>
        <v>203.13934567571323</v>
      </c>
      <c r="R1105" s="59">
        <f>Survey!$P1105+(Survey!$Q1105*0.433)</f>
        <v>1937.9593366775839</v>
      </c>
    </row>
    <row r="1106" spans="1:18" x14ac:dyDescent="0.25">
      <c r="A1106" s="71" t="s">
        <v>17</v>
      </c>
      <c r="B1106" s="72" t="s">
        <v>18</v>
      </c>
      <c r="C1106" s="73" t="s">
        <v>19</v>
      </c>
      <c r="D1106" s="74">
        <v>235.26957608117951</v>
      </c>
      <c r="E1106" s="81">
        <v>1271049</v>
      </c>
      <c r="F1106" s="82">
        <v>1243242</v>
      </c>
      <c r="G1106" s="75">
        <v>1173.6648131971942</v>
      </c>
      <c r="H1106" s="76">
        <v>3</v>
      </c>
      <c r="I1106" s="54" t="s">
        <v>20</v>
      </c>
      <c r="J1106" s="77">
        <v>40</v>
      </c>
      <c r="K1106" s="78">
        <v>3</v>
      </c>
      <c r="L1106" s="54">
        <v>2</v>
      </c>
      <c r="M1106" s="54">
        <f>_xlfn.XLOOKUP(Survey!$F1106,sections[Start],sections[Test Section],,-1,1)</f>
        <v>3</v>
      </c>
      <c r="N1106" s="55">
        <f>_xlfn.XLOOKUP(Survey!$K1106,pipedata[ID],pipedata[WT])</f>
        <v>0.88800000000000001</v>
      </c>
      <c r="O1106" s="56">
        <f>_xlfn.XLOOKUP(Survey!$K1106,pipedata[ID],pipedata[104%])</f>
        <v>3078.4</v>
      </c>
      <c r="P1106" s="57">
        <f t="shared" si="17"/>
        <v>1850</v>
      </c>
      <c r="Q1106" s="58">
        <f>_xlfn.MAXIFS(Survey!$G$2:$G$3647,Survey!$M$2:$M$3647,Survey!$M1106)-Survey!$G1106</f>
        <v>204.21998348628404</v>
      </c>
      <c r="R1106" s="59">
        <f>Survey!$P1106+(Survey!$Q1106*0.433)</f>
        <v>1938.427252849561</v>
      </c>
    </row>
    <row r="1107" spans="1:18" x14ac:dyDescent="0.25">
      <c r="A1107" s="60" t="s">
        <v>17</v>
      </c>
      <c r="B1107" s="61" t="s">
        <v>18</v>
      </c>
      <c r="C1107" s="62" t="s">
        <v>19</v>
      </c>
      <c r="D1107" s="63">
        <v>235.2772064999985</v>
      </c>
      <c r="E1107" s="79">
        <v>1271089</v>
      </c>
      <c r="F1107" s="80">
        <v>1243282</v>
      </c>
      <c r="G1107" s="66">
        <v>1173.5399585291425</v>
      </c>
      <c r="H1107" s="67">
        <v>3</v>
      </c>
      <c r="I1107" s="68" t="s">
        <v>20</v>
      </c>
      <c r="J1107" s="69">
        <v>40</v>
      </c>
      <c r="K1107" s="70">
        <v>3</v>
      </c>
      <c r="L1107" s="68">
        <v>2</v>
      </c>
      <c r="M1107" s="68">
        <f>_xlfn.XLOOKUP(Survey!$F1107,sections[Start],sections[Test Section],,-1,1)</f>
        <v>3</v>
      </c>
      <c r="N1107" s="55">
        <f>_xlfn.XLOOKUP(Survey!$K1107,pipedata[ID],pipedata[WT])</f>
        <v>0.88800000000000001</v>
      </c>
      <c r="O1107" s="56">
        <f>_xlfn.XLOOKUP(Survey!$K1107,pipedata[ID],pipedata[104%])</f>
        <v>3078.4</v>
      </c>
      <c r="P1107" s="57">
        <f t="shared" si="17"/>
        <v>1850</v>
      </c>
      <c r="Q1107" s="58">
        <f>_xlfn.MAXIFS(Survey!$G$2:$G$3647,Survey!$M$2:$M$3647,Survey!$M1107)-Survey!$G1107</f>
        <v>204.34483815433578</v>
      </c>
      <c r="R1107" s="59">
        <f>Survey!$P1107+(Survey!$Q1107*0.433)</f>
        <v>1938.4813149208273</v>
      </c>
    </row>
    <row r="1108" spans="1:18" x14ac:dyDescent="0.25">
      <c r="A1108" s="71" t="s">
        <v>17</v>
      </c>
      <c r="B1108" s="72" t="s">
        <v>18</v>
      </c>
      <c r="C1108" s="73" t="s">
        <v>19</v>
      </c>
      <c r="D1108" s="74">
        <v>235.28483691881755</v>
      </c>
      <c r="E1108" s="81">
        <v>1271129</v>
      </c>
      <c r="F1108" s="82">
        <v>1243322</v>
      </c>
      <c r="G1108" s="75">
        <v>1173.0577226061223</v>
      </c>
      <c r="H1108" s="76">
        <v>3</v>
      </c>
      <c r="I1108" s="54" t="s">
        <v>20</v>
      </c>
      <c r="J1108" s="77">
        <v>40</v>
      </c>
      <c r="K1108" s="78">
        <v>3</v>
      </c>
      <c r="L1108" s="54">
        <v>2</v>
      </c>
      <c r="M1108" s="54">
        <f>_xlfn.XLOOKUP(Survey!$F1108,sections[Start],sections[Test Section],,-1,1)</f>
        <v>3</v>
      </c>
      <c r="N1108" s="55">
        <f>_xlfn.XLOOKUP(Survey!$K1108,pipedata[ID],pipedata[WT])</f>
        <v>0.88800000000000001</v>
      </c>
      <c r="O1108" s="56">
        <f>_xlfn.XLOOKUP(Survey!$K1108,pipedata[ID],pipedata[104%])</f>
        <v>3078.4</v>
      </c>
      <c r="P1108" s="57">
        <f t="shared" si="17"/>
        <v>1850</v>
      </c>
      <c r="Q1108" s="58">
        <f>_xlfn.MAXIFS(Survey!$G$2:$G$3647,Survey!$M$2:$M$3647,Survey!$M1108)-Survey!$G1108</f>
        <v>204.82707407735597</v>
      </c>
      <c r="R1108" s="59">
        <f>Survey!$P1108+(Survey!$Q1108*0.433)</f>
        <v>1938.6901230754952</v>
      </c>
    </row>
    <row r="1109" spans="1:18" x14ac:dyDescent="0.25">
      <c r="A1109" s="60" t="s">
        <v>17</v>
      </c>
      <c r="B1109" s="61" t="s">
        <v>18</v>
      </c>
      <c r="C1109" s="62" t="s">
        <v>19</v>
      </c>
      <c r="D1109" s="63">
        <v>235.29252372639496</v>
      </c>
      <c r="E1109" s="79">
        <v>1271169</v>
      </c>
      <c r="F1109" s="80">
        <v>1243362</v>
      </c>
      <c r="G1109" s="66">
        <v>1171.1094505386689</v>
      </c>
      <c r="H1109" s="67">
        <v>3</v>
      </c>
      <c r="I1109" s="68" t="s">
        <v>20</v>
      </c>
      <c r="J1109" s="69">
        <v>40</v>
      </c>
      <c r="K1109" s="70">
        <v>3</v>
      </c>
      <c r="L1109" s="68">
        <v>2</v>
      </c>
      <c r="M1109" s="68">
        <f>_xlfn.XLOOKUP(Survey!$F1109,sections[Start],sections[Test Section],,-1,1)</f>
        <v>3</v>
      </c>
      <c r="N1109" s="55">
        <f>_xlfn.XLOOKUP(Survey!$K1109,pipedata[ID],pipedata[WT])</f>
        <v>0.88800000000000001</v>
      </c>
      <c r="O1109" s="56">
        <f>_xlfn.XLOOKUP(Survey!$K1109,pipedata[ID],pipedata[104%])</f>
        <v>3078.4</v>
      </c>
      <c r="P1109" s="57">
        <f t="shared" si="17"/>
        <v>1850</v>
      </c>
      <c r="Q1109" s="58">
        <f>_xlfn.MAXIFS(Survey!$G$2:$G$3647,Survey!$M$2:$M$3647,Survey!$M1109)-Survey!$G1109</f>
        <v>206.77534614480942</v>
      </c>
      <c r="R1109" s="59">
        <f>Survey!$P1109+(Survey!$Q1109*0.433)</f>
        <v>1939.5337248807025</v>
      </c>
    </row>
    <row r="1110" spans="1:18" x14ac:dyDescent="0.25">
      <c r="A1110" s="71" t="s">
        <v>17</v>
      </c>
      <c r="B1110" s="72" t="s">
        <v>18</v>
      </c>
      <c r="C1110" s="73" t="s">
        <v>19</v>
      </c>
      <c r="D1110" s="74">
        <v>235.29926386258714</v>
      </c>
      <c r="E1110" s="81">
        <v>1271209</v>
      </c>
      <c r="F1110" s="82">
        <v>1243402</v>
      </c>
      <c r="G1110" s="75">
        <v>1170.6507483857513</v>
      </c>
      <c r="H1110" s="76">
        <v>3</v>
      </c>
      <c r="I1110" s="54" t="s">
        <v>20</v>
      </c>
      <c r="J1110" s="77">
        <v>40</v>
      </c>
      <c r="K1110" s="78">
        <v>3</v>
      </c>
      <c r="L1110" s="54">
        <v>2</v>
      </c>
      <c r="M1110" s="54">
        <f>_xlfn.XLOOKUP(Survey!$F1110,sections[Start],sections[Test Section],,-1,1)</f>
        <v>3</v>
      </c>
      <c r="N1110" s="55">
        <f>_xlfn.XLOOKUP(Survey!$K1110,pipedata[ID],pipedata[WT])</f>
        <v>0.88800000000000001</v>
      </c>
      <c r="O1110" s="56">
        <f>_xlfn.XLOOKUP(Survey!$K1110,pipedata[ID],pipedata[104%])</f>
        <v>3078.4</v>
      </c>
      <c r="P1110" s="57">
        <f t="shared" si="17"/>
        <v>1850</v>
      </c>
      <c r="Q1110" s="58">
        <f>_xlfn.MAXIFS(Survey!$G$2:$G$3647,Survey!$M$2:$M$3647,Survey!$M1110)-Survey!$G1110</f>
        <v>207.23404829772699</v>
      </c>
      <c r="R1110" s="59">
        <f>Survey!$P1110+(Survey!$Q1110*0.433)</f>
        <v>1939.7323429129158</v>
      </c>
    </row>
    <row r="1111" spans="1:18" x14ac:dyDescent="0.25">
      <c r="A1111" s="60" t="s">
        <v>17</v>
      </c>
      <c r="B1111" s="61" t="s">
        <v>18</v>
      </c>
      <c r="C1111" s="62" t="s">
        <v>19</v>
      </c>
      <c r="D1111" s="63">
        <v>235.30730608422434</v>
      </c>
      <c r="E1111" s="79">
        <v>1271249</v>
      </c>
      <c r="F1111" s="80">
        <v>1243442</v>
      </c>
      <c r="G1111" s="66">
        <v>1171.2740412693283</v>
      </c>
      <c r="H1111" s="67">
        <v>3</v>
      </c>
      <c r="I1111" s="68" t="s">
        <v>20</v>
      </c>
      <c r="J1111" s="69">
        <v>40</v>
      </c>
      <c r="K1111" s="70">
        <v>3</v>
      </c>
      <c r="L1111" s="68">
        <v>2</v>
      </c>
      <c r="M1111" s="68">
        <f>_xlfn.XLOOKUP(Survey!$F1111,sections[Start],sections[Test Section],,-1,1)</f>
        <v>3</v>
      </c>
      <c r="N1111" s="55">
        <f>_xlfn.XLOOKUP(Survey!$K1111,pipedata[ID],pipedata[WT])</f>
        <v>0.88800000000000001</v>
      </c>
      <c r="O1111" s="56">
        <f>_xlfn.XLOOKUP(Survey!$K1111,pipedata[ID],pipedata[104%])</f>
        <v>3078.4</v>
      </c>
      <c r="P1111" s="57">
        <f t="shared" si="17"/>
        <v>1850</v>
      </c>
      <c r="Q1111" s="58">
        <f>_xlfn.MAXIFS(Survey!$G$2:$G$3647,Survey!$M$2:$M$3647,Survey!$M1111)-Survey!$G1111</f>
        <v>206.61075541414993</v>
      </c>
      <c r="R1111" s="59">
        <f>Survey!$P1111+(Survey!$Q1111*0.433)</f>
        <v>1939.462457094327</v>
      </c>
    </row>
    <row r="1112" spans="1:18" x14ac:dyDescent="0.25">
      <c r="A1112" s="71" t="s">
        <v>17</v>
      </c>
      <c r="B1112" s="72" t="s">
        <v>18</v>
      </c>
      <c r="C1112" s="73" t="s">
        <v>19</v>
      </c>
      <c r="D1112" s="74">
        <v>235.31415066803302</v>
      </c>
      <c r="E1112" s="81">
        <v>1271289</v>
      </c>
      <c r="F1112" s="82">
        <v>1243482</v>
      </c>
      <c r="G1112" s="75">
        <v>1172.487142772912</v>
      </c>
      <c r="H1112" s="76">
        <v>3</v>
      </c>
      <c r="I1112" s="54" t="s">
        <v>20</v>
      </c>
      <c r="J1112" s="77">
        <v>40</v>
      </c>
      <c r="K1112" s="78">
        <v>3</v>
      </c>
      <c r="L1112" s="54">
        <v>2</v>
      </c>
      <c r="M1112" s="54">
        <f>_xlfn.XLOOKUP(Survey!$F1112,sections[Start],sections[Test Section],,-1,1)</f>
        <v>3</v>
      </c>
      <c r="N1112" s="55">
        <f>_xlfn.XLOOKUP(Survey!$K1112,pipedata[ID],pipedata[WT])</f>
        <v>0.88800000000000001</v>
      </c>
      <c r="O1112" s="56">
        <f>_xlfn.XLOOKUP(Survey!$K1112,pipedata[ID],pipedata[104%])</f>
        <v>3078.4</v>
      </c>
      <c r="P1112" s="57">
        <f t="shared" si="17"/>
        <v>1850</v>
      </c>
      <c r="Q1112" s="58">
        <f>_xlfn.MAXIFS(Survey!$G$2:$G$3647,Survey!$M$2:$M$3647,Survey!$M1112)-Survey!$G1112</f>
        <v>205.39765391056631</v>
      </c>
      <c r="R1112" s="59">
        <f>Survey!$P1112+(Survey!$Q1112*0.433)</f>
        <v>1938.9371841432753</v>
      </c>
    </row>
    <row r="1113" spans="1:18" x14ac:dyDescent="0.25">
      <c r="A1113" s="60" t="s">
        <v>17</v>
      </c>
      <c r="B1113" s="61" t="s">
        <v>18</v>
      </c>
      <c r="C1113" s="62" t="s">
        <v>19</v>
      </c>
      <c r="D1113" s="63">
        <v>235.3226726070427</v>
      </c>
      <c r="E1113" s="79">
        <v>1271329</v>
      </c>
      <c r="F1113" s="80">
        <v>1243522</v>
      </c>
      <c r="G1113" s="66">
        <v>1172.7939205227792</v>
      </c>
      <c r="H1113" s="67">
        <v>3</v>
      </c>
      <c r="I1113" s="68" t="s">
        <v>20</v>
      </c>
      <c r="J1113" s="69">
        <v>40</v>
      </c>
      <c r="K1113" s="70">
        <v>3</v>
      </c>
      <c r="L1113" s="68">
        <v>2</v>
      </c>
      <c r="M1113" s="68">
        <f>_xlfn.XLOOKUP(Survey!$F1113,sections[Start],sections[Test Section],,-1,1)</f>
        <v>3</v>
      </c>
      <c r="N1113" s="55">
        <f>_xlfn.XLOOKUP(Survey!$K1113,pipedata[ID],pipedata[WT])</f>
        <v>0.88800000000000001</v>
      </c>
      <c r="O1113" s="56">
        <f>_xlfn.XLOOKUP(Survey!$K1113,pipedata[ID],pipedata[104%])</f>
        <v>3078.4</v>
      </c>
      <c r="P1113" s="57">
        <f t="shared" si="17"/>
        <v>1850</v>
      </c>
      <c r="Q1113" s="58">
        <f>_xlfn.MAXIFS(Survey!$G$2:$G$3647,Survey!$M$2:$M$3647,Survey!$M1113)-Survey!$G1113</f>
        <v>205.09087616069905</v>
      </c>
      <c r="R1113" s="59">
        <f>Survey!$P1113+(Survey!$Q1113*0.433)</f>
        <v>1938.8043493775826</v>
      </c>
    </row>
    <row r="1114" spans="1:18" x14ac:dyDescent="0.25">
      <c r="A1114" s="71" t="s">
        <v>17</v>
      </c>
      <c r="B1114" s="72" t="s">
        <v>18</v>
      </c>
      <c r="C1114" s="73" t="s">
        <v>19</v>
      </c>
      <c r="D1114" s="74">
        <v>235.33015154632434</v>
      </c>
      <c r="E1114" s="81">
        <v>1271369</v>
      </c>
      <c r="F1114" s="82">
        <v>1243562</v>
      </c>
      <c r="G1114" s="75">
        <v>1172.752763483584</v>
      </c>
      <c r="H1114" s="76">
        <v>3</v>
      </c>
      <c r="I1114" s="54" t="s">
        <v>20</v>
      </c>
      <c r="J1114" s="77">
        <v>40</v>
      </c>
      <c r="K1114" s="78">
        <v>3</v>
      </c>
      <c r="L1114" s="54">
        <v>2</v>
      </c>
      <c r="M1114" s="54">
        <f>_xlfn.XLOOKUP(Survey!$F1114,sections[Start],sections[Test Section],,-1,1)</f>
        <v>3</v>
      </c>
      <c r="N1114" s="55">
        <f>_xlfn.XLOOKUP(Survey!$K1114,pipedata[ID],pipedata[WT])</f>
        <v>0.88800000000000001</v>
      </c>
      <c r="O1114" s="56">
        <f>_xlfn.XLOOKUP(Survey!$K1114,pipedata[ID],pipedata[104%])</f>
        <v>3078.4</v>
      </c>
      <c r="P1114" s="57">
        <f t="shared" si="17"/>
        <v>1850</v>
      </c>
      <c r="Q1114" s="58">
        <f>_xlfn.MAXIFS(Survey!$G$2:$G$3647,Survey!$M$2:$M$3647,Survey!$M1114)-Survey!$G1114</f>
        <v>205.13203319989429</v>
      </c>
      <c r="R1114" s="59">
        <f>Survey!$P1114+(Survey!$Q1114*0.433)</f>
        <v>1938.8221703755542</v>
      </c>
    </row>
    <row r="1115" spans="1:18" x14ac:dyDescent="0.25">
      <c r="A1115" s="60" t="s">
        <v>17</v>
      </c>
      <c r="B1115" s="61" t="s">
        <v>18</v>
      </c>
      <c r="C1115" s="62" t="s">
        <v>19</v>
      </c>
      <c r="D1115" s="63">
        <v>235.337331546217</v>
      </c>
      <c r="E1115" s="79">
        <v>1271409</v>
      </c>
      <c r="F1115" s="80">
        <v>1243602</v>
      </c>
      <c r="G1115" s="66">
        <v>1172.7792328445296</v>
      </c>
      <c r="H1115" s="67">
        <v>3</v>
      </c>
      <c r="I1115" s="68" t="s">
        <v>20</v>
      </c>
      <c r="J1115" s="69">
        <v>40</v>
      </c>
      <c r="K1115" s="70">
        <v>3</v>
      </c>
      <c r="L1115" s="68">
        <v>2</v>
      </c>
      <c r="M1115" s="68">
        <f>_xlfn.XLOOKUP(Survey!$F1115,sections[Start],sections[Test Section],,-1,1)</f>
        <v>3</v>
      </c>
      <c r="N1115" s="55">
        <f>_xlfn.XLOOKUP(Survey!$K1115,pipedata[ID],pipedata[WT])</f>
        <v>0.88800000000000001</v>
      </c>
      <c r="O1115" s="56">
        <f>_xlfn.XLOOKUP(Survey!$K1115,pipedata[ID],pipedata[104%])</f>
        <v>3078.4</v>
      </c>
      <c r="P1115" s="57">
        <f t="shared" si="17"/>
        <v>1850</v>
      </c>
      <c r="Q1115" s="58">
        <f>_xlfn.MAXIFS(Survey!$G$2:$G$3647,Survey!$M$2:$M$3647,Survey!$M1115)-Survey!$G1115</f>
        <v>205.10556383894868</v>
      </c>
      <c r="R1115" s="59">
        <f>Survey!$P1115+(Survey!$Q1115*0.433)</f>
        <v>1938.8107091422648</v>
      </c>
    </row>
    <row r="1116" spans="1:18" x14ac:dyDescent="0.25">
      <c r="A1116" s="71" t="s">
        <v>17</v>
      </c>
      <c r="B1116" s="72" t="s">
        <v>18</v>
      </c>
      <c r="C1116" s="73" t="s">
        <v>19</v>
      </c>
      <c r="D1116" s="74">
        <v>235.34493390415352</v>
      </c>
      <c r="E1116" s="81">
        <v>1271449</v>
      </c>
      <c r="F1116" s="82">
        <v>1243642</v>
      </c>
      <c r="G1116" s="75">
        <v>1172.6348520697691</v>
      </c>
      <c r="H1116" s="76">
        <v>3</v>
      </c>
      <c r="I1116" s="54" t="s">
        <v>20</v>
      </c>
      <c r="J1116" s="77">
        <v>40</v>
      </c>
      <c r="K1116" s="78">
        <v>3</v>
      </c>
      <c r="L1116" s="54">
        <v>2</v>
      </c>
      <c r="M1116" s="54">
        <f>_xlfn.XLOOKUP(Survey!$F1116,sections[Start],sections[Test Section],,-1,1)</f>
        <v>3</v>
      </c>
      <c r="N1116" s="55">
        <f>_xlfn.XLOOKUP(Survey!$K1116,pipedata[ID],pipedata[WT])</f>
        <v>0.88800000000000001</v>
      </c>
      <c r="O1116" s="56">
        <f>_xlfn.XLOOKUP(Survey!$K1116,pipedata[ID],pipedata[104%])</f>
        <v>3078.4</v>
      </c>
      <c r="P1116" s="57">
        <f t="shared" si="17"/>
        <v>1850</v>
      </c>
      <c r="Q1116" s="58">
        <f>_xlfn.MAXIFS(Survey!$G$2:$G$3647,Survey!$M$2:$M$3647,Survey!$M1116)-Survey!$G1116</f>
        <v>205.2499446137092</v>
      </c>
      <c r="R1116" s="59">
        <f>Survey!$P1116+(Survey!$Q1116*0.433)</f>
        <v>1938.873226017736</v>
      </c>
    </row>
    <row r="1117" spans="1:18" x14ac:dyDescent="0.25">
      <c r="A1117" s="60" t="s">
        <v>17</v>
      </c>
      <c r="B1117" s="61" t="s">
        <v>18</v>
      </c>
      <c r="C1117" s="62" t="s">
        <v>19</v>
      </c>
      <c r="D1117" s="63">
        <v>235.35299700842424</v>
      </c>
      <c r="E1117" s="79">
        <v>1271489</v>
      </c>
      <c r="F1117" s="80">
        <v>1243682</v>
      </c>
      <c r="G1117" s="66">
        <v>1172.1232647827103</v>
      </c>
      <c r="H1117" s="67">
        <v>3</v>
      </c>
      <c r="I1117" s="68" t="s">
        <v>20</v>
      </c>
      <c r="J1117" s="69">
        <v>40</v>
      </c>
      <c r="K1117" s="70">
        <v>3</v>
      </c>
      <c r="L1117" s="68">
        <v>2</v>
      </c>
      <c r="M1117" s="68">
        <f>_xlfn.XLOOKUP(Survey!$F1117,sections[Start],sections[Test Section],,-1,1)</f>
        <v>3</v>
      </c>
      <c r="N1117" s="55">
        <f>_xlfn.XLOOKUP(Survey!$K1117,pipedata[ID],pipedata[WT])</f>
        <v>0.88800000000000001</v>
      </c>
      <c r="O1117" s="56">
        <f>_xlfn.XLOOKUP(Survey!$K1117,pipedata[ID],pipedata[104%])</f>
        <v>3078.4</v>
      </c>
      <c r="P1117" s="57">
        <f t="shared" si="17"/>
        <v>1850</v>
      </c>
      <c r="Q1117" s="58">
        <f>_xlfn.MAXIFS(Survey!$G$2:$G$3647,Survey!$M$2:$M$3647,Survey!$M1117)-Survey!$G1117</f>
        <v>205.76153190076798</v>
      </c>
      <c r="R1117" s="59">
        <f>Survey!$P1117+(Survey!$Q1117*0.433)</f>
        <v>1939.0947433130325</v>
      </c>
    </row>
    <row r="1118" spans="1:18" x14ac:dyDescent="0.25">
      <c r="A1118" s="71" t="s">
        <v>17</v>
      </c>
      <c r="B1118" s="72" t="s">
        <v>18</v>
      </c>
      <c r="C1118" s="73" t="s">
        <v>19</v>
      </c>
      <c r="D1118" s="74">
        <v>235.35971626198307</v>
      </c>
      <c r="E1118" s="81">
        <v>1271529</v>
      </c>
      <c r="F1118" s="82">
        <v>1243722</v>
      </c>
      <c r="G1118" s="75">
        <v>1172.5031792598684</v>
      </c>
      <c r="H1118" s="76">
        <v>3</v>
      </c>
      <c r="I1118" s="54" t="s">
        <v>20</v>
      </c>
      <c r="J1118" s="77">
        <v>40</v>
      </c>
      <c r="K1118" s="78">
        <v>3</v>
      </c>
      <c r="L1118" s="54">
        <v>2</v>
      </c>
      <c r="M1118" s="54">
        <f>_xlfn.XLOOKUP(Survey!$F1118,sections[Start],sections[Test Section],,-1,1)</f>
        <v>3</v>
      </c>
      <c r="N1118" s="55">
        <f>_xlfn.XLOOKUP(Survey!$K1118,pipedata[ID],pipedata[WT])</f>
        <v>0.88800000000000001</v>
      </c>
      <c r="O1118" s="56">
        <f>_xlfn.XLOOKUP(Survey!$K1118,pipedata[ID],pipedata[104%])</f>
        <v>3078.4</v>
      </c>
      <c r="P1118" s="57">
        <f t="shared" si="17"/>
        <v>1850</v>
      </c>
      <c r="Q1118" s="58">
        <f>_xlfn.MAXIFS(Survey!$G$2:$G$3647,Survey!$M$2:$M$3647,Survey!$M1118)-Survey!$G1118</f>
        <v>205.3816174236099</v>
      </c>
      <c r="R1118" s="59">
        <f>Survey!$P1118+(Survey!$Q1118*0.433)</f>
        <v>1938.9302403444231</v>
      </c>
    </row>
    <row r="1119" spans="1:18" x14ac:dyDescent="0.25">
      <c r="A1119" s="60" t="s">
        <v>17</v>
      </c>
      <c r="B1119" s="61" t="s">
        <v>18</v>
      </c>
      <c r="C1119" s="62" t="s">
        <v>19</v>
      </c>
      <c r="D1119" s="63">
        <v>235.36777936625347</v>
      </c>
      <c r="E1119" s="79">
        <v>1271569</v>
      </c>
      <c r="F1119" s="80">
        <v>1243762</v>
      </c>
      <c r="G1119" s="66">
        <v>1173.230448496181</v>
      </c>
      <c r="H1119" s="67">
        <v>3</v>
      </c>
      <c r="I1119" s="68" t="s">
        <v>20</v>
      </c>
      <c r="J1119" s="69">
        <v>40</v>
      </c>
      <c r="K1119" s="70">
        <v>3</v>
      </c>
      <c r="L1119" s="68">
        <v>2</v>
      </c>
      <c r="M1119" s="68">
        <f>_xlfn.XLOOKUP(Survey!$F1119,sections[Start],sections[Test Section],,-1,1)</f>
        <v>3</v>
      </c>
      <c r="N1119" s="55">
        <f>_xlfn.XLOOKUP(Survey!$K1119,pipedata[ID],pipedata[WT])</f>
        <v>0.88800000000000001</v>
      </c>
      <c r="O1119" s="56">
        <f>_xlfn.XLOOKUP(Survey!$K1119,pipedata[ID],pipedata[104%])</f>
        <v>3078.4</v>
      </c>
      <c r="P1119" s="57">
        <f t="shared" si="17"/>
        <v>1850</v>
      </c>
      <c r="Q1119" s="58">
        <f>_xlfn.MAXIFS(Survey!$G$2:$G$3647,Survey!$M$2:$M$3647,Survey!$M1119)-Survey!$G1119</f>
        <v>204.65434818729727</v>
      </c>
      <c r="R1119" s="59">
        <f>Survey!$P1119+(Survey!$Q1119*0.433)</f>
        <v>1938.6153327650998</v>
      </c>
    </row>
    <row r="1120" spans="1:18" x14ac:dyDescent="0.25">
      <c r="A1120" s="71" t="s">
        <v>17</v>
      </c>
      <c r="B1120" s="72" t="s">
        <v>18</v>
      </c>
      <c r="C1120" s="73" t="s">
        <v>19</v>
      </c>
      <c r="D1120" s="74">
        <v>235.37584247052411</v>
      </c>
      <c r="E1120" s="81">
        <v>1271609</v>
      </c>
      <c r="F1120" s="82">
        <v>1243802</v>
      </c>
      <c r="G1120" s="75">
        <v>1174.1435471588331</v>
      </c>
      <c r="H1120" s="76">
        <v>3</v>
      </c>
      <c r="I1120" s="54" t="s">
        <v>20</v>
      </c>
      <c r="J1120" s="77">
        <v>40</v>
      </c>
      <c r="K1120" s="78">
        <v>3</v>
      </c>
      <c r="L1120" s="54">
        <v>2</v>
      </c>
      <c r="M1120" s="54">
        <f>_xlfn.XLOOKUP(Survey!$F1120,sections[Start],sections[Test Section],,-1,1)</f>
        <v>3</v>
      </c>
      <c r="N1120" s="55">
        <f>_xlfn.XLOOKUP(Survey!$K1120,pipedata[ID],pipedata[WT])</f>
        <v>0.88800000000000001</v>
      </c>
      <c r="O1120" s="56">
        <f>_xlfn.XLOOKUP(Survey!$K1120,pipedata[ID],pipedata[104%])</f>
        <v>3078.4</v>
      </c>
      <c r="P1120" s="57">
        <f t="shared" si="17"/>
        <v>1850</v>
      </c>
      <c r="Q1120" s="58">
        <f>_xlfn.MAXIFS(Survey!$G$2:$G$3647,Survey!$M$2:$M$3647,Survey!$M1120)-Survey!$G1120</f>
        <v>203.74124952464513</v>
      </c>
      <c r="R1120" s="59">
        <f>Survey!$P1120+(Survey!$Q1120*0.433)</f>
        <v>1938.2199610441714</v>
      </c>
    </row>
    <row r="1121" spans="1:18" x14ac:dyDescent="0.25">
      <c r="A1121" s="60" t="s">
        <v>17</v>
      </c>
      <c r="B1121" s="61" t="s">
        <v>18</v>
      </c>
      <c r="C1121" s="62" t="s">
        <v>19</v>
      </c>
      <c r="D1121" s="63">
        <v>235.38256172408322</v>
      </c>
      <c r="E1121" s="79">
        <v>1271649</v>
      </c>
      <c r="F1121" s="80">
        <v>1243842</v>
      </c>
      <c r="G1121" s="66">
        <v>1174.5219653664194</v>
      </c>
      <c r="H1121" s="67">
        <v>3</v>
      </c>
      <c r="I1121" s="68" t="s">
        <v>20</v>
      </c>
      <c r="J1121" s="69">
        <v>40</v>
      </c>
      <c r="K1121" s="70">
        <v>3</v>
      </c>
      <c r="L1121" s="68">
        <v>2</v>
      </c>
      <c r="M1121" s="68">
        <f>_xlfn.XLOOKUP(Survey!$F1121,sections[Start],sections[Test Section],,-1,1)</f>
        <v>3</v>
      </c>
      <c r="N1121" s="55">
        <f>_xlfn.XLOOKUP(Survey!$K1121,pipedata[ID],pipedata[WT])</f>
        <v>0.88800000000000001</v>
      </c>
      <c r="O1121" s="56">
        <f>_xlfn.XLOOKUP(Survey!$K1121,pipedata[ID],pipedata[104%])</f>
        <v>3078.4</v>
      </c>
      <c r="P1121" s="57">
        <f t="shared" si="17"/>
        <v>1850</v>
      </c>
      <c r="Q1121" s="58">
        <f>_xlfn.MAXIFS(Survey!$G$2:$G$3647,Survey!$M$2:$M$3647,Survey!$M1121)-Survey!$G1121</f>
        <v>203.36283131705886</v>
      </c>
      <c r="R1121" s="59">
        <f>Survey!$P1121+(Survey!$Q1121*0.433)</f>
        <v>1938.0561059602865</v>
      </c>
    </row>
    <row r="1122" spans="1:18" x14ac:dyDescent="0.25">
      <c r="A1122" s="71" t="s">
        <v>17</v>
      </c>
      <c r="B1122" s="72" t="s">
        <v>18</v>
      </c>
      <c r="C1122" s="73" t="s">
        <v>19</v>
      </c>
      <c r="D1122" s="74">
        <v>235.39062482835359</v>
      </c>
      <c r="E1122" s="81">
        <v>1271689</v>
      </c>
      <c r="F1122" s="82">
        <v>1243882</v>
      </c>
      <c r="G1122" s="75">
        <v>1175.0290559853963</v>
      </c>
      <c r="H1122" s="76">
        <v>3</v>
      </c>
      <c r="I1122" s="54" t="s">
        <v>20</v>
      </c>
      <c r="J1122" s="77">
        <v>40</v>
      </c>
      <c r="K1122" s="78">
        <v>3</v>
      </c>
      <c r="L1122" s="54">
        <v>2</v>
      </c>
      <c r="M1122" s="54">
        <f>_xlfn.XLOOKUP(Survey!$F1122,sections[Start],sections[Test Section],,-1,1)</f>
        <v>3</v>
      </c>
      <c r="N1122" s="55">
        <f>_xlfn.XLOOKUP(Survey!$K1122,pipedata[ID],pipedata[WT])</f>
        <v>0.88800000000000001</v>
      </c>
      <c r="O1122" s="56">
        <f>_xlfn.XLOOKUP(Survey!$K1122,pipedata[ID],pipedata[104%])</f>
        <v>3078.4</v>
      </c>
      <c r="P1122" s="57">
        <f t="shared" si="17"/>
        <v>1850</v>
      </c>
      <c r="Q1122" s="58">
        <f>_xlfn.MAXIFS(Survey!$G$2:$G$3647,Survey!$M$2:$M$3647,Survey!$M1122)-Survey!$G1122</f>
        <v>202.85574069808195</v>
      </c>
      <c r="R1122" s="59">
        <f>Survey!$P1122+(Survey!$Q1122*0.433)</f>
        <v>1937.8365357222694</v>
      </c>
    </row>
    <row r="1123" spans="1:18" x14ac:dyDescent="0.25">
      <c r="A1123" s="60" t="s">
        <v>17</v>
      </c>
      <c r="B1123" s="61" t="s">
        <v>18</v>
      </c>
      <c r="C1123" s="62" t="s">
        <v>19</v>
      </c>
      <c r="D1123" s="63">
        <v>235.39850923222326</v>
      </c>
      <c r="E1123" s="79">
        <v>1271729</v>
      </c>
      <c r="F1123" s="80">
        <v>1243922</v>
      </c>
      <c r="G1123" s="66">
        <v>1175.7715712915583</v>
      </c>
      <c r="H1123" s="67">
        <v>3</v>
      </c>
      <c r="I1123" s="68" t="s">
        <v>20</v>
      </c>
      <c r="J1123" s="69">
        <v>60</v>
      </c>
      <c r="K1123" s="70">
        <v>3</v>
      </c>
      <c r="L1123" s="68">
        <v>2</v>
      </c>
      <c r="M1123" s="68">
        <f>_xlfn.XLOOKUP(Survey!$F1123,sections[Start],sections[Test Section],,-1,1)</f>
        <v>3</v>
      </c>
      <c r="N1123" s="55">
        <f>_xlfn.XLOOKUP(Survey!$K1123,pipedata[ID],pipedata[WT])</f>
        <v>0.88800000000000001</v>
      </c>
      <c r="O1123" s="56">
        <f>_xlfn.XLOOKUP(Survey!$K1123,pipedata[ID],pipedata[104%])</f>
        <v>3078.4</v>
      </c>
      <c r="P1123" s="57">
        <f t="shared" si="17"/>
        <v>1850</v>
      </c>
      <c r="Q1123" s="58">
        <f>_xlfn.MAXIFS(Survey!$G$2:$G$3647,Survey!$M$2:$M$3647,Survey!$M1123)-Survey!$G1123</f>
        <v>202.11322539191997</v>
      </c>
      <c r="R1123" s="59">
        <f>Survey!$P1123+(Survey!$Q1123*0.433)</f>
        <v>1937.5150265947013</v>
      </c>
    </row>
    <row r="1124" spans="1:18" x14ac:dyDescent="0.25">
      <c r="A1124" s="71" t="s">
        <v>17</v>
      </c>
      <c r="B1124" s="72" t="s">
        <v>18</v>
      </c>
      <c r="C1124" s="73" t="s">
        <v>19</v>
      </c>
      <c r="D1124" s="74">
        <v>235.40543643134768</v>
      </c>
      <c r="E1124" s="81">
        <v>1271789</v>
      </c>
      <c r="F1124" s="82">
        <v>1243962</v>
      </c>
      <c r="G1124" s="75">
        <v>1175.1255368156731</v>
      </c>
      <c r="H1124" s="76">
        <v>3</v>
      </c>
      <c r="I1124" s="54" t="s">
        <v>21</v>
      </c>
      <c r="J1124" s="77">
        <v>20</v>
      </c>
      <c r="K1124" s="78">
        <v>5</v>
      </c>
      <c r="L1124" s="54">
        <v>2</v>
      </c>
      <c r="M1124" s="54">
        <f>_xlfn.XLOOKUP(Survey!$F1124,sections[Start],sections[Test Section],,-1,1)</f>
        <v>3</v>
      </c>
      <c r="N1124" s="55">
        <f>_xlfn.XLOOKUP(Survey!$K1124,pipedata[ID],pipedata[WT])</f>
        <v>0.88800000000000001</v>
      </c>
      <c r="O1124" s="56">
        <f>_xlfn.XLOOKUP(Survey!$K1124,pipedata[ID],pipedata[104%])</f>
        <v>3078.4</v>
      </c>
      <c r="P1124" s="57">
        <f t="shared" si="17"/>
        <v>1850</v>
      </c>
      <c r="Q1124" s="58">
        <f>_xlfn.MAXIFS(Survey!$G$2:$G$3647,Survey!$M$2:$M$3647,Survey!$M1124)-Survey!$G1124</f>
        <v>202.75925986780521</v>
      </c>
      <c r="R1124" s="59">
        <f>Survey!$P1124+(Survey!$Q1124*0.433)</f>
        <v>1937.7947595227597</v>
      </c>
    </row>
    <row r="1125" spans="1:18" x14ac:dyDescent="0.25">
      <c r="A1125" s="60" t="s">
        <v>17</v>
      </c>
      <c r="B1125" s="61" t="s">
        <v>18</v>
      </c>
      <c r="C1125" s="62" t="s">
        <v>19</v>
      </c>
      <c r="D1125" s="63">
        <v>235.41221230233208</v>
      </c>
      <c r="E1125" s="79">
        <v>1271809</v>
      </c>
      <c r="F1125" s="80">
        <v>1244002</v>
      </c>
      <c r="G1125" s="66">
        <v>1166.6389296165407</v>
      </c>
      <c r="H1125" s="67">
        <v>3</v>
      </c>
      <c r="I1125" s="68" t="s">
        <v>21</v>
      </c>
      <c r="J1125" s="69">
        <v>40</v>
      </c>
      <c r="K1125" s="70">
        <v>5</v>
      </c>
      <c r="L1125" s="68">
        <v>2</v>
      </c>
      <c r="M1125" s="68">
        <f>_xlfn.XLOOKUP(Survey!$F1125,sections[Start],sections[Test Section],,-1,1)</f>
        <v>3</v>
      </c>
      <c r="N1125" s="55">
        <f>_xlfn.XLOOKUP(Survey!$K1125,pipedata[ID],pipedata[WT])</f>
        <v>0.88800000000000001</v>
      </c>
      <c r="O1125" s="56">
        <f>_xlfn.XLOOKUP(Survey!$K1125,pipedata[ID],pipedata[104%])</f>
        <v>3078.4</v>
      </c>
      <c r="P1125" s="57">
        <f t="shared" si="17"/>
        <v>1850</v>
      </c>
      <c r="Q1125" s="58">
        <f>_xlfn.MAXIFS(Survey!$G$2:$G$3647,Survey!$M$2:$M$3647,Survey!$M1125)-Survey!$G1125</f>
        <v>211.24586706693754</v>
      </c>
      <c r="R1125" s="59">
        <f>Survey!$P1125+(Survey!$Q1125*0.433)</f>
        <v>1941.469460439984</v>
      </c>
    </row>
    <row r="1126" spans="1:18" x14ac:dyDescent="0.25">
      <c r="A1126" s="71" t="s">
        <v>17</v>
      </c>
      <c r="B1126" s="72" t="s">
        <v>18</v>
      </c>
      <c r="C1126" s="73" t="s">
        <v>19</v>
      </c>
      <c r="D1126" s="74">
        <v>235.4206276878331</v>
      </c>
      <c r="E1126" s="81">
        <v>1271849</v>
      </c>
      <c r="F1126" s="82">
        <v>1244042</v>
      </c>
      <c r="G1126" s="75">
        <v>1167.6094337340519</v>
      </c>
      <c r="H1126" s="76">
        <v>3</v>
      </c>
      <c r="I1126" s="54" t="s">
        <v>21</v>
      </c>
      <c r="J1126" s="77">
        <v>40</v>
      </c>
      <c r="K1126" s="78">
        <v>5</v>
      </c>
      <c r="L1126" s="54">
        <v>2</v>
      </c>
      <c r="M1126" s="54">
        <f>_xlfn.XLOOKUP(Survey!$F1126,sections[Start],sections[Test Section],,-1,1)</f>
        <v>3</v>
      </c>
      <c r="N1126" s="55">
        <f>_xlfn.XLOOKUP(Survey!$K1126,pipedata[ID],pipedata[WT])</f>
        <v>0.88800000000000001</v>
      </c>
      <c r="O1126" s="56">
        <f>_xlfn.XLOOKUP(Survey!$K1126,pipedata[ID],pipedata[104%])</f>
        <v>3078.4</v>
      </c>
      <c r="P1126" s="57">
        <f t="shared" si="17"/>
        <v>1850</v>
      </c>
      <c r="Q1126" s="58">
        <f>_xlfn.MAXIFS(Survey!$G$2:$G$3647,Survey!$M$2:$M$3647,Survey!$M1126)-Survey!$G1126</f>
        <v>210.27536294942638</v>
      </c>
      <c r="R1126" s="59">
        <f>Survey!$P1126+(Survey!$Q1126*0.433)</f>
        <v>1941.0492321571016</v>
      </c>
    </row>
    <row r="1127" spans="1:18" x14ac:dyDescent="0.25">
      <c r="A1127" s="60" t="s">
        <v>17</v>
      </c>
      <c r="B1127" s="61" t="s">
        <v>18</v>
      </c>
      <c r="C1127" s="62" t="s">
        <v>19</v>
      </c>
      <c r="D1127" s="63">
        <v>235.42847439269417</v>
      </c>
      <c r="E1127" s="64">
        <v>1271889</v>
      </c>
      <c r="F1127" s="65">
        <v>1244082</v>
      </c>
      <c r="G1127" s="66">
        <v>1165.7219601388238</v>
      </c>
      <c r="H1127" s="67">
        <v>3</v>
      </c>
      <c r="I1127" s="68" t="s">
        <v>21</v>
      </c>
      <c r="J1127" s="69">
        <v>40</v>
      </c>
      <c r="K1127" s="70">
        <v>5</v>
      </c>
      <c r="L1127" s="68">
        <v>2</v>
      </c>
      <c r="M1127" s="68">
        <f>_xlfn.XLOOKUP(Survey!$F1127,sections[Start],sections[Test Section],,-1,1)</f>
        <v>3</v>
      </c>
      <c r="N1127" s="55">
        <f>_xlfn.XLOOKUP(Survey!$K1127,pipedata[ID],pipedata[WT])</f>
        <v>0.88800000000000001</v>
      </c>
      <c r="O1127" s="56">
        <f>_xlfn.XLOOKUP(Survey!$K1127,pipedata[ID],pipedata[104%])</f>
        <v>3078.4</v>
      </c>
      <c r="P1127" s="57">
        <f t="shared" si="17"/>
        <v>1850</v>
      </c>
      <c r="Q1127" s="58">
        <f>_xlfn.MAXIFS(Survey!$G$2:$G$3647,Survey!$M$2:$M$3647,Survey!$M1127)-Survey!$G1127</f>
        <v>212.16283654465451</v>
      </c>
      <c r="R1127" s="59">
        <f>Survey!$P1127+(Survey!$Q1127*0.433)</f>
        <v>1941.8665082238354</v>
      </c>
    </row>
    <row r="1128" spans="1:18" x14ac:dyDescent="0.25">
      <c r="A1128" s="71" t="s">
        <v>17</v>
      </c>
      <c r="B1128" s="72" t="s">
        <v>18</v>
      </c>
      <c r="C1128" s="73" t="s">
        <v>19</v>
      </c>
      <c r="D1128" s="74">
        <v>235.43598914867846</v>
      </c>
      <c r="E1128" s="64">
        <v>1271929</v>
      </c>
      <c r="F1128" s="65">
        <v>1244122</v>
      </c>
      <c r="G1128" s="75">
        <v>1167.0970356014577</v>
      </c>
      <c r="H1128" s="76">
        <v>3</v>
      </c>
      <c r="I1128" s="54" t="s">
        <v>21</v>
      </c>
      <c r="J1128" s="77">
        <v>40</v>
      </c>
      <c r="K1128" s="78">
        <v>5</v>
      </c>
      <c r="L1128" s="54">
        <v>2</v>
      </c>
      <c r="M1128" s="54">
        <f>_xlfn.XLOOKUP(Survey!$F1128,sections[Start],sections[Test Section],,-1,1)</f>
        <v>3</v>
      </c>
      <c r="N1128" s="55">
        <f>_xlfn.XLOOKUP(Survey!$K1128,pipedata[ID],pipedata[WT])</f>
        <v>0.88800000000000001</v>
      </c>
      <c r="O1128" s="56">
        <f>_xlfn.XLOOKUP(Survey!$K1128,pipedata[ID],pipedata[104%])</f>
        <v>3078.4</v>
      </c>
      <c r="P1128" s="57">
        <f t="shared" si="17"/>
        <v>1850</v>
      </c>
      <c r="Q1128" s="58">
        <f>_xlfn.MAXIFS(Survey!$G$2:$G$3647,Survey!$M$2:$M$3647,Survey!$M1128)-Survey!$G1128</f>
        <v>210.78776108202055</v>
      </c>
      <c r="R1128" s="59">
        <f>Survey!$P1128+(Survey!$Q1128*0.433)</f>
        <v>1941.2711005485148</v>
      </c>
    </row>
    <row r="1129" spans="1:18" x14ac:dyDescent="0.25">
      <c r="A1129" s="60" t="s">
        <v>17</v>
      </c>
      <c r="B1129" s="61" t="s">
        <v>18</v>
      </c>
      <c r="C1129" s="62" t="s">
        <v>19</v>
      </c>
      <c r="D1129" s="63">
        <v>235.4433813088591</v>
      </c>
      <c r="E1129" s="64">
        <v>1271969</v>
      </c>
      <c r="F1129" s="65">
        <v>1244162</v>
      </c>
      <c r="G1129" s="66">
        <v>1178.7873358053157</v>
      </c>
      <c r="H1129" s="67">
        <v>3</v>
      </c>
      <c r="I1129" s="68" t="s">
        <v>21</v>
      </c>
      <c r="J1129" s="69">
        <v>40</v>
      </c>
      <c r="K1129" s="70">
        <v>5</v>
      </c>
      <c r="L1129" s="68">
        <v>2</v>
      </c>
      <c r="M1129" s="68">
        <f>_xlfn.XLOOKUP(Survey!$F1129,sections[Start],sections[Test Section],,-1,1)</f>
        <v>3</v>
      </c>
      <c r="N1129" s="55">
        <f>_xlfn.XLOOKUP(Survey!$K1129,pipedata[ID],pipedata[WT])</f>
        <v>0.88800000000000001</v>
      </c>
      <c r="O1129" s="56">
        <f>_xlfn.XLOOKUP(Survey!$K1129,pipedata[ID],pipedata[104%])</f>
        <v>3078.4</v>
      </c>
      <c r="P1129" s="57">
        <f t="shared" si="17"/>
        <v>1850</v>
      </c>
      <c r="Q1129" s="58">
        <f>_xlfn.MAXIFS(Survey!$G$2:$G$3647,Survey!$M$2:$M$3647,Survey!$M1129)-Survey!$G1129</f>
        <v>199.09746087816256</v>
      </c>
      <c r="R1129" s="59">
        <f>Survey!$P1129+(Survey!$Q1129*0.433)</f>
        <v>1936.2092005602444</v>
      </c>
    </row>
    <row r="1130" spans="1:18" x14ac:dyDescent="0.25">
      <c r="A1130" s="71" t="s">
        <v>17</v>
      </c>
      <c r="B1130" s="72" t="s">
        <v>18</v>
      </c>
      <c r="C1130" s="73" t="s">
        <v>19</v>
      </c>
      <c r="D1130" s="74">
        <v>235.44881660429166</v>
      </c>
      <c r="E1130" s="81">
        <v>1272009</v>
      </c>
      <c r="F1130" s="82">
        <v>1244202</v>
      </c>
      <c r="G1130" s="75">
        <v>1179.7416251497389</v>
      </c>
      <c r="H1130" s="76">
        <v>3</v>
      </c>
      <c r="I1130" s="54" t="s">
        <v>21</v>
      </c>
      <c r="J1130" s="77">
        <v>60</v>
      </c>
      <c r="K1130" s="78">
        <v>5</v>
      </c>
      <c r="L1130" s="54">
        <v>2</v>
      </c>
      <c r="M1130" s="54">
        <f>_xlfn.XLOOKUP(Survey!$F1130,sections[Start],sections[Test Section],,-1,1)</f>
        <v>3</v>
      </c>
      <c r="N1130" s="55">
        <f>_xlfn.XLOOKUP(Survey!$K1130,pipedata[ID],pipedata[WT])</f>
        <v>0.88800000000000001</v>
      </c>
      <c r="O1130" s="56">
        <f>_xlfn.XLOOKUP(Survey!$K1130,pipedata[ID],pipedata[104%])</f>
        <v>3078.4</v>
      </c>
      <c r="P1130" s="57">
        <f t="shared" si="17"/>
        <v>1850</v>
      </c>
      <c r="Q1130" s="58">
        <f>_xlfn.MAXIFS(Survey!$G$2:$G$3647,Survey!$M$2:$M$3647,Survey!$M1130)-Survey!$G1130</f>
        <v>198.14317153373941</v>
      </c>
      <c r="R1130" s="59">
        <f>Survey!$P1130+(Survey!$Q1130*0.433)</f>
        <v>1935.7959932741092</v>
      </c>
    </row>
    <row r="1131" spans="1:18" x14ac:dyDescent="0.25">
      <c r="A1131" s="60" t="s">
        <v>17</v>
      </c>
      <c r="B1131" s="61" t="s">
        <v>18</v>
      </c>
      <c r="C1131" s="62" t="s">
        <v>19</v>
      </c>
      <c r="D1131" s="63">
        <v>235.45828822502423</v>
      </c>
      <c r="E1131" s="79">
        <v>1272069</v>
      </c>
      <c r="F1131" s="80">
        <v>1244242</v>
      </c>
      <c r="G1131" s="66">
        <v>1180.2462309006594</v>
      </c>
      <c r="H1131" s="67">
        <v>3</v>
      </c>
      <c r="I1131" s="68" t="s">
        <v>20</v>
      </c>
      <c r="J1131" s="69">
        <v>20</v>
      </c>
      <c r="K1131" s="70">
        <v>3</v>
      </c>
      <c r="L1131" s="68">
        <v>2</v>
      </c>
      <c r="M1131" s="68">
        <f>_xlfn.XLOOKUP(Survey!$F1131,sections[Start],sections[Test Section],,-1,1)</f>
        <v>3</v>
      </c>
      <c r="N1131" s="55">
        <f>_xlfn.XLOOKUP(Survey!$K1131,pipedata[ID],pipedata[WT])</f>
        <v>0.88800000000000001</v>
      </c>
      <c r="O1131" s="56">
        <f>_xlfn.XLOOKUP(Survey!$K1131,pipedata[ID],pipedata[104%])</f>
        <v>3078.4</v>
      </c>
      <c r="P1131" s="57">
        <f t="shared" si="17"/>
        <v>1850</v>
      </c>
      <c r="Q1131" s="58">
        <f>_xlfn.MAXIFS(Survey!$G$2:$G$3647,Survey!$M$2:$M$3647,Survey!$M1131)-Survey!$G1131</f>
        <v>197.63856578281889</v>
      </c>
      <c r="R1131" s="59">
        <f>Survey!$P1131+(Survey!$Q1131*0.433)</f>
        <v>1935.5774989839606</v>
      </c>
    </row>
    <row r="1132" spans="1:18" x14ac:dyDescent="0.25">
      <c r="A1132" s="71" t="s">
        <v>17</v>
      </c>
      <c r="B1132" s="72" t="s">
        <v>18</v>
      </c>
      <c r="C1132" s="73" t="s">
        <v>19</v>
      </c>
      <c r="D1132" s="74">
        <v>235.4652201078207</v>
      </c>
      <c r="E1132" s="81">
        <v>1272089</v>
      </c>
      <c r="F1132" s="82">
        <v>1244281.7857142857</v>
      </c>
      <c r="G1132" s="75">
        <v>1183.4246266100836</v>
      </c>
      <c r="H1132" s="76">
        <v>3</v>
      </c>
      <c r="I1132" s="54" t="s">
        <v>20</v>
      </c>
      <c r="J1132" s="77">
        <v>40</v>
      </c>
      <c r="K1132" s="78">
        <v>3</v>
      </c>
      <c r="L1132" s="54">
        <v>2</v>
      </c>
      <c r="M1132" s="54">
        <f>_xlfn.XLOOKUP(Survey!$F1132,sections[Start],sections[Test Section],,-1,1)</f>
        <v>3</v>
      </c>
      <c r="N1132" s="55">
        <f>_xlfn.XLOOKUP(Survey!$K1132,pipedata[ID],pipedata[WT])</f>
        <v>0.88800000000000001</v>
      </c>
      <c r="O1132" s="56">
        <f>_xlfn.XLOOKUP(Survey!$K1132,pipedata[ID],pipedata[104%])</f>
        <v>3078.4</v>
      </c>
      <c r="P1132" s="57">
        <f t="shared" si="17"/>
        <v>1850</v>
      </c>
      <c r="Q1132" s="58">
        <f>_xlfn.MAXIFS(Survey!$G$2:$G$3647,Survey!$M$2:$M$3647,Survey!$M1132)-Survey!$G1132</f>
        <v>194.46017007339469</v>
      </c>
      <c r="R1132" s="59">
        <f>Survey!$P1132+(Survey!$Q1132*0.433)</f>
        <v>1934.2012536417799</v>
      </c>
    </row>
    <row r="1133" spans="1:18" x14ac:dyDescent="0.25">
      <c r="A1133" s="60" t="s">
        <v>17</v>
      </c>
      <c r="B1133" s="61" t="s">
        <v>18</v>
      </c>
      <c r="C1133" s="62" t="s">
        <v>19</v>
      </c>
      <c r="D1133" s="63">
        <v>235.47319514118897</v>
      </c>
      <c r="E1133" s="79">
        <v>1272129</v>
      </c>
      <c r="F1133" s="80">
        <v>1244321.5714285714</v>
      </c>
      <c r="G1133" s="66">
        <v>1187.9656018334338</v>
      </c>
      <c r="H1133" s="67">
        <v>3</v>
      </c>
      <c r="I1133" s="68" t="s">
        <v>20</v>
      </c>
      <c r="J1133" s="69">
        <v>40</v>
      </c>
      <c r="K1133" s="70">
        <v>3</v>
      </c>
      <c r="L1133" s="68">
        <v>2</v>
      </c>
      <c r="M1133" s="68">
        <f>_xlfn.XLOOKUP(Survey!$F1133,sections[Start],sections[Test Section],,-1,1)</f>
        <v>3</v>
      </c>
      <c r="N1133" s="55">
        <f>_xlfn.XLOOKUP(Survey!$K1133,pipedata[ID],pipedata[WT])</f>
        <v>0.88800000000000001</v>
      </c>
      <c r="O1133" s="56">
        <f>_xlfn.XLOOKUP(Survey!$K1133,pipedata[ID],pipedata[104%])</f>
        <v>3078.4</v>
      </c>
      <c r="P1133" s="57">
        <f t="shared" si="17"/>
        <v>1850</v>
      </c>
      <c r="Q1133" s="58">
        <f>_xlfn.MAXIFS(Survey!$G$2:$G$3647,Survey!$M$2:$M$3647,Survey!$M1133)-Survey!$G1133</f>
        <v>189.91919485004451</v>
      </c>
      <c r="R1133" s="59">
        <f>Survey!$P1133+(Survey!$Q1133*0.433)</f>
        <v>1932.2350113700693</v>
      </c>
    </row>
    <row r="1134" spans="1:18" x14ac:dyDescent="0.25">
      <c r="A1134" s="71" t="s">
        <v>17</v>
      </c>
      <c r="B1134" s="72" t="s">
        <v>18</v>
      </c>
      <c r="C1134" s="73" t="s">
        <v>19</v>
      </c>
      <c r="D1134" s="74">
        <v>235.48016816735202</v>
      </c>
      <c r="E1134" s="81">
        <v>1272169</v>
      </c>
      <c r="F1134" s="82">
        <v>1244361.357142857</v>
      </c>
      <c r="G1134" s="75">
        <v>1194.2753232484683</v>
      </c>
      <c r="H1134" s="76">
        <v>3</v>
      </c>
      <c r="I1134" s="54" t="s">
        <v>20</v>
      </c>
      <c r="J1134" s="77">
        <v>40</v>
      </c>
      <c r="K1134" s="78">
        <v>3</v>
      </c>
      <c r="L1134" s="54">
        <v>2</v>
      </c>
      <c r="M1134" s="54">
        <f>_xlfn.XLOOKUP(Survey!$F1134,sections[Start],sections[Test Section],,-1,1)</f>
        <v>3</v>
      </c>
      <c r="N1134" s="55">
        <f>_xlfn.XLOOKUP(Survey!$K1134,pipedata[ID],pipedata[WT])</f>
        <v>0.88800000000000001</v>
      </c>
      <c r="O1134" s="56">
        <f>_xlfn.XLOOKUP(Survey!$K1134,pipedata[ID],pipedata[104%])</f>
        <v>3078.4</v>
      </c>
      <c r="P1134" s="57">
        <f t="shared" si="17"/>
        <v>1850</v>
      </c>
      <c r="Q1134" s="58">
        <f>_xlfn.MAXIFS(Survey!$G$2:$G$3647,Survey!$M$2:$M$3647,Survey!$M1134)-Survey!$G1134</f>
        <v>183.60947343500993</v>
      </c>
      <c r="R1134" s="59">
        <f>Survey!$P1134+(Survey!$Q1134*0.433)</f>
        <v>1929.5029019973592</v>
      </c>
    </row>
    <row r="1135" spans="1:18" x14ac:dyDescent="0.25">
      <c r="A1135" s="60" t="s">
        <v>17</v>
      </c>
      <c r="B1135" s="61" t="s">
        <v>18</v>
      </c>
      <c r="C1135" s="62" t="s">
        <v>19</v>
      </c>
      <c r="D1135" s="63">
        <v>235.4874440719266</v>
      </c>
      <c r="E1135" s="79">
        <v>1272209</v>
      </c>
      <c r="F1135" s="80">
        <v>1244401.1428571427</v>
      </c>
      <c r="G1135" s="66">
        <v>1200.6691846619246</v>
      </c>
      <c r="H1135" s="67">
        <v>3</v>
      </c>
      <c r="I1135" s="68" t="s">
        <v>20</v>
      </c>
      <c r="J1135" s="69">
        <v>40</v>
      </c>
      <c r="K1135" s="70">
        <v>3</v>
      </c>
      <c r="L1135" s="68">
        <v>2</v>
      </c>
      <c r="M1135" s="68">
        <f>_xlfn.XLOOKUP(Survey!$F1135,sections[Start],sections[Test Section],,-1,1)</f>
        <v>3</v>
      </c>
      <c r="N1135" s="55">
        <f>_xlfn.XLOOKUP(Survey!$K1135,pipedata[ID],pipedata[WT])</f>
        <v>0.88800000000000001</v>
      </c>
      <c r="O1135" s="56">
        <f>_xlfn.XLOOKUP(Survey!$K1135,pipedata[ID],pipedata[104%])</f>
        <v>3078.4</v>
      </c>
      <c r="P1135" s="57">
        <f t="shared" si="17"/>
        <v>1850</v>
      </c>
      <c r="Q1135" s="58">
        <f>_xlfn.MAXIFS(Survey!$G$2:$G$3647,Survey!$M$2:$M$3647,Survey!$M1135)-Survey!$G1135</f>
        <v>177.21561202155362</v>
      </c>
      <c r="R1135" s="59">
        <f>Survey!$P1135+(Survey!$Q1135*0.433)</f>
        <v>1926.7343600053327</v>
      </c>
    </row>
    <row r="1136" spans="1:18" x14ac:dyDescent="0.25">
      <c r="A1136" s="71" t="s">
        <v>17</v>
      </c>
      <c r="B1136" s="72" t="s">
        <v>18</v>
      </c>
      <c r="C1136" s="73" t="s">
        <v>19</v>
      </c>
      <c r="D1136" s="74">
        <v>235.49554690054509</v>
      </c>
      <c r="E1136" s="81">
        <v>1272249</v>
      </c>
      <c r="F1136" s="82">
        <v>1244440.9285714284</v>
      </c>
      <c r="G1136" s="75">
        <v>1208.9395293467101</v>
      </c>
      <c r="H1136" s="76">
        <v>3</v>
      </c>
      <c r="I1136" s="54" t="s">
        <v>20</v>
      </c>
      <c r="J1136" s="77">
        <v>40</v>
      </c>
      <c r="K1136" s="78">
        <v>3</v>
      </c>
      <c r="L1136" s="54">
        <v>2</v>
      </c>
      <c r="M1136" s="54">
        <f>_xlfn.XLOOKUP(Survey!$F1136,sections[Start],sections[Test Section],,-1,1)</f>
        <v>3</v>
      </c>
      <c r="N1136" s="55">
        <f>_xlfn.XLOOKUP(Survey!$K1136,pipedata[ID],pipedata[WT])</f>
        <v>0.88800000000000001</v>
      </c>
      <c r="O1136" s="56">
        <f>_xlfn.XLOOKUP(Survey!$K1136,pipedata[ID],pipedata[104%])</f>
        <v>3078.4</v>
      </c>
      <c r="P1136" s="57">
        <f t="shared" si="17"/>
        <v>1850</v>
      </c>
      <c r="Q1136" s="58">
        <f>_xlfn.MAXIFS(Survey!$G$2:$G$3647,Survey!$M$2:$M$3647,Survey!$M1136)-Survey!$G1136</f>
        <v>168.94526733676821</v>
      </c>
      <c r="R1136" s="59">
        <f>Survey!$P1136+(Survey!$Q1136*0.433)</f>
        <v>1923.1533007568207</v>
      </c>
    </row>
    <row r="1137" spans="1:18" x14ac:dyDescent="0.25">
      <c r="A1137" s="60" t="s">
        <v>17</v>
      </c>
      <c r="B1137" s="61" t="s">
        <v>18</v>
      </c>
      <c r="C1137" s="62" t="s">
        <v>19</v>
      </c>
      <c r="D1137" s="63">
        <v>235.50259945329418</v>
      </c>
      <c r="E1137" s="79">
        <v>1272289</v>
      </c>
      <c r="F1137" s="80">
        <v>1244480.7142857141</v>
      </c>
      <c r="G1137" s="66">
        <v>1214.4781083813812</v>
      </c>
      <c r="H1137" s="67">
        <v>3</v>
      </c>
      <c r="I1137" s="68" t="s">
        <v>20</v>
      </c>
      <c r="J1137" s="69">
        <v>40</v>
      </c>
      <c r="K1137" s="70">
        <v>3</v>
      </c>
      <c r="L1137" s="68">
        <v>2</v>
      </c>
      <c r="M1137" s="68">
        <f>_xlfn.XLOOKUP(Survey!$F1137,sections[Start],sections[Test Section],,-1,1)</f>
        <v>3</v>
      </c>
      <c r="N1137" s="55">
        <f>_xlfn.XLOOKUP(Survey!$K1137,pipedata[ID],pipedata[WT])</f>
        <v>0.88800000000000001</v>
      </c>
      <c r="O1137" s="56">
        <f>_xlfn.XLOOKUP(Survey!$K1137,pipedata[ID],pipedata[104%])</f>
        <v>3078.4</v>
      </c>
      <c r="P1137" s="57">
        <f t="shared" si="17"/>
        <v>1850</v>
      </c>
      <c r="Q1137" s="58">
        <f>_xlfn.MAXIFS(Survey!$G$2:$G$3647,Survey!$M$2:$M$3647,Survey!$M1137)-Survey!$G1137</f>
        <v>163.40668830209711</v>
      </c>
      <c r="R1137" s="59">
        <f>Survey!$P1137+(Survey!$Q1137*0.433)</f>
        <v>1920.755096034808</v>
      </c>
    </row>
    <row r="1138" spans="1:18" x14ac:dyDescent="0.25">
      <c r="A1138" s="71" t="s">
        <v>17</v>
      </c>
      <c r="B1138" s="72" t="s">
        <v>18</v>
      </c>
      <c r="C1138" s="73" t="s">
        <v>19</v>
      </c>
      <c r="D1138" s="74">
        <v>235.510584925259</v>
      </c>
      <c r="E1138" s="81">
        <v>1272329</v>
      </c>
      <c r="F1138" s="82">
        <v>1244520.4999999998</v>
      </c>
      <c r="G1138" s="75">
        <v>1218.4071166367717</v>
      </c>
      <c r="H1138" s="76">
        <v>3</v>
      </c>
      <c r="I1138" s="54" t="s">
        <v>20</v>
      </c>
      <c r="J1138" s="77">
        <v>40</v>
      </c>
      <c r="K1138" s="78">
        <v>3</v>
      </c>
      <c r="L1138" s="54">
        <v>2</v>
      </c>
      <c r="M1138" s="54">
        <f>_xlfn.XLOOKUP(Survey!$F1138,sections[Start],sections[Test Section],,-1,1)</f>
        <v>3</v>
      </c>
      <c r="N1138" s="55">
        <f>_xlfn.XLOOKUP(Survey!$K1138,pipedata[ID],pipedata[WT])</f>
        <v>0.88800000000000001</v>
      </c>
      <c r="O1138" s="56">
        <f>_xlfn.XLOOKUP(Survey!$K1138,pipedata[ID],pipedata[104%])</f>
        <v>3078.4</v>
      </c>
      <c r="P1138" s="57">
        <f t="shared" si="17"/>
        <v>1850</v>
      </c>
      <c r="Q1138" s="58">
        <f>_xlfn.MAXIFS(Survey!$G$2:$G$3647,Survey!$M$2:$M$3647,Survey!$M1138)-Survey!$G1138</f>
        <v>159.47768004670661</v>
      </c>
      <c r="R1138" s="59">
        <f>Survey!$P1138+(Survey!$Q1138*0.433)</f>
        <v>1919.053835460224</v>
      </c>
    </row>
    <row r="1139" spans="1:18" x14ac:dyDescent="0.25">
      <c r="A1139" s="60" t="s">
        <v>17</v>
      </c>
      <c r="B1139" s="61" t="s">
        <v>18</v>
      </c>
      <c r="C1139" s="62" t="s">
        <v>19</v>
      </c>
      <c r="D1139" s="63">
        <v>235.51791596700693</v>
      </c>
      <c r="E1139" s="79">
        <v>1272369</v>
      </c>
      <c r="F1139" s="80">
        <v>1244560.2857142854</v>
      </c>
      <c r="G1139" s="66">
        <v>1218.8918399261186</v>
      </c>
      <c r="H1139" s="67">
        <v>3</v>
      </c>
      <c r="I1139" s="68" t="s">
        <v>20</v>
      </c>
      <c r="J1139" s="69">
        <v>40</v>
      </c>
      <c r="K1139" s="70">
        <v>3</v>
      </c>
      <c r="L1139" s="68">
        <v>2</v>
      </c>
      <c r="M1139" s="68">
        <f>_xlfn.XLOOKUP(Survey!$F1139,sections[Start],sections[Test Section],,-1,1)</f>
        <v>4</v>
      </c>
      <c r="N1139" s="55">
        <f>_xlfn.XLOOKUP(Survey!$K1139,pipedata[ID],pipedata[WT])</f>
        <v>0.88800000000000001</v>
      </c>
      <c r="O1139" s="56">
        <f>_xlfn.XLOOKUP(Survey!$K1139,pipedata[ID],pipedata[104%])</f>
        <v>3078.4</v>
      </c>
      <c r="P1139" s="57">
        <f t="shared" si="17"/>
        <v>1850</v>
      </c>
      <c r="Q1139" s="58">
        <f>_xlfn.MAXIFS(Survey!$G$2:$G$3647,Survey!$M$2:$M$3647,Survey!$M1139)-Survey!$G1139</f>
        <v>352.92321869948955</v>
      </c>
      <c r="R1139" s="59">
        <f>Survey!$P1139+(Survey!$Q1139*0.433)</f>
        <v>2002.815753696879</v>
      </c>
    </row>
    <row r="1140" spans="1:18" x14ac:dyDescent="0.25">
      <c r="A1140" s="71" t="s">
        <v>17</v>
      </c>
      <c r="B1140" s="72" t="s">
        <v>18</v>
      </c>
      <c r="C1140" s="73" t="s">
        <v>19</v>
      </c>
      <c r="D1140" s="74">
        <v>235.52490630027629</v>
      </c>
      <c r="E1140" s="81">
        <v>1272409</v>
      </c>
      <c r="F1140" s="82">
        <v>1244600.0714285711</v>
      </c>
      <c r="G1140" s="75">
        <v>1217.6341892298403</v>
      </c>
      <c r="H1140" s="76">
        <v>3</v>
      </c>
      <c r="I1140" s="54" t="s">
        <v>20</v>
      </c>
      <c r="J1140" s="77">
        <v>40</v>
      </c>
      <c r="K1140" s="78">
        <v>3</v>
      </c>
      <c r="L1140" s="54">
        <v>2</v>
      </c>
      <c r="M1140" s="54">
        <f>_xlfn.XLOOKUP(Survey!$F1140,sections[Start],sections[Test Section],,-1,1)</f>
        <v>4</v>
      </c>
      <c r="N1140" s="55">
        <f>_xlfn.XLOOKUP(Survey!$K1140,pipedata[ID],pipedata[WT])</f>
        <v>0.88800000000000001</v>
      </c>
      <c r="O1140" s="56">
        <f>_xlfn.XLOOKUP(Survey!$K1140,pipedata[ID],pipedata[104%])</f>
        <v>3078.4</v>
      </c>
      <c r="P1140" s="57">
        <f t="shared" si="17"/>
        <v>1850</v>
      </c>
      <c r="Q1140" s="58">
        <f>_xlfn.MAXIFS(Survey!$G$2:$G$3647,Survey!$M$2:$M$3647,Survey!$M1140)-Survey!$G1140</f>
        <v>354.18086939576779</v>
      </c>
      <c r="R1140" s="59">
        <f>Survey!$P1140+(Survey!$Q1140*0.433)</f>
        <v>2003.3603164483675</v>
      </c>
    </row>
    <row r="1141" spans="1:18" x14ac:dyDescent="0.25">
      <c r="A1141" s="60" t="s">
        <v>17</v>
      </c>
      <c r="B1141" s="61" t="s">
        <v>18</v>
      </c>
      <c r="C1141" s="62" t="s">
        <v>19</v>
      </c>
      <c r="D1141" s="63">
        <v>235.5332947002</v>
      </c>
      <c r="E1141" s="79">
        <v>1272449</v>
      </c>
      <c r="F1141" s="80">
        <v>1244639.8571428568</v>
      </c>
      <c r="G1141" s="66">
        <v>1216.9776155677755</v>
      </c>
      <c r="H1141" s="67">
        <v>3</v>
      </c>
      <c r="I1141" s="68" t="s">
        <v>20</v>
      </c>
      <c r="J1141" s="69">
        <v>40</v>
      </c>
      <c r="K1141" s="70">
        <v>3</v>
      </c>
      <c r="L1141" s="68">
        <v>2</v>
      </c>
      <c r="M1141" s="68">
        <f>_xlfn.XLOOKUP(Survey!$F1141,sections[Start],sections[Test Section],,-1,1)</f>
        <v>4</v>
      </c>
      <c r="N1141" s="55">
        <f>_xlfn.XLOOKUP(Survey!$K1141,pipedata[ID],pipedata[WT])</f>
        <v>0.88800000000000001</v>
      </c>
      <c r="O1141" s="56">
        <f>_xlfn.XLOOKUP(Survey!$K1141,pipedata[ID],pipedata[104%])</f>
        <v>3078.4</v>
      </c>
      <c r="P1141" s="57">
        <f t="shared" si="17"/>
        <v>1850</v>
      </c>
      <c r="Q1141" s="58">
        <f>_xlfn.MAXIFS(Survey!$G$2:$G$3647,Survey!$M$2:$M$3647,Survey!$M1141)-Survey!$G1141</f>
        <v>354.83744305783262</v>
      </c>
      <c r="R1141" s="59">
        <f>Survey!$P1141+(Survey!$Q1141*0.433)</f>
        <v>2003.6446128440416</v>
      </c>
    </row>
    <row r="1142" spans="1:18" x14ac:dyDescent="0.25">
      <c r="A1142" s="71" t="s">
        <v>17</v>
      </c>
      <c r="B1142" s="72" t="s">
        <v>18</v>
      </c>
      <c r="C1142" s="73" t="s">
        <v>19</v>
      </c>
      <c r="D1142" s="74">
        <v>235.54028503346908</v>
      </c>
      <c r="E1142" s="81">
        <v>1272489</v>
      </c>
      <c r="F1142" s="82">
        <v>1244679.6428571425</v>
      </c>
      <c r="G1142" s="75">
        <v>1216.9470931941605</v>
      </c>
      <c r="H1142" s="76">
        <v>3</v>
      </c>
      <c r="I1142" s="54" t="s">
        <v>20</v>
      </c>
      <c r="J1142" s="77">
        <v>40</v>
      </c>
      <c r="K1142" s="78">
        <v>3</v>
      </c>
      <c r="L1142" s="54">
        <v>2</v>
      </c>
      <c r="M1142" s="54">
        <f>_xlfn.XLOOKUP(Survey!$F1142,sections[Start],sections[Test Section],,-1,1)</f>
        <v>4</v>
      </c>
      <c r="N1142" s="55">
        <f>_xlfn.XLOOKUP(Survey!$K1142,pipedata[ID],pipedata[WT])</f>
        <v>0.88800000000000001</v>
      </c>
      <c r="O1142" s="56">
        <f>_xlfn.XLOOKUP(Survey!$K1142,pipedata[ID],pipedata[104%])</f>
        <v>3078.4</v>
      </c>
      <c r="P1142" s="57">
        <f t="shared" si="17"/>
        <v>1850</v>
      </c>
      <c r="Q1142" s="58">
        <f>_xlfn.MAXIFS(Survey!$G$2:$G$3647,Survey!$M$2:$M$3647,Survey!$M1142)-Survey!$G1142</f>
        <v>354.8679654314476</v>
      </c>
      <c r="R1142" s="59">
        <f>Survey!$P1142+(Survey!$Q1142*0.433)</f>
        <v>2003.6578290318168</v>
      </c>
    </row>
    <row r="1143" spans="1:18" x14ac:dyDescent="0.25">
      <c r="A1143" s="60" t="s">
        <v>17</v>
      </c>
      <c r="B1143" s="61" t="s">
        <v>18</v>
      </c>
      <c r="C1143" s="62" t="s">
        <v>19</v>
      </c>
      <c r="D1143" s="63">
        <v>235.54762506999643</v>
      </c>
      <c r="E1143" s="79">
        <v>1272529</v>
      </c>
      <c r="F1143" s="80">
        <v>1244719.4285714282</v>
      </c>
      <c r="G1143" s="66">
        <v>1216.5663276674161</v>
      </c>
      <c r="H1143" s="67">
        <v>3</v>
      </c>
      <c r="I1143" s="68" t="s">
        <v>20</v>
      </c>
      <c r="J1143" s="69">
        <v>40</v>
      </c>
      <c r="K1143" s="70">
        <v>3</v>
      </c>
      <c r="L1143" s="68">
        <v>2</v>
      </c>
      <c r="M1143" s="68">
        <f>_xlfn.XLOOKUP(Survey!$F1143,sections[Start],sections[Test Section],,-1,1)</f>
        <v>4</v>
      </c>
      <c r="N1143" s="55">
        <f>_xlfn.XLOOKUP(Survey!$K1143,pipedata[ID],pipedata[WT])</f>
        <v>0.88800000000000001</v>
      </c>
      <c r="O1143" s="56">
        <f>_xlfn.XLOOKUP(Survey!$K1143,pipedata[ID],pipedata[104%])</f>
        <v>3078.4</v>
      </c>
      <c r="P1143" s="57">
        <f t="shared" si="17"/>
        <v>1850</v>
      </c>
      <c r="Q1143" s="58">
        <f>_xlfn.MAXIFS(Survey!$G$2:$G$3647,Survey!$M$2:$M$3647,Survey!$M1143)-Survey!$G1143</f>
        <v>355.24873095819203</v>
      </c>
      <c r="R1143" s="59">
        <f>Survey!$P1143+(Survey!$Q1143*0.433)</f>
        <v>2003.8227005048971</v>
      </c>
    </row>
    <row r="1144" spans="1:18" x14ac:dyDescent="0.25">
      <c r="A1144" s="71" t="s">
        <v>17</v>
      </c>
      <c r="B1144" s="72" t="s">
        <v>18</v>
      </c>
      <c r="C1144" s="73" t="s">
        <v>19</v>
      </c>
      <c r="D1144" s="74">
        <v>235.55610871768678</v>
      </c>
      <c r="E1144" s="81">
        <v>1272569</v>
      </c>
      <c r="F1144" s="82">
        <v>1244759.2142857139</v>
      </c>
      <c r="G1144" s="75">
        <v>1215.9516842374799</v>
      </c>
      <c r="H1144" s="76">
        <v>3</v>
      </c>
      <c r="I1144" s="54" t="s">
        <v>20</v>
      </c>
      <c r="J1144" s="77">
        <v>61</v>
      </c>
      <c r="K1144" s="78">
        <v>3</v>
      </c>
      <c r="L1144" s="54">
        <v>2</v>
      </c>
      <c r="M1144" s="54">
        <f>_xlfn.XLOOKUP(Survey!$F1144,sections[Start],sections[Test Section],,-1,1)</f>
        <v>4</v>
      </c>
      <c r="N1144" s="55">
        <f>_xlfn.XLOOKUP(Survey!$K1144,pipedata[ID],pipedata[WT])</f>
        <v>0.88800000000000001</v>
      </c>
      <c r="O1144" s="56">
        <f>_xlfn.XLOOKUP(Survey!$K1144,pipedata[ID],pipedata[104%])</f>
        <v>3078.4</v>
      </c>
      <c r="P1144" s="57">
        <f t="shared" si="17"/>
        <v>1850</v>
      </c>
      <c r="Q1144" s="58">
        <f>_xlfn.MAXIFS(Survey!$G$2:$G$3647,Survey!$M$2:$M$3647,Survey!$M1144)-Survey!$G1144</f>
        <v>355.86337438812825</v>
      </c>
      <c r="R1144" s="59">
        <f>Survey!$P1144+(Survey!$Q1144*0.433)</f>
        <v>2004.0888411100595</v>
      </c>
    </row>
    <row r="1145" spans="1:18" x14ac:dyDescent="0.25">
      <c r="A1145" s="60" t="s">
        <v>17</v>
      </c>
      <c r="B1145" s="61" t="s">
        <v>18</v>
      </c>
      <c r="C1145" s="62" t="s">
        <v>19</v>
      </c>
      <c r="D1145" s="63">
        <v>235.56335608430479</v>
      </c>
      <c r="E1145" s="79">
        <v>1272630</v>
      </c>
      <c r="F1145" s="80">
        <v>1244799</v>
      </c>
      <c r="G1145" s="66">
        <v>1214.78</v>
      </c>
      <c r="H1145" s="67">
        <v>3</v>
      </c>
      <c r="I1145" s="68" t="s">
        <v>21</v>
      </c>
      <c r="J1145" s="69">
        <v>19</v>
      </c>
      <c r="K1145" s="70">
        <v>5</v>
      </c>
      <c r="L1145" s="68">
        <v>2</v>
      </c>
      <c r="M1145" s="68">
        <f>_xlfn.XLOOKUP(Survey!$F1145,sections[Start],sections[Test Section],,-1,1)</f>
        <v>4</v>
      </c>
      <c r="N1145" s="55">
        <f>_xlfn.XLOOKUP(Survey!$K1145,pipedata[ID],pipedata[WT])</f>
        <v>0.88800000000000001</v>
      </c>
      <c r="O1145" s="56">
        <f>_xlfn.XLOOKUP(Survey!$K1145,pipedata[ID],pipedata[104%])</f>
        <v>3078.4</v>
      </c>
      <c r="P1145" s="57">
        <f t="shared" si="17"/>
        <v>1850</v>
      </c>
      <c r="Q1145" s="58">
        <f>_xlfn.MAXIFS(Survey!$G$2:$G$3647,Survey!$M$2:$M$3647,Survey!$M1145)-Survey!$G1145</f>
        <v>357.03505862560814</v>
      </c>
      <c r="R1145" s="59">
        <f>Survey!$P1145+(Survey!$Q1145*0.433)</f>
        <v>2004.5961803848884</v>
      </c>
    </row>
    <row r="1146" spans="1:18" x14ac:dyDescent="0.25">
      <c r="A1146" s="71" t="s">
        <v>17</v>
      </c>
      <c r="B1146" s="72" t="s">
        <v>18</v>
      </c>
      <c r="C1146" s="73" t="s">
        <v>19</v>
      </c>
      <c r="D1146" s="74">
        <v>235.5709551011449</v>
      </c>
      <c r="E1146" s="81">
        <v>1272649</v>
      </c>
      <c r="F1146" s="82">
        <v>1244839</v>
      </c>
      <c r="G1146" s="75">
        <v>1213.5470533186103</v>
      </c>
      <c r="H1146" s="76">
        <v>3</v>
      </c>
      <c r="I1146" s="54" t="s">
        <v>21</v>
      </c>
      <c r="J1146" s="77">
        <v>40</v>
      </c>
      <c r="K1146" s="78">
        <v>5</v>
      </c>
      <c r="L1146" s="54">
        <v>2</v>
      </c>
      <c r="M1146" s="54">
        <f>_xlfn.XLOOKUP(Survey!$F1146,sections[Start],sections[Test Section],,-1,1)</f>
        <v>4</v>
      </c>
      <c r="N1146" s="55">
        <f>_xlfn.XLOOKUP(Survey!$K1146,pipedata[ID],pipedata[WT])</f>
        <v>0.88800000000000001</v>
      </c>
      <c r="O1146" s="56">
        <f>_xlfn.XLOOKUP(Survey!$K1146,pipedata[ID],pipedata[104%])</f>
        <v>3078.4</v>
      </c>
      <c r="P1146" s="57">
        <f t="shared" si="17"/>
        <v>1850</v>
      </c>
      <c r="Q1146" s="58">
        <f>_xlfn.MAXIFS(Survey!$G$2:$G$3647,Survey!$M$2:$M$3647,Survey!$M1146)-Survey!$G1146</f>
        <v>358.26800530699779</v>
      </c>
      <c r="R1146" s="59">
        <f>Survey!$P1146+(Survey!$Q1146*0.433)</f>
        <v>2005.13004629793</v>
      </c>
    </row>
    <row r="1147" spans="1:18" x14ac:dyDescent="0.25">
      <c r="A1147" s="60" t="s">
        <v>17</v>
      </c>
      <c r="B1147" s="61" t="s">
        <v>18</v>
      </c>
      <c r="C1147" s="62" t="s">
        <v>19</v>
      </c>
      <c r="D1147" s="63">
        <v>235.57843263884465</v>
      </c>
      <c r="E1147" s="79">
        <v>1272689</v>
      </c>
      <c r="F1147" s="80">
        <v>1244879</v>
      </c>
      <c r="G1147" s="66">
        <v>1212.8204549822403</v>
      </c>
      <c r="H1147" s="67">
        <v>3</v>
      </c>
      <c r="I1147" s="68" t="s">
        <v>21</v>
      </c>
      <c r="J1147" s="69">
        <v>40</v>
      </c>
      <c r="K1147" s="70">
        <v>5</v>
      </c>
      <c r="L1147" s="68">
        <v>2</v>
      </c>
      <c r="M1147" s="68">
        <f>_xlfn.XLOOKUP(Survey!$F1147,sections[Start],sections[Test Section],,-1,1)</f>
        <v>4</v>
      </c>
      <c r="N1147" s="55">
        <f>_xlfn.XLOOKUP(Survey!$K1147,pipedata[ID],pipedata[WT])</f>
        <v>0.88800000000000001</v>
      </c>
      <c r="O1147" s="56">
        <f>_xlfn.XLOOKUP(Survey!$K1147,pipedata[ID],pipedata[104%])</f>
        <v>3078.4</v>
      </c>
      <c r="P1147" s="57">
        <f t="shared" si="17"/>
        <v>1850</v>
      </c>
      <c r="Q1147" s="58">
        <f>_xlfn.MAXIFS(Survey!$G$2:$G$3647,Survey!$M$2:$M$3647,Survey!$M1147)-Survey!$G1147</f>
        <v>358.99460364336778</v>
      </c>
      <c r="R1147" s="59">
        <f>Survey!$P1147+(Survey!$Q1147*0.433)</f>
        <v>2005.4446633775783</v>
      </c>
    </row>
    <row r="1148" spans="1:18" x14ac:dyDescent="0.25">
      <c r="A1148" s="71" t="s">
        <v>17</v>
      </c>
      <c r="B1148" s="72" t="s">
        <v>18</v>
      </c>
      <c r="C1148" s="73" t="s">
        <v>19</v>
      </c>
      <c r="D1148" s="74">
        <v>235.58615235141946</v>
      </c>
      <c r="E1148" s="81">
        <v>1272729</v>
      </c>
      <c r="F1148" s="82">
        <v>1244919</v>
      </c>
      <c r="G1148" s="75">
        <v>1214.3047531674943</v>
      </c>
      <c r="H1148" s="76">
        <v>3</v>
      </c>
      <c r="I1148" s="54" t="s">
        <v>21</v>
      </c>
      <c r="J1148" s="77">
        <v>40</v>
      </c>
      <c r="K1148" s="78">
        <v>5</v>
      </c>
      <c r="L1148" s="54">
        <v>2</v>
      </c>
      <c r="M1148" s="54">
        <f>_xlfn.XLOOKUP(Survey!$F1148,sections[Start],sections[Test Section],,-1,1)</f>
        <v>4</v>
      </c>
      <c r="N1148" s="55">
        <f>_xlfn.XLOOKUP(Survey!$K1148,pipedata[ID],pipedata[WT])</f>
        <v>0.88800000000000001</v>
      </c>
      <c r="O1148" s="56">
        <f>_xlfn.XLOOKUP(Survey!$K1148,pipedata[ID],pipedata[104%])</f>
        <v>3078.4</v>
      </c>
      <c r="P1148" s="57">
        <f t="shared" si="17"/>
        <v>1850</v>
      </c>
      <c r="Q1148" s="58">
        <f>_xlfn.MAXIFS(Survey!$G$2:$G$3647,Survey!$M$2:$M$3647,Survey!$M1148)-Survey!$G1148</f>
        <v>357.51030545811386</v>
      </c>
      <c r="R1148" s="59">
        <f>Survey!$P1148+(Survey!$Q1148*0.433)</f>
        <v>2004.8019622633633</v>
      </c>
    </row>
    <row r="1149" spans="1:18" x14ac:dyDescent="0.25">
      <c r="A1149" s="60" t="s">
        <v>17</v>
      </c>
      <c r="B1149" s="61" t="s">
        <v>18</v>
      </c>
      <c r="C1149" s="62" t="s">
        <v>19</v>
      </c>
      <c r="D1149" s="63">
        <v>235.59329004370616</v>
      </c>
      <c r="E1149" s="79">
        <v>1272769</v>
      </c>
      <c r="F1149" s="80">
        <v>1244959</v>
      </c>
      <c r="G1149" s="66">
        <v>1216.4403917863526</v>
      </c>
      <c r="H1149" s="67">
        <v>3</v>
      </c>
      <c r="I1149" s="68" t="s">
        <v>21</v>
      </c>
      <c r="J1149" s="69">
        <v>40</v>
      </c>
      <c r="K1149" s="70">
        <v>5</v>
      </c>
      <c r="L1149" s="68">
        <v>2</v>
      </c>
      <c r="M1149" s="68">
        <f>_xlfn.XLOOKUP(Survey!$F1149,sections[Start],sections[Test Section],,-1,1)</f>
        <v>4</v>
      </c>
      <c r="N1149" s="55">
        <f>_xlfn.XLOOKUP(Survey!$K1149,pipedata[ID],pipedata[WT])</f>
        <v>0.88800000000000001</v>
      </c>
      <c r="O1149" s="56">
        <f>_xlfn.XLOOKUP(Survey!$K1149,pipedata[ID],pipedata[104%])</f>
        <v>3078.4</v>
      </c>
      <c r="P1149" s="57">
        <f t="shared" si="17"/>
        <v>1850</v>
      </c>
      <c r="Q1149" s="58">
        <f>_xlfn.MAXIFS(Survey!$G$2:$G$3647,Survey!$M$2:$M$3647,Survey!$M1149)-Survey!$G1149</f>
        <v>355.3746668392555</v>
      </c>
      <c r="R1149" s="59">
        <f>Survey!$P1149+(Survey!$Q1149*0.433)</f>
        <v>2003.8772307413976</v>
      </c>
    </row>
    <row r="1150" spans="1:18" x14ac:dyDescent="0.25">
      <c r="A1150" s="71" t="s">
        <v>17</v>
      </c>
      <c r="B1150" s="72" t="s">
        <v>18</v>
      </c>
      <c r="C1150" s="73" t="s">
        <v>19</v>
      </c>
      <c r="D1150" s="74">
        <v>235.60064786806109</v>
      </c>
      <c r="E1150" s="64">
        <v>1272809</v>
      </c>
      <c r="F1150" s="65">
        <v>1244999</v>
      </c>
      <c r="G1150" s="75">
        <v>1220.6926527620888</v>
      </c>
      <c r="H1150" s="76">
        <v>3</v>
      </c>
      <c r="I1150" s="54" t="s">
        <v>21</v>
      </c>
      <c r="J1150" s="77">
        <v>40</v>
      </c>
      <c r="K1150" s="78">
        <v>5</v>
      </c>
      <c r="L1150" s="54">
        <v>2</v>
      </c>
      <c r="M1150" s="54">
        <f>_xlfn.XLOOKUP(Survey!$F1150,sections[Start],sections[Test Section],,-1,1)</f>
        <v>4</v>
      </c>
      <c r="N1150" s="55">
        <f>_xlfn.XLOOKUP(Survey!$K1150,pipedata[ID],pipedata[WT])</f>
        <v>0.88800000000000001</v>
      </c>
      <c r="O1150" s="56">
        <f>_xlfn.XLOOKUP(Survey!$K1150,pipedata[ID],pipedata[104%])</f>
        <v>3078.4</v>
      </c>
      <c r="P1150" s="57">
        <f t="shared" si="17"/>
        <v>1850</v>
      </c>
      <c r="Q1150" s="58">
        <f>_xlfn.MAXIFS(Survey!$G$2:$G$3647,Survey!$M$2:$M$3647,Survey!$M1150)-Survey!$G1150</f>
        <v>351.12240586351936</v>
      </c>
      <c r="R1150" s="59">
        <f>Survey!$P1150+(Survey!$Q1150*0.433)</f>
        <v>2002.0360017389039</v>
      </c>
    </row>
    <row r="1151" spans="1:18" x14ac:dyDescent="0.25">
      <c r="A1151" s="60" t="s">
        <v>17</v>
      </c>
      <c r="B1151" s="61" t="s">
        <v>18</v>
      </c>
      <c r="C1151" s="62" t="s">
        <v>19</v>
      </c>
      <c r="D1151" s="63">
        <v>235.60788806901931</v>
      </c>
      <c r="E1151" s="79">
        <v>1272849</v>
      </c>
      <c r="F1151" s="80">
        <v>1245039</v>
      </c>
      <c r="G1151" s="66">
        <v>1218.1024171315898</v>
      </c>
      <c r="H1151" s="67">
        <v>3</v>
      </c>
      <c r="I1151" s="68" t="s">
        <v>21</v>
      </c>
      <c r="J1151" s="69">
        <v>61</v>
      </c>
      <c r="K1151" s="70">
        <v>5</v>
      </c>
      <c r="L1151" s="68">
        <v>2</v>
      </c>
      <c r="M1151" s="68">
        <f>_xlfn.XLOOKUP(Survey!$F1151,sections[Start],sections[Test Section],,-1,1)</f>
        <v>4</v>
      </c>
      <c r="N1151" s="55">
        <f>_xlfn.XLOOKUP(Survey!$K1151,pipedata[ID],pipedata[WT])</f>
        <v>0.88800000000000001</v>
      </c>
      <c r="O1151" s="56">
        <f>_xlfn.XLOOKUP(Survey!$K1151,pipedata[ID],pipedata[104%])</f>
        <v>3078.4</v>
      </c>
      <c r="P1151" s="57">
        <f t="shared" si="17"/>
        <v>1850</v>
      </c>
      <c r="Q1151" s="58">
        <f>_xlfn.MAXIFS(Survey!$G$2:$G$3647,Survey!$M$2:$M$3647,Survey!$M1151)-Survey!$G1151</f>
        <v>353.71264149401827</v>
      </c>
      <c r="R1151" s="59">
        <f>Survey!$P1151+(Survey!$Q1151*0.433)</f>
        <v>2003.15757376691</v>
      </c>
    </row>
    <row r="1152" spans="1:18" x14ac:dyDescent="0.25">
      <c r="A1152" s="71" t="s">
        <v>17</v>
      </c>
      <c r="B1152" s="72" t="s">
        <v>18</v>
      </c>
      <c r="C1152" s="73" t="s">
        <v>19</v>
      </c>
      <c r="D1152" s="74">
        <v>235.61630390621238</v>
      </c>
      <c r="E1152" s="81">
        <v>1272910</v>
      </c>
      <c r="F1152" s="82">
        <v>1245079</v>
      </c>
      <c r="G1152" s="75">
        <v>1220.5616078229023</v>
      </c>
      <c r="H1152" s="76">
        <v>3</v>
      </c>
      <c r="I1152" s="54" t="s">
        <v>20</v>
      </c>
      <c r="J1152" s="77">
        <v>19</v>
      </c>
      <c r="K1152" s="78">
        <v>3</v>
      </c>
      <c r="L1152" s="54">
        <v>2</v>
      </c>
      <c r="M1152" s="54">
        <f>_xlfn.XLOOKUP(Survey!$F1152,sections[Start],sections[Test Section],,-1,1)</f>
        <v>4</v>
      </c>
      <c r="N1152" s="55">
        <f>_xlfn.XLOOKUP(Survey!$K1152,pipedata[ID],pipedata[WT])</f>
        <v>0.88800000000000001</v>
      </c>
      <c r="O1152" s="56">
        <f>_xlfn.XLOOKUP(Survey!$K1152,pipedata[ID],pipedata[104%])</f>
        <v>3078.4</v>
      </c>
      <c r="P1152" s="57">
        <f t="shared" si="17"/>
        <v>1850</v>
      </c>
      <c r="Q1152" s="58">
        <f>_xlfn.MAXIFS(Survey!$G$2:$G$3647,Survey!$M$2:$M$3647,Survey!$M1152)-Survey!$G1152</f>
        <v>351.25345080270586</v>
      </c>
      <c r="R1152" s="59">
        <f>Survey!$P1152+(Survey!$Q1152*0.433)</f>
        <v>2002.0927441975716</v>
      </c>
    </row>
    <row r="1153" spans="1:18" x14ac:dyDescent="0.25">
      <c r="A1153" s="60" t="s">
        <v>17</v>
      </c>
      <c r="B1153" s="61" t="s">
        <v>18</v>
      </c>
      <c r="C1153" s="62" t="s">
        <v>19</v>
      </c>
      <c r="D1153" s="63">
        <v>235.62366039490391</v>
      </c>
      <c r="E1153" s="79">
        <v>1272929</v>
      </c>
      <c r="F1153" s="80">
        <v>1245117.4586776861</v>
      </c>
      <c r="G1153" s="66">
        <v>1221.3193543646159</v>
      </c>
      <c r="H1153" s="67">
        <v>3</v>
      </c>
      <c r="I1153" s="68" t="s">
        <v>20</v>
      </c>
      <c r="J1153" s="69">
        <v>40</v>
      </c>
      <c r="K1153" s="70">
        <v>3</v>
      </c>
      <c r="L1153" s="68">
        <v>2</v>
      </c>
      <c r="M1153" s="68">
        <f>_xlfn.XLOOKUP(Survey!$F1153,sections[Start],sections[Test Section],,-1,1)</f>
        <v>4</v>
      </c>
      <c r="N1153" s="55">
        <f>_xlfn.XLOOKUP(Survey!$K1153,pipedata[ID],pipedata[WT])</f>
        <v>0.88800000000000001</v>
      </c>
      <c r="O1153" s="56">
        <f>_xlfn.XLOOKUP(Survey!$K1153,pipedata[ID],pipedata[104%])</f>
        <v>3078.4</v>
      </c>
      <c r="P1153" s="57">
        <f t="shared" si="17"/>
        <v>1850</v>
      </c>
      <c r="Q1153" s="58">
        <f>_xlfn.MAXIFS(Survey!$G$2:$G$3647,Survey!$M$2:$M$3647,Survey!$M1153)-Survey!$G1153</f>
        <v>350.49570426099217</v>
      </c>
      <c r="R1153" s="59">
        <f>Survey!$P1153+(Survey!$Q1153*0.433)</f>
        <v>2001.7646399450095</v>
      </c>
    </row>
    <row r="1154" spans="1:18" x14ac:dyDescent="0.25">
      <c r="A1154" s="71" t="s">
        <v>17</v>
      </c>
      <c r="B1154" s="72" t="s">
        <v>18</v>
      </c>
      <c r="C1154" s="73" t="s">
        <v>19</v>
      </c>
      <c r="D1154" s="74">
        <v>235.63097208277773</v>
      </c>
      <c r="E1154" s="64">
        <v>1272969</v>
      </c>
      <c r="F1154" s="65">
        <v>1245155.9173553721</v>
      </c>
      <c r="G1154" s="75">
        <v>1222.5597511295416</v>
      </c>
      <c r="H1154" s="76">
        <v>3</v>
      </c>
      <c r="I1154" s="54" t="s">
        <v>20</v>
      </c>
      <c r="J1154" s="77">
        <v>40</v>
      </c>
      <c r="K1154" s="78">
        <v>3</v>
      </c>
      <c r="L1154" s="54">
        <v>2</v>
      </c>
      <c r="M1154" s="54">
        <f>_xlfn.XLOOKUP(Survey!$F1154,sections[Start],sections[Test Section],,-1,1)</f>
        <v>4</v>
      </c>
      <c r="N1154" s="55">
        <f>_xlfn.XLOOKUP(Survey!$K1154,pipedata[ID],pipedata[WT])</f>
        <v>0.88800000000000001</v>
      </c>
      <c r="O1154" s="56">
        <f>_xlfn.XLOOKUP(Survey!$K1154,pipedata[ID],pipedata[104%])</f>
        <v>3078.4</v>
      </c>
      <c r="P1154" s="57">
        <f t="shared" ref="P1154:P1217" si="18">IF(L1154=1,1850,IF(L1154=2,1850,2220))</f>
        <v>1850</v>
      </c>
      <c r="Q1154" s="58">
        <f>_xlfn.MAXIFS(Survey!$G$2:$G$3647,Survey!$M$2:$M$3647,Survey!$M1154)-Survey!$G1154</f>
        <v>349.25530749606651</v>
      </c>
      <c r="R1154" s="59">
        <f>Survey!$P1154+(Survey!$Q1154*0.433)</f>
        <v>2001.2275481457968</v>
      </c>
    </row>
    <row r="1155" spans="1:18" x14ac:dyDescent="0.25">
      <c r="A1155" s="60" t="s">
        <v>17</v>
      </c>
      <c r="B1155" s="61" t="s">
        <v>18</v>
      </c>
      <c r="C1155" s="62" t="s">
        <v>19</v>
      </c>
      <c r="D1155" s="63">
        <v>235.63854124686821</v>
      </c>
      <c r="E1155" s="79">
        <v>1273009</v>
      </c>
      <c r="F1155" s="80">
        <v>1245194.3760330582</v>
      </c>
      <c r="G1155" s="66">
        <v>1224.6116338563731</v>
      </c>
      <c r="H1155" s="67">
        <v>3</v>
      </c>
      <c r="I1155" s="68" t="s">
        <v>20</v>
      </c>
      <c r="J1155" s="69">
        <v>40</v>
      </c>
      <c r="K1155" s="70">
        <v>3</v>
      </c>
      <c r="L1155" s="68">
        <v>2</v>
      </c>
      <c r="M1155" s="68">
        <f>_xlfn.XLOOKUP(Survey!$F1155,sections[Start],sections[Test Section],,-1,1)</f>
        <v>4</v>
      </c>
      <c r="N1155" s="55">
        <f>_xlfn.XLOOKUP(Survey!$K1155,pipedata[ID],pipedata[WT])</f>
        <v>0.88800000000000001</v>
      </c>
      <c r="O1155" s="56">
        <f>_xlfn.XLOOKUP(Survey!$K1155,pipedata[ID],pipedata[104%])</f>
        <v>3078.4</v>
      </c>
      <c r="P1155" s="57">
        <f t="shared" si="18"/>
        <v>1850</v>
      </c>
      <c r="Q1155" s="58">
        <f>_xlfn.MAXIFS(Survey!$G$2:$G$3647,Survey!$M$2:$M$3647,Survey!$M1155)-Survey!$G1155</f>
        <v>347.20342476923497</v>
      </c>
      <c r="R1155" s="59">
        <f>Survey!$P1155+(Survey!$Q1155*0.433)</f>
        <v>2000.3390829250789</v>
      </c>
    </row>
    <row r="1156" spans="1:18" x14ac:dyDescent="0.25">
      <c r="A1156" s="71" t="s">
        <v>17</v>
      </c>
      <c r="B1156" s="72" t="s">
        <v>18</v>
      </c>
      <c r="C1156" s="73" t="s">
        <v>19</v>
      </c>
      <c r="D1156" s="74">
        <v>235.64611041095878</v>
      </c>
      <c r="E1156" s="81">
        <v>1273049</v>
      </c>
      <c r="F1156" s="82">
        <v>1245232.8347107442</v>
      </c>
      <c r="G1156" s="75">
        <v>1225.4255290734354</v>
      </c>
      <c r="H1156" s="76">
        <v>3</v>
      </c>
      <c r="I1156" s="54" t="s">
        <v>20</v>
      </c>
      <c r="J1156" s="77">
        <v>40</v>
      </c>
      <c r="K1156" s="78">
        <v>3</v>
      </c>
      <c r="L1156" s="54">
        <v>2</v>
      </c>
      <c r="M1156" s="54">
        <f>_xlfn.XLOOKUP(Survey!$F1156,sections[Start],sections[Test Section],,-1,1)</f>
        <v>4</v>
      </c>
      <c r="N1156" s="55">
        <f>_xlfn.XLOOKUP(Survey!$K1156,pipedata[ID],pipedata[WT])</f>
        <v>0.88800000000000001</v>
      </c>
      <c r="O1156" s="56">
        <f>_xlfn.XLOOKUP(Survey!$K1156,pipedata[ID],pipedata[104%])</f>
        <v>3078.4</v>
      </c>
      <c r="P1156" s="57">
        <f t="shared" si="18"/>
        <v>1850</v>
      </c>
      <c r="Q1156" s="58">
        <f>_xlfn.MAXIFS(Survey!$G$2:$G$3647,Survey!$M$2:$M$3647,Survey!$M1156)-Survey!$G1156</f>
        <v>346.38952955217269</v>
      </c>
      <c r="R1156" s="59">
        <f>Survey!$P1156+(Survey!$Q1156*0.433)</f>
        <v>1999.9866662960908</v>
      </c>
    </row>
    <row r="1157" spans="1:18" x14ac:dyDescent="0.25">
      <c r="A1157" s="60" t="s">
        <v>17</v>
      </c>
      <c r="B1157" s="61" t="s">
        <v>18</v>
      </c>
      <c r="C1157" s="62" t="s">
        <v>19</v>
      </c>
      <c r="D1157" s="63">
        <v>235.65367957504901</v>
      </c>
      <c r="E1157" s="79">
        <v>1273089</v>
      </c>
      <c r="F1157" s="80">
        <v>1245271.2933884303</v>
      </c>
      <c r="G1157" s="66">
        <v>1226.8151031576601</v>
      </c>
      <c r="H1157" s="67">
        <v>3</v>
      </c>
      <c r="I1157" s="68" t="s">
        <v>20</v>
      </c>
      <c r="J1157" s="69">
        <v>40</v>
      </c>
      <c r="K1157" s="70">
        <v>3</v>
      </c>
      <c r="L1157" s="68">
        <v>2</v>
      </c>
      <c r="M1157" s="68">
        <f>_xlfn.XLOOKUP(Survey!$F1157,sections[Start],sections[Test Section],,-1,1)</f>
        <v>4</v>
      </c>
      <c r="N1157" s="55">
        <f>_xlfn.XLOOKUP(Survey!$K1157,pipedata[ID],pipedata[WT])</f>
        <v>0.88800000000000001</v>
      </c>
      <c r="O1157" s="56">
        <f>_xlfn.XLOOKUP(Survey!$K1157,pipedata[ID],pipedata[104%])</f>
        <v>3078.4</v>
      </c>
      <c r="P1157" s="57">
        <f t="shared" si="18"/>
        <v>1850</v>
      </c>
      <c r="Q1157" s="58">
        <f>_xlfn.MAXIFS(Survey!$G$2:$G$3647,Survey!$M$2:$M$3647,Survey!$M1157)-Survey!$G1157</f>
        <v>344.99995546794798</v>
      </c>
      <c r="R1157" s="59">
        <f>Survey!$P1157+(Survey!$Q1157*0.433)</f>
        <v>1999.3849807176216</v>
      </c>
    </row>
    <row r="1158" spans="1:18" x14ac:dyDescent="0.25">
      <c r="A1158" s="71" t="s">
        <v>17</v>
      </c>
      <c r="B1158" s="72" t="s">
        <v>18</v>
      </c>
      <c r="C1158" s="73" t="s">
        <v>19</v>
      </c>
      <c r="D1158" s="74">
        <v>235.66124873913989</v>
      </c>
      <c r="E1158" s="81">
        <v>1273129</v>
      </c>
      <c r="F1158" s="82">
        <v>1245309.7520661163</v>
      </c>
      <c r="G1158" s="75">
        <v>1228.204334149817</v>
      </c>
      <c r="H1158" s="76">
        <v>3</v>
      </c>
      <c r="I1158" s="54" t="s">
        <v>20</v>
      </c>
      <c r="J1158" s="77">
        <v>40</v>
      </c>
      <c r="K1158" s="78">
        <v>3</v>
      </c>
      <c r="L1158" s="54">
        <v>2</v>
      </c>
      <c r="M1158" s="54">
        <f>_xlfn.XLOOKUP(Survey!$F1158,sections[Start],sections[Test Section],,-1,1)</f>
        <v>4</v>
      </c>
      <c r="N1158" s="55">
        <f>_xlfn.XLOOKUP(Survey!$K1158,pipedata[ID],pipedata[WT])</f>
        <v>0.88800000000000001</v>
      </c>
      <c r="O1158" s="56">
        <f>_xlfn.XLOOKUP(Survey!$K1158,pipedata[ID],pipedata[104%])</f>
        <v>3078.4</v>
      </c>
      <c r="P1158" s="57">
        <f t="shared" si="18"/>
        <v>1850</v>
      </c>
      <c r="Q1158" s="58">
        <f>_xlfn.MAXIFS(Survey!$G$2:$G$3647,Survey!$M$2:$M$3647,Survey!$M1158)-Survey!$G1158</f>
        <v>343.61072447579113</v>
      </c>
      <c r="R1158" s="59">
        <f>Survey!$P1158+(Survey!$Q1158*0.433)</f>
        <v>1998.7834436980174</v>
      </c>
    </row>
    <row r="1159" spans="1:18" x14ac:dyDescent="0.25">
      <c r="A1159" s="60" t="s">
        <v>17</v>
      </c>
      <c r="B1159" s="61" t="s">
        <v>18</v>
      </c>
      <c r="C1159" s="62" t="s">
        <v>19</v>
      </c>
      <c r="D1159" s="63">
        <v>235.66864713922044</v>
      </c>
      <c r="E1159" s="79">
        <v>1273169</v>
      </c>
      <c r="F1159" s="80">
        <v>1245348.2107438024</v>
      </c>
      <c r="G1159" s="66">
        <v>1230.1191774135023</v>
      </c>
      <c r="H1159" s="67">
        <v>3</v>
      </c>
      <c r="I1159" s="68" t="s">
        <v>20</v>
      </c>
      <c r="J1159" s="69">
        <v>40</v>
      </c>
      <c r="K1159" s="70">
        <v>3</v>
      </c>
      <c r="L1159" s="68">
        <v>2</v>
      </c>
      <c r="M1159" s="68">
        <f>_xlfn.XLOOKUP(Survey!$F1159,sections[Start],sections[Test Section],,-1,1)</f>
        <v>4</v>
      </c>
      <c r="N1159" s="55">
        <f>_xlfn.XLOOKUP(Survey!$K1159,pipedata[ID],pipedata[WT])</f>
        <v>0.88800000000000001</v>
      </c>
      <c r="O1159" s="56">
        <f>_xlfn.XLOOKUP(Survey!$K1159,pipedata[ID],pipedata[104%])</f>
        <v>3078.4</v>
      </c>
      <c r="P1159" s="57">
        <f t="shared" si="18"/>
        <v>1850</v>
      </c>
      <c r="Q1159" s="58">
        <f>_xlfn.MAXIFS(Survey!$G$2:$G$3647,Survey!$M$2:$M$3647,Survey!$M1159)-Survey!$G1159</f>
        <v>341.69588121210586</v>
      </c>
      <c r="R1159" s="59">
        <f>Survey!$P1159+(Survey!$Q1159*0.433)</f>
        <v>1997.9543165648417</v>
      </c>
    </row>
    <row r="1160" spans="1:18" x14ac:dyDescent="0.25">
      <c r="A1160" s="71" t="s">
        <v>17</v>
      </c>
      <c r="B1160" s="72" t="s">
        <v>18</v>
      </c>
      <c r="C1160" s="73" t="s">
        <v>19</v>
      </c>
      <c r="D1160" s="74">
        <v>235.6765318101794</v>
      </c>
      <c r="E1160" s="81">
        <v>1273209</v>
      </c>
      <c r="F1160" s="82">
        <v>1245386.6694214884</v>
      </c>
      <c r="G1160" s="75">
        <v>1231.4615524559561</v>
      </c>
      <c r="H1160" s="76">
        <v>3</v>
      </c>
      <c r="I1160" s="54" t="s">
        <v>20</v>
      </c>
      <c r="J1160" s="77">
        <v>40</v>
      </c>
      <c r="K1160" s="78">
        <v>3</v>
      </c>
      <c r="L1160" s="54">
        <v>2</v>
      </c>
      <c r="M1160" s="54">
        <f>_xlfn.XLOOKUP(Survey!$F1160,sections[Start],sections[Test Section],,-1,1)</f>
        <v>4</v>
      </c>
      <c r="N1160" s="55">
        <f>_xlfn.XLOOKUP(Survey!$K1160,pipedata[ID],pipedata[WT])</f>
        <v>0.88800000000000001</v>
      </c>
      <c r="O1160" s="56">
        <f>_xlfn.XLOOKUP(Survey!$K1160,pipedata[ID],pipedata[104%])</f>
        <v>3078.4</v>
      </c>
      <c r="P1160" s="57">
        <f t="shared" si="18"/>
        <v>1850</v>
      </c>
      <c r="Q1160" s="58">
        <f>_xlfn.MAXIFS(Survey!$G$2:$G$3647,Survey!$M$2:$M$3647,Survey!$M1160)-Survey!$G1160</f>
        <v>340.35350616965206</v>
      </c>
      <c r="R1160" s="59">
        <f>Survey!$P1160+(Survey!$Q1160*0.433)</f>
        <v>1997.3730681714594</v>
      </c>
    </row>
    <row r="1161" spans="1:18" x14ac:dyDescent="0.25">
      <c r="A1161" s="60" t="s">
        <v>17</v>
      </c>
      <c r="B1161" s="61" t="s">
        <v>18</v>
      </c>
      <c r="C1161" s="62" t="s">
        <v>19</v>
      </c>
      <c r="D1161" s="63">
        <v>235.68419351462688</v>
      </c>
      <c r="E1161" s="79">
        <v>1273249</v>
      </c>
      <c r="F1161" s="80">
        <v>1245425.1280991745</v>
      </c>
      <c r="G1161" s="66">
        <v>1233.5200831656903</v>
      </c>
      <c r="H1161" s="67">
        <v>3</v>
      </c>
      <c r="I1161" s="68" t="s">
        <v>20</v>
      </c>
      <c r="J1161" s="69">
        <v>40</v>
      </c>
      <c r="K1161" s="70">
        <v>3</v>
      </c>
      <c r="L1161" s="68">
        <v>2</v>
      </c>
      <c r="M1161" s="68">
        <f>_xlfn.XLOOKUP(Survey!$F1161,sections[Start],sections[Test Section],,-1,1)</f>
        <v>4</v>
      </c>
      <c r="N1161" s="55">
        <f>_xlfn.XLOOKUP(Survey!$K1161,pipedata[ID],pipedata[WT])</f>
        <v>0.88800000000000001</v>
      </c>
      <c r="O1161" s="56">
        <f>_xlfn.XLOOKUP(Survey!$K1161,pipedata[ID],pipedata[104%])</f>
        <v>3078.4</v>
      </c>
      <c r="P1161" s="57">
        <f t="shared" si="18"/>
        <v>1850</v>
      </c>
      <c r="Q1161" s="58">
        <f>_xlfn.MAXIFS(Survey!$G$2:$G$3647,Survey!$M$2:$M$3647,Survey!$M1161)-Survey!$G1161</f>
        <v>338.29497545991785</v>
      </c>
      <c r="R1161" s="59">
        <f>Survey!$P1161+(Survey!$Q1161*0.433)</f>
        <v>1996.4817243741445</v>
      </c>
    </row>
    <row r="1162" spans="1:18" x14ac:dyDescent="0.25">
      <c r="A1162" s="71" t="s">
        <v>17</v>
      </c>
      <c r="B1162" s="72" t="s">
        <v>18</v>
      </c>
      <c r="C1162" s="73" t="s">
        <v>19</v>
      </c>
      <c r="D1162" s="74">
        <v>235.69196670233012</v>
      </c>
      <c r="E1162" s="81">
        <v>1273289</v>
      </c>
      <c r="F1162" s="82">
        <v>1245463.5867768605</v>
      </c>
      <c r="G1162" s="75">
        <v>1235.4882509026522</v>
      </c>
      <c r="H1162" s="76">
        <v>3</v>
      </c>
      <c r="I1162" s="54" t="s">
        <v>20</v>
      </c>
      <c r="J1162" s="77">
        <v>40</v>
      </c>
      <c r="K1162" s="78">
        <v>3</v>
      </c>
      <c r="L1162" s="54">
        <v>2</v>
      </c>
      <c r="M1162" s="54">
        <f>_xlfn.XLOOKUP(Survey!$F1162,sections[Start],sections[Test Section],,-1,1)</f>
        <v>4</v>
      </c>
      <c r="N1162" s="55">
        <f>_xlfn.XLOOKUP(Survey!$K1162,pipedata[ID],pipedata[WT])</f>
        <v>0.88800000000000001</v>
      </c>
      <c r="O1162" s="56">
        <f>_xlfn.XLOOKUP(Survey!$K1162,pipedata[ID],pipedata[104%])</f>
        <v>3078.4</v>
      </c>
      <c r="P1162" s="57">
        <f t="shared" si="18"/>
        <v>1850</v>
      </c>
      <c r="Q1162" s="58">
        <f>_xlfn.MAXIFS(Survey!$G$2:$G$3647,Survey!$M$2:$M$3647,Survey!$M1162)-Survey!$G1162</f>
        <v>336.32680772295589</v>
      </c>
      <c r="R1162" s="59">
        <f>Survey!$P1162+(Survey!$Q1162*0.433)</f>
        <v>1995.62950774404</v>
      </c>
    </row>
    <row r="1163" spans="1:18" x14ac:dyDescent="0.25">
      <c r="A1163" s="60" t="s">
        <v>17</v>
      </c>
      <c r="B1163" s="61" t="s">
        <v>18</v>
      </c>
      <c r="C1163" s="62" t="s">
        <v>19</v>
      </c>
      <c r="D1163" s="63">
        <v>235.69909455959299</v>
      </c>
      <c r="E1163" s="79">
        <v>1273329</v>
      </c>
      <c r="F1163" s="80">
        <v>1245502.0454545466</v>
      </c>
      <c r="G1163" s="66">
        <v>1238.9232679607067</v>
      </c>
      <c r="H1163" s="67">
        <v>3</v>
      </c>
      <c r="I1163" s="68" t="s">
        <v>20</v>
      </c>
      <c r="J1163" s="69">
        <v>40</v>
      </c>
      <c r="K1163" s="70">
        <v>3</v>
      </c>
      <c r="L1163" s="68">
        <v>2</v>
      </c>
      <c r="M1163" s="68">
        <f>_xlfn.XLOOKUP(Survey!$F1163,sections[Start],sections[Test Section],,-1,1)</f>
        <v>4</v>
      </c>
      <c r="N1163" s="55">
        <f>_xlfn.XLOOKUP(Survey!$K1163,pipedata[ID],pipedata[WT])</f>
        <v>0.88800000000000001</v>
      </c>
      <c r="O1163" s="56">
        <f>_xlfn.XLOOKUP(Survey!$K1163,pipedata[ID],pipedata[104%])</f>
        <v>3078.4</v>
      </c>
      <c r="P1163" s="57">
        <f t="shared" si="18"/>
        <v>1850</v>
      </c>
      <c r="Q1163" s="58">
        <f>_xlfn.MAXIFS(Survey!$G$2:$G$3647,Survey!$M$2:$M$3647,Survey!$M1163)-Survey!$G1163</f>
        <v>332.89179066490146</v>
      </c>
      <c r="R1163" s="59">
        <f>Survey!$P1163+(Survey!$Q1163*0.433)</f>
        <v>1994.1421453579023</v>
      </c>
    </row>
    <row r="1164" spans="1:18" x14ac:dyDescent="0.25">
      <c r="A1164" s="71" t="s">
        <v>17</v>
      </c>
      <c r="B1164" s="72" t="s">
        <v>18</v>
      </c>
      <c r="C1164" s="73" t="s">
        <v>19</v>
      </c>
      <c r="D1164" s="74">
        <v>235.70666372368345</v>
      </c>
      <c r="E1164" s="81">
        <v>1273369</v>
      </c>
      <c r="F1164" s="82">
        <v>1245540.5041322326</v>
      </c>
      <c r="G1164" s="75">
        <v>1242.7089058467393</v>
      </c>
      <c r="H1164" s="76">
        <v>3</v>
      </c>
      <c r="I1164" s="54" t="s">
        <v>20</v>
      </c>
      <c r="J1164" s="77">
        <v>40</v>
      </c>
      <c r="K1164" s="78">
        <v>3</v>
      </c>
      <c r="L1164" s="54">
        <v>2</v>
      </c>
      <c r="M1164" s="54">
        <f>_xlfn.XLOOKUP(Survey!$F1164,sections[Start],sections[Test Section],,-1,1)</f>
        <v>4</v>
      </c>
      <c r="N1164" s="55">
        <f>_xlfn.XLOOKUP(Survey!$K1164,pipedata[ID],pipedata[WT])</f>
        <v>0.88800000000000001</v>
      </c>
      <c r="O1164" s="56">
        <f>_xlfn.XLOOKUP(Survey!$K1164,pipedata[ID],pipedata[104%])</f>
        <v>3078.4</v>
      </c>
      <c r="P1164" s="57">
        <f t="shared" si="18"/>
        <v>1850</v>
      </c>
      <c r="Q1164" s="58">
        <f>_xlfn.MAXIFS(Survey!$G$2:$G$3647,Survey!$M$2:$M$3647,Survey!$M1164)-Survey!$G1164</f>
        <v>329.10615277886882</v>
      </c>
      <c r="R1164" s="59">
        <f>Survey!$P1164+(Survey!$Q1164*0.433)</f>
        <v>1992.5029641532501</v>
      </c>
    </row>
    <row r="1165" spans="1:18" x14ac:dyDescent="0.25">
      <c r="A1165" s="60" t="s">
        <v>17</v>
      </c>
      <c r="B1165" s="61" t="s">
        <v>18</v>
      </c>
      <c r="C1165" s="62" t="s">
        <v>19</v>
      </c>
      <c r="D1165" s="63">
        <v>235.71423288777407</v>
      </c>
      <c r="E1165" s="79">
        <v>1273409</v>
      </c>
      <c r="F1165" s="80">
        <v>1245578.9628099187</v>
      </c>
      <c r="G1165" s="66">
        <v>1250.5537353800237</v>
      </c>
      <c r="H1165" s="67">
        <v>3</v>
      </c>
      <c r="I1165" s="68" t="s">
        <v>20</v>
      </c>
      <c r="J1165" s="69">
        <v>40</v>
      </c>
      <c r="K1165" s="70">
        <v>3</v>
      </c>
      <c r="L1165" s="68">
        <v>2</v>
      </c>
      <c r="M1165" s="68">
        <f>_xlfn.XLOOKUP(Survey!$F1165,sections[Start],sections[Test Section],,-1,1)</f>
        <v>4</v>
      </c>
      <c r="N1165" s="55">
        <f>_xlfn.XLOOKUP(Survey!$K1165,pipedata[ID],pipedata[WT])</f>
        <v>0.88800000000000001</v>
      </c>
      <c r="O1165" s="56">
        <f>_xlfn.XLOOKUP(Survey!$K1165,pipedata[ID],pipedata[104%])</f>
        <v>3078.4</v>
      </c>
      <c r="P1165" s="57">
        <f t="shared" si="18"/>
        <v>1850</v>
      </c>
      <c r="Q1165" s="58">
        <f>_xlfn.MAXIFS(Survey!$G$2:$G$3647,Survey!$M$2:$M$3647,Survey!$M1165)-Survey!$G1165</f>
        <v>321.26132324558444</v>
      </c>
      <c r="R1165" s="59">
        <f>Survey!$P1165+(Survey!$Q1165*0.433)</f>
        <v>1989.106152965338</v>
      </c>
    </row>
    <row r="1166" spans="1:18" x14ac:dyDescent="0.25">
      <c r="A1166" s="71" t="s">
        <v>17</v>
      </c>
      <c r="B1166" s="72" t="s">
        <v>18</v>
      </c>
      <c r="C1166" s="73" t="s">
        <v>19</v>
      </c>
      <c r="D1166" s="74">
        <v>235.72180205186456</v>
      </c>
      <c r="E1166" s="81">
        <v>1273449</v>
      </c>
      <c r="F1166" s="82">
        <v>1245617.4214876047</v>
      </c>
      <c r="G1166" s="75">
        <v>1261.2756365619603</v>
      </c>
      <c r="H1166" s="76">
        <v>3</v>
      </c>
      <c r="I1166" s="54" t="s">
        <v>20</v>
      </c>
      <c r="J1166" s="77">
        <v>40</v>
      </c>
      <c r="K1166" s="78">
        <v>3</v>
      </c>
      <c r="L1166" s="54">
        <v>2</v>
      </c>
      <c r="M1166" s="54">
        <f>_xlfn.XLOOKUP(Survey!$F1166,sections[Start],sections[Test Section],,-1,1)</f>
        <v>4</v>
      </c>
      <c r="N1166" s="55">
        <f>_xlfn.XLOOKUP(Survey!$K1166,pipedata[ID],pipedata[WT])</f>
        <v>0.88800000000000001</v>
      </c>
      <c r="O1166" s="56">
        <f>_xlfn.XLOOKUP(Survey!$K1166,pipedata[ID],pipedata[104%])</f>
        <v>3078.4</v>
      </c>
      <c r="P1166" s="57">
        <f t="shared" si="18"/>
        <v>1850</v>
      </c>
      <c r="Q1166" s="58">
        <f>_xlfn.MAXIFS(Survey!$G$2:$G$3647,Survey!$M$2:$M$3647,Survey!$M1166)-Survey!$G1166</f>
        <v>310.53942206364786</v>
      </c>
      <c r="R1166" s="59">
        <f>Survey!$P1166+(Survey!$Q1166*0.433)</f>
        <v>1984.4635697535596</v>
      </c>
    </row>
    <row r="1167" spans="1:18" x14ac:dyDescent="0.25">
      <c r="A1167" s="60" t="s">
        <v>17</v>
      </c>
      <c r="B1167" s="61" t="s">
        <v>18</v>
      </c>
      <c r="C1167" s="62" t="s">
        <v>19</v>
      </c>
      <c r="D1167" s="63">
        <v>235.72888934392023</v>
      </c>
      <c r="E1167" s="79">
        <v>1273489</v>
      </c>
      <c r="F1167" s="80">
        <v>1245655.8801652908</v>
      </c>
      <c r="G1167" s="66">
        <v>1275.4416740239783</v>
      </c>
      <c r="H1167" s="67">
        <v>3</v>
      </c>
      <c r="I1167" s="68" t="s">
        <v>20</v>
      </c>
      <c r="J1167" s="69">
        <v>40</v>
      </c>
      <c r="K1167" s="70">
        <v>3</v>
      </c>
      <c r="L1167" s="68">
        <v>2</v>
      </c>
      <c r="M1167" s="68">
        <f>_xlfn.XLOOKUP(Survey!$F1167,sections[Start],sections[Test Section],,-1,1)</f>
        <v>4</v>
      </c>
      <c r="N1167" s="55">
        <f>_xlfn.XLOOKUP(Survey!$K1167,pipedata[ID],pipedata[WT])</f>
        <v>0.88800000000000001</v>
      </c>
      <c r="O1167" s="56">
        <f>_xlfn.XLOOKUP(Survey!$K1167,pipedata[ID],pipedata[104%])</f>
        <v>3078.4</v>
      </c>
      <c r="P1167" s="57">
        <f t="shared" si="18"/>
        <v>1850</v>
      </c>
      <c r="Q1167" s="58">
        <f>_xlfn.MAXIFS(Survey!$G$2:$G$3647,Survey!$M$2:$M$3647,Survey!$M1167)-Survey!$G1167</f>
        <v>296.37338460162982</v>
      </c>
      <c r="R1167" s="59">
        <f>Survey!$P1167+(Survey!$Q1167*0.433)</f>
        <v>1978.3296755325057</v>
      </c>
    </row>
    <row r="1168" spans="1:18" x14ac:dyDescent="0.25">
      <c r="A1168" s="71" t="s">
        <v>17</v>
      </c>
      <c r="B1168" s="72" t="s">
        <v>18</v>
      </c>
      <c r="C1168" s="73" t="s">
        <v>19</v>
      </c>
      <c r="D1168" s="74">
        <v>235.73573120821251</v>
      </c>
      <c r="E1168" s="81">
        <v>1273529</v>
      </c>
      <c r="F1168" s="82">
        <v>1245694.3388429768</v>
      </c>
      <c r="G1168" s="75">
        <v>1286.5566696022879</v>
      </c>
      <c r="H1168" s="76">
        <v>3</v>
      </c>
      <c r="I1168" s="54" t="s">
        <v>20</v>
      </c>
      <c r="J1168" s="77">
        <v>40</v>
      </c>
      <c r="K1168" s="78">
        <v>3</v>
      </c>
      <c r="L1168" s="54">
        <v>2</v>
      </c>
      <c r="M1168" s="54">
        <f>_xlfn.XLOOKUP(Survey!$F1168,sections[Start],sections[Test Section],,-1,1)</f>
        <v>4</v>
      </c>
      <c r="N1168" s="55">
        <f>_xlfn.XLOOKUP(Survey!$K1168,pipedata[ID],pipedata[WT])</f>
        <v>0.88800000000000001</v>
      </c>
      <c r="O1168" s="56">
        <f>_xlfn.XLOOKUP(Survey!$K1168,pipedata[ID],pipedata[104%])</f>
        <v>3078.4</v>
      </c>
      <c r="P1168" s="57">
        <f t="shared" si="18"/>
        <v>1850</v>
      </c>
      <c r="Q1168" s="58">
        <f>_xlfn.MAXIFS(Survey!$G$2:$G$3647,Survey!$M$2:$M$3647,Survey!$M1168)-Survey!$G1168</f>
        <v>285.25838902332021</v>
      </c>
      <c r="R1168" s="59">
        <f>Survey!$P1168+(Survey!$Q1168*0.433)</f>
        <v>1973.5168824470977</v>
      </c>
    </row>
    <row r="1169" spans="1:18" x14ac:dyDescent="0.25">
      <c r="A1169" s="60" t="s">
        <v>17</v>
      </c>
      <c r="B1169" s="61" t="s">
        <v>18</v>
      </c>
      <c r="C1169" s="62" t="s">
        <v>19</v>
      </c>
      <c r="D1169" s="63">
        <v>235.74356576905174</v>
      </c>
      <c r="E1169" s="79">
        <v>1273569</v>
      </c>
      <c r="F1169" s="80">
        <v>1245732.7975206629</v>
      </c>
      <c r="G1169" s="66">
        <v>1292.3111172514336</v>
      </c>
      <c r="H1169" s="67">
        <v>3</v>
      </c>
      <c r="I1169" s="68" t="s">
        <v>20</v>
      </c>
      <c r="J1169" s="69">
        <v>40</v>
      </c>
      <c r="K1169" s="70">
        <v>3</v>
      </c>
      <c r="L1169" s="68">
        <v>2</v>
      </c>
      <c r="M1169" s="68">
        <f>_xlfn.XLOOKUP(Survey!$F1169,sections[Start],sections[Test Section],,-1,1)</f>
        <v>4</v>
      </c>
      <c r="N1169" s="55">
        <f>_xlfn.XLOOKUP(Survey!$K1169,pipedata[ID],pipedata[WT])</f>
        <v>0.88800000000000001</v>
      </c>
      <c r="O1169" s="56">
        <f>_xlfn.XLOOKUP(Survey!$K1169,pipedata[ID],pipedata[104%])</f>
        <v>3078.4</v>
      </c>
      <c r="P1169" s="57">
        <f t="shared" si="18"/>
        <v>1850</v>
      </c>
      <c r="Q1169" s="58">
        <f>_xlfn.MAXIFS(Survey!$G$2:$G$3647,Survey!$M$2:$M$3647,Survey!$M1169)-Survey!$G1169</f>
        <v>279.50394137417447</v>
      </c>
      <c r="R1169" s="59">
        <f>Survey!$P1169+(Survey!$Q1169*0.433)</f>
        <v>1971.0252066150176</v>
      </c>
    </row>
    <row r="1170" spans="1:18" x14ac:dyDescent="0.25">
      <c r="A1170" s="71" t="s">
        <v>17</v>
      </c>
      <c r="B1170" s="72" t="s">
        <v>18</v>
      </c>
      <c r="C1170" s="73" t="s">
        <v>19</v>
      </c>
      <c r="D1170" s="74">
        <v>235.75078052270933</v>
      </c>
      <c r="E1170" s="81">
        <v>1273609</v>
      </c>
      <c r="F1170" s="82">
        <v>1245771.2561983489</v>
      </c>
      <c r="G1170" s="75">
        <v>1293.7351365934351</v>
      </c>
      <c r="H1170" s="76">
        <v>3</v>
      </c>
      <c r="I1170" s="54" t="s">
        <v>20</v>
      </c>
      <c r="J1170" s="77">
        <v>40</v>
      </c>
      <c r="K1170" s="78">
        <v>3</v>
      </c>
      <c r="L1170" s="54">
        <v>2</v>
      </c>
      <c r="M1170" s="54">
        <f>_xlfn.XLOOKUP(Survey!$F1170,sections[Start],sections[Test Section],,-1,1)</f>
        <v>4</v>
      </c>
      <c r="N1170" s="55">
        <f>_xlfn.XLOOKUP(Survey!$K1170,pipedata[ID],pipedata[WT])</f>
        <v>0.88800000000000001</v>
      </c>
      <c r="O1170" s="56">
        <f>_xlfn.XLOOKUP(Survey!$K1170,pipedata[ID],pipedata[104%])</f>
        <v>3078.4</v>
      </c>
      <c r="P1170" s="57">
        <f t="shared" si="18"/>
        <v>1850</v>
      </c>
      <c r="Q1170" s="58">
        <f>_xlfn.MAXIFS(Survey!$G$2:$G$3647,Survey!$M$2:$M$3647,Survey!$M1170)-Survey!$G1170</f>
        <v>278.07992203217304</v>
      </c>
      <c r="R1170" s="59">
        <f>Survey!$P1170+(Survey!$Q1170*0.433)</f>
        <v>1970.408606239931</v>
      </c>
    </row>
    <row r="1171" spans="1:18" x14ac:dyDescent="0.25">
      <c r="A1171" s="60" t="s">
        <v>17</v>
      </c>
      <c r="B1171" s="61" t="s">
        <v>18</v>
      </c>
      <c r="C1171" s="62" t="s">
        <v>19</v>
      </c>
      <c r="D1171" s="63">
        <v>235.7587633730968</v>
      </c>
      <c r="E1171" s="79">
        <v>1273649</v>
      </c>
      <c r="F1171" s="80">
        <v>1245809.714876035</v>
      </c>
      <c r="G1171" s="66">
        <v>1292.3932994799427</v>
      </c>
      <c r="H1171" s="67">
        <v>3</v>
      </c>
      <c r="I1171" s="68" t="s">
        <v>20</v>
      </c>
      <c r="J1171" s="69">
        <v>40</v>
      </c>
      <c r="K1171" s="70">
        <v>3</v>
      </c>
      <c r="L1171" s="68">
        <v>2</v>
      </c>
      <c r="M1171" s="68">
        <f>_xlfn.XLOOKUP(Survey!$F1171,sections[Start],sections[Test Section],,-1,1)</f>
        <v>4</v>
      </c>
      <c r="N1171" s="55">
        <f>_xlfn.XLOOKUP(Survey!$K1171,pipedata[ID],pipedata[WT])</f>
        <v>0.88800000000000001</v>
      </c>
      <c r="O1171" s="56">
        <f>_xlfn.XLOOKUP(Survey!$K1171,pipedata[ID],pipedata[104%])</f>
        <v>3078.4</v>
      </c>
      <c r="P1171" s="57">
        <f t="shared" si="18"/>
        <v>1850</v>
      </c>
      <c r="Q1171" s="58">
        <f>_xlfn.MAXIFS(Survey!$G$2:$G$3647,Survey!$M$2:$M$3647,Survey!$M1171)-Survey!$G1171</f>
        <v>279.42175914566542</v>
      </c>
      <c r="R1171" s="59">
        <f>Survey!$P1171+(Survey!$Q1171*0.433)</f>
        <v>1970.9896217100732</v>
      </c>
    </row>
    <row r="1172" spans="1:18" x14ac:dyDescent="0.25">
      <c r="A1172" s="71" t="s">
        <v>17</v>
      </c>
      <c r="B1172" s="72" t="s">
        <v>18</v>
      </c>
      <c r="C1172" s="73" t="s">
        <v>19</v>
      </c>
      <c r="D1172" s="74">
        <v>235.76621040419417</v>
      </c>
      <c r="E1172" s="81">
        <v>1273689</v>
      </c>
      <c r="F1172" s="82">
        <v>1245848.173553721</v>
      </c>
      <c r="G1172" s="75">
        <v>1288.0152764068002</v>
      </c>
      <c r="H1172" s="76">
        <v>3</v>
      </c>
      <c r="I1172" s="54" t="s">
        <v>20</v>
      </c>
      <c r="J1172" s="77">
        <v>40</v>
      </c>
      <c r="K1172" s="78">
        <v>3</v>
      </c>
      <c r="L1172" s="54">
        <v>2</v>
      </c>
      <c r="M1172" s="54">
        <f>_xlfn.XLOOKUP(Survey!$F1172,sections[Start],sections[Test Section],,-1,1)</f>
        <v>4</v>
      </c>
      <c r="N1172" s="55">
        <f>_xlfn.XLOOKUP(Survey!$K1172,pipedata[ID],pipedata[WT])</f>
        <v>0.88800000000000001</v>
      </c>
      <c r="O1172" s="56">
        <f>_xlfn.XLOOKUP(Survey!$K1172,pipedata[ID],pipedata[104%])</f>
        <v>3078.4</v>
      </c>
      <c r="P1172" s="57">
        <f t="shared" si="18"/>
        <v>1850</v>
      </c>
      <c r="Q1172" s="58">
        <f>_xlfn.MAXIFS(Survey!$G$2:$G$3647,Survey!$M$2:$M$3647,Survey!$M1172)-Survey!$G1172</f>
        <v>283.79978221880788</v>
      </c>
      <c r="R1172" s="59">
        <f>Survey!$P1172+(Survey!$Q1172*0.433)</f>
        <v>1972.8853057007439</v>
      </c>
    </row>
    <row r="1173" spans="1:18" x14ac:dyDescent="0.25">
      <c r="A1173" s="60" t="s">
        <v>17</v>
      </c>
      <c r="B1173" s="61" t="s">
        <v>18</v>
      </c>
      <c r="C1173" s="62" t="s">
        <v>19</v>
      </c>
      <c r="D1173" s="63">
        <v>235.77389440888092</v>
      </c>
      <c r="E1173" s="79">
        <v>1273729</v>
      </c>
      <c r="F1173" s="80">
        <v>1245886.6322314071</v>
      </c>
      <c r="G1173" s="66">
        <v>1284.8512530640662</v>
      </c>
      <c r="H1173" s="67">
        <v>3</v>
      </c>
      <c r="I1173" s="68" t="s">
        <v>20</v>
      </c>
      <c r="J1173" s="69">
        <v>40</v>
      </c>
      <c r="K1173" s="70">
        <v>3</v>
      </c>
      <c r="L1173" s="68">
        <v>2</v>
      </c>
      <c r="M1173" s="68">
        <f>_xlfn.XLOOKUP(Survey!$F1173,sections[Start],sections[Test Section],,-1,1)</f>
        <v>4</v>
      </c>
      <c r="N1173" s="55">
        <f>_xlfn.XLOOKUP(Survey!$K1173,pipedata[ID],pipedata[WT])</f>
        <v>0.88800000000000001</v>
      </c>
      <c r="O1173" s="56">
        <f>_xlfn.XLOOKUP(Survey!$K1173,pipedata[ID],pipedata[104%])</f>
        <v>3078.4</v>
      </c>
      <c r="P1173" s="57">
        <f t="shared" si="18"/>
        <v>1850</v>
      </c>
      <c r="Q1173" s="58">
        <f>_xlfn.MAXIFS(Survey!$G$2:$G$3647,Survey!$M$2:$M$3647,Survey!$M1173)-Survey!$G1173</f>
        <v>286.9638055615419</v>
      </c>
      <c r="R1173" s="59">
        <f>Survey!$P1173+(Survey!$Q1173*0.433)</f>
        <v>1974.2553278081477</v>
      </c>
    </row>
    <row r="1174" spans="1:18" x14ac:dyDescent="0.25">
      <c r="A1174" s="71" t="s">
        <v>17</v>
      </c>
      <c r="B1174" s="72" t="s">
        <v>18</v>
      </c>
      <c r="C1174" s="73" t="s">
        <v>19</v>
      </c>
      <c r="D1174" s="74">
        <v>235.78104934046468</v>
      </c>
      <c r="E1174" s="81">
        <v>1273769</v>
      </c>
      <c r="F1174" s="82">
        <v>1245925.0909090932</v>
      </c>
      <c r="G1174" s="75">
        <v>1283.4472904005074</v>
      </c>
      <c r="H1174" s="76">
        <v>3</v>
      </c>
      <c r="I1174" s="54" t="s">
        <v>20</v>
      </c>
      <c r="J1174" s="77">
        <v>40</v>
      </c>
      <c r="K1174" s="78">
        <v>3</v>
      </c>
      <c r="L1174" s="54">
        <v>2</v>
      </c>
      <c r="M1174" s="54">
        <f>_xlfn.XLOOKUP(Survey!$F1174,sections[Start],sections[Test Section],,-1,1)</f>
        <v>4</v>
      </c>
      <c r="N1174" s="55">
        <f>_xlfn.XLOOKUP(Survey!$K1174,pipedata[ID],pipedata[WT])</f>
        <v>0.88800000000000001</v>
      </c>
      <c r="O1174" s="56">
        <f>_xlfn.XLOOKUP(Survey!$K1174,pipedata[ID],pipedata[104%])</f>
        <v>3078.4</v>
      </c>
      <c r="P1174" s="57">
        <f t="shared" si="18"/>
        <v>1850</v>
      </c>
      <c r="Q1174" s="58">
        <f>_xlfn.MAXIFS(Survey!$G$2:$G$3647,Survey!$M$2:$M$3647,Survey!$M1174)-Survey!$G1174</f>
        <v>288.36776822510069</v>
      </c>
      <c r="R1174" s="59">
        <f>Survey!$P1174+(Survey!$Q1174*0.433)</f>
        <v>1974.8632436414687</v>
      </c>
    </row>
    <row r="1175" spans="1:18" x14ac:dyDescent="0.25">
      <c r="A1175" s="60" t="s">
        <v>17</v>
      </c>
      <c r="B1175" s="61" t="s">
        <v>18</v>
      </c>
      <c r="C1175" s="62" t="s">
        <v>19</v>
      </c>
      <c r="D1175" s="63">
        <v>235.78870809279627</v>
      </c>
      <c r="E1175" s="79">
        <v>1273809</v>
      </c>
      <c r="F1175" s="80">
        <v>1245963.5495867792</v>
      </c>
      <c r="G1175" s="66">
        <v>1282.9902211984136</v>
      </c>
      <c r="H1175" s="67">
        <v>3</v>
      </c>
      <c r="I1175" s="68" t="s">
        <v>20</v>
      </c>
      <c r="J1175" s="69">
        <v>40</v>
      </c>
      <c r="K1175" s="70">
        <v>3</v>
      </c>
      <c r="L1175" s="68">
        <v>2</v>
      </c>
      <c r="M1175" s="68">
        <f>_xlfn.XLOOKUP(Survey!$F1175,sections[Start],sections[Test Section],,-1,1)</f>
        <v>4</v>
      </c>
      <c r="N1175" s="55">
        <f>_xlfn.XLOOKUP(Survey!$K1175,pipedata[ID],pipedata[WT])</f>
        <v>0.88800000000000001</v>
      </c>
      <c r="O1175" s="56">
        <f>_xlfn.XLOOKUP(Survey!$K1175,pipedata[ID],pipedata[104%])</f>
        <v>3078.4</v>
      </c>
      <c r="P1175" s="57">
        <f t="shared" si="18"/>
        <v>1850</v>
      </c>
      <c r="Q1175" s="58">
        <f>_xlfn.MAXIFS(Survey!$G$2:$G$3647,Survey!$M$2:$M$3647,Survey!$M1175)-Survey!$G1175</f>
        <v>288.82483742719455</v>
      </c>
      <c r="R1175" s="59">
        <f>Survey!$P1175+(Survey!$Q1175*0.433)</f>
        <v>1975.0611546059752</v>
      </c>
    </row>
    <row r="1176" spans="1:18" x14ac:dyDescent="0.25">
      <c r="A1176" s="71" t="s">
        <v>17</v>
      </c>
      <c r="B1176" s="72" t="s">
        <v>18</v>
      </c>
      <c r="C1176" s="73" t="s">
        <v>19</v>
      </c>
      <c r="D1176" s="74">
        <v>235.79611050791269</v>
      </c>
      <c r="E1176" s="81">
        <v>1273849</v>
      </c>
      <c r="F1176" s="82">
        <v>1246002.0082644653</v>
      </c>
      <c r="G1176" s="75">
        <v>1282.672230419118</v>
      </c>
      <c r="H1176" s="76">
        <v>3</v>
      </c>
      <c r="I1176" s="54" t="s">
        <v>20</v>
      </c>
      <c r="J1176" s="77">
        <v>40</v>
      </c>
      <c r="K1176" s="78">
        <v>3</v>
      </c>
      <c r="L1176" s="54">
        <v>2</v>
      </c>
      <c r="M1176" s="54">
        <f>_xlfn.XLOOKUP(Survey!$F1176,sections[Start],sections[Test Section],,-1,1)</f>
        <v>4</v>
      </c>
      <c r="N1176" s="55">
        <f>_xlfn.XLOOKUP(Survey!$K1176,pipedata[ID],pipedata[WT])</f>
        <v>0.88800000000000001</v>
      </c>
      <c r="O1176" s="56">
        <f>_xlfn.XLOOKUP(Survey!$K1176,pipedata[ID],pipedata[104%])</f>
        <v>3078.4</v>
      </c>
      <c r="P1176" s="57">
        <f t="shared" si="18"/>
        <v>1850</v>
      </c>
      <c r="Q1176" s="58">
        <f>_xlfn.MAXIFS(Survey!$G$2:$G$3647,Survey!$M$2:$M$3647,Survey!$M1176)-Survey!$G1176</f>
        <v>289.14282820649009</v>
      </c>
      <c r="R1176" s="59">
        <f>Survey!$P1176+(Survey!$Q1176*0.433)</f>
        <v>1975.1988446134103</v>
      </c>
    </row>
    <row r="1177" spans="1:18" x14ac:dyDescent="0.25">
      <c r="A1177" s="60" t="s">
        <v>17</v>
      </c>
      <c r="B1177" s="61" t="s">
        <v>18</v>
      </c>
      <c r="C1177" s="62" t="s">
        <v>19</v>
      </c>
      <c r="D1177" s="63">
        <v>235.80352177671099</v>
      </c>
      <c r="E1177" s="79">
        <v>1273889</v>
      </c>
      <c r="F1177" s="80">
        <v>1246040.4669421513</v>
      </c>
      <c r="G1177" s="66">
        <v>1282.4486879376266</v>
      </c>
      <c r="H1177" s="67">
        <v>3</v>
      </c>
      <c r="I1177" s="68" t="s">
        <v>20</v>
      </c>
      <c r="J1177" s="69">
        <v>40</v>
      </c>
      <c r="K1177" s="70">
        <v>3</v>
      </c>
      <c r="L1177" s="68">
        <v>2</v>
      </c>
      <c r="M1177" s="68">
        <f>_xlfn.XLOOKUP(Survey!$F1177,sections[Start],sections[Test Section],,-1,1)</f>
        <v>4</v>
      </c>
      <c r="N1177" s="55">
        <f>_xlfn.XLOOKUP(Survey!$K1177,pipedata[ID],pipedata[WT])</f>
        <v>0.88800000000000001</v>
      </c>
      <c r="O1177" s="56">
        <f>_xlfn.XLOOKUP(Survey!$K1177,pipedata[ID],pipedata[104%])</f>
        <v>3078.4</v>
      </c>
      <c r="P1177" s="57">
        <f t="shared" si="18"/>
        <v>1850</v>
      </c>
      <c r="Q1177" s="58">
        <f>_xlfn.MAXIFS(Survey!$G$2:$G$3647,Survey!$M$2:$M$3647,Survey!$M1177)-Survey!$G1177</f>
        <v>289.36637068798154</v>
      </c>
      <c r="R1177" s="59">
        <f>Survey!$P1177+(Survey!$Q1177*0.433)</f>
        <v>1975.295638507896</v>
      </c>
    </row>
    <row r="1178" spans="1:18" x14ac:dyDescent="0.25">
      <c r="A1178" s="71" t="s">
        <v>17</v>
      </c>
      <c r="B1178" s="72" t="s">
        <v>18</v>
      </c>
      <c r="C1178" s="73" t="s">
        <v>19</v>
      </c>
      <c r="D1178" s="74">
        <v>235.81160196793755</v>
      </c>
      <c r="E1178" s="81">
        <v>1273929</v>
      </c>
      <c r="F1178" s="82">
        <v>1246078.9256198374</v>
      </c>
      <c r="G1178" s="75">
        <v>1280.9328169368141</v>
      </c>
      <c r="H1178" s="76">
        <v>3</v>
      </c>
      <c r="I1178" s="54" t="s">
        <v>20</v>
      </c>
      <c r="J1178" s="77">
        <v>40</v>
      </c>
      <c r="K1178" s="78">
        <v>3</v>
      </c>
      <c r="L1178" s="54">
        <v>2</v>
      </c>
      <c r="M1178" s="54">
        <f>_xlfn.XLOOKUP(Survey!$F1178,sections[Start],sections[Test Section],,-1,1)</f>
        <v>4</v>
      </c>
      <c r="N1178" s="55">
        <f>_xlfn.XLOOKUP(Survey!$K1178,pipedata[ID],pipedata[WT])</f>
        <v>0.88800000000000001</v>
      </c>
      <c r="O1178" s="56">
        <f>_xlfn.XLOOKUP(Survey!$K1178,pipedata[ID],pipedata[104%])</f>
        <v>3078.4</v>
      </c>
      <c r="P1178" s="57">
        <f t="shared" si="18"/>
        <v>1850</v>
      </c>
      <c r="Q1178" s="58">
        <f>_xlfn.MAXIFS(Survey!$G$2:$G$3647,Survey!$M$2:$M$3647,Survey!$M1178)-Survey!$G1178</f>
        <v>290.88224168879401</v>
      </c>
      <c r="R1178" s="59">
        <f>Survey!$P1178+(Survey!$Q1178*0.433)</f>
        <v>1975.9520106512477</v>
      </c>
    </row>
    <row r="1179" spans="1:18" x14ac:dyDescent="0.25">
      <c r="A1179" s="60" t="s">
        <v>17</v>
      </c>
      <c r="B1179" s="61" t="s">
        <v>18</v>
      </c>
      <c r="C1179" s="62" t="s">
        <v>19</v>
      </c>
      <c r="D1179" s="63">
        <v>235.81925667712062</v>
      </c>
      <c r="E1179" s="79">
        <v>1273969</v>
      </c>
      <c r="F1179" s="80">
        <v>1246117.3842975234</v>
      </c>
      <c r="G1179" s="66">
        <v>1278.6629336882315</v>
      </c>
      <c r="H1179" s="67">
        <v>3</v>
      </c>
      <c r="I1179" s="68" t="s">
        <v>20</v>
      </c>
      <c r="J1179" s="69">
        <v>40</v>
      </c>
      <c r="K1179" s="70">
        <v>3</v>
      </c>
      <c r="L1179" s="68">
        <v>2</v>
      </c>
      <c r="M1179" s="68">
        <f>_xlfn.XLOOKUP(Survey!$F1179,sections[Start],sections[Test Section],,-1,1)</f>
        <v>4</v>
      </c>
      <c r="N1179" s="55">
        <f>_xlfn.XLOOKUP(Survey!$K1179,pipedata[ID],pipedata[WT])</f>
        <v>0.88800000000000001</v>
      </c>
      <c r="O1179" s="56">
        <f>_xlfn.XLOOKUP(Survey!$K1179,pipedata[ID],pipedata[104%])</f>
        <v>3078.4</v>
      </c>
      <c r="P1179" s="57">
        <f t="shared" si="18"/>
        <v>1850</v>
      </c>
      <c r="Q1179" s="58">
        <f>_xlfn.MAXIFS(Survey!$G$2:$G$3647,Survey!$M$2:$M$3647,Survey!$M1179)-Survey!$G1179</f>
        <v>293.15212493737658</v>
      </c>
      <c r="R1179" s="59">
        <f>Survey!$P1179+(Survey!$Q1179*0.433)</f>
        <v>1976.934870097884</v>
      </c>
    </row>
    <row r="1180" spans="1:18" x14ac:dyDescent="0.25">
      <c r="A1180" s="71" t="s">
        <v>17</v>
      </c>
      <c r="B1180" s="72" t="s">
        <v>18</v>
      </c>
      <c r="C1180" s="73" t="s">
        <v>19</v>
      </c>
      <c r="D1180" s="74">
        <v>235.82656346542521</v>
      </c>
      <c r="E1180" s="81">
        <v>1274009</v>
      </c>
      <c r="F1180" s="82">
        <v>1246155.8429752095</v>
      </c>
      <c r="G1180" s="75">
        <v>1275.2699003818034</v>
      </c>
      <c r="H1180" s="76">
        <v>3</v>
      </c>
      <c r="I1180" s="54" t="s">
        <v>20</v>
      </c>
      <c r="J1180" s="77">
        <v>40</v>
      </c>
      <c r="K1180" s="78">
        <v>3</v>
      </c>
      <c r="L1180" s="54">
        <v>1</v>
      </c>
      <c r="M1180" s="54">
        <f>_xlfn.XLOOKUP(Survey!$F1180,sections[Start],sections[Test Section],,-1,1)</f>
        <v>4</v>
      </c>
      <c r="N1180" s="55">
        <f>_xlfn.XLOOKUP(Survey!$K1180,pipedata[ID],pipedata[WT])</f>
        <v>0.88800000000000001</v>
      </c>
      <c r="O1180" s="56">
        <f>_xlfn.XLOOKUP(Survey!$K1180,pipedata[ID],pipedata[104%])</f>
        <v>3078.4</v>
      </c>
      <c r="P1180" s="57">
        <f t="shared" si="18"/>
        <v>1850</v>
      </c>
      <c r="Q1180" s="58">
        <f>_xlfn.MAXIFS(Survey!$G$2:$G$3647,Survey!$M$2:$M$3647,Survey!$M1180)-Survey!$G1180</f>
        <v>296.54515824380474</v>
      </c>
      <c r="R1180" s="59">
        <f>Survey!$P1180+(Survey!$Q1180*0.433)</f>
        <v>1978.4040535195675</v>
      </c>
    </row>
    <row r="1181" spans="1:18" x14ac:dyDescent="0.25">
      <c r="A1181" s="60" t="s">
        <v>17</v>
      </c>
      <c r="B1181" s="61" t="s">
        <v>18</v>
      </c>
      <c r="C1181" s="62" t="s">
        <v>19</v>
      </c>
      <c r="D1181" s="63">
        <v>235.83387025372971</v>
      </c>
      <c r="E1181" s="79">
        <v>1274049</v>
      </c>
      <c r="F1181" s="80">
        <v>1246194.3016528955</v>
      </c>
      <c r="G1181" s="66">
        <v>1273.2235049524675</v>
      </c>
      <c r="H1181" s="67">
        <v>3</v>
      </c>
      <c r="I1181" s="68" t="s">
        <v>20</v>
      </c>
      <c r="J1181" s="69">
        <v>40</v>
      </c>
      <c r="K1181" s="70">
        <v>3</v>
      </c>
      <c r="L1181" s="68">
        <v>1</v>
      </c>
      <c r="M1181" s="68">
        <f>_xlfn.XLOOKUP(Survey!$F1181,sections[Start],sections[Test Section],,-1,1)</f>
        <v>4</v>
      </c>
      <c r="N1181" s="55">
        <f>_xlfn.XLOOKUP(Survey!$K1181,pipedata[ID],pipedata[WT])</f>
        <v>0.88800000000000001</v>
      </c>
      <c r="O1181" s="56">
        <f>_xlfn.XLOOKUP(Survey!$K1181,pipedata[ID],pipedata[104%])</f>
        <v>3078.4</v>
      </c>
      <c r="P1181" s="57">
        <f t="shared" si="18"/>
        <v>1850</v>
      </c>
      <c r="Q1181" s="58">
        <f>_xlfn.MAXIFS(Survey!$G$2:$G$3647,Survey!$M$2:$M$3647,Survey!$M1181)-Survey!$G1181</f>
        <v>298.59155367314065</v>
      </c>
      <c r="R1181" s="59">
        <f>Survey!$P1181+(Survey!$Q1181*0.433)</f>
        <v>1979.2901427404699</v>
      </c>
    </row>
    <row r="1182" spans="1:18" x14ac:dyDescent="0.25">
      <c r="A1182" s="71" t="s">
        <v>17</v>
      </c>
      <c r="B1182" s="72" t="s">
        <v>18</v>
      </c>
      <c r="C1182" s="73" t="s">
        <v>19</v>
      </c>
      <c r="D1182" s="74">
        <v>235.84129401025783</v>
      </c>
      <c r="E1182" s="81">
        <v>1274089</v>
      </c>
      <c r="F1182" s="82">
        <v>1246232.7603305816</v>
      </c>
      <c r="G1182" s="75">
        <v>1271.5814884022584</v>
      </c>
      <c r="H1182" s="76">
        <v>3</v>
      </c>
      <c r="I1182" s="54" t="s">
        <v>20</v>
      </c>
      <c r="J1182" s="77">
        <v>40</v>
      </c>
      <c r="K1182" s="78">
        <v>3</v>
      </c>
      <c r="L1182" s="54">
        <v>1</v>
      </c>
      <c r="M1182" s="54">
        <f>_xlfn.XLOOKUP(Survey!$F1182,sections[Start],sections[Test Section],,-1,1)</f>
        <v>4</v>
      </c>
      <c r="N1182" s="55">
        <f>_xlfn.XLOOKUP(Survey!$K1182,pipedata[ID],pipedata[WT])</f>
        <v>0.88800000000000001</v>
      </c>
      <c r="O1182" s="56">
        <f>_xlfn.XLOOKUP(Survey!$K1182,pipedata[ID],pipedata[104%])</f>
        <v>3078.4</v>
      </c>
      <c r="P1182" s="57">
        <f t="shared" si="18"/>
        <v>1850</v>
      </c>
      <c r="Q1182" s="58">
        <f>_xlfn.MAXIFS(Survey!$G$2:$G$3647,Survey!$M$2:$M$3647,Survey!$M1182)-Survey!$G1182</f>
        <v>300.23357022334972</v>
      </c>
      <c r="R1182" s="59">
        <f>Survey!$P1182+(Survey!$Q1182*0.433)</f>
        <v>1980.0011359067105</v>
      </c>
    </row>
    <row r="1183" spans="1:18" x14ac:dyDescent="0.25">
      <c r="A1183" s="60" t="s">
        <v>17</v>
      </c>
      <c r="B1183" s="61" t="s">
        <v>18</v>
      </c>
      <c r="C1183" s="62" t="s">
        <v>19</v>
      </c>
      <c r="D1183" s="63">
        <v>235.84930952699435</v>
      </c>
      <c r="E1183" s="79">
        <v>1274129</v>
      </c>
      <c r="F1183" s="80">
        <v>1246271.2190082676</v>
      </c>
      <c r="G1183" s="66">
        <v>1271.15782793723</v>
      </c>
      <c r="H1183" s="67">
        <v>3</v>
      </c>
      <c r="I1183" s="68" t="s">
        <v>20</v>
      </c>
      <c r="J1183" s="69">
        <v>40</v>
      </c>
      <c r="K1183" s="70">
        <v>3</v>
      </c>
      <c r="L1183" s="68">
        <v>1</v>
      </c>
      <c r="M1183" s="68">
        <f>_xlfn.XLOOKUP(Survey!$F1183,sections[Start],sections[Test Section],,-1,1)</f>
        <v>4</v>
      </c>
      <c r="N1183" s="55">
        <f>_xlfn.XLOOKUP(Survey!$K1183,pipedata[ID],pipedata[WT])</f>
        <v>0.88800000000000001</v>
      </c>
      <c r="O1183" s="56">
        <f>_xlfn.XLOOKUP(Survey!$K1183,pipedata[ID],pipedata[104%])</f>
        <v>3078.4</v>
      </c>
      <c r="P1183" s="57">
        <f t="shared" si="18"/>
        <v>1850</v>
      </c>
      <c r="Q1183" s="58">
        <f>_xlfn.MAXIFS(Survey!$G$2:$G$3647,Survey!$M$2:$M$3647,Survey!$M1183)-Survey!$G1183</f>
        <v>300.65723068837815</v>
      </c>
      <c r="R1183" s="59">
        <f>Survey!$P1183+(Survey!$Q1183*0.433)</f>
        <v>1980.1845808880678</v>
      </c>
    </row>
    <row r="1184" spans="1:18" x14ac:dyDescent="0.25">
      <c r="A1184" s="71" t="s">
        <v>17</v>
      </c>
      <c r="B1184" s="72" t="s">
        <v>18</v>
      </c>
      <c r="C1184" s="73" t="s">
        <v>19</v>
      </c>
      <c r="D1184" s="74">
        <v>235.85635517770535</v>
      </c>
      <c r="E1184" s="81">
        <v>1274169</v>
      </c>
      <c r="F1184" s="82">
        <v>1246309.6776859537</v>
      </c>
      <c r="G1184" s="75">
        <v>1271.5946179336249</v>
      </c>
      <c r="H1184" s="76">
        <v>3</v>
      </c>
      <c r="I1184" s="54" t="s">
        <v>20</v>
      </c>
      <c r="J1184" s="77">
        <v>40</v>
      </c>
      <c r="K1184" s="78">
        <v>3</v>
      </c>
      <c r="L1184" s="54">
        <v>1</v>
      </c>
      <c r="M1184" s="54">
        <f>_xlfn.XLOOKUP(Survey!$F1184,sections[Start],sections[Test Section],,-1,1)</f>
        <v>4</v>
      </c>
      <c r="N1184" s="55">
        <f>_xlfn.XLOOKUP(Survey!$K1184,pipedata[ID],pipedata[WT])</f>
        <v>0.88800000000000001</v>
      </c>
      <c r="O1184" s="56">
        <f>_xlfn.XLOOKUP(Survey!$K1184,pipedata[ID],pipedata[104%])</f>
        <v>3078.4</v>
      </c>
      <c r="P1184" s="57">
        <f t="shared" si="18"/>
        <v>1850</v>
      </c>
      <c r="Q1184" s="58">
        <f>_xlfn.MAXIFS(Survey!$G$2:$G$3647,Survey!$M$2:$M$3647,Survey!$M1184)-Survey!$G1184</f>
        <v>300.22044069198319</v>
      </c>
      <c r="R1184" s="59">
        <f>Survey!$P1184+(Survey!$Q1184*0.433)</f>
        <v>1979.9954508196288</v>
      </c>
    </row>
    <row r="1185" spans="1:18" x14ac:dyDescent="0.25">
      <c r="A1185" s="60" t="s">
        <v>17</v>
      </c>
      <c r="B1185" s="61" t="s">
        <v>18</v>
      </c>
      <c r="C1185" s="62" t="s">
        <v>19</v>
      </c>
      <c r="D1185" s="63">
        <v>235.86412321090947</v>
      </c>
      <c r="E1185" s="79">
        <v>1274209</v>
      </c>
      <c r="F1185" s="80">
        <v>1246348.1363636397</v>
      </c>
      <c r="G1185" s="66">
        <v>1272.0546602264797</v>
      </c>
      <c r="H1185" s="67">
        <v>3</v>
      </c>
      <c r="I1185" s="68" t="s">
        <v>20</v>
      </c>
      <c r="J1185" s="69">
        <v>40</v>
      </c>
      <c r="K1185" s="70">
        <v>3</v>
      </c>
      <c r="L1185" s="68">
        <v>1</v>
      </c>
      <c r="M1185" s="68">
        <f>_xlfn.XLOOKUP(Survey!$F1185,sections[Start],sections[Test Section],,-1,1)</f>
        <v>4</v>
      </c>
      <c r="N1185" s="55">
        <f>_xlfn.XLOOKUP(Survey!$K1185,pipedata[ID],pipedata[WT])</f>
        <v>0.88800000000000001</v>
      </c>
      <c r="O1185" s="56">
        <f>_xlfn.XLOOKUP(Survey!$K1185,pipedata[ID],pipedata[104%])</f>
        <v>3078.4</v>
      </c>
      <c r="P1185" s="57">
        <f t="shared" si="18"/>
        <v>1850</v>
      </c>
      <c r="Q1185" s="58">
        <f>_xlfn.MAXIFS(Survey!$G$2:$G$3647,Survey!$M$2:$M$3647,Survey!$M1185)-Survey!$G1185</f>
        <v>299.76039839912846</v>
      </c>
      <c r="R1185" s="59">
        <f>Survey!$P1185+(Survey!$Q1185*0.433)</f>
        <v>1979.7962525068226</v>
      </c>
    </row>
    <row r="1186" spans="1:18" x14ac:dyDescent="0.25">
      <c r="A1186" s="71" t="s">
        <v>17</v>
      </c>
      <c r="B1186" s="72" t="s">
        <v>18</v>
      </c>
      <c r="C1186" s="73" t="s">
        <v>19</v>
      </c>
      <c r="D1186" s="74">
        <v>235.87141634515336</v>
      </c>
      <c r="E1186" s="81">
        <v>1274249</v>
      </c>
      <c r="F1186" s="82">
        <v>1246386.5950413258</v>
      </c>
      <c r="G1186" s="75">
        <v>1272.2116393920105</v>
      </c>
      <c r="H1186" s="76">
        <v>3</v>
      </c>
      <c r="I1186" s="54" t="s">
        <v>20</v>
      </c>
      <c r="J1186" s="77">
        <v>40</v>
      </c>
      <c r="K1186" s="78">
        <v>3</v>
      </c>
      <c r="L1186" s="54">
        <v>1</v>
      </c>
      <c r="M1186" s="54">
        <f>_xlfn.XLOOKUP(Survey!$F1186,sections[Start],sections[Test Section],,-1,1)</f>
        <v>4</v>
      </c>
      <c r="N1186" s="55">
        <f>_xlfn.XLOOKUP(Survey!$K1186,pipedata[ID],pipedata[WT])</f>
        <v>0.88800000000000001</v>
      </c>
      <c r="O1186" s="56">
        <f>_xlfn.XLOOKUP(Survey!$K1186,pipedata[ID],pipedata[104%])</f>
        <v>3078.4</v>
      </c>
      <c r="P1186" s="57">
        <f t="shared" si="18"/>
        <v>1850</v>
      </c>
      <c r="Q1186" s="58">
        <f>_xlfn.MAXIFS(Survey!$G$2:$G$3647,Survey!$M$2:$M$3647,Survey!$M1186)-Survey!$G1186</f>
        <v>299.60341923359761</v>
      </c>
      <c r="R1186" s="59">
        <f>Survey!$P1186+(Survey!$Q1186*0.433)</f>
        <v>1979.7282805281477</v>
      </c>
    </row>
    <row r="1187" spans="1:18" x14ac:dyDescent="0.25">
      <c r="A1187" s="60" t="s">
        <v>17</v>
      </c>
      <c r="B1187" s="61" t="s">
        <v>18</v>
      </c>
      <c r="C1187" s="62" t="s">
        <v>19</v>
      </c>
      <c r="D1187" s="63">
        <v>235.87893689482456</v>
      </c>
      <c r="E1187" s="79">
        <v>1274289</v>
      </c>
      <c r="F1187" s="80">
        <v>1246425.0537190118</v>
      </c>
      <c r="G1187" s="66">
        <v>1270.5946003903484</v>
      </c>
      <c r="H1187" s="67">
        <v>3</v>
      </c>
      <c r="I1187" s="68" t="s">
        <v>20</v>
      </c>
      <c r="J1187" s="69">
        <v>40</v>
      </c>
      <c r="K1187" s="70">
        <v>3</v>
      </c>
      <c r="L1187" s="68">
        <v>1</v>
      </c>
      <c r="M1187" s="68">
        <f>_xlfn.XLOOKUP(Survey!$F1187,sections[Start],sections[Test Section],,-1,1)</f>
        <v>4</v>
      </c>
      <c r="N1187" s="55">
        <f>_xlfn.XLOOKUP(Survey!$K1187,pipedata[ID],pipedata[WT])</f>
        <v>0.88800000000000001</v>
      </c>
      <c r="O1187" s="56">
        <f>_xlfn.XLOOKUP(Survey!$K1187,pipedata[ID],pipedata[104%])</f>
        <v>3078.4</v>
      </c>
      <c r="P1187" s="57">
        <f t="shared" si="18"/>
        <v>1850</v>
      </c>
      <c r="Q1187" s="58">
        <f>_xlfn.MAXIFS(Survey!$G$2:$G$3647,Survey!$M$2:$M$3647,Survey!$M1187)-Survey!$G1187</f>
        <v>301.22045823525968</v>
      </c>
      <c r="R1187" s="59">
        <f>Survey!$P1187+(Survey!$Q1187*0.433)</f>
        <v>1980.4284584158675</v>
      </c>
    </row>
    <row r="1188" spans="1:18" x14ac:dyDescent="0.25">
      <c r="A1188" s="71" t="s">
        <v>17</v>
      </c>
      <c r="B1188" s="72" t="s">
        <v>18</v>
      </c>
      <c r="C1188" s="73" t="s">
        <v>19</v>
      </c>
      <c r="D1188" s="74">
        <v>235.88701708605112</v>
      </c>
      <c r="E1188" s="81">
        <v>1274329</v>
      </c>
      <c r="F1188" s="82">
        <v>1246463.5123966979</v>
      </c>
      <c r="G1188" s="75">
        <v>1269.4703628075681</v>
      </c>
      <c r="H1188" s="76">
        <v>3</v>
      </c>
      <c r="I1188" s="54" t="s">
        <v>20</v>
      </c>
      <c r="J1188" s="77">
        <v>40</v>
      </c>
      <c r="K1188" s="78">
        <v>3</v>
      </c>
      <c r="L1188" s="54">
        <v>1</v>
      </c>
      <c r="M1188" s="54">
        <f>_xlfn.XLOOKUP(Survey!$F1188,sections[Start],sections[Test Section],,-1,1)</f>
        <v>4</v>
      </c>
      <c r="N1188" s="55">
        <f>_xlfn.XLOOKUP(Survey!$K1188,pipedata[ID],pipedata[WT])</f>
        <v>0.88800000000000001</v>
      </c>
      <c r="O1188" s="56">
        <f>_xlfn.XLOOKUP(Survey!$K1188,pipedata[ID],pipedata[104%])</f>
        <v>3078.4</v>
      </c>
      <c r="P1188" s="57">
        <f t="shared" si="18"/>
        <v>1850</v>
      </c>
      <c r="Q1188" s="58">
        <f>_xlfn.MAXIFS(Survey!$G$2:$G$3647,Survey!$M$2:$M$3647,Survey!$M1188)-Survey!$G1188</f>
        <v>302.34469581804001</v>
      </c>
      <c r="R1188" s="59">
        <f>Survey!$P1188+(Survey!$Q1188*0.433)</f>
        <v>1980.9152532892113</v>
      </c>
    </row>
    <row r="1189" spans="1:18" x14ac:dyDescent="0.25">
      <c r="A1189" s="60" t="s">
        <v>17</v>
      </c>
      <c r="B1189" s="61" t="s">
        <v>18</v>
      </c>
      <c r="C1189" s="62" t="s">
        <v>19</v>
      </c>
      <c r="D1189" s="63">
        <v>235.89476015626917</v>
      </c>
      <c r="E1189" s="79">
        <v>1274369</v>
      </c>
      <c r="F1189" s="80">
        <v>1246501.9710743839</v>
      </c>
      <c r="G1189" s="66">
        <v>1266.2353953185361</v>
      </c>
      <c r="H1189" s="67">
        <v>3</v>
      </c>
      <c r="I1189" s="68" t="s">
        <v>20</v>
      </c>
      <c r="J1189" s="69">
        <v>40</v>
      </c>
      <c r="K1189" s="70">
        <v>3</v>
      </c>
      <c r="L1189" s="68">
        <v>1</v>
      </c>
      <c r="M1189" s="68">
        <f>_xlfn.XLOOKUP(Survey!$F1189,sections[Start],sections[Test Section],,-1,1)</f>
        <v>4</v>
      </c>
      <c r="N1189" s="55">
        <f>_xlfn.XLOOKUP(Survey!$K1189,pipedata[ID],pipedata[WT])</f>
        <v>0.88800000000000001</v>
      </c>
      <c r="O1189" s="56">
        <f>_xlfn.XLOOKUP(Survey!$K1189,pipedata[ID],pipedata[104%])</f>
        <v>3078.4</v>
      </c>
      <c r="P1189" s="57">
        <f t="shared" si="18"/>
        <v>1850</v>
      </c>
      <c r="Q1189" s="58">
        <f>_xlfn.MAXIFS(Survey!$G$2:$G$3647,Survey!$M$2:$M$3647,Survey!$M1189)-Survey!$G1189</f>
        <v>305.579663307072</v>
      </c>
      <c r="R1189" s="59">
        <f>Survey!$P1189+(Survey!$Q1189*0.433)</f>
        <v>1982.3159942119621</v>
      </c>
    </row>
    <row r="1190" spans="1:18" x14ac:dyDescent="0.25">
      <c r="A1190" s="71" t="s">
        <v>17</v>
      </c>
      <c r="B1190" s="72" t="s">
        <v>18</v>
      </c>
      <c r="C1190" s="73" t="s">
        <v>19</v>
      </c>
      <c r="D1190" s="74">
        <v>235.90206694457407</v>
      </c>
      <c r="E1190" s="81">
        <v>1274409</v>
      </c>
      <c r="F1190" s="82">
        <v>1246540.42975207</v>
      </c>
      <c r="G1190" s="75">
        <v>1271.5744243793408</v>
      </c>
      <c r="H1190" s="76">
        <v>3</v>
      </c>
      <c r="I1190" s="54" t="s">
        <v>20</v>
      </c>
      <c r="J1190" s="77">
        <v>40</v>
      </c>
      <c r="K1190" s="78">
        <v>3</v>
      </c>
      <c r="L1190" s="54">
        <v>1</v>
      </c>
      <c r="M1190" s="54">
        <f>_xlfn.XLOOKUP(Survey!$F1190,sections[Start],sections[Test Section],,-1,1)</f>
        <v>4</v>
      </c>
      <c r="N1190" s="55">
        <f>_xlfn.XLOOKUP(Survey!$K1190,pipedata[ID],pipedata[WT])</f>
        <v>0.88800000000000001</v>
      </c>
      <c r="O1190" s="56">
        <f>_xlfn.XLOOKUP(Survey!$K1190,pipedata[ID],pipedata[104%])</f>
        <v>3078.4</v>
      </c>
      <c r="P1190" s="57">
        <f t="shared" si="18"/>
        <v>1850</v>
      </c>
      <c r="Q1190" s="58">
        <f>_xlfn.MAXIFS(Survey!$G$2:$G$3647,Survey!$M$2:$M$3647,Survey!$M1190)-Survey!$G1190</f>
        <v>300.24063424626729</v>
      </c>
      <c r="R1190" s="59">
        <f>Survey!$P1190+(Survey!$Q1190*0.433)</f>
        <v>1980.0041946286337</v>
      </c>
    </row>
    <row r="1191" spans="1:18" x14ac:dyDescent="0.25">
      <c r="A1191" s="60" t="s">
        <v>17</v>
      </c>
      <c r="B1191" s="61" t="s">
        <v>18</v>
      </c>
      <c r="C1191" s="62" t="s">
        <v>19</v>
      </c>
      <c r="D1191" s="63">
        <v>235.90856426265469</v>
      </c>
      <c r="E1191" s="79">
        <v>1274449</v>
      </c>
      <c r="F1191" s="80">
        <v>1246578.888429756</v>
      </c>
      <c r="G1191" s="66">
        <v>1281.5574516005781</v>
      </c>
      <c r="H1191" s="67">
        <v>3</v>
      </c>
      <c r="I1191" s="68" t="s">
        <v>20</v>
      </c>
      <c r="J1191" s="69">
        <v>40</v>
      </c>
      <c r="K1191" s="70">
        <v>3</v>
      </c>
      <c r="L1191" s="68">
        <v>1</v>
      </c>
      <c r="M1191" s="68">
        <f>_xlfn.XLOOKUP(Survey!$F1191,sections[Start],sections[Test Section],,-1,1)</f>
        <v>4</v>
      </c>
      <c r="N1191" s="55">
        <f>_xlfn.XLOOKUP(Survey!$K1191,pipedata[ID],pipedata[WT])</f>
        <v>0.88800000000000001</v>
      </c>
      <c r="O1191" s="56">
        <f>_xlfn.XLOOKUP(Survey!$K1191,pipedata[ID],pipedata[104%])</f>
        <v>3078.4</v>
      </c>
      <c r="P1191" s="57">
        <f t="shared" si="18"/>
        <v>1850</v>
      </c>
      <c r="Q1191" s="58">
        <f>_xlfn.MAXIFS(Survey!$G$2:$G$3647,Survey!$M$2:$M$3647,Survey!$M1191)-Survey!$G1191</f>
        <v>290.25760702502998</v>
      </c>
      <c r="R1191" s="59">
        <f>Survey!$P1191+(Survey!$Q1191*0.433)</f>
        <v>1975.681543841838</v>
      </c>
    </row>
    <row r="1192" spans="1:18" x14ac:dyDescent="0.25">
      <c r="A1192" s="71" t="s">
        <v>17</v>
      </c>
      <c r="B1192" s="72" t="s">
        <v>18</v>
      </c>
      <c r="C1192" s="73" t="s">
        <v>19</v>
      </c>
      <c r="D1192" s="74">
        <v>235.91539819370504</v>
      </c>
      <c r="E1192" s="81">
        <v>1274489</v>
      </c>
      <c r="F1192" s="82">
        <v>1246617.3471074421</v>
      </c>
      <c r="G1192" s="75">
        <v>1296.0509295065451</v>
      </c>
      <c r="H1192" s="76">
        <v>3</v>
      </c>
      <c r="I1192" s="54" t="s">
        <v>20</v>
      </c>
      <c r="J1192" s="77">
        <v>40</v>
      </c>
      <c r="K1192" s="78">
        <v>3</v>
      </c>
      <c r="L1192" s="54">
        <v>1</v>
      </c>
      <c r="M1192" s="54">
        <f>_xlfn.XLOOKUP(Survey!$F1192,sections[Start],sections[Test Section],,-1,1)</f>
        <v>4</v>
      </c>
      <c r="N1192" s="55">
        <f>_xlfn.XLOOKUP(Survey!$K1192,pipedata[ID],pipedata[WT])</f>
        <v>0.88800000000000001</v>
      </c>
      <c r="O1192" s="56">
        <f>_xlfn.XLOOKUP(Survey!$K1192,pipedata[ID],pipedata[104%])</f>
        <v>3078.4</v>
      </c>
      <c r="P1192" s="57">
        <f t="shared" si="18"/>
        <v>1850</v>
      </c>
      <c r="Q1192" s="58">
        <f>_xlfn.MAXIFS(Survey!$G$2:$G$3647,Survey!$M$2:$M$3647,Survey!$M1192)-Survey!$G1192</f>
        <v>275.764129119063</v>
      </c>
      <c r="R1192" s="59">
        <f>Survey!$P1192+(Survey!$Q1192*0.433)</f>
        <v>1969.4058679085542</v>
      </c>
    </row>
    <row r="1193" spans="1:18" x14ac:dyDescent="0.25">
      <c r="A1193" s="60" t="s">
        <v>17</v>
      </c>
      <c r="B1193" s="61" t="s">
        <v>18</v>
      </c>
      <c r="C1193" s="62" t="s">
        <v>19</v>
      </c>
      <c r="D1193" s="63">
        <v>235.92370888485434</v>
      </c>
      <c r="E1193" s="79">
        <v>1274529</v>
      </c>
      <c r="F1193" s="80">
        <v>1246655.8057851281</v>
      </c>
      <c r="G1193" s="66">
        <v>1307.0325076667102</v>
      </c>
      <c r="H1193" s="67">
        <v>3</v>
      </c>
      <c r="I1193" s="68" t="s">
        <v>20</v>
      </c>
      <c r="J1193" s="69">
        <v>40</v>
      </c>
      <c r="K1193" s="70">
        <v>3</v>
      </c>
      <c r="L1193" s="68">
        <v>1</v>
      </c>
      <c r="M1193" s="68">
        <f>_xlfn.XLOOKUP(Survey!$F1193,sections[Start],sections[Test Section],,-1,1)</f>
        <v>4</v>
      </c>
      <c r="N1193" s="55">
        <f>_xlfn.XLOOKUP(Survey!$K1193,pipedata[ID],pipedata[WT])</f>
        <v>0.88800000000000001</v>
      </c>
      <c r="O1193" s="56">
        <f>_xlfn.XLOOKUP(Survey!$K1193,pipedata[ID],pipedata[104%])</f>
        <v>3078.4</v>
      </c>
      <c r="P1193" s="57">
        <f t="shared" si="18"/>
        <v>1850</v>
      </c>
      <c r="Q1193" s="58">
        <f>_xlfn.MAXIFS(Survey!$G$2:$G$3647,Survey!$M$2:$M$3647,Survey!$M1193)-Survey!$G1193</f>
        <v>264.7825509588979</v>
      </c>
      <c r="R1193" s="59">
        <f>Survey!$P1193+(Survey!$Q1193*0.433)</f>
        <v>1964.6508445652028</v>
      </c>
    </row>
    <row r="1194" spans="1:18" x14ac:dyDescent="0.25">
      <c r="A1194" s="71" t="s">
        <v>17</v>
      </c>
      <c r="B1194" s="72" t="s">
        <v>18</v>
      </c>
      <c r="C1194" s="73" t="s">
        <v>19</v>
      </c>
      <c r="D1194" s="74">
        <v>235.93070267587507</v>
      </c>
      <c r="E1194" s="81">
        <v>1274569</v>
      </c>
      <c r="F1194" s="82">
        <v>1246694.2644628142</v>
      </c>
      <c r="G1194" s="75">
        <v>1315.3916169778322</v>
      </c>
      <c r="H1194" s="76">
        <v>3</v>
      </c>
      <c r="I1194" s="54" t="s">
        <v>20</v>
      </c>
      <c r="J1194" s="77">
        <v>40</v>
      </c>
      <c r="K1194" s="78">
        <v>3</v>
      </c>
      <c r="L1194" s="54">
        <v>1</v>
      </c>
      <c r="M1194" s="54">
        <f>_xlfn.XLOOKUP(Survey!$F1194,sections[Start],sections[Test Section],,-1,1)</f>
        <v>4</v>
      </c>
      <c r="N1194" s="55">
        <f>_xlfn.XLOOKUP(Survey!$K1194,pipedata[ID],pipedata[WT])</f>
        <v>0.88800000000000001</v>
      </c>
      <c r="O1194" s="56">
        <f>_xlfn.XLOOKUP(Survey!$K1194,pipedata[ID],pipedata[104%])</f>
        <v>3078.4</v>
      </c>
      <c r="P1194" s="57">
        <f t="shared" si="18"/>
        <v>1850</v>
      </c>
      <c r="Q1194" s="58">
        <f>_xlfn.MAXIFS(Survey!$G$2:$G$3647,Survey!$M$2:$M$3647,Survey!$M1194)-Survey!$G1194</f>
        <v>256.42344164777592</v>
      </c>
      <c r="R1194" s="59">
        <f>Survey!$P1194+(Survey!$Q1194*0.433)</f>
        <v>1961.031350233487</v>
      </c>
    </row>
    <row r="1195" spans="1:18" x14ac:dyDescent="0.25">
      <c r="A1195" s="60" t="s">
        <v>17</v>
      </c>
      <c r="B1195" s="61" t="s">
        <v>18</v>
      </c>
      <c r="C1195" s="62" t="s">
        <v>19</v>
      </c>
      <c r="D1195" s="63">
        <v>235.93811867046188</v>
      </c>
      <c r="E1195" s="79">
        <v>1274609</v>
      </c>
      <c r="F1195" s="80">
        <v>1246732.7231405003</v>
      </c>
      <c r="G1195" s="66">
        <v>1326.0915399554442</v>
      </c>
      <c r="H1195" s="67">
        <v>3</v>
      </c>
      <c r="I1195" s="68" t="s">
        <v>20</v>
      </c>
      <c r="J1195" s="69">
        <v>40</v>
      </c>
      <c r="K1195" s="70">
        <v>3</v>
      </c>
      <c r="L1195" s="68">
        <v>1</v>
      </c>
      <c r="M1195" s="68">
        <f>_xlfn.XLOOKUP(Survey!$F1195,sections[Start],sections[Test Section],,-1,1)</f>
        <v>4</v>
      </c>
      <c r="N1195" s="55">
        <f>_xlfn.XLOOKUP(Survey!$K1195,pipedata[ID],pipedata[WT])</f>
        <v>0.88800000000000001</v>
      </c>
      <c r="O1195" s="56">
        <f>_xlfn.XLOOKUP(Survey!$K1195,pipedata[ID],pipedata[104%])</f>
        <v>3078.4</v>
      </c>
      <c r="P1195" s="57">
        <f t="shared" si="18"/>
        <v>1850</v>
      </c>
      <c r="Q1195" s="58">
        <f>_xlfn.MAXIFS(Survey!$G$2:$G$3647,Survey!$M$2:$M$3647,Survey!$M1195)-Survey!$G1195</f>
        <v>245.72351867016391</v>
      </c>
      <c r="R1195" s="59">
        <f>Survey!$P1195+(Survey!$Q1195*0.433)</f>
        <v>1956.3982835841809</v>
      </c>
    </row>
    <row r="1196" spans="1:18" x14ac:dyDescent="0.25">
      <c r="A1196" s="71" t="s">
        <v>17</v>
      </c>
      <c r="B1196" s="72" t="s">
        <v>18</v>
      </c>
      <c r="C1196" s="73" t="s">
        <v>19</v>
      </c>
      <c r="D1196" s="74">
        <v>235.94600715804498</v>
      </c>
      <c r="E1196" s="81">
        <v>1274649</v>
      </c>
      <c r="F1196" s="82">
        <v>1246771.1818181863</v>
      </c>
      <c r="G1196" s="75">
        <v>1334.3346404511249</v>
      </c>
      <c r="H1196" s="76">
        <v>3</v>
      </c>
      <c r="I1196" s="54" t="s">
        <v>20</v>
      </c>
      <c r="J1196" s="77">
        <v>40</v>
      </c>
      <c r="K1196" s="78">
        <v>3</v>
      </c>
      <c r="L1196" s="54">
        <v>1</v>
      </c>
      <c r="M1196" s="54">
        <f>_xlfn.XLOOKUP(Survey!$F1196,sections[Start],sections[Test Section],,-1,1)</f>
        <v>4</v>
      </c>
      <c r="N1196" s="55">
        <f>_xlfn.XLOOKUP(Survey!$K1196,pipedata[ID],pipedata[WT])</f>
        <v>0.88800000000000001</v>
      </c>
      <c r="O1196" s="56">
        <f>_xlfn.XLOOKUP(Survey!$K1196,pipedata[ID],pipedata[104%])</f>
        <v>3078.4</v>
      </c>
      <c r="P1196" s="57">
        <f t="shared" si="18"/>
        <v>1850</v>
      </c>
      <c r="Q1196" s="58">
        <f>_xlfn.MAXIFS(Survey!$G$2:$G$3647,Survey!$M$2:$M$3647,Survey!$M1196)-Survey!$G1196</f>
        <v>237.48041817448325</v>
      </c>
      <c r="R1196" s="59">
        <f>Survey!$P1196+(Survey!$Q1196*0.433)</f>
        <v>1952.8290210695513</v>
      </c>
    </row>
    <row r="1197" spans="1:18" x14ac:dyDescent="0.25">
      <c r="A1197" s="60" t="s">
        <v>17</v>
      </c>
      <c r="B1197" s="61" t="s">
        <v>18</v>
      </c>
      <c r="C1197" s="62" t="s">
        <v>19</v>
      </c>
      <c r="D1197" s="63">
        <v>235.95328222324923</v>
      </c>
      <c r="E1197" s="79">
        <v>1274689</v>
      </c>
      <c r="F1197" s="80">
        <v>1246809.6404958724</v>
      </c>
      <c r="G1197" s="66">
        <v>1344.3730243196148</v>
      </c>
      <c r="H1197" s="67">
        <v>3</v>
      </c>
      <c r="I1197" s="68" t="s">
        <v>20</v>
      </c>
      <c r="J1197" s="69">
        <v>40</v>
      </c>
      <c r="K1197" s="70">
        <v>3</v>
      </c>
      <c r="L1197" s="68">
        <v>1</v>
      </c>
      <c r="M1197" s="68">
        <f>_xlfn.XLOOKUP(Survey!$F1197,sections[Start],sections[Test Section],,-1,1)</f>
        <v>4</v>
      </c>
      <c r="N1197" s="55">
        <f>_xlfn.XLOOKUP(Survey!$K1197,pipedata[ID],pipedata[WT])</f>
        <v>0.88800000000000001</v>
      </c>
      <c r="O1197" s="56">
        <f>_xlfn.XLOOKUP(Survey!$K1197,pipedata[ID],pipedata[104%])</f>
        <v>3078.4</v>
      </c>
      <c r="P1197" s="57">
        <f t="shared" si="18"/>
        <v>1850</v>
      </c>
      <c r="Q1197" s="58">
        <f>_xlfn.MAXIFS(Survey!$G$2:$G$3647,Survey!$M$2:$M$3647,Survey!$M1197)-Survey!$G1197</f>
        <v>227.44203430599327</v>
      </c>
      <c r="R1197" s="59">
        <f>Survey!$P1197+(Survey!$Q1197*0.433)</f>
        <v>1948.4824008544952</v>
      </c>
    </row>
    <row r="1198" spans="1:18" x14ac:dyDescent="0.25">
      <c r="A1198" s="71" t="s">
        <v>17</v>
      </c>
      <c r="B1198" s="72" t="s">
        <v>18</v>
      </c>
      <c r="C1198" s="73" t="s">
        <v>19</v>
      </c>
      <c r="D1198" s="74">
        <v>235.96069943376057</v>
      </c>
      <c r="E1198" s="81">
        <v>1274729</v>
      </c>
      <c r="F1198" s="82">
        <v>1246848.0991735584</v>
      </c>
      <c r="G1198" s="75">
        <v>1353.4227503372792</v>
      </c>
      <c r="H1198" s="76">
        <v>3</v>
      </c>
      <c r="I1198" s="54" t="s">
        <v>20</v>
      </c>
      <c r="J1198" s="77">
        <v>40</v>
      </c>
      <c r="K1198" s="78">
        <v>3</v>
      </c>
      <c r="L1198" s="54">
        <v>1</v>
      </c>
      <c r="M1198" s="54">
        <f>_xlfn.XLOOKUP(Survey!$F1198,sections[Start],sections[Test Section],,-1,1)</f>
        <v>4</v>
      </c>
      <c r="N1198" s="55">
        <f>_xlfn.XLOOKUP(Survey!$K1198,pipedata[ID],pipedata[WT])</f>
        <v>0.88800000000000001</v>
      </c>
      <c r="O1198" s="56">
        <f>_xlfn.XLOOKUP(Survey!$K1198,pipedata[ID],pipedata[104%])</f>
        <v>3078.4</v>
      </c>
      <c r="P1198" s="57">
        <f t="shared" si="18"/>
        <v>1850</v>
      </c>
      <c r="Q1198" s="58">
        <f>_xlfn.MAXIFS(Survey!$G$2:$G$3647,Survey!$M$2:$M$3647,Survey!$M1198)-Survey!$G1198</f>
        <v>218.39230828832888</v>
      </c>
      <c r="R1198" s="59">
        <f>Survey!$P1198+(Survey!$Q1198*0.433)</f>
        <v>1944.5638694888464</v>
      </c>
    </row>
    <row r="1199" spans="1:18" x14ac:dyDescent="0.25">
      <c r="A1199" s="60" t="s">
        <v>17</v>
      </c>
      <c r="B1199" s="61" t="s">
        <v>18</v>
      </c>
      <c r="C1199" s="62" t="s">
        <v>19</v>
      </c>
      <c r="D1199" s="63">
        <v>235.9670817055557</v>
      </c>
      <c r="E1199" s="79">
        <v>1274769</v>
      </c>
      <c r="F1199" s="80">
        <v>1246886.5578512445</v>
      </c>
      <c r="G1199" s="66">
        <v>1356.2103510562529</v>
      </c>
      <c r="H1199" s="67">
        <v>3</v>
      </c>
      <c r="I1199" s="68" t="s">
        <v>20</v>
      </c>
      <c r="J1199" s="69">
        <v>40</v>
      </c>
      <c r="K1199" s="70">
        <v>3</v>
      </c>
      <c r="L1199" s="68">
        <v>1</v>
      </c>
      <c r="M1199" s="68">
        <f>_xlfn.XLOOKUP(Survey!$F1199,sections[Start],sections[Test Section],,-1,1)</f>
        <v>4</v>
      </c>
      <c r="N1199" s="55">
        <f>_xlfn.XLOOKUP(Survey!$K1199,pipedata[ID],pipedata[WT])</f>
        <v>0.88800000000000001</v>
      </c>
      <c r="O1199" s="56">
        <f>_xlfn.XLOOKUP(Survey!$K1199,pipedata[ID],pipedata[104%])</f>
        <v>3078.4</v>
      </c>
      <c r="P1199" s="57">
        <f t="shared" si="18"/>
        <v>1850</v>
      </c>
      <c r="Q1199" s="58">
        <f>_xlfn.MAXIFS(Survey!$G$2:$G$3647,Survey!$M$2:$M$3647,Survey!$M1199)-Survey!$G1199</f>
        <v>215.60470756935524</v>
      </c>
      <c r="R1199" s="59">
        <f>Survey!$P1199+(Survey!$Q1199*0.433)</f>
        <v>1943.3568383775307</v>
      </c>
    </row>
    <row r="1200" spans="1:18" x14ac:dyDescent="0.25">
      <c r="A1200" s="71" t="s">
        <v>17</v>
      </c>
      <c r="B1200" s="72" t="s">
        <v>18</v>
      </c>
      <c r="C1200" s="73" t="s">
        <v>19</v>
      </c>
      <c r="D1200" s="74">
        <v>235.9755290049807</v>
      </c>
      <c r="E1200" s="81">
        <v>1274809</v>
      </c>
      <c r="F1200" s="82">
        <v>1246925.0165289305</v>
      </c>
      <c r="G1200" s="75">
        <v>1358.0241834246283</v>
      </c>
      <c r="H1200" s="76">
        <v>3</v>
      </c>
      <c r="I1200" s="54" t="s">
        <v>20</v>
      </c>
      <c r="J1200" s="77">
        <v>40</v>
      </c>
      <c r="K1200" s="78">
        <v>3</v>
      </c>
      <c r="L1200" s="54">
        <v>1</v>
      </c>
      <c r="M1200" s="54">
        <f>_xlfn.XLOOKUP(Survey!$F1200,sections[Start],sections[Test Section],,-1,1)</f>
        <v>4</v>
      </c>
      <c r="N1200" s="55">
        <f>_xlfn.XLOOKUP(Survey!$K1200,pipedata[ID],pipedata[WT])</f>
        <v>0.88800000000000001</v>
      </c>
      <c r="O1200" s="56">
        <f>_xlfn.XLOOKUP(Survey!$K1200,pipedata[ID],pipedata[104%])</f>
        <v>3078.4</v>
      </c>
      <c r="P1200" s="57">
        <f t="shared" si="18"/>
        <v>1850</v>
      </c>
      <c r="Q1200" s="58">
        <f>_xlfn.MAXIFS(Survey!$G$2:$G$3647,Survey!$M$2:$M$3647,Survey!$M1200)-Survey!$G1200</f>
        <v>213.79087520097983</v>
      </c>
      <c r="R1200" s="59">
        <f>Survey!$P1200+(Survey!$Q1200*0.433)</f>
        <v>1942.5714489620243</v>
      </c>
    </row>
    <row r="1201" spans="1:18" x14ac:dyDescent="0.25">
      <c r="A1201" s="60" t="s">
        <v>17</v>
      </c>
      <c r="B1201" s="61" t="s">
        <v>18</v>
      </c>
      <c r="C1201" s="62" t="s">
        <v>19</v>
      </c>
      <c r="D1201" s="63">
        <v>235.98243223793548</v>
      </c>
      <c r="E1201" s="79">
        <v>1274849</v>
      </c>
      <c r="F1201" s="80">
        <v>1246963.4752066166</v>
      </c>
      <c r="G1201" s="66">
        <v>1363.0289556730679</v>
      </c>
      <c r="H1201" s="67">
        <v>3</v>
      </c>
      <c r="I1201" s="68" t="s">
        <v>20</v>
      </c>
      <c r="J1201" s="69">
        <v>40</v>
      </c>
      <c r="K1201" s="70">
        <v>3</v>
      </c>
      <c r="L1201" s="68">
        <v>1</v>
      </c>
      <c r="M1201" s="68">
        <f>_xlfn.XLOOKUP(Survey!$F1201,sections[Start],sections[Test Section],,-1,1)</f>
        <v>4</v>
      </c>
      <c r="N1201" s="55">
        <f>_xlfn.XLOOKUP(Survey!$K1201,pipedata[ID],pipedata[WT])</f>
        <v>0.88800000000000001</v>
      </c>
      <c r="O1201" s="56">
        <f>_xlfn.XLOOKUP(Survey!$K1201,pipedata[ID],pipedata[104%])</f>
        <v>3078.4</v>
      </c>
      <c r="P1201" s="57">
        <f t="shared" si="18"/>
        <v>1850</v>
      </c>
      <c r="Q1201" s="58">
        <f>_xlfn.MAXIFS(Survey!$G$2:$G$3647,Survey!$M$2:$M$3647,Survey!$M1201)-Survey!$G1201</f>
        <v>208.7861029525402</v>
      </c>
      <c r="R1201" s="59">
        <f>Survey!$P1201+(Survey!$Q1201*0.433)</f>
        <v>1940.4043825784499</v>
      </c>
    </row>
    <row r="1202" spans="1:18" x14ac:dyDescent="0.25">
      <c r="A1202" s="71" t="s">
        <v>17</v>
      </c>
      <c r="B1202" s="72" t="s">
        <v>18</v>
      </c>
      <c r="C1202" s="73" t="s">
        <v>19</v>
      </c>
      <c r="D1202" s="74">
        <v>235.99033189302935</v>
      </c>
      <c r="E1202" s="81">
        <v>1274889</v>
      </c>
      <c r="F1202" s="82">
        <v>1247001.9338843026</v>
      </c>
      <c r="G1202" s="75">
        <v>1365.2657110335379</v>
      </c>
      <c r="H1202" s="76">
        <v>3</v>
      </c>
      <c r="I1202" s="54" t="s">
        <v>20</v>
      </c>
      <c r="J1202" s="77">
        <v>40</v>
      </c>
      <c r="K1202" s="78">
        <v>3</v>
      </c>
      <c r="L1202" s="54">
        <v>1</v>
      </c>
      <c r="M1202" s="54">
        <f>_xlfn.XLOOKUP(Survey!$F1202,sections[Start],sections[Test Section],,-1,1)</f>
        <v>4</v>
      </c>
      <c r="N1202" s="55">
        <f>_xlfn.XLOOKUP(Survey!$K1202,pipedata[ID],pipedata[WT])</f>
        <v>0.88800000000000001</v>
      </c>
      <c r="O1202" s="56">
        <f>_xlfn.XLOOKUP(Survey!$K1202,pipedata[ID],pipedata[104%])</f>
        <v>3078.4</v>
      </c>
      <c r="P1202" s="57">
        <f t="shared" si="18"/>
        <v>1850</v>
      </c>
      <c r="Q1202" s="58">
        <f>_xlfn.MAXIFS(Survey!$G$2:$G$3647,Survey!$M$2:$M$3647,Survey!$M1202)-Survey!$G1202</f>
        <v>206.54934759207026</v>
      </c>
      <c r="R1202" s="59">
        <f>Survey!$P1202+(Survey!$Q1202*0.433)</f>
        <v>1939.4358675073663</v>
      </c>
    </row>
    <row r="1203" spans="1:18" x14ac:dyDescent="0.25">
      <c r="A1203" s="60" t="s">
        <v>17</v>
      </c>
      <c r="B1203" s="61" t="s">
        <v>18</v>
      </c>
      <c r="C1203" s="62" t="s">
        <v>19</v>
      </c>
      <c r="D1203" s="63">
        <v>235.99823154812353</v>
      </c>
      <c r="E1203" s="79">
        <v>1274929</v>
      </c>
      <c r="F1203" s="80">
        <v>1247040.3925619887</v>
      </c>
      <c r="G1203" s="66">
        <v>1367.7801908472507</v>
      </c>
      <c r="H1203" s="67">
        <v>3</v>
      </c>
      <c r="I1203" s="68" t="s">
        <v>20</v>
      </c>
      <c r="J1203" s="69">
        <v>40</v>
      </c>
      <c r="K1203" s="70">
        <v>3</v>
      </c>
      <c r="L1203" s="68">
        <v>1</v>
      </c>
      <c r="M1203" s="68">
        <f>_xlfn.XLOOKUP(Survey!$F1203,sections[Start],sections[Test Section],,-1,1)</f>
        <v>4</v>
      </c>
      <c r="N1203" s="55">
        <f>_xlfn.XLOOKUP(Survey!$K1203,pipedata[ID],pipedata[WT])</f>
        <v>0.88800000000000001</v>
      </c>
      <c r="O1203" s="56">
        <f>_xlfn.XLOOKUP(Survey!$K1203,pipedata[ID],pipedata[104%])</f>
        <v>3078.4</v>
      </c>
      <c r="P1203" s="57">
        <f t="shared" si="18"/>
        <v>1850</v>
      </c>
      <c r="Q1203" s="58">
        <f>_xlfn.MAXIFS(Survey!$G$2:$G$3647,Survey!$M$2:$M$3647,Survey!$M1203)-Survey!$G1203</f>
        <v>204.03486777835747</v>
      </c>
      <c r="R1203" s="59">
        <f>Survey!$P1203+(Survey!$Q1203*0.433)</f>
        <v>1938.3470977480288</v>
      </c>
    </row>
    <row r="1204" spans="1:18" x14ac:dyDescent="0.25">
      <c r="A1204" s="71" t="s">
        <v>17</v>
      </c>
      <c r="B1204" s="72" t="s">
        <v>18</v>
      </c>
      <c r="C1204" s="73" t="s">
        <v>19</v>
      </c>
      <c r="D1204" s="74">
        <v>236.00613120321773</v>
      </c>
      <c r="E1204" s="81">
        <v>1274969</v>
      </c>
      <c r="F1204" s="82">
        <v>1247078.8512396747</v>
      </c>
      <c r="G1204" s="75">
        <v>1367.3933261880813</v>
      </c>
      <c r="H1204" s="76">
        <v>3</v>
      </c>
      <c r="I1204" s="54" t="s">
        <v>20</v>
      </c>
      <c r="J1204" s="77">
        <v>40</v>
      </c>
      <c r="K1204" s="78">
        <v>3</v>
      </c>
      <c r="L1204" s="54">
        <v>1</v>
      </c>
      <c r="M1204" s="54">
        <f>_xlfn.XLOOKUP(Survey!$F1204,sections[Start],sections[Test Section],,-1,1)</f>
        <v>4</v>
      </c>
      <c r="N1204" s="55">
        <f>_xlfn.XLOOKUP(Survey!$K1204,pipedata[ID],pipedata[WT])</f>
        <v>0.88800000000000001</v>
      </c>
      <c r="O1204" s="56">
        <f>_xlfn.XLOOKUP(Survey!$K1204,pipedata[ID],pipedata[104%])</f>
        <v>3078.4</v>
      </c>
      <c r="P1204" s="57">
        <f t="shared" si="18"/>
        <v>1850</v>
      </c>
      <c r="Q1204" s="58">
        <f>_xlfn.MAXIFS(Survey!$G$2:$G$3647,Survey!$M$2:$M$3647,Survey!$M1204)-Survey!$G1204</f>
        <v>204.42173243752677</v>
      </c>
      <c r="R1204" s="59">
        <f>Survey!$P1204+(Survey!$Q1204*0.433)</f>
        <v>1938.5146101454491</v>
      </c>
    </row>
    <row r="1205" spans="1:18" x14ac:dyDescent="0.25">
      <c r="A1205" s="60" t="s">
        <v>17</v>
      </c>
      <c r="B1205" s="61" t="s">
        <v>18</v>
      </c>
      <c r="C1205" s="62" t="s">
        <v>19</v>
      </c>
      <c r="D1205" s="63">
        <v>236.01317165297678</v>
      </c>
      <c r="E1205" s="79">
        <v>1275009</v>
      </c>
      <c r="F1205" s="80">
        <v>1247117.3099173608</v>
      </c>
      <c r="G1205" s="66">
        <v>1364.6187545702546</v>
      </c>
      <c r="H1205" s="67">
        <v>3</v>
      </c>
      <c r="I1205" s="68" t="s">
        <v>20</v>
      </c>
      <c r="J1205" s="69">
        <v>40</v>
      </c>
      <c r="K1205" s="70">
        <v>3</v>
      </c>
      <c r="L1205" s="68">
        <v>1</v>
      </c>
      <c r="M1205" s="68">
        <f>_xlfn.XLOOKUP(Survey!$F1205,sections[Start],sections[Test Section],,-1,1)</f>
        <v>4</v>
      </c>
      <c r="N1205" s="55">
        <f>_xlfn.XLOOKUP(Survey!$K1205,pipedata[ID],pipedata[WT])</f>
        <v>0.88800000000000001</v>
      </c>
      <c r="O1205" s="56">
        <f>_xlfn.XLOOKUP(Survey!$K1205,pipedata[ID],pipedata[104%])</f>
        <v>3078.4</v>
      </c>
      <c r="P1205" s="57">
        <f t="shared" si="18"/>
        <v>1850</v>
      </c>
      <c r="Q1205" s="58">
        <f>_xlfn.MAXIFS(Survey!$G$2:$G$3647,Survey!$M$2:$M$3647,Survey!$M1205)-Survey!$G1205</f>
        <v>207.19630405535349</v>
      </c>
      <c r="R1205" s="59">
        <f>Survey!$P1205+(Survey!$Q1205*0.433)</f>
        <v>1939.7159996559681</v>
      </c>
    </row>
    <row r="1206" spans="1:18" x14ac:dyDescent="0.25">
      <c r="A1206" s="71" t="s">
        <v>17</v>
      </c>
      <c r="B1206" s="72" t="s">
        <v>18</v>
      </c>
      <c r="C1206" s="73" t="s">
        <v>19</v>
      </c>
      <c r="D1206" s="74">
        <v>236.02094531508294</v>
      </c>
      <c r="E1206" s="81">
        <v>1275049</v>
      </c>
      <c r="F1206" s="82">
        <v>1247155.7685950468</v>
      </c>
      <c r="G1206" s="75">
        <v>1362.5420943081751</v>
      </c>
      <c r="H1206" s="76">
        <v>3</v>
      </c>
      <c r="I1206" s="54" t="s">
        <v>20</v>
      </c>
      <c r="J1206" s="77">
        <v>40</v>
      </c>
      <c r="K1206" s="78">
        <v>3</v>
      </c>
      <c r="L1206" s="54">
        <v>1</v>
      </c>
      <c r="M1206" s="54">
        <f>_xlfn.XLOOKUP(Survey!$F1206,sections[Start],sections[Test Section],,-1,1)</f>
        <v>4</v>
      </c>
      <c r="N1206" s="55">
        <f>_xlfn.XLOOKUP(Survey!$K1206,pipedata[ID],pipedata[WT])</f>
        <v>0.88800000000000001</v>
      </c>
      <c r="O1206" s="56">
        <f>_xlfn.XLOOKUP(Survey!$K1206,pipedata[ID],pipedata[104%])</f>
        <v>3078.4</v>
      </c>
      <c r="P1206" s="57">
        <f t="shared" si="18"/>
        <v>1850</v>
      </c>
      <c r="Q1206" s="58">
        <f>_xlfn.MAXIFS(Survey!$G$2:$G$3647,Survey!$M$2:$M$3647,Survey!$M1206)-Survey!$G1206</f>
        <v>209.27296431743298</v>
      </c>
      <c r="R1206" s="59">
        <f>Survey!$P1206+(Survey!$Q1206*0.433)</f>
        <v>1940.6151935494486</v>
      </c>
    </row>
    <row r="1207" spans="1:18" x14ac:dyDescent="0.25">
      <c r="A1207" s="60" t="s">
        <v>17</v>
      </c>
      <c r="B1207" s="61" t="s">
        <v>18</v>
      </c>
      <c r="C1207" s="62" t="s">
        <v>19</v>
      </c>
      <c r="D1207" s="63">
        <v>236.02871897718904</v>
      </c>
      <c r="E1207" s="79">
        <v>1275089</v>
      </c>
      <c r="F1207" s="80">
        <v>1247194.2272727329</v>
      </c>
      <c r="G1207" s="66">
        <v>1366.1842157880083</v>
      </c>
      <c r="H1207" s="67">
        <v>3</v>
      </c>
      <c r="I1207" s="68" t="s">
        <v>20</v>
      </c>
      <c r="J1207" s="69">
        <v>40</v>
      </c>
      <c r="K1207" s="70">
        <v>3</v>
      </c>
      <c r="L1207" s="68">
        <v>1</v>
      </c>
      <c r="M1207" s="68">
        <f>_xlfn.XLOOKUP(Survey!$F1207,sections[Start],sections[Test Section],,-1,1)</f>
        <v>4</v>
      </c>
      <c r="N1207" s="55">
        <f>_xlfn.XLOOKUP(Survey!$K1207,pipedata[ID],pipedata[WT])</f>
        <v>0.88800000000000001</v>
      </c>
      <c r="O1207" s="56">
        <f>_xlfn.XLOOKUP(Survey!$K1207,pipedata[ID],pipedata[104%])</f>
        <v>3078.4</v>
      </c>
      <c r="P1207" s="57">
        <f t="shared" si="18"/>
        <v>1850</v>
      </c>
      <c r="Q1207" s="58">
        <f>_xlfn.MAXIFS(Survey!$G$2:$G$3647,Survey!$M$2:$M$3647,Survey!$M1207)-Survey!$G1207</f>
        <v>205.63084283759986</v>
      </c>
      <c r="R1207" s="59">
        <f>Survey!$P1207+(Survey!$Q1207*0.433)</f>
        <v>1939.0381549486808</v>
      </c>
    </row>
    <row r="1208" spans="1:18" x14ac:dyDescent="0.25">
      <c r="A1208" s="71" t="s">
        <v>17</v>
      </c>
      <c r="B1208" s="72" t="s">
        <v>18</v>
      </c>
      <c r="C1208" s="73" t="s">
        <v>19</v>
      </c>
      <c r="D1208" s="74">
        <v>236.03614989257534</v>
      </c>
      <c r="E1208" s="81">
        <v>1275129</v>
      </c>
      <c r="F1208" s="82">
        <v>1247232.6859504189</v>
      </c>
      <c r="G1208" s="75">
        <v>1371.5572025477625</v>
      </c>
      <c r="H1208" s="76">
        <v>3</v>
      </c>
      <c r="I1208" s="54" t="s">
        <v>20</v>
      </c>
      <c r="J1208" s="77">
        <v>40</v>
      </c>
      <c r="K1208" s="78">
        <v>3</v>
      </c>
      <c r="L1208" s="54">
        <v>1</v>
      </c>
      <c r="M1208" s="54">
        <f>_xlfn.XLOOKUP(Survey!$F1208,sections[Start],sections[Test Section],,-1,1)</f>
        <v>4</v>
      </c>
      <c r="N1208" s="55">
        <f>_xlfn.XLOOKUP(Survey!$K1208,pipedata[ID],pipedata[WT])</f>
        <v>0.88800000000000001</v>
      </c>
      <c r="O1208" s="56">
        <f>_xlfn.XLOOKUP(Survey!$K1208,pipedata[ID],pipedata[104%])</f>
        <v>3078.4</v>
      </c>
      <c r="P1208" s="57">
        <f t="shared" si="18"/>
        <v>1850</v>
      </c>
      <c r="Q1208" s="58">
        <f>_xlfn.MAXIFS(Survey!$G$2:$G$3647,Survey!$M$2:$M$3647,Survey!$M1208)-Survey!$G1208</f>
        <v>200.25785607784564</v>
      </c>
      <c r="R1208" s="59">
        <f>Survey!$P1208+(Survey!$Q1208*0.433)</f>
        <v>1936.7116516817073</v>
      </c>
    </row>
    <row r="1209" spans="1:18" x14ac:dyDescent="0.25">
      <c r="A1209" s="60" t="s">
        <v>17</v>
      </c>
      <c r="B1209" s="61" t="s">
        <v>18</v>
      </c>
      <c r="C1209" s="62" t="s">
        <v>19</v>
      </c>
      <c r="D1209" s="63">
        <v>236.04310740037991</v>
      </c>
      <c r="E1209" s="79">
        <v>1275169</v>
      </c>
      <c r="F1209" s="80">
        <v>1247271.144628105</v>
      </c>
      <c r="G1209" s="66">
        <v>1378.8910148946195</v>
      </c>
      <c r="H1209" s="67">
        <v>3</v>
      </c>
      <c r="I1209" s="68" t="s">
        <v>20</v>
      </c>
      <c r="J1209" s="69">
        <v>40</v>
      </c>
      <c r="K1209" s="70">
        <v>3</v>
      </c>
      <c r="L1209" s="68">
        <v>1</v>
      </c>
      <c r="M1209" s="68">
        <f>_xlfn.XLOOKUP(Survey!$F1209,sections[Start],sections[Test Section],,-1,1)</f>
        <v>4</v>
      </c>
      <c r="N1209" s="55">
        <f>_xlfn.XLOOKUP(Survey!$K1209,pipedata[ID],pipedata[WT])</f>
        <v>0.88800000000000001</v>
      </c>
      <c r="O1209" s="56">
        <f>_xlfn.XLOOKUP(Survey!$K1209,pipedata[ID],pipedata[104%])</f>
        <v>3078.4</v>
      </c>
      <c r="P1209" s="57">
        <f t="shared" si="18"/>
        <v>1850</v>
      </c>
      <c r="Q1209" s="58">
        <f>_xlfn.MAXIFS(Survey!$G$2:$G$3647,Survey!$M$2:$M$3647,Survey!$M1209)-Survey!$G1209</f>
        <v>192.92404373098861</v>
      </c>
      <c r="R1209" s="59">
        <f>Survey!$P1209+(Survey!$Q1209*0.433)</f>
        <v>1933.5361109355181</v>
      </c>
    </row>
    <row r="1210" spans="1:18" x14ac:dyDescent="0.25">
      <c r="A1210" s="71" t="s">
        <v>17</v>
      </c>
      <c r="B1210" s="72" t="s">
        <v>18</v>
      </c>
      <c r="C1210" s="73" t="s">
        <v>19</v>
      </c>
      <c r="D1210" s="74">
        <v>236.05036927174498</v>
      </c>
      <c r="E1210" s="81">
        <v>1275209</v>
      </c>
      <c r="F1210" s="82">
        <v>1247309.603305791</v>
      </c>
      <c r="G1210" s="75">
        <v>1384.0870197983897</v>
      </c>
      <c r="H1210" s="76">
        <v>3</v>
      </c>
      <c r="I1210" s="54" t="s">
        <v>20</v>
      </c>
      <c r="J1210" s="77">
        <v>40</v>
      </c>
      <c r="K1210" s="78">
        <v>3</v>
      </c>
      <c r="L1210" s="54">
        <v>1</v>
      </c>
      <c r="M1210" s="54">
        <f>_xlfn.XLOOKUP(Survey!$F1210,sections[Start],sections[Test Section],,-1,1)</f>
        <v>4</v>
      </c>
      <c r="N1210" s="55">
        <f>_xlfn.XLOOKUP(Survey!$K1210,pipedata[ID],pipedata[WT])</f>
        <v>0.88800000000000001</v>
      </c>
      <c r="O1210" s="56">
        <f>_xlfn.XLOOKUP(Survey!$K1210,pipedata[ID],pipedata[104%])</f>
        <v>3078.4</v>
      </c>
      <c r="P1210" s="57">
        <f t="shared" si="18"/>
        <v>1850</v>
      </c>
      <c r="Q1210" s="58">
        <f>_xlfn.MAXIFS(Survey!$G$2:$G$3647,Survey!$M$2:$M$3647,Survey!$M1210)-Survey!$G1210</f>
        <v>187.72803882721837</v>
      </c>
      <c r="R1210" s="59">
        <f>Survey!$P1210+(Survey!$Q1210*0.433)</f>
        <v>1931.2862408121855</v>
      </c>
    </row>
    <row r="1211" spans="1:18" x14ac:dyDescent="0.25">
      <c r="A1211" s="60" t="s">
        <v>17</v>
      </c>
      <c r="B1211" s="61" t="s">
        <v>18</v>
      </c>
      <c r="C1211" s="62" t="s">
        <v>19</v>
      </c>
      <c r="D1211" s="63">
        <v>236.05826892683925</v>
      </c>
      <c r="E1211" s="79">
        <v>1275249</v>
      </c>
      <c r="F1211" s="80">
        <v>1247348.0619834771</v>
      </c>
      <c r="G1211" s="66">
        <v>1390.6319955023539</v>
      </c>
      <c r="H1211" s="67">
        <v>3</v>
      </c>
      <c r="I1211" s="68" t="s">
        <v>20</v>
      </c>
      <c r="J1211" s="69">
        <v>40</v>
      </c>
      <c r="K1211" s="70">
        <v>3</v>
      </c>
      <c r="L1211" s="68">
        <v>1</v>
      </c>
      <c r="M1211" s="68">
        <f>_xlfn.XLOOKUP(Survey!$F1211,sections[Start],sections[Test Section],,-1,1)</f>
        <v>4</v>
      </c>
      <c r="N1211" s="55">
        <f>_xlfn.XLOOKUP(Survey!$K1211,pipedata[ID],pipedata[WT])</f>
        <v>0.88800000000000001</v>
      </c>
      <c r="O1211" s="56">
        <f>_xlfn.XLOOKUP(Survey!$K1211,pipedata[ID],pipedata[104%])</f>
        <v>3078.4</v>
      </c>
      <c r="P1211" s="57">
        <f t="shared" si="18"/>
        <v>1850</v>
      </c>
      <c r="Q1211" s="58">
        <f>_xlfn.MAXIFS(Survey!$G$2:$G$3647,Survey!$M$2:$M$3647,Survey!$M1211)-Survey!$G1211</f>
        <v>181.18306312325421</v>
      </c>
      <c r="R1211" s="59">
        <f>Survey!$P1211+(Survey!$Q1211*0.433)</f>
        <v>1928.4522663323692</v>
      </c>
    </row>
    <row r="1212" spans="1:18" x14ac:dyDescent="0.25">
      <c r="A1212" s="71" t="s">
        <v>17</v>
      </c>
      <c r="B1212" s="72" t="s">
        <v>18</v>
      </c>
      <c r="C1212" s="73" t="s">
        <v>19</v>
      </c>
      <c r="D1212" s="74">
        <v>236.06564387219316</v>
      </c>
      <c r="E1212" s="81">
        <v>1275289</v>
      </c>
      <c r="F1212" s="82">
        <v>1247386.5206611631</v>
      </c>
      <c r="G1212" s="75">
        <v>1398.1236335264443</v>
      </c>
      <c r="H1212" s="76">
        <v>3</v>
      </c>
      <c r="I1212" s="54" t="s">
        <v>20</v>
      </c>
      <c r="J1212" s="77">
        <v>40</v>
      </c>
      <c r="K1212" s="78">
        <v>3</v>
      </c>
      <c r="L1212" s="54">
        <v>1</v>
      </c>
      <c r="M1212" s="54">
        <f>_xlfn.XLOOKUP(Survey!$F1212,sections[Start],sections[Test Section],,-1,1)</f>
        <v>4</v>
      </c>
      <c r="N1212" s="55">
        <f>_xlfn.XLOOKUP(Survey!$K1212,pipedata[ID],pipedata[WT])</f>
        <v>0.88800000000000001</v>
      </c>
      <c r="O1212" s="56">
        <f>_xlfn.XLOOKUP(Survey!$K1212,pipedata[ID],pipedata[104%])</f>
        <v>3078.4</v>
      </c>
      <c r="P1212" s="57">
        <f t="shared" si="18"/>
        <v>1850</v>
      </c>
      <c r="Q1212" s="58">
        <f>_xlfn.MAXIFS(Survey!$G$2:$G$3647,Survey!$M$2:$M$3647,Survey!$M1212)-Survey!$G1212</f>
        <v>173.69142509916378</v>
      </c>
      <c r="R1212" s="59">
        <f>Survey!$P1212+(Survey!$Q1212*0.433)</f>
        <v>1925.208387067938</v>
      </c>
    </row>
    <row r="1213" spans="1:18" x14ac:dyDescent="0.25">
      <c r="A1213" s="60" t="s">
        <v>17</v>
      </c>
      <c r="B1213" s="61" t="s">
        <v>18</v>
      </c>
      <c r="C1213" s="62" t="s">
        <v>19</v>
      </c>
      <c r="D1213" s="63">
        <v>236.07248830600875</v>
      </c>
      <c r="E1213" s="79">
        <v>1275329</v>
      </c>
      <c r="F1213" s="80">
        <v>1247424.9793388492</v>
      </c>
      <c r="G1213" s="66">
        <v>1405.5277945301632</v>
      </c>
      <c r="H1213" s="67">
        <v>3</v>
      </c>
      <c r="I1213" s="68" t="s">
        <v>20</v>
      </c>
      <c r="J1213" s="69">
        <v>40</v>
      </c>
      <c r="K1213" s="70">
        <v>3</v>
      </c>
      <c r="L1213" s="68">
        <v>1</v>
      </c>
      <c r="M1213" s="68">
        <f>_xlfn.XLOOKUP(Survey!$F1213,sections[Start],sections[Test Section],,-1,1)</f>
        <v>4</v>
      </c>
      <c r="N1213" s="55">
        <f>_xlfn.XLOOKUP(Survey!$K1213,pipedata[ID],pipedata[WT])</f>
        <v>0.88800000000000001</v>
      </c>
      <c r="O1213" s="56">
        <f>_xlfn.XLOOKUP(Survey!$K1213,pipedata[ID],pipedata[104%])</f>
        <v>3078.4</v>
      </c>
      <c r="P1213" s="57">
        <f t="shared" si="18"/>
        <v>1850</v>
      </c>
      <c r="Q1213" s="58">
        <f>_xlfn.MAXIFS(Survey!$G$2:$G$3647,Survey!$M$2:$M$3647,Survey!$M1213)-Survey!$G1213</f>
        <v>166.28726409544493</v>
      </c>
      <c r="R1213" s="59">
        <f>Survey!$P1213+(Survey!$Q1213*0.433)</f>
        <v>1922.0023853533276</v>
      </c>
    </row>
    <row r="1214" spans="1:18" x14ac:dyDescent="0.25">
      <c r="A1214" s="71" t="s">
        <v>17</v>
      </c>
      <c r="B1214" s="72" t="s">
        <v>18</v>
      </c>
      <c r="C1214" s="73" t="s">
        <v>19</v>
      </c>
      <c r="D1214" s="74">
        <v>236.08038796110296</v>
      </c>
      <c r="E1214" s="81">
        <v>1275369</v>
      </c>
      <c r="F1214" s="82">
        <v>1247463.4380165352</v>
      </c>
      <c r="G1214" s="75">
        <v>1414.9599893666277</v>
      </c>
      <c r="H1214" s="76">
        <v>3</v>
      </c>
      <c r="I1214" s="54" t="s">
        <v>20</v>
      </c>
      <c r="J1214" s="77">
        <v>40</v>
      </c>
      <c r="K1214" s="78">
        <v>3</v>
      </c>
      <c r="L1214" s="54">
        <v>1</v>
      </c>
      <c r="M1214" s="54">
        <f>_xlfn.XLOOKUP(Survey!$F1214,sections[Start],sections[Test Section],,-1,1)</f>
        <v>4</v>
      </c>
      <c r="N1214" s="55">
        <f>_xlfn.XLOOKUP(Survey!$K1214,pipedata[ID],pipedata[WT])</f>
        <v>0.88800000000000001</v>
      </c>
      <c r="O1214" s="56">
        <f>_xlfn.XLOOKUP(Survey!$K1214,pipedata[ID],pipedata[104%])</f>
        <v>3078.4</v>
      </c>
      <c r="P1214" s="57">
        <f t="shared" si="18"/>
        <v>1850</v>
      </c>
      <c r="Q1214" s="58">
        <f>_xlfn.MAXIFS(Survey!$G$2:$G$3647,Survey!$M$2:$M$3647,Survey!$M1214)-Survey!$G1214</f>
        <v>156.85506925898039</v>
      </c>
      <c r="R1214" s="59">
        <f>Survey!$P1214+(Survey!$Q1214*0.433)</f>
        <v>1917.9182449891384</v>
      </c>
    </row>
    <row r="1215" spans="1:18" x14ac:dyDescent="0.25">
      <c r="A1215" s="60" t="s">
        <v>17</v>
      </c>
      <c r="B1215" s="61" t="s">
        <v>18</v>
      </c>
      <c r="C1215" s="62" t="s">
        <v>19</v>
      </c>
      <c r="D1215" s="63">
        <v>236.08769289803149</v>
      </c>
      <c r="E1215" s="79">
        <v>1275409</v>
      </c>
      <c r="F1215" s="80">
        <v>1247501.8966942213</v>
      </c>
      <c r="G1215" s="66">
        <v>1424.278414741749</v>
      </c>
      <c r="H1215" s="67">
        <v>3</v>
      </c>
      <c r="I1215" s="68" t="s">
        <v>20</v>
      </c>
      <c r="J1215" s="69">
        <v>40</v>
      </c>
      <c r="K1215" s="70">
        <v>3</v>
      </c>
      <c r="L1215" s="68">
        <v>1</v>
      </c>
      <c r="M1215" s="68">
        <f>_xlfn.XLOOKUP(Survey!$F1215,sections[Start],sections[Test Section],,-1,1)</f>
        <v>4</v>
      </c>
      <c r="N1215" s="55">
        <f>_xlfn.XLOOKUP(Survey!$K1215,pipedata[ID],pipedata[WT])</f>
        <v>0.88800000000000001</v>
      </c>
      <c r="O1215" s="56">
        <f>_xlfn.XLOOKUP(Survey!$K1215,pipedata[ID],pipedata[104%])</f>
        <v>3078.4</v>
      </c>
      <c r="P1215" s="57">
        <f t="shared" si="18"/>
        <v>1850</v>
      </c>
      <c r="Q1215" s="58">
        <f>_xlfn.MAXIFS(Survey!$G$2:$G$3647,Survey!$M$2:$M$3647,Survey!$M1215)-Survey!$G1215</f>
        <v>147.53664388385914</v>
      </c>
      <c r="R1215" s="59">
        <f>Survey!$P1215+(Survey!$Q1215*0.433)</f>
        <v>1913.883366801711</v>
      </c>
    </row>
    <row r="1216" spans="1:18" x14ac:dyDescent="0.25">
      <c r="A1216" s="71" t="s">
        <v>17</v>
      </c>
      <c r="B1216" s="72" t="s">
        <v>18</v>
      </c>
      <c r="C1216" s="73" t="s">
        <v>19</v>
      </c>
      <c r="D1216" s="74">
        <v>236.09452313132857</v>
      </c>
      <c r="E1216" s="81">
        <v>1275449</v>
      </c>
      <c r="F1216" s="82">
        <v>1247540.3553719074</v>
      </c>
      <c r="G1216" s="75">
        <v>1436.7176670506037</v>
      </c>
      <c r="H1216" s="76">
        <v>3</v>
      </c>
      <c r="I1216" s="54" t="s">
        <v>20</v>
      </c>
      <c r="J1216" s="77">
        <v>40</v>
      </c>
      <c r="K1216" s="78">
        <v>3</v>
      </c>
      <c r="L1216" s="54">
        <v>1</v>
      </c>
      <c r="M1216" s="54">
        <f>_xlfn.XLOOKUP(Survey!$F1216,sections[Start],sections[Test Section],,-1,1)</f>
        <v>4</v>
      </c>
      <c r="N1216" s="55">
        <f>_xlfn.XLOOKUP(Survey!$K1216,pipedata[ID],pipedata[WT])</f>
        <v>0.88800000000000001</v>
      </c>
      <c r="O1216" s="56">
        <f>_xlfn.XLOOKUP(Survey!$K1216,pipedata[ID],pipedata[104%])</f>
        <v>3078.4</v>
      </c>
      <c r="P1216" s="57">
        <f t="shared" si="18"/>
        <v>1850</v>
      </c>
      <c r="Q1216" s="58">
        <f>_xlfn.MAXIFS(Survey!$G$2:$G$3647,Survey!$M$2:$M$3647,Survey!$M1216)-Survey!$G1216</f>
        <v>135.09739157500439</v>
      </c>
      <c r="R1216" s="59">
        <f>Survey!$P1216+(Survey!$Q1216*0.433)</f>
        <v>1908.497170551977</v>
      </c>
    </row>
    <row r="1217" spans="1:18" x14ac:dyDescent="0.25">
      <c r="A1217" s="60" t="s">
        <v>17</v>
      </c>
      <c r="B1217" s="61" t="s">
        <v>18</v>
      </c>
      <c r="C1217" s="62" t="s">
        <v>19</v>
      </c>
      <c r="D1217" s="63">
        <v>236.10135336462568</v>
      </c>
      <c r="E1217" s="79">
        <v>1275489</v>
      </c>
      <c r="F1217" s="80">
        <v>1247578.8140495934</v>
      </c>
      <c r="G1217" s="66">
        <v>1447.7998554072265</v>
      </c>
      <c r="H1217" s="67">
        <v>3</v>
      </c>
      <c r="I1217" s="68" t="s">
        <v>20</v>
      </c>
      <c r="J1217" s="69">
        <v>40</v>
      </c>
      <c r="K1217" s="70">
        <v>3</v>
      </c>
      <c r="L1217" s="68">
        <v>1</v>
      </c>
      <c r="M1217" s="68">
        <f>_xlfn.XLOOKUP(Survey!$F1217,sections[Start],sections[Test Section],,-1,1)</f>
        <v>4</v>
      </c>
      <c r="N1217" s="55">
        <f>_xlfn.XLOOKUP(Survey!$K1217,pipedata[ID],pipedata[WT])</f>
        <v>0.88800000000000001</v>
      </c>
      <c r="O1217" s="56">
        <f>_xlfn.XLOOKUP(Survey!$K1217,pipedata[ID],pipedata[104%])</f>
        <v>3078.4</v>
      </c>
      <c r="P1217" s="57">
        <f t="shared" si="18"/>
        <v>1850</v>
      </c>
      <c r="Q1217" s="58">
        <f>_xlfn.MAXIFS(Survey!$G$2:$G$3647,Survey!$M$2:$M$3647,Survey!$M1217)-Survey!$G1217</f>
        <v>124.01520321838166</v>
      </c>
      <c r="R1217" s="59">
        <f>Survey!$P1217+(Survey!$Q1217*0.433)</f>
        <v>1903.6985829935593</v>
      </c>
    </row>
    <row r="1218" spans="1:18" x14ac:dyDescent="0.25">
      <c r="A1218" s="71" t="s">
        <v>17</v>
      </c>
      <c r="B1218" s="72" t="s">
        <v>18</v>
      </c>
      <c r="C1218" s="73" t="s">
        <v>19</v>
      </c>
      <c r="D1218" s="74">
        <v>236.10943527909959</v>
      </c>
      <c r="E1218" s="81">
        <v>1275529</v>
      </c>
      <c r="F1218" s="82">
        <v>1247617.2727272795</v>
      </c>
      <c r="G1218" s="75">
        <v>1458.5496064463912</v>
      </c>
      <c r="H1218" s="76">
        <v>3</v>
      </c>
      <c r="I1218" s="54" t="s">
        <v>20</v>
      </c>
      <c r="J1218" s="77">
        <v>40</v>
      </c>
      <c r="K1218" s="78">
        <v>3</v>
      </c>
      <c r="L1218" s="54">
        <v>1</v>
      </c>
      <c r="M1218" s="54">
        <f>_xlfn.XLOOKUP(Survey!$F1218,sections[Start],sections[Test Section],,-1,1)</f>
        <v>4</v>
      </c>
      <c r="N1218" s="55">
        <f>_xlfn.XLOOKUP(Survey!$K1218,pipedata[ID],pipedata[WT])</f>
        <v>0.88800000000000001</v>
      </c>
      <c r="O1218" s="56">
        <f>_xlfn.XLOOKUP(Survey!$K1218,pipedata[ID],pipedata[104%])</f>
        <v>3078.4</v>
      </c>
      <c r="P1218" s="57">
        <f t="shared" ref="P1218:P1281" si="19">IF(L1218=1,1850,IF(L1218=2,1850,2220))</f>
        <v>1850</v>
      </c>
      <c r="Q1218" s="58">
        <f>_xlfn.MAXIFS(Survey!$G$2:$G$3647,Survey!$M$2:$M$3647,Survey!$M1218)-Survey!$G1218</f>
        <v>113.26545217921694</v>
      </c>
      <c r="R1218" s="59">
        <f>Survey!$P1218+(Survey!$Q1218*0.433)</f>
        <v>1899.043940793601</v>
      </c>
    </row>
    <row r="1219" spans="1:18" x14ac:dyDescent="0.25">
      <c r="A1219" s="60" t="s">
        <v>17</v>
      </c>
      <c r="B1219" s="61" t="s">
        <v>18</v>
      </c>
      <c r="C1219" s="62" t="s">
        <v>19</v>
      </c>
      <c r="D1219" s="63">
        <v>236.11626351402805</v>
      </c>
      <c r="E1219" s="79">
        <v>1275569</v>
      </c>
      <c r="F1219" s="80">
        <v>1247655.7314049655</v>
      </c>
      <c r="G1219" s="66">
        <v>1469.2265702498801</v>
      </c>
      <c r="H1219" s="67">
        <v>3</v>
      </c>
      <c r="I1219" s="68" t="s">
        <v>20</v>
      </c>
      <c r="J1219" s="69">
        <v>40</v>
      </c>
      <c r="K1219" s="70">
        <v>3</v>
      </c>
      <c r="L1219" s="68">
        <v>1</v>
      </c>
      <c r="M1219" s="68">
        <f>_xlfn.XLOOKUP(Survey!$F1219,sections[Start],sections[Test Section],,-1,1)</f>
        <v>4</v>
      </c>
      <c r="N1219" s="55">
        <f>_xlfn.XLOOKUP(Survey!$K1219,pipedata[ID],pipedata[WT])</f>
        <v>0.88800000000000001</v>
      </c>
      <c r="O1219" s="56">
        <f>_xlfn.XLOOKUP(Survey!$K1219,pipedata[ID],pipedata[104%])</f>
        <v>3078.4</v>
      </c>
      <c r="P1219" s="57">
        <f t="shared" si="19"/>
        <v>1850</v>
      </c>
      <c r="Q1219" s="58">
        <f>_xlfn.MAXIFS(Survey!$G$2:$G$3647,Survey!$M$2:$M$3647,Survey!$M1219)-Survey!$G1219</f>
        <v>102.58848837572805</v>
      </c>
      <c r="R1219" s="59">
        <f>Survey!$P1219+(Survey!$Q1219*0.433)</f>
        <v>1894.4208154666903</v>
      </c>
    </row>
    <row r="1220" spans="1:18" x14ac:dyDescent="0.25">
      <c r="A1220" s="71" t="s">
        <v>17</v>
      </c>
      <c r="B1220" s="72" t="s">
        <v>18</v>
      </c>
      <c r="C1220" s="73" t="s">
        <v>19</v>
      </c>
      <c r="D1220" s="74">
        <v>236.12412080894975</v>
      </c>
      <c r="E1220" s="81">
        <v>1275609</v>
      </c>
      <c r="F1220" s="82">
        <v>1247694.1900826516</v>
      </c>
      <c r="G1220" s="75">
        <v>1480.6763322381721</v>
      </c>
      <c r="H1220" s="76">
        <v>3</v>
      </c>
      <c r="I1220" s="54" t="s">
        <v>20</v>
      </c>
      <c r="J1220" s="77">
        <v>40</v>
      </c>
      <c r="K1220" s="78">
        <v>3</v>
      </c>
      <c r="L1220" s="54">
        <v>1</v>
      </c>
      <c r="M1220" s="54">
        <f>_xlfn.XLOOKUP(Survey!$F1220,sections[Start],sections[Test Section],,-1,1)</f>
        <v>4</v>
      </c>
      <c r="N1220" s="55">
        <f>_xlfn.XLOOKUP(Survey!$K1220,pipedata[ID],pipedata[WT])</f>
        <v>0.88800000000000001</v>
      </c>
      <c r="O1220" s="56">
        <f>_xlfn.XLOOKUP(Survey!$K1220,pipedata[ID],pipedata[104%])</f>
        <v>3078.4</v>
      </c>
      <c r="P1220" s="57">
        <f t="shared" si="19"/>
        <v>1850</v>
      </c>
      <c r="Q1220" s="58">
        <f>_xlfn.MAXIFS(Survey!$G$2:$G$3647,Survey!$M$2:$M$3647,Survey!$M1220)-Survey!$G1220</f>
        <v>91.138726387436009</v>
      </c>
      <c r="R1220" s="59">
        <f>Survey!$P1220+(Survey!$Q1220*0.433)</f>
        <v>1889.4630685257598</v>
      </c>
    </row>
    <row r="1221" spans="1:18" x14ac:dyDescent="0.25">
      <c r="A1221" s="60" t="s">
        <v>17</v>
      </c>
      <c r="B1221" s="61" t="s">
        <v>18</v>
      </c>
      <c r="C1221" s="62" t="s">
        <v>19</v>
      </c>
      <c r="D1221" s="63">
        <v>236.13128563087037</v>
      </c>
      <c r="E1221" s="79">
        <v>1275649</v>
      </c>
      <c r="F1221" s="80">
        <v>1247732.6487603376</v>
      </c>
      <c r="G1221" s="66">
        <v>1489.4209299088409</v>
      </c>
      <c r="H1221" s="67">
        <v>3</v>
      </c>
      <c r="I1221" s="68" t="s">
        <v>20</v>
      </c>
      <c r="J1221" s="69">
        <v>40</v>
      </c>
      <c r="K1221" s="70">
        <v>3</v>
      </c>
      <c r="L1221" s="68">
        <v>1</v>
      </c>
      <c r="M1221" s="68">
        <f>_xlfn.XLOOKUP(Survey!$F1221,sections[Start],sections[Test Section],,-1,1)</f>
        <v>4</v>
      </c>
      <c r="N1221" s="55">
        <f>_xlfn.XLOOKUP(Survey!$K1221,pipedata[ID],pipedata[WT])</f>
        <v>0.88800000000000001</v>
      </c>
      <c r="O1221" s="56">
        <f>_xlfn.XLOOKUP(Survey!$K1221,pipedata[ID],pipedata[104%])</f>
        <v>3078.4</v>
      </c>
      <c r="P1221" s="57">
        <f t="shared" si="19"/>
        <v>1850</v>
      </c>
      <c r="Q1221" s="58">
        <f>_xlfn.MAXIFS(Survey!$G$2:$G$3647,Survey!$M$2:$M$3647,Survey!$M1221)-Survey!$G1221</f>
        <v>82.394128716767227</v>
      </c>
      <c r="R1221" s="59">
        <f>Survey!$P1221+(Survey!$Q1221*0.433)</f>
        <v>1885.6766577343601</v>
      </c>
    </row>
    <row r="1222" spans="1:18" x14ac:dyDescent="0.25">
      <c r="A1222" s="71" t="s">
        <v>17</v>
      </c>
      <c r="B1222" s="72" t="s">
        <v>18</v>
      </c>
      <c r="C1222" s="73" t="s">
        <v>19</v>
      </c>
      <c r="D1222" s="74">
        <v>236.13861238643531</v>
      </c>
      <c r="E1222" s="81">
        <v>1275689</v>
      </c>
      <c r="F1222" s="82">
        <v>1247771.1074380237</v>
      </c>
      <c r="G1222" s="75">
        <v>1498.678249055901</v>
      </c>
      <c r="H1222" s="76">
        <v>3</v>
      </c>
      <c r="I1222" s="54" t="s">
        <v>20</v>
      </c>
      <c r="J1222" s="77">
        <v>40</v>
      </c>
      <c r="K1222" s="78">
        <v>3</v>
      </c>
      <c r="L1222" s="54">
        <v>1</v>
      </c>
      <c r="M1222" s="54">
        <f>_xlfn.XLOOKUP(Survey!$F1222,sections[Start],sections[Test Section],,-1,1)</f>
        <v>4</v>
      </c>
      <c r="N1222" s="55">
        <f>_xlfn.XLOOKUP(Survey!$K1222,pipedata[ID],pipedata[WT])</f>
        <v>0.88800000000000001</v>
      </c>
      <c r="O1222" s="56">
        <f>_xlfn.XLOOKUP(Survey!$K1222,pipedata[ID],pipedata[104%])</f>
        <v>3078.4</v>
      </c>
      <c r="P1222" s="57">
        <f t="shared" si="19"/>
        <v>1850</v>
      </c>
      <c r="Q1222" s="58">
        <f>_xlfn.MAXIFS(Survey!$G$2:$G$3647,Survey!$M$2:$M$3647,Survey!$M1222)-Survey!$G1222</f>
        <v>73.136809569707111</v>
      </c>
      <c r="R1222" s="59">
        <f>Survey!$P1222+(Survey!$Q1222*0.433)</f>
        <v>1881.6682385436832</v>
      </c>
    </row>
    <row r="1223" spans="1:18" x14ac:dyDescent="0.25">
      <c r="A1223" s="60" t="s">
        <v>17</v>
      </c>
      <c r="B1223" s="61" t="s">
        <v>18</v>
      </c>
      <c r="C1223" s="62" t="s">
        <v>19</v>
      </c>
      <c r="D1223" s="63">
        <v>236.14543762600215</v>
      </c>
      <c r="E1223" s="79">
        <v>1275729</v>
      </c>
      <c r="F1223" s="80">
        <v>1247809.5661157097</v>
      </c>
      <c r="G1223" s="66">
        <v>1511.2881073337805</v>
      </c>
      <c r="H1223" s="67">
        <v>3</v>
      </c>
      <c r="I1223" s="68" t="s">
        <v>20</v>
      </c>
      <c r="J1223" s="69">
        <v>40</v>
      </c>
      <c r="K1223" s="70">
        <v>3</v>
      </c>
      <c r="L1223" s="68">
        <v>1</v>
      </c>
      <c r="M1223" s="68">
        <f>_xlfn.XLOOKUP(Survey!$F1223,sections[Start],sections[Test Section],,-1,1)</f>
        <v>4</v>
      </c>
      <c r="N1223" s="55">
        <f>_xlfn.XLOOKUP(Survey!$K1223,pipedata[ID],pipedata[WT])</f>
        <v>0.88800000000000001</v>
      </c>
      <c r="O1223" s="56">
        <f>_xlfn.XLOOKUP(Survey!$K1223,pipedata[ID],pipedata[104%])</f>
        <v>3078.4</v>
      </c>
      <c r="P1223" s="57">
        <f t="shared" si="19"/>
        <v>1850</v>
      </c>
      <c r="Q1223" s="58">
        <f>_xlfn.MAXIFS(Survey!$G$2:$G$3647,Survey!$M$2:$M$3647,Survey!$M1223)-Survey!$G1223</f>
        <v>60.526951291827572</v>
      </c>
      <c r="R1223" s="59">
        <f>Survey!$P1223+(Survey!$Q1223*0.433)</f>
        <v>1876.2081699093612</v>
      </c>
    </row>
    <row r="1224" spans="1:18" x14ac:dyDescent="0.25">
      <c r="A1224" s="71" t="s">
        <v>17</v>
      </c>
      <c r="B1224" s="72" t="s">
        <v>18</v>
      </c>
      <c r="C1224" s="73" t="s">
        <v>19</v>
      </c>
      <c r="D1224" s="74">
        <v>236.15313598264166</v>
      </c>
      <c r="E1224" s="81">
        <v>1275769</v>
      </c>
      <c r="F1224" s="82">
        <v>1247848.0247933958</v>
      </c>
      <c r="G1224" s="75">
        <v>1522.1344275878291</v>
      </c>
      <c r="H1224" s="76">
        <v>3</v>
      </c>
      <c r="I1224" s="54" t="s">
        <v>20</v>
      </c>
      <c r="J1224" s="77">
        <v>40</v>
      </c>
      <c r="K1224" s="78">
        <v>3</v>
      </c>
      <c r="L1224" s="54">
        <v>1</v>
      </c>
      <c r="M1224" s="54">
        <f>_xlfn.XLOOKUP(Survey!$F1224,sections[Start],sections[Test Section],,-1,1)</f>
        <v>4</v>
      </c>
      <c r="N1224" s="55">
        <f>_xlfn.XLOOKUP(Survey!$K1224,pipedata[ID],pipedata[WT])</f>
        <v>0.88800000000000001</v>
      </c>
      <c r="O1224" s="56">
        <f>_xlfn.XLOOKUP(Survey!$K1224,pipedata[ID],pipedata[104%])</f>
        <v>3078.4</v>
      </c>
      <c r="P1224" s="57">
        <f t="shared" si="19"/>
        <v>1850</v>
      </c>
      <c r="Q1224" s="58">
        <f>_xlfn.MAXIFS(Survey!$G$2:$G$3647,Survey!$M$2:$M$3647,Survey!$M1224)-Survey!$G1224</f>
        <v>49.680631037778994</v>
      </c>
      <c r="R1224" s="59">
        <f>Survey!$P1224+(Survey!$Q1224*0.433)</f>
        <v>1871.5117132393584</v>
      </c>
    </row>
    <row r="1225" spans="1:18" x14ac:dyDescent="0.25">
      <c r="A1225" s="60" t="s">
        <v>17</v>
      </c>
      <c r="B1225" s="61" t="s">
        <v>18</v>
      </c>
      <c r="C1225" s="62" t="s">
        <v>19</v>
      </c>
      <c r="D1225" s="63">
        <v>236.16054871986822</v>
      </c>
      <c r="E1225" s="79">
        <v>1275809</v>
      </c>
      <c r="F1225" s="80">
        <v>1247886.4834710818</v>
      </c>
      <c r="G1225" s="66">
        <v>1534.2534553019802</v>
      </c>
      <c r="H1225" s="67">
        <v>3</v>
      </c>
      <c r="I1225" s="68" t="s">
        <v>20</v>
      </c>
      <c r="J1225" s="69">
        <v>40</v>
      </c>
      <c r="K1225" s="70">
        <v>3</v>
      </c>
      <c r="L1225" s="68">
        <v>1</v>
      </c>
      <c r="M1225" s="68">
        <f>_xlfn.XLOOKUP(Survey!$F1225,sections[Start],sections[Test Section],,-1,1)</f>
        <v>4</v>
      </c>
      <c r="N1225" s="55">
        <f>_xlfn.XLOOKUP(Survey!$K1225,pipedata[ID],pipedata[WT])</f>
        <v>0.88800000000000001</v>
      </c>
      <c r="O1225" s="56">
        <f>_xlfn.XLOOKUP(Survey!$K1225,pipedata[ID],pipedata[104%])</f>
        <v>3078.4</v>
      </c>
      <c r="P1225" s="57">
        <f t="shared" si="19"/>
        <v>1850</v>
      </c>
      <c r="Q1225" s="58">
        <f>_xlfn.MAXIFS(Survey!$G$2:$G$3647,Survey!$M$2:$M$3647,Survey!$M1225)-Survey!$G1225</f>
        <v>37.561603323627878</v>
      </c>
      <c r="R1225" s="59">
        <f>Survey!$P1225+(Survey!$Q1225*0.433)</f>
        <v>1866.2641742391309</v>
      </c>
    </row>
    <row r="1226" spans="1:18" x14ac:dyDescent="0.25">
      <c r="A1226" s="71" t="s">
        <v>17</v>
      </c>
      <c r="B1226" s="72" t="s">
        <v>18</v>
      </c>
      <c r="C1226" s="73" t="s">
        <v>19</v>
      </c>
      <c r="D1226" s="74">
        <v>236.16737895316535</v>
      </c>
      <c r="E1226" s="81">
        <v>1275849</v>
      </c>
      <c r="F1226" s="82">
        <v>1247924.9421487679</v>
      </c>
      <c r="G1226" s="75">
        <v>1548.5238896299907</v>
      </c>
      <c r="H1226" s="76">
        <v>3</v>
      </c>
      <c r="I1226" s="54" t="s">
        <v>20</v>
      </c>
      <c r="J1226" s="77">
        <v>40</v>
      </c>
      <c r="K1226" s="78">
        <v>3</v>
      </c>
      <c r="L1226" s="54">
        <v>1</v>
      </c>
      <c r="M1226" s="54">
        <f>_xlfn.XLOOKUP(Survey!$F1226,sections[Start],sections[Test Section],,-1,1)</f>
        <v>4</v>
      </c>
      <c r="N1226" s="55">
        <f>_xlfn.XLOOKUP(Survey!$K1226,pipedata[ID],pipedata[WT])</f>
        <v>0.88800000000000001</v>
      </c>
      <c r="O1226" s="56">
        <f>_xlfn.XLOOKUP(Survey!$K1226,pipedata[ID],pipedata[104%])</f>
        <v>3078.4</v>
      </c>
      <c r="P1226" s="57">
        <f t="shared" si="19"/>
        <v>1850</v>
      </c>
      <c r="Q1226" s="58">
        <f>_xlfn.MAXIFS(Survey!$G$2:$G$3647,Survey!$M$2:$M$3647,Survey!$M1226)-Survey!$G1226</f>
        <v>23.291168995617454</v>
      </c>
      <c r="R1226" s="59">
        <f>Survey!$P1226+(Survey!$Q1226*0.433)</f>
        <v>1860.0850761751024</v>
      </c>
    </row>
    <row r="1227" spans="1:18" x14ac:dyDescent="0.25">
      <c r="A1227" s="60" t="s">
        <v>17</v>
      </c>
      <c r="B1227" s="61" t="s">
        <v>18</v>
      </c>
      <c r="C1227" s="62" t="s">
        <v>19</v>
      </c>
      <c r="D1227" s="63">
        <v>236.17498633441204</v>
      </c>
      <c r="E1227" s="79">
        <v>1275889</v>
      </c>
      <c r="F1227" s="80">
        <v>1247963.4008264539</v>
      </c>
      <c r="G1227" s="66">
        <v>1559.1031511316821</v>
      </c>
      <c r="H1227" s="67">
        <v>3</v>
      </c>
      <c r="I1227" s="68" t="s">
        <v>20</v>
      </c>
      <c r="J1227" s="69">
        <v>40</v>
      </c>
      <c r="K1227" s="70">
        <v>3</v>
      </c>
      <c r="L1227" s="68">
        <v>1</v>
      </c>
      <c r="M1227" s="68">
        <f>_xlfn.XLOOKUP(Survey!$F1227,sections[Start],sections[Test Section],,-1,1)</f>
        <v>4</v>
      </c>
      <c r="N1227" s="55">
        <f>_xlfn.XLOOKUP(Survey!$K1227,pipedata[ID],pipedata[WT])</f>
        <v>0.88800000000000001</v>
      </c>
      <c r="O1227" s="56">
        <f>_xlfn.XLOOKUP(Survey!$K1227,pipedata[ID],pipedata[104%])</f>
        <v>3078.4</v>
      </c>
      <c r="P1227" s="57">
        <f t="shared" si="19"/>
        <v>1850</v>
      </c>
      <c r="Q1227" s="58">
        <f>_xlfn.MAXIFS(Survey!$G$2:$G$3647,Survey!$M$2:$M$3647,Survey!$M1227)-Survey!$G1227</f>
        <v>12.711907493925992</v>
      </c>
      <c r="R1227" s="59">
        <f>Survey!$P1227+(Survey!$Q1227*0.433)</f>
        <v>1855.50425594487</v>
      </c>
    </row>
    <row r="1228" spans="1:18" x14ac:dyDescent="0.25">
      <c r="A1228" s="71" t="s">
        <v>17</v>
      </c>
      <c r="B1228" s="72" t="s">
        <v>18</v>
      </c>
      <c r="C1228" s="73" t="s">
        <v>19</v>
      </c>
      <c r="D1228" s="74">
        <v>236.18181456934064</v>
      </c>
      <c r="E1228" s="81">
        <v>1275929</v>
      </c>
      <c r="F1228" s="82">
        <v>1248001.85950414</v>
      </c>
      <c r="G1228" s="75">
        <v>1566.1505791356694</v>
      </c>
      <c r="H1228" s="76">
        <v>3</v>
      </c>
      <c r="I1228" s="54" t="s">
        <v>20</v>
      </c>
      <c r="J1228" s="77">
        <v>40</v>
      </c>
      <c r="K1228" s="78">
        <v>3</v>
      </c>
      <c r="L1228" s="54">
        <v>1</v>
      </c>
      <c r="M1228" s="54">
        <f>_xlfn.XLOOKUP(Survey!$F1228,sections[Start],sections[Test Section],,-1,1)</f>
        <v>4</v>
      </c>
      <c r="N1228" s="55">
        <f>_xlfn.XLOOKUP(Survey!$K1228,pipedata[ID],pipedata[WT])</f>
        <v>0.88800000000000001</v>
      </c>
      <c r="O1228" s="56">
        <f>_xlfn.XLOOKUP(Survey!$K1228,pipedata[ID],pipedata[104%])</f>
        <v>3078.4</v>
      </c>
      <c r="P1228" s="57">
        <f t="shared" si="19"/>
        <v>1850</v>
      </c>
      <c r="Q1228" s="58">
        <f>_xlfn.MAXIFS(Survey!$G$2:$G$3647,Survey!$M$2:$M$3647,Survey!$M1228)-Survey!$G1228</f>
        <v>5.6644794899386852</v>
      </c>
      <c r="R1228" s="59">
        <f>Survey!$P1228+(Survey!$Q1228*0.433)</f>
        <v>1852.4527196191434</v>
      </c>
    </row>
    <row r="1229" spans="1:18" x14ac:dyDescent="0.25">
      <c r="A1229" s="60" t="s">
        <v>17</v>
      </c>
      <c r="B1229" s="61" t="s">
        <v>18</v>
      </c>
      <c r="C1229" s="62" t="s">
        <v>19</v>
      </c>
      <c r="D1229" s="63">
        <v>236.19004223766137</v>
      </c>
      <c r="E1229" s="79">
        <v>1275969</v>
      </c>
      <c r="F1229" s="80">
        <v>1248040.318181826</v>
      </c>
      <c r="G1229" s="66">
        <v>1571.8150586256081</v>
      </c>
      <c r="H1229" s="67">
        <v>3</v>
      </c>
      <c r="I1229" s="68" t="s">
        <v>20</v>
      </c>
      <c r="J1229" s="69">
        <v>40</v>
      </c>
      <c r="K1229" s="70">
        <v>3</v>
      </c>
      <c r="L1229" s="68">
        <v>1</v>
      </c>
      <c r="M1229" s="68">
        <f>_xlfn.XLOOKUP(Survey!$F1229,sections[Start],sections[Test Section],,-1,1)</f>
        <v>4</v>
      </c>
      <c r="N1229" s="55">
        <f>_xlfn.XLOOKUP(Survey!$K1229,pipedata[ID],pipedata[WT])</f>
        <v>0.88800000000000001</v>
      </c>
      <c r="O1229" s="56">
        <f>_xlfn.XLOOKUP(Survey!$K1229,pipedata[ID],pipedata[104%])</f>
        <v>3078.4</v>
      </c>
      <c r="P1229" s="57">
        <f t="shared" si="19"/>
        <v>1850</v>
      </c>
      <c r="Q1229" s="58">
        <f>_xlfn.MAXIFS(Survey!$G$2:$G$3647,Survey!$M$2:$M$3647,Survey!$M1229)-Survey!$G1229</f>
        <v>0</v>
      </c>
      <c r="R1229" s="59">
        <f>Survey!$P1229+(Survey!$Q1229*0.433)</f>
        <v>1850</v>
      </c>
    </row>
    <row r="1230" spans="1:18" x14ac:dyDescent="0.25">
      <c r="A1230" s="71" t="s">
        <v>17</v>
      </c>
      <c r="B1230" s="72" t="s">
        <v>18</v>
      </c>
      <c r="C1230" s="73" t="s">
        <v>19</v>
      </c>
      <c r="D1230" s="74">
        <v>236.19674788540698</v>
      </c>
      <c r="E1230" s="81">
        <v>1276009</v>
      </c>
      <c r="F1230" s="82">
        <v>1248078.7768595121</v>
      </c>
      <c r="G1230" s="75">
        <v>1570.5138506671044</v>
      </c>
      <c r="H1230" s="76">
        <v>3</v>
      </c>
      <c r="I1230" s="54" t="s">
        <v>20</v>
      </c>
      <c r="J1230" s="77">
        <v>40</v>
      </c>
      <c r="K1230" s="78">
        <v>3</v>
      </c>
      <c r="L1230" s="54">
        <v>1</v>
      </c>
      <c r="M1230" s="54">
        <f>_xlfn.XLOOKUP(Survey!$F1230,sections[Start],sections[Test Section],,-1,1)</f>
        <v>4</v>
      </c>
      <c r="N1230" s="55">
        <f>_xlfn.XLOOKUP(Survey!$K1230,pipedata[ID],pipedata[WT])</f>
        <v>0.88800000000000001</v>
      </c>
      <c r="O1230" s="56">
        <f>_xlfn.XLOOKUP(Survey!$K1230,pipedata[ID],pipedata[104%])</f>
        <v>3078.4</v>
      </c>
      <c r="P1230" s="57">
        <f t="shared" si="19"/>
        <v>1850</v>
      </c>
      <c r="Q1230" s="58">
        <f>_xlfn.MAXIFS(Survey!$G$2:$G$3647,Survey!$M$2:$M$3647,Survey!$M1230)-Survey!$G1230</f>
        <v>1.30120795850371</v>
      </c>
      <c r="R1230" s="59">
        <f>Survey!$P1230+(Survey!$Q1230*0.433)</f>
        <v>1850.5634230460321</v>
      </c>
    </row>
    <row r="1231" spans="1:18" x14ac:dyDescent="0.25">
      <c r="A1231" s="60" t="s">
        <v>17</v>
      </c>
      <c r="B1231" s="61" t="s">
        <v>18</v>
      </c>
      <c r="C1231" s="62" t="s">
        <v>19</v>
      </c>
      <c r="D1231" s="63">
        <v>236.20412951265652</v>
      </c>
      <c r="E1231" s="79">
        <v>1276049</v>
      </c>
      <c r="F1231" s="80">
        <v>1248117.2355371981</v>
      </c>
      <c r="G1231" s="66">
        <v>1559.2392868730128</v>
      </c>
      <c r="H1231" s="67">
        <v>3</v>
      </c>
      <c r="I1231" s="68" t="s">
        <v>20</v>
      </c>
      <c r="J1231" s="69">
        <v>40</v>
      </c>
      <c r="K1231" s="70">
        <v>3</v>
      </c>
      <c r="L1231" s="68">
        <v>1</v>
      </c>
      <c r="M1231" s="68">
        <f>_xlfn.XLOOKUP(Survey!$F1231,sections[Start],sections[Test Section],,-1,1)</f>
        <v>4</v>
      </c>
      <c r="N1231" s="55">
        <f>_xlfn.XLOOKUP(Survey!$K1231,pipedata[ID],pipedata[WT])</f>
        <v>0.88800000000000001</v>
      </c>
      <c r="O1231" s="56">
        <f>_xlfn.XLOOKUP(Survey!$K1231,pipedata[ID],pipedata[104%])</f>
        <v>3078.4</v>
      </c>
      <c r="P1231" s="57">
        <f t="shared" si="19"/>
        <v>1850</v>
      </c>
      <c r="Q1231" s="58">
        <f>_xlfn.MAXIFS(Survey!$G$2:$G$3647,Survey!$M$2:$M$3647,Survey!$M1231)-Survey!$G1231</f>
        <v>12.575771752595301</v>
      </c>
      <c r="R1231" s="59">
        <f>Survey!$P1231+(Survey!$Q1231*0.433)</f>
        <v>1855.4453091688738</v>
      </c>
    </row>
    <row r="1232" spans="1:18" x14ac:dyDescent="0.25">
      <c r="A1232" s="71" t="s">
        <v>17</v>
      </c>
      <c r="B1232" s="72" t="s">
        <v>18</v>
      </c>
      <c r="C1232" s="73" t="s">
        <v>19</v>
      </c>
      <c r="D1232" s="74">
        <v>236.21226945480763</v>
      </c>
      <c r="E1232" s="81">
        <v>1276089</v>
      </c>
      <c r="F1232" s="82">
        <v>1248155.6942148842</v>
      </c>
      <c r="G1232" s="75">
        <v>1548.0887487932368</v>
      </c>
      <c r="H1232" s="76">
        <v>3</v>
      </c>
      <c r="I1232" s="54" t="s">
        <v>20</v>
      </c>
      <c r="J1232" s="77">
        <v>40</v>
      </c>
      <c r="K1232" s="78">
        <v>3</v>
      </c>
      <c r="L1232" s="54">
        <v>1</v>
      </c>
      <c r="M1232" s="54">
        <f>_xlfn.XLOOKUP(Survey!$F1232,sections[Start],sections[Test Section],,-1,1)</f>
        <v>4</v>
      </c>
      <c r="N1232" s="55">
        <f>_xlfn.XLOOKUP(Survey!$K1232,pipedata[ID],pipedata[WT])</f>
        <v>0.88800000000000001</v>
      </c>
      <c r="O1232" s="56">
        <f>_xlfn.XLOOKUP(Survey!$K1232,pipedata[ID],pipedata[104%])</f>
        <v>3078.4</v>
      </c>
      <c r="P1232" s="57">
        <f t="shared" si="19"/>
        <v>1850</v>
      </c>
      <c r="Q1232" s="58">
        <f>_xlfn.MAXIFS(Survey!$G$2:$G$3647,Survey!$M$2:$M$3647,Survey!$M1232)-Survey!$G1232</f>
        <v>23.726309832371271</v>
      </c>
      <c r="R1232" s="59">
        <f>Survey!$P1232+(Survey!$Q1232*0.433)</f>
        <v>1860.2734921574167</v>
      </c>
    </row>
    <row r="1233" spans="1:18" x14ac:dyDescent="0.25">
      <c r="A1233" s="60" t="s">
        <v>17</v>
      </c>
      <c r="B1233" s="61" t="s">
        <v>18</v>
      </c>
      <c r="C1233" s="62" t="s">
        <v>19</v>
      </c>
      <c r="D1233" s="63">
        <v>236.21837441142097</v>
      </c>
      <c r="E1233" s="79">
        <v>1276129</v>
      </c>
      <c r="F1233" s="80">
        <v>1248194.1528925702</v>
      </c>
      <c r="G1233" s="66">
        <v>1541.9998025353864</v>
      </c>
      <c r="H1233" s="67">
        <v>3</v>
      </c>
      <c r="I1233" s="68" t="s">
        <v>20</v>
      </c>
      <c r="J1233" s="69">
        <v>40</v>
      </c>
      <c r="K1233" s="70">
        <v>3</v>
      </c>
      <c r="L1233" s="68">
        <v>1</v>
      </c>
      <c r="M1233" s="68">
        <f>_xlfn.XLOOKUP(Survey!$F1233,sections[Start],sections[Test Section],,-1,1)</f>
        <v>4</v>
      </c>
      <c r="N1233" s="55">
        <f>_xlfn.XLOOKUP(Survey!$K1233,pipedata[ID],pipedata[WT])</f>
        <v>0.88800000000000001</v>
      </c>
      <c r="O1233" s="56">
        <f>_xlfn.XLOOKUP(Survey!$K1233,pipedata[ID],pipedata[104%])</f>
        <v>3078.4</v>
      </c>
      <c r="P1233" s="57">
        <f t="shared" si="19"/>
        <v>1850</v>
      </c>
      <c r="Q1233" s="58">
        <f>_xlfn.MAXIFS(Survey!$G$2:$G$3647,Survey!$M$2:$M$3647,Survey!$M1233)-Survey!$G1233</f>
        <v>29.815256090221737</v>
      </c>
      <c r="R1233" s="59">
        <f>Survey!$P1233+(Survey!$Q1233*0.433)</f>
        <v>1862.9100058870661</v>
      </c>
    </row>
    <row r="1234" spans="1:18" x14ac:dyDescent="0.25">
      <c r="A1234" s="71" t="s">
        <v>17</v>
      </c>
      <c r="B1234" s="72" t="s">
        <v>18</v>
      </c>
      <c r="C1234" s="73" t="s">
        <v>19</v>
      </c>
      <c r="D1234" s="74">
        <v>236.22692330026317</v>
      </c>
      <c r="E1234" s="81">
        <v>1276169</v>
      </c>
      <c r="F1234" s="82">
        <v>1248232.6115702563</v>
      </c>
      <c r="G1234" s="75">
        <v>1540.9397473057491</v>
      </c>
      <c r="H1234" s="76">
        <v>3</v>
      </c>
      <c r="I1234" s="54" t="s">
        <v>20</v>
      </c>
      <c r="J1234" s="77">
        <v>40</v>
      </c>
      <c r="K1234" s="78">
        <v>3</v>
      </c>
      <c r="L1234" s="54">
        <v>1</v>
      </c>
      <c r="M1234" s="54">
        <f>_xlfn.XLOOKUP(Survey!$F1234,sections[Start],sections[Test Section],,-1,1)</f>
        <v>4</v>
      </c>
      <c r="N1234" s="55">
        <f>_xlfn.XLOOKUP(Survey!$K1234,pipedata[ID],pipedata[WT])</f>
        <v>0.88800000000000001</v>
      </c>
      <c r="O1234" s="56">
        <f>_xlfn.XLOOKUP(Survey!$K1234,pipedata[ID],pipedata[104%])</f>
        <v>3078.4</v>
      </c>
      <c r="P1234" s="57">
        <f t="shared" si="19"/>
        <v>1850</v>
      </c>
      <c r="Q1234" s="58">
        <f>_xlfn.MAXIFS(Survey!$G$2:$G$3647,Survey!$M$2:$M$3647,Survey!$M1234)-Survey!$G1234</f>
        <v>30.875311319859065</v>
      </c>
      <c r="R1234" s="59">
        <f>Survey!$P1234+(Survey!$Q1234*0.433)</f>
        <v>1863.369009801499</v>
      </c>
    </row>
    <row r="1235" spans="1:18" x14ac:dyDescent="0.25">
      <c r="A1235" s="60" t="s">
        <v>17</v>
      </c>
      <c r="B1235" s="61" t="s">
        <v>18</v>
      </c>
      <c r="C1235" s="62" t="s">
        <v>19</v>
      </c>
      <c r="D1235" s="63">
        <v>236.234654295723</v>
      </c>
      <c r="E1235" s="79">
        <v>1276209</v>
      </c>
      <c r="F1235" s="80">
        <v>1248271.0702479423</v>
      </c>
      <c r="G1235" s="66">
        <v>1542.8530050537715</v>
      </c>
      <c r="H1235" s="67">
        <v>3</v>
      </c>
      <c r="I1235" s="68" t="s">
        <v>20</v>
      </c>
      <c r="J1235" s="69">
        <v>40</v>
      </c>
      <c r="K1235" s="70">
        <v>3</v>
      </c>
      <c r="L1235" s="68">
        <v>1</v>
      </c>
      <c r="M1235" s="68">
        <f>_xlfn.XLOOKUP(Survey!$F1235,sections[Start],sections[Test Section],,-1,1)</f>
        <v>5</v>
      </c>
      <c r="N1235" s="55">
        <f>_xlfn.XLOOKUP(Survey!$K1235,pipedata[ID],pipedata[WT])</f>
        <v>0.88800000000000001</v>
      </c>
      <c r="O1235" s="56">
        <f>_xlfn.XLOOKUP(Survey!$K1235,pipedata[ID],pipedata[104%])</f>
        <v>3078.4</v>
      </c>
      <c r="P1235" s="57">
        <f t="shared" si="19"/>
        <v>1850</v>
      </c>
      <c r="Q1235" s="58">
        <f>_xlfn.MAXIFS(Survey!$G$2:$G$3647,Survey!$M$2:$M$3647,Survey!$M1235)-Survey!$G1235</f>
        <v>2192.5238342714997</v>
      </c>
      <c r="R1235" s="59">
        <f>Survey!$P1235+(Survey!$Q1235*0.433)</f>
        <v>2799.3628202395594</v>
      </c>
    </row>
    <row r="1236" spans="1:18" x14ac:dyDescent="0.25">
      <c r="A1236" s="71" t="s">
        <v>17</v>
      </c>
      <c r="B1236" s="72" t="s">
        <v>18</v>
      </c>
      <c r="C1236" s="73" t="s">
        <v>19</v>
      </c>
      <c r="D1236" s="74">
        <v>236.24141500045019</v>
      </c>
      <c r="E1236" s="81">
        <v>1276249</v>
      </c>
      <c r="F1236" s="82">
        <v>1248309.5289256284</v>
      </c>
      <c r="G1236" s="75">
        <v>1542.2598395326361</v>
      </c>
      <c r="H1236" s="76">
        <v>3</v>
      </c>
      <c r="I1236" s="54" t="s">
        <v>20</v>
      </c>
      <c r="J1236" s="77">
        <v>40</v>
      </c>
      <c r="K1236" s="78">
        <v>3</v>
      </c>
      <c r="L1236" s="54">
        <v>1</v>
      </c>
      <c r="M1236" s="54">
        <f>_xlfn.XLOOKUP(Survey!$F1236,sections[Start],sections[Test Section],,-1,1)</f>
        <v>5</v>
      </c>
      <c r="N1236" s="55">
        <f>_xlfn.XLOOKUP(Survey!$K1236,pipedata[ID],pipedata[WT])</f>
        <v>0.88800000000000001</v>
      </c>
      <c r="O1236" s="56">
        <f>_xlfn.XLOOKUP(Survey!$K1236,pipedata[ID],pipedata[104%])</f>
        <v>3078.4</v>
      </c>
      <c r="P1236" s="57">
        <f t="shared" si="19"/>
        <v>1850</v>
      </c>
      <c r="Q1236" s="58">
        <f>_xlfn.MAXIFS(Survey!$G$2:$G$3647,Survey!$M$2:$M$3647,Survey!$M1236)-Survey!$G1236</f>
        <v>2193.1169997926354</v>
      </c>
      <c r="R1236" s="59">
        <f>Survey!$P1236+(Survey!$Q1236*0.433)</f>
        <v>2799.6196609102112</v>
      </c>
    </row>
    <row r="1237" spans="1:18" x14ac:dyDescent="0.25">
      <c r="A1237" s="60" t="s">
        <v>17</v>
      </c>
      <c r="B1237" s="61" t="s">
        <v>18</v>
      </c>
      <c r="C1237" s="62" t="s">
        <v>19</v>
      </c>
      <c r="D1237" s="63">
        <v>236.24889919448779</v>
      </c>
      <c r="E1237" s="79">
        <v>1276289</v>
      </c>
      <c r="F1237" s="80">
        <v>1248347.9876033145</v>
      </c>
      <c r="G1237" s="66">
        <v>1542.3899274121586</v>
      </c>
      <c r="H1237" s="67">
        <v>3</v>
      </c>
      <c r="I1237" s="68" t="s">
        <v>20</v>
      </c>
      <c r="J1237" s="69">
        <v>40</v>
      </c>
      <c r="K1237" s="70">
        <v>3</v>
      </c>
      <c r="L1237" s="68">
        <v>1</v>
      </c>
      <c r="M1237" s="68">
        <f>_xlfn.XLOOKUP(Survey!$F1237,sections[Start],sections[Test Section],,-1,1)</f>
        <v>5</v>
      </c>
      <c r="N1237" s="55">
        <f>_xlfn.XLOOKUP(Survey!$K1237,pipedata[ID],pipedata[WT])</f>
        <v>0.88800000000000001</v>
      </c>
      <c r="O1237" s="56">
        <f>_xlfn.XLOOKUP(Survey!$K1237,pipedata[ID],pipedata[104%])</f>
        <v>3078.4</v>
      </c>
      <c r="P1237" s="57">
        <f t="shared" si="19"/>
        <v>1850</v>
      </c>
      <c r="Q1237" s="58">
        <f>_xlfn.MAXIFS(Survey!$G$2:$G$3647,Survey!$M$2:$M$3647,Survey!$M1237)-Survey!$G1237</f>
        <v>2192.9869119131126</v>
      </c>
      <c r="R1237" s="59">
        <f>Survey!$P1237+(Survey!$Q1237*0.433)</f>
        <v>2799.5633328583776</v>
      </c>
    </row>
    <row r="1238" spans="1:18" x14ac:dyDescent="0.25">
      <c r="A1238" s="71" t="s">
        <v>17</v>
      </c>
      <c r="B1238" s="72" t="s">
        <v>18</v>
      </c>
      <c r="C1238" s="73" t="s">
        <v>19</v>
      </c>
      <c r="D1238" s="74">
        <v>236.25709871511975</v>
      </c>
      <c r="E1238" s="81">
        <v>1276329</v>
      </c>
      <c r="F1238" s="82">
        <v>1248386.4462810005</v>
      </c>
      <c r="G1238" s="75">
        <v>1545.1655120184087</v>
      </c>
      <c r="H1238" s="76">
        <v>3</v>
      </c>
      <c r="I1238" s="54" t="s">
        <v>20</v>
      </c>
      <c r="J1238" s="77">
        <v>40</v>
      </c>
      <c r="K1238" s="78">
        <v>3</v>
      </c>
      <c r="L1238" s="54">
        <v>1</v>
      </c>
      <c r="M1238" s="54">
        <f>_xlfn.XLOOKUP(Survey!$F1238,sections[Start],sections[Test Section],,-1,1)</f>
        <v>5</v>
      </c>
      <c r="N1238" s="55">
        <f>_xlfn.XLOOKUP(Survey!$K1238,pipedata[ID],pipedata[WT])</f>
        <v>0.88800000000000001</v>
      </c>
      <c r="O1238" s="56">
        <f>_xlfn.XLOOKUP(Survey!$K1238,pipedata[ID],pipedata[104%])</f>
        <v>3078.4</v>
      </c>
      <c r="P1238" s="57">
        <f t="shared" si="19"/>
        <v>1850</v>
      </c>
      <c r="Q1238" s="58">
        <f>_xlfn.MAXIFS(Survey!$G$2:$G$3647,Survey!$M$2:$M$3647,Survey!$M1238)-Survey!$G1238</f>
        <v>2190.2113273068626</v>
      </c>
      <c r="R1238" s="59">
        <f>Survey!$P1238+(Survey!$Q1238*0.433)</f>
        <v>2798.3615047238713</v>
      </c>
    </row>
    <row r="1239" spans="1:18" x14ac:dyDescent="0.25">
      <c r="A1239" s="60" t="s">
        <v>17</v>
      </c>
      <c r="B1239" s="61" t="s">
        <v>18</v>
      </c>
      <c r="C1239" s="62" t="s">
        <v>19</v>
      </c>
      <c r="D1239" s="63">
        <v>236.26380436286536</v>
      </c>
      <c r="E1239" s="79">
        <v>1276369</v>
      </c>
      <c r="F1239" s="80">
        <v>1248424.9049586866</v>
      </c>
      <c r="G1239" s="66">
        <v>1553.904364617272</v>
      </c>
      <c r="H1239" s="67">
        <v>3</v>
      </c>
      <c r="I1239" s="68" t="s">
        <v>20</v>
      </c>
      <c r="J1239" s="69">
        <v>40</v>
      </c>
      <c r="K1239" s="70">
        <v>3</v>
      </c>
      <c r="L1239" s="68">
        <v>1</v>
      </c>
      <c r="M1239" s="68">
        <f>_xlfn.XLOOKUP(Survey!$F1239,sections[Start],sections[Test Section],,-1,1)</f>
        <v>5</v>
      </c>
      <c r="N1239" s="55">
        <f>_xlfn.XLOOKUP(Survey!$K1239,pipedata[ID],pipedata[WT])</f>
        <v>0.88800000000000001</v>
      </c>
      <c r="O1239" s="56">
        <f>_xlfn.XLOOKUP(Survey!$K1239,pipedata[ID],pipedata[104%])</f>
        <v>3078.4</v>
      </c>
      <c r="P1239" s="57">
        <f t="shared" si="19"/>
        <v>1850</v>
      </c>
      <c r="Q1239" s="58">
        <f>_xlfn.MAXIFS(Survey!$G$2:$G$3647,Survey!$M$2:$M$3647,Survey!$M1239)-Survey!$G1239</f>
        <v>2181.472474707999</v>
      </c>
      <c r="R1239" s="59">
        <f>Survey!$P1239+(Survey!$Q1239*0.433)</f>
        <v>2794.5775815485636</v>
      </c>
    </row>
    <row r="1240" spans="1:18" x14ac:dyDescent="0.25">
      <c r="A1240" s="71" t="s">
        <v>17</v>
      </c>
      <c r="B1240" s="72" t="s">
        <v>18</v>
      </c>
      <c r="C1240" s="73" t="s">
        <v>19</v>
      </c>
      <c r="D1240" s="74">
        <v>236.27128403540343</v>
      </c>
      <c r="E1240" s="81">
        <v>1276409</v>
      </c>
      <c r="F1240" s="82">
        <v>1248463.3636363726</v>
      </c>
      <c r="G1240" s="75">
        <v>1565.7528817923553</v>
      </c>
      <c r="H1240" s="76">
        <v>3</v>
      </c>
      <c r="I1240" s="54" t="s">
        <v>20</v>
      </c>
      <c r="J1240" s="77">
        <v>40</v>
      </c>
      <c r="K1240" s="78">
        <v>3</v>
      </c>
      <c r="L1240" s="54">
        <v>1</v>
      </c>
      <c r="M1240" s="54">
        <f>_xlfn.XLOOKUP(Survey!$F1240,sections[Start],sections[Test Section],,-1,1)</f>
        <v>5</v>
      </c>
      <c r="N1240" s="55">
        <f>_xlfn.XLOOKUP(Survey!$K1240,pipedata[ID],pipedata[WT])</f>
        <v>0.88800000000000001</v>
      </c>
      <c r="O1240" s="56">
        <f>_xlfn.XLOOKUP(Survey!$K1240,pipedata[ID],pipedata[104%])</f>
        <v>3078.4</v>
      </c>
      <c r="P1240" s="57">
        <f t="shared" si="19"/>
        <v>1850</v>
      </c>
      <c r="Q1240" s="58">
        <f>_xlfn.MAXIFS(Survey!$G$2:$G$3647,Survey!$M$2:$M$3647,Survey!$M1240)-Survey!$G1240</f>
        <v>2169.6239575329159</v>
      </c>
      <c r="R1240" s="59">
        <f>Survey!$P1240+(Survey!$Q1240*0.433)</f>
        <v>2789.4471736117525</v>
      </c>
    </row>
    <row r="1241" spans="1:18" x14ac:dyDescent="0.25">
      <c r="A1241" s="60" t="s">
        <v>17</v>
      </c>
      <c r="B1241" s="61" t="s">
        <v>18</v>
      </c>
      <c r="C1241" s="62" t="s">
        <v>19</v>
      </c>
      <c r="D1241" s="63">
        <v>236.27765665116829</v>
      </c>
      <c r="E1241" s="79">
        <v>1276449</v>
      </c>
      <c r="F1241" s="80">
        <v>1248501.8223140587</v>
      </c>
      <c r="G1241" s="66">
        <v>1575.8960265062005</v>
      </c>
      <c r="H1241" s="67">
        <v>3</v>
      </c>
      <c r="I1241" s="68" t="s">
        <v>20</v>
      </c>
      <c r="J1241" s="69">
        <v>40</v>
      </c>
      <c r="K1241" s="70">
        <v>3</v>
      </c>
      <c r="L1241" s="68">
        <v>1</v>
      </c>
      <c r="M1241" s="68">
        <f>_xlfn.XLOOKUP(Survey!$F1241,sections[Start],sections[Test Section],,-1,1)</f>
        <v>5</v>
      </c>
      <c r="N1241" s="55">
        <f>_xlfn.XLOOKUP(Survey!$K1241,pipedata[ID],pipedata[WT])</f>
        <v>0.88800000000000001</v>
      </c>
      <c r="O1241" s="56">
        <f>_xlfn.XLOOKUP(Survey!$K1241,pipedata[ID],pipedata[104%])</f>
        <v>3078.4</v>
      </c>
      <c r="P1241" s="57">
        <f t="shared" si="19"/>
        <v>1850</v>
      </c>
      <c r="Q1241" s="58">
        <f>_xlfn.MAXIFS(Survey!$G$2:$G$3647,Survey!$M$2:$M$3647,Survey!$M1241)-Survey!$G1241</f>
        <v>2159.4808128190707</v>
      </c>
      <c r="R1241" s="59">
        <f>Survey!$P1241+(Survey!$Q1241*0.433)</f>
        <v>2785.0551919506574</v>
      </c>
    </row>
    <row r="1242" spans="1:18" x14ac:dyDescent="0.25">
      <c r="A1242" s="71" t="s">
        <v>17</v>
      </c>
      <c r="B1242" s="72" t="s">
        <v>18</v>
      </c>
      <c r="C1242" s="73" t="s">
        <v>19</v>
      </c>
      <c r="D1242" s="74">
        <v>236.28552893416796</v>
      </c>
      <c r="E1242" s="81">
        <v>1276489</v>
      </c>
      <c r="F1242" s="82">
        <v>1248540.2809917447</v>
      </c>
      <c r="G1242" s="75">
        <v>1587.9472848141802</v>
      </c>
      <c r="H1242" s="76">
        <v>3</v>
      </c>
      <c r="I1242" s="54" t="s">
        <v>20</v>
      </c>
      <c r="J1242" s="77">
        <v>40</v>
      </c>
      <c r="K1242" s="78">
        <v>3</v>
      </c>
      <c r="L1242" s="54">
        <v>1</v>
      </c>
      <c r="M1242" s="54">
        <f>_xlfn.XLOOKUP(Survey!$F1242,sections[Start],sections[Test Section],,-1,1)</f>
        <v>5</v>
      </c>
      <c r="N1242" s="55">
        <f>_xlfn.XLOOKUP(Survey!$K1242,pipedata[ID],pipedata[WT])</f>
        <v>0.88800000000000001</v>
      </c>
      <c r="O1242" s="56">
        <f>_xlfn.XLOOKUP(Survey!$K1242,pipedata[ID],pipedata[104%])</f>
        <v>3078.4</v>
      </c>
      <c r="P1242" s="57">
        <f t="shared" si="19"/>
        <v>1850</v>
      </c>
      <c r="Q1242" s="58">
        <f>_xlfn.MAXIFS(Survey!$G$2:$G$3647,Survey!$M$2:$M$3647,Survey!$M1242)-Survey!$G1242</f>
        <v>2147.4295545110908</v>
      </c>
      <c r="R1242" s="59">
        <f>Survey!$P1242+(Survey!$Q1242*0.433)</f>
        <v>2779.8369971033026</v>
      </c>
    </row>
    <row r="1243" spans="1:18" x14ac:dyDescent="0.25">
      <c r="A1243" s="60" t="s">
        <v>17</v>
      </c>
      <c r="B1243" s="61" t="s">
        <v>18</v>
      </c>
      <c r="C1243" s="62" t="s">
        <v>19</v>
      </c>
      <c r="D1243" s="63">
        <v>236.29163389078127</v>
      </c>
      <c r="E1243" s="79">
        <v>1276529</v>
      </c>
      <c r="F1243" s="80">
        <v>1248578.7396694308</v>
      </c>
      <c r="G1243" s="66">
        <v>1602.9538066104076</v>
      </c>
      <c r="H1243" s="67">
        <v>3</v>
      </c>
      <c r="I1243" s="68" t="s">
        <v>20</v>
      </c>
      <c r="J1243" s="69">
        <v>40</v>
      </c>
      <c r="K1243" s="70">
        <v>3</v>
      </c>
      <c r="L1243" s="68">
        <v>1</v>
      </c>
      <c r="M1243" s="68">
        <f>_xlfn.XLOOKUP(Survey!$F1243,sections[Start],sections[Test Section],,-1,1)</f>
        <v>5</v>
      </c>
      <c r="N1243" s="55">
        <f>_xlfn.XLOOKUP(Survey!$K1243,pipedata[ID],pipedata[WT])</f>
        <v>0.88800000000000001</v>
      </c>
      <c r="O1243" s="56">
        <f>_xlfn.XLOOKUP(Survey!$K1243,pipedata[ID],pipedata[104%])</f>
        <v>3078.4</v>
      </c>
      <c r="P1243" s="57">
        <f t="shared" si="19"/>
        <v>1850</v>
      </c>
      <c r="Q1243" s="58">
        <f>_xlfn.MAXIFS(Survey!$G$2:$G$3647,Survey!$M$2:$M$3647,Survey!$M1243)-Survey!$G1243</f>
        <v>2132.4230327148634</v>
      </c>
      <c r="R1243" s="59">
        <f>Survey!$P1243+(Survey!$Q1243*0.433)</f>
        <v>2773.3391731655356</v>
      </c>
    </row>
    <row r="1244" spans="1:18" x14ac:dyDescent="0.25">
      <c r="A1244" s="71" t="s">
        <v>17</v>
      </c>
      <c r="B1244" s="72" t="s">
        <v>18</v>
      </c>
      <c r="C1244" s="73" t="s">
        <v>19</v>
      </c>
      <c r="D1244" s="74">
        <v>236.29977383293229</v>
      </c>
      <c r="E1244" s="81">
        <v>1276569</v>
      </c>
      <c r="F1244" s="82">
        <v>1248617.1983471168</v>
      </c>
      <c r="G1244" s="75">
        <v>1620.9196542179623</v>
      </c>
      <c r="H1244" s="76">
        <v>3</v>
      </c>
      <c r="I1244" s="54" t="s">
        <v>20</v>
      </c>
      <c r="J1244" s="77">
        <v>40</v>
      </c>
      <c r="K1244" s="78">
        <v>3</v>
      </c>
      <c r="L1244" s="54">
        <v>1</v>
      </c>
      <c r="M1244" s="54">
        <f>_xlfn.XLOOKUP(Survey!$F1244,sections[Start],sections[Test Section],,-1,1)</f>
        <v>5</v>
      </c>
      <c r="N1244" s="55">
        <f>_xlfn.XLOOKUP(Survey!$K1244,pipedata[ID],pipedata[WT])</f>
        <v>0.88800000000000001</v>
      </c>
      <c r="O1244" s="56">
        <f>_xlfn.XLOOKUP(Survey!$K1244,pipedata[ID],pipedata[104%])</f>
        <v>3078.4</v>
      </c>
      <c r="P1244" s="57">
        <f t="shared" si="19"/>
        <v>1850</v>
      </c>
      <c r="Q1244" s="58">
        <f>_xlfn.MAXIFS(Survey!$G$2:$G$3647,Survey!$M$2:$M$3647,Survey!$M1244)-Survey!$G1244</f>
        <v>2114.4571851073088</v>
      </c>
      <c r="R1244" s="59">
        <f>Survey!$P1244+(Survey!$Q1244*0.433)</f>
        <v>2765.5599611514644</v>
      </c>
    </row>
    <row r="1245" spans="1:18" x14ac:dyDescent="0.25">
      <c r="A1245" s="60" t="s">
        <v>17</v>
      </c>
      <c r="B1245" s="61" t="s">
        <v>18</v>
      </c>
      <c r="C1245" s="62" t="s">
        <v>19</v>
      </c>
      <c r="D1245" s="63">
        <v>236.30587878954569</v>
      </c>
      <c r="E1245" s="79">
        <v>1276609</v>
      </c>
      <c r="F1245" s="80">
        <v>1248655.6570248029</v>
      </c>
      <c r="G1245" s="66">
        <v>1636.0798567340942</v>
      </c>
      <c r="H1245" s="67">
        <v>3</v>
      </c>
      <c r="I1245" s="68" t="s">
        <v>20</v>
      </c>
      <c r="J1245" s="69">
        <v>40</v>
      </c>
      <c r="K1245" s="70">
        <v>3</v>
      </c>
      <c r="L1245" s="68">
        <v>1</v>
      </c>
      <c r="M1245" s="68">
        <f>_xlfn.XLOOKUP(Survey!$F1245,sections[Start],sections[Test Section],,-1,1)</f>
        <v>5</v>
      </c>
      <c r="N1245" s="55">
        <f>_xlfn.XLOOKUP(Survey!$K1245,pipedata[ID],pipedata[WT])</f>
        <v>0.88800000000000001</v>
      </c>
      <c r="O1245" s="56">
        <f>_xlfn.XLOOKUP(Survey!$K1245,pipedata[ID],pipedata[104%])</f>
        <v>3078.4</v>
      </c>
      <c r="P1245" s="57">
        <f t="shared" si="19"/>
        <v>1850</v>
      </c>
      <c r="Q1245" s="58">
        <f>_xlfn.MAXIFS(Survey!$G$2:$G$3647,Survey!$M$2:$M$3647,Survey!$M1245)-Survey!$G1245</f>
        <v>2099.2969825911769</v>
      </c>
      <c r="R1245" s="59">
        <f>Survey!$P1245+(Survey!$Q1245*0.433)</f>
        <v>2758.9955934619793</v>
      </c>
    </row>
    <row r="1246" spans="1:18" x14ac:dyDescent="0.25">
      <c r="A1246" s="71" t="s">
        <v>17</v>
      </c>
      <c r="B1246" s="72" t="s">
        <v>18</v>
      </c>
      <c r="C1246" s="73" t="s">
        <v>19</v>
      </c>
      <c r="D1246" s="74">
        <v>236.31409672095893</v>
      </c>
      <c r="E1246" s="81">
        <v>1276649</v>
      </c>
      <c r="F1246" s="82">
        <v>1248694.1157024889</v>
      </c>
      <c r="G1246" s="75">
        <v>1652.1260772455023</v>
      </c>
      <c r="H1246" s="76">
        <v>3</v>
      </c>
      <c r="I1246" s="54" t="s">
        <v>20</v>
      </c>
      <c r="J1246" s="77">
        <v>40</v>
      </c>
      <c r="K1246" s="78">
        <v>3</v>
      </c>
      <c r="L1246" s="54">
        <v>1</v>
      </c>
      <c r="M1246" s="54">
        <f>_xlfn.XLOOKUP(Survey!$F1246,sections[Start],sections[Test Section],,-1,1)</f>
        <v>5</v>
      </c>
      <c r="N1246" s="55">
        <f>_xlfn.XLOOKUP(Survey!$K1246,pipedata[ID],pipedata[WT])</f>
        <v>0.88800000000000001</v>
      </c>
      <c r="O1246" s="56">
        <f>_xlfn.XLOOKUP(Survey!$K1246,pipedata[ID],pipedata[104%])</f>
        <v>3078.4</v>
      </c>
      <c r="P1246" s="57">
        <f t="shared" si="19"/>
        <v>1850</v>
      </c>
      <c r="Q1246" s="58">
        <f>_xlfn.MAXIFS(Survey!$G$2:$G$3647,Survey!$M$2:$M$3647,Survey!$M1246)-Survey!$G1246</f>
        <v>2083.2507620797687</v>
      </c>
      <c r="R1246" s="59">
        <f>Survey!$P1246+(Survey!$Q1246*0.433)</f>
        <v>2752.0475799805399</v>
      </c>
    </row>
    <row r="1247" spans="1:18" x14ac:dyDescent="0.25">
      <c r="A1247" s="60" t="s">
        <v>17</v>
      </c>
      <c r="B1247" s="61" t="s">
        <v>18</v>
      </c>
      <c r="C1247" s="62" t="s">
        <v>19</v>
      </c>
      <c r="D1247" s="63">
        <v>236.32175689873552</v>
      </c>
      <c r="E1247" s="79">
        <v>1276689</v>
      </c>
      <c r="F1247" s="80">
        <v>1248732.574380175</v>
      </c>
      <c r="G1247" s="66">
        <v>1657.4882159101805</v>
      </c>
      <c r="H1247" s="67">
        <v>3</v>
      </c>
      <c r="I1247" s="68" t="s">
        <v>20</v>
      </c>
      <c r="J1247" s="69">
        <v>40</v>
      </c>
      <c r="K1247" s="70">
        <v>3</v>
      </c>
      <c r="L1247" s="68">
        <v>1</v>
      </c>
      <c r="M1247" s="68">
        <f>_xlfn.XLOOKUP(Survey!$F1247,sections[Start],sections[Test Section],,-1,1)</f>
        <v>5</v>
      </c>
      <c r="N1247" s="55">
        <f>_xlfn.XLOOKUP(Survey!$K1247,pipedata[ID],pipedata[WT])</f>
        <v>0.88800000000000001</v>
      </c>
      <c r="O1247" s="56">
        <f>_xlfn.XLOOKUP(Survey!$K1247,pipedata[ID],pipedata[104%])</f>
        <v>3078.4</v>
      </c>
      <c r="P1247" s="57">
        <f t="shared" si="19"/>
        <v>1850</v>
      </c>
      <c r="Q1247" s="58">
        <f>_xlfn.MAXIFS(Survey!$G$2:$G$3647,Survey!$M$2:$M$3647,Survey!$M1247)-Survey!$G1247</f>
        <v>2077.8886234150905</v>
      </c>
      <c r="R1247" s="59">
        <f>Survey!$P1247+(Survey!$Q1247*0.433)</f>
        <v>2749.7257739387342</v>
      </c>
    </row>
    <row r="1248" spans="1:18" x14ac:dyDescent="0.25">
      <c r="A1248" s="71" t="s">
        <v>17</v>
      </c>
      <c r="B1248" s="72" t="s">
        <v>18</v>
      </c>
      <c r="C1248" s="73" t="s">
        <v>19</v>
      </c>
      <c r="D1248" s="74">
        <v>236.32944349802344</v>
      </c>
      <c r="E1248" s="81">
        <v>1276729</v>
      </c>
      <c r="F1248" s="82">
        <v>1248771.033057861</v>
      </c>
      <c r="G1248" s="75">
        <v>1660.0148096193914</v>
      </c>
      <c r="H1248" s="76">
        <v>3</v>
      </c>
      <c r="I1248" s="54" t="s">
        <v>20</v>
      </c>
      <c r="J1248" s="77">
        <v>40</v>
      </c>
      <c r="K1248" s="78">
        <v>3</v>
      </c>
      <c r="L1248" s="54">
        <v>1</v>
      </c>
      <c r="M1248" s="54">
        <f>_xlfn.XLOOKUP(Survey!$F1248,sections[Start],sections[Test Section],,-1,1)</f>
        <v>5</v>
      </c>
      <c r="N1248" s="55">
        <f>_xlfn.XLOOKUP(Survey!$K1248,pipedata[ID],pipedata[WT])</f>
        <v>0.88800000000000001</v>
      </c>
      <c r="O1248" s="56">
        <f>_xlfn.XLOOKUP(Survey!$K1248,pipedata[ID],pipedata[104%])</f>
        <v>3078.4</v>
      </c>
      <c r="P1248" s="57">
        <f t="shared" si="19"/>
        <v>1850</v>
      </c>
      <c r="Q1248" s="58">
        <f>_xlfn.MAXIFS(Survey!$G$2:$G$3647,Survey!$M$2:$M$3647,Survey!$M1248)-Survey!$G1248</f>
        <v>2075.3620297058796</v>
      </c>
      <c r="R1248" s="59">
        <f>Survey!$P1248+(Survey!$Q1248*0.433)</f>
        <v>2748.6317588626457</v>
      </c>
    </row>
    <row r="1249" spans="1:18" x14ac:dyDescent="0.25">
      <c r="A1249" s="60" t="s">
        <v>17</v>
      </c>
      <c r="B1249" s="61" t="s">
        <v>18</v>
      </c>
      <c r="C1249" s="62" t="s">
        <v>19</v>
      </c>
      <c r="D1249" s="63">
        <v>236.33755748300914</v>
      </c>
      <c r="E1249" s="79">
        <v>1276769</v>
      </c>
      <c r="F1249" s="80">
        <v>1248809.4917355471</v>
      </c>
      <c r="G1249" s="66">
        <v>1660.9723294573516</v>
      </c>
      <c r="H1249" s="67">
        <v>3</v>
      </c>
      <c r="I1249" s="68" t="s">
        <v>20</v>
      </c>
      <c r="J1249" s="69">
        <v>40</v>
      </c>
      <c r="K1249" s="70">
        <v>3</v>
      </c>
      <c r="L1249" s="68">
        <v>1</v>
      </c>
      <c r="M1249" s="68">
        <f>_xlfn.XLOOKUP(Survey!$F1249,sections[Start],sections[Test Section],,-1,1)</f>
        <v>5</v>
      </c>
      <c r="N1249" s="55">
        <f>_xlfn.XLOOKUP(Survey!$K1249,pipedata[ID],pipedata[WT])</f>
        <v>0.88800000000000001</v>
      </c>
      <c r="O1249" s="56">
        <f>_xlfn.XLOOKUP(Survey!$K1249,pipedata[ID],pipedata[104%])</f>
        <v>3078.4</v>
      </c>
      <c r="P1249" s="57">
        <f t="shared" si="19"/>
        <v>1850</v>
      </c>
      <c r="Q1249" s="58">
        <f>_xlfn.MAXIFS(Survey!$G$2:$G$3647,Survey!$M$2:$M$3647,Survey!$M1249)-Survey!$G1249</f>
        <v>2074.4045098679198</v>
      </c>
      <c r="R1249" s="59">
        <f>Survey!$P1249+(Survey!$Q1249*0.433)</f>
        <v>2748.2171527728092</v>
      </c>
    </row>
    <row r="1250" spans="1:18" x14ac:dyDescent="0.25">
      <c r="A1250" s="71" t="s">
        <v>17</v>
      </c>
      <c r="B1250" s="72" t="s">
        <v>18</v>
      </c>
      <c r="C1250" s="73" t="s">
        <v>19</v>
      </c>
      <c r="D1250" s="74">
        <v>236.34481669659928</v>
      </c>
      <c r="E1250" s="81">
        <v>1276809</v>
      </c>
      <c r="F1250" s="82">
        <v>1248847.9504132331</v>
      </c>
      <c r="G1250" s="75">
        <v>1660.439602510455</v>
      </c>
      <c r="H1250" s="76">
        <v>3</v>
      </c>
      <c r="I1250" s="54" t="s">
        <v>20</v>
      </c>
      <c r="J1250" s="77">
        <v>40</v>
      </c>
      <c r="K1250" s="78">
        <v>3</v>
      </c>
      <c r="L1250" s="54">
        <v>1</v>
      </c>
      <c r="M1250" s="54">
        <f>_xlfn.XLOOKUP(Survey!$F1250,sections[Start],sections[Test Section],,-1,1)</f>
        <v>5</v>
      </c>
      <c r="N1250" s="55">
        <f>_xlfn.XLOOKUP(Survey!$K1250,pipedata[ID],pipedata[WT])</f>
        <v>0.88800000000000001</v>
      </c>
      <c r="O1250" s="56">
        <f>_xlfn.XLOOKUP(Survey!$K1250,pipedata[ID],pipedata[104%])</f>
        <v>3078.4</v>
      </c>
      <c r="P1250" s="57">
        <f t="shared" si="19"/>
        <v>1850</v>
      </c>
      <c r="Q1250" s="58">
        <f>_xlfn.MAXIFS(Survey!$G$2:$G$3647,Survey!$M$2:$M$3647,Survey!$M1250)-Survey!$G1250</f>
        <v>2074.9372368148161</v>
      </c>
      <c r="R1250" s="59">
        <f>Survey!$P1250+(Survey!$Q1250*0.433)</f>
        <v>2748.4478235408151</v>
      </c>
    </row>
    <row r="1251" spans="1:18" x14ac:dyDescent="0.25">
      <c r="A1251" s="60" t="s">
        <v>17</v>
      </c>
      <c r="B1251" s="61" t="s">
        <v>18</v>
      </c>
      <c r="C1251" s="62" t="s">
        <v>19</v>
      </c>
      <c r="D1251" s="63">
        <v>236.3525032958872</v>
      </c>
      <c r="E1251" s="79">
        <v>1276849</v>
      </c>
      <c r="F1251" s="80">
        <v>1248886.4090909192</v>
      </c>
      <c r="G1251" s="66">
        <v>1659.9738319829858</v>
      </c>
      <c r="H1251" s="67">
        <v>3</v>
      </c>
      <c r="I1251" s="68" t="s">
        <v>20</v>
      </c>
      <c r="J1251" s="69">
        <v>40</v>
      </c>
      <c r="K1251" s="70">
        <v>3</v>
      </c>
      <c r="L1251" s="68">
        <v>1</v>
      </c>
      <c r="M1251" s="68">
        <f>_xlfn.XLOOKUP(Survey!$F1251,sections[Start],sections[Test Section],,-1,1)</f>
        <v>5</v>
      </c>
      <c r="N1251" s="55">
        <f>_xlfn.XLOOKUP(Survey!$K1251,pipedata[ID],pipedata[WT])</f>
        <v>0.88800000000000001</v>
      </c>
      <c r="O1251" s="56">
        <f>_xlfn.XLOOKUP(Survey!$K1251,pipedata[ID],pipedata[104%])</f>
        <v>3078.4</v>
      </c>
      <c r="P1251" s="57">
        <f t="shared" si="19"/>
        <v>1850</v>
      </c>
      <c r="Q1251" s="58">
        <f>_xlfn.MAXIFS(Survey!$G$2:$G$3647,Survey!$M$2:$M$3647,Survey!$M1251)-Survey!$G1251</f>
        <v>2075.4030073422855</v>
      </c>
      <c r="R1251" s="59">
        <f>Survey!$P1251+(Survey!$Q1251*0.433)</f>
        <v>2748.6495021792098</v>
      </c>
    </row>
    <row r="1252" spans="1:18" x14ac:dyDescent="0.25">
      <c r="A1252" s="71" t="s">
        <v>17</v>
      </c>
      <c r="B1252" s="72" t="s">
        <v>18</v>
      </c>
      <c r="C1252" s="73" t="s">
        <v>19</v>
      </c>
      <c r="D1252" s="74">
        <v>236.36018989517518</v>
      </c>
      <c r="E1252" s="64">
        <v>1276889</v>
      </c>
      <c r="F1252" s="65">
        <v>1248924.8677686052</v>
      </c>
      <c r="G1252" s="75">
        <v>1659.6799999999851</v>
      </c>
      <c r="H1252" s="76">
        <v>3</v>
      </c>
      <c r="I1252" s="54" t="s">
        <v>20</v>
      </c>
      <c r="J1252" s="77">
        <v>40</v>
      </c>
      <c r="K1252" s="78">
        <v>3</v>
      </c>
      <c r="L1252" s="54">
        <v>1</v>
      </c>
      <c r="M1252" s="54">
        <f>_xlfn.XLOOKUP(Survey!$F1252,sections[Start],sections[Test Section],,-1,1)</f>
        <v>5</v>
      </c>
      <c r="N1252" s="55">
        <f>_xlfn.XLOOKUP(Survey!$K1252,pipedata[ID],pipedata[WT])</f>
        <v>0.88800000000000001</v>
      </c>
      <c r="O1252" s="56">
        <f>_xlfn.XLOOKUP(Survey!$K1252,pipedata[ID],pipedata[104%])</f>
        <v>3078.4</v>
      </c>
      <c r="P1252" s="57">
        <f t="shared" si="19"/>
        <v>1850</v>
      </c>
      <c r="Q1252" s="58">
        <f>_xlfn.MAXIFS(Survey!$G$2:$G$3647,Survey!$M$2:$M$3647,Survey!$M1252)-Survey!$G1252</f>
        <v>2075.6968393252864</v>
      </c>
      <c r="R1252" s="59">
        <f>Survey!$P1252+(Survey!$Q1252*0.433)</f>
        <v>2748.776731427849</v>
      </c>
    </row>
    <row r="1253" spans="1:18" x14ac:dyDescent="0.25">
      <c r="A1253" s="60" t="s">
        <v>17</v>
      </c>
      <c r="B1253" s="61" t="s">
        <v>18</v>
      </c>
      <c r="C1253" s="62" t="s">
        <v>19</v>
      </c>
      <c r="D1253" s="63">
        <v>236.36771689735795</v>
      </c>
      <c r="E1253" s="79">
        <v>1276929</v>
      </c>
      <c r="F1253" s="80">
        <v>1248963.3264462913</v>
      </c>
      <c r="G1253" s="66">
        <v>1660.8651685457955</v>
      </c>
      <c r="H1253" s="67">
        <v>3</v>
      </c>
      <c r="I1253" s="68" t="s">
        <v>20</v>
      </c>
      <c r="J1253" s="69">
        <v>40</v>
      </c>
      <c r="K1253" s="70">
        <v>3</v>
      </c>
      <c r="L1253" s="68">
        <v>1</v>
      </c>
      <c r="M1253" s="68">
        <f>_xlfn.XLOOKUP(Survey!$F1253,sections[Start],sections[Test Section],,-1,1)</f>
        <v>5</v>
      </c>
      <c r="N1253" s="55">
        <f>_xlfn.XLOOKUP(Survey!$K1253,pipedata[ID],pipedata[WT])</f>
        <v>0.88800000000000001</v>
      </c>
      <c r="O1253" s="56">
        <f>_xlfn.XLOOKUP(Survey!$K1253,pipedata[ID],pipedata[104%])</f>
        <v>3078.4</v>
      </c>
      <c r="P1253" s="57">
        <f t="shared" si="19"/>
        <v>1850</v>
      </c>
      <c r="Q1253" s="58">
        <f>_xlfn.MAXIFS(Survey!$G$2:$G$3647,Survey!$M$2:$M$3647,Survey!$M1253)-Survey!$G1253</f>
        <v>2074.5116707794759</v>
      </c>
      <c r="R1253" s="59">
        <f>Survey!$P1253+(Survey!$Q1253*0.433)</f>
        <v>2748.263553447513</v>
      </c>
    </row>
    <row r="1254" spans="1:18" x14ac:dyDescent="0.25">
      <c r="A1254" s="71" t="s">
        <v>17</v>
      </c>
      <c r="B1254" s="72" t="s">
        <v>18</v>
      </c>
      <c r="C1254" s="73" t="s">
        <v>19</v>
      </c>
      <c r="D1254" s="74">
        <v>236.37404251351742</v>
      </c>
      <c r="E1254" s="81">
        <v>1276969</v>
      </c>
      <c r="F1254" s="82">
        <v>1249001.7851239773</v>
      </c>
      <c r="G1254" s="75">
        <v>1666.3198129461155</v>
      </c>
      <c r="H1254" s="76">
        <v>3</v>
      </c>
      <c r="I1254" s="54" t="s">
        <v>20</v>
      </c>
      <c r="J1254" s="77">
        <v>40</v>
      </c>
      <c r="K1254" s="78">
        <v>3</v>
      </c>
      <c r="L1254" s="54">
        <v>1</v>
      </c>
      <c r="M1254" s="54">
        <f>_xlfn.XLOOKUP(Survey!$F1254,sections[Start],sections[Test Section],,-1,1)</f>
        <v>5</v>
      </c>
      <c r="N1254" s="55">
        <f>_xlfn.XLOOKUP(Survey!$K1254,pipedata[ID],pipedata[WT])</f>
        <v>0.88800000000000001</v>
      </c>
      <c r="O1254" s="56">
        <f>_xlfn.XLOOKUP(Survey!$K1254,pipedata[ID],pipedata[104%])</f>
        <v>3078.4</v>
      </c>
      <c r="P1254" s="57">
        <f t="shared" si="19"/>
        <v>1850</v>
      </c>
      <c r="Q1254" s="58">
        <f>_xlfn.MAXIFS(Survey!$G$2:$G$3647,Survey!$M$2:$M$3647,Survey!$M1254)-Survey!$G1254</f>
        <v>2069.057026379156</v>
      </c>
      <c r="R1254" s="59">
        <f>Survey!$P1254+(Survey!$Q1254*0.433)</f>
        <v>2745.9016924221746</v>
      </c>
    </row>
    <row r="1255" spans="1:18" x14ac:dyDescent="0.25">
      <c r="A1255" s="60" t="s">
        <v>17</v>
      </c>
      <c r="B1255" s="61" t="s">
        <v>18</v>
      </c>
      <c r="C1255" s="62" t="s">
        <v>19</v>
      </c>
      <c r="D1255" s="63">
        <v>236.38207614274768</v>
      </c>
      <c r="E1255" s="64">
        <v>1277009</v>
      </c>
      <c r="F1255" s="65">
        <v>1249040.2438016634</v>
      </c>
      <c r="G1255" s="66">
        <v>1671.6102893387083</v>
      </c>
      <c r="H1255" s="67">
        <v>3</v>
      </c>
      <c r="I1255" s="68" t="s">
        <v>20</v>
      </c>
      <c r="J1255" s="69">
        <v>40</v>
      </c>
      <c r="K1255" s="70">
        <v>3</v>
      </c>
      <c r="L1255" s="68">
        <v>1</v>
      </c>
      <c r="M1255" s="68">
        <f>_xlfn.XLOOKUP(Survey!$F1255,sections[Start],sections[Test Section],,-1,1)</f>
        <v>5</v>
      </c>
      <c r="N1255" s="55">
        <f>_xlfn.XLOOKUP(Survey!$K1255,pipedata[ID],pipedata[WT])</f>
        <v>0.88800000000000001</v>
      </c>
      <c r="O1255" s="56">
        <f>_xlfn.XLOOKUP(Survey!$K1255,pipedata[ID],pipedata[104%])</f>
        <v>3078.4</v>
      </c>
      <c r="P1255" s="57">
        <f t="shared" si="19"/>
        <v>1850</v>
      </c>
      <c r="Q1255" s="58">
        <f>_xlfn.MAXIFS(Survey!$G$2:$G$3647,Survey!$M$2:$M$3647,Survey!$M1255)-Survey!$G1255</f>
        <v>2063.7665499865629</v>
      </c>
      <c r="R1255" s="59">
        <f>Survey!$P1255+(Survey!$Q1255*0.433)</f>
        <v>2743.6109161441818</v>
      </c>
    </row>
    <row r="1256" spans="1:18" x14ac:dyDescent="0.25">
      <c r="A1256" s="71" t="s">
        <v>17</v>
      </c>
      <c r="B1256" s="72" t="s">
        <v>18</v>
      </c>
      <c r="C1256" s="73" t="s">
        <v>19</v>
      </c>
      <c r="D1256" s="74">
        <v>236.3901097719783</v>
      </c>
      <c r="E1256" s="81">
        <v>1277049</v>
      </c>
      <c r="F1256" s="82">
        <v>1249078.7024793494</v>
      </c>
      <c r="G1256" s="75">
        <v>1669.1525611404782</v>
      </c>
      <c r="H1256" s="76">
        <v>3</v>
      </c>
      <c r="I1256" s="54" t="s">
        <v>20</v>
      </c>
      <c r="J1256" s="77">
        <v>40</v>
      </c>
      <c r="K1256" s="78">
        <v>3</v>
      </c>
      <c r="L1256" s="54">
        <v>1</v>
      </c>
      <c r="M1256" s="54">
        <f>_xlfn.XLOOKUP(Survey!$F1256,sections[Start],sections[Test Section],,-1,1)</f>
        <v>5</v>
      </c>
      <c r="N1256" s="55">
        <f>_xlfn.XLOOKUP(Survey!$K1256,pipedata[ID],pipedata[WT])</f>
        <v>0.88800000000000001</v>
      </c>
      <c r="O1256" s="56">
        <f>_xlfn.XLOOKUP(Survey!$K1256,pipedata[ID],pipedata[104%])</f>
        <v>3078.4</v>
      </c>
      <c r="P1256" s="57">
        <f t="shared" si="19"/>
        <v>1850</v>
      </c>
      <c r="Q1256" s="58">
        <f>_xlfn.MAXIFS(Survey!$G$2:$G$3647,Survey!$M$2:$M$3647,Survey!$M1256)-Survey!$G1256</f>
        <v>2066.2242781847931</v>
      </c>
      <c r="R1256" s="59">
        <f>Survey!$P1256+(Survey!$Q1256*0.433)</f>
        <v>2744.6751124540156</v>
      </c>
    </row>
    <row r="1257" spans="1:18" x14ac:dyDescent="0.25">
      <c r="A1257" s="60" t="s">
        <v>17</v>
      </c>
      <c r="B1257" s="61" t="s">
        <v>18</v>
      </c>
      <c r="C1257" s="62" t="s">
        <v>19</v>
      </c>
      <c r="D1257" s="63">
        <v>236.39635616942144</v>
      </c>
      <c r="E1257" s="64">
        <v>1277089</v>
      </c>
      <c r="F1257" s="65">
        <v>1249117.1611570355</v>
      </c>
      <c r="G1257" s="66">
        <v>1662.9757775372016</v>
      </c>
      <c r="H1257" s="67">
        <v>3</v>
      </c>
      <c r="I1257" s="68" t="s">
        <v>20</v>
      </c>
      <c r="J1257" s="69">
        <v>40</v>
      </c>
      <c r="K1257" s="70">
        <v>3</v>
      </c>
      <c r="L1257" s="68">
        <v>1</v>
      </c>
      <c r="M1257" s="68">
        <f>_xlfn.XLOOKUP(Survey!$F1257,sections[Start],sections[Test Section],,-1,1)</f>
        <v>5</v>
      </c>
      <c r="N1257" s="55">
        <f>_xlfn.XLOOKUP(Survey!$K1257,pipedata[ID],pipedata[WT])</f>
        <v>0.88800000000000001</v>
      </c>
      <c r="O1257" s="56">
        <f>_xlfn.XLOOKUP(Survey!$K1257,pipedata[ID],pipedata[104%])</f>
        <v>3078.4</v>
      </c>
      <c r="P1257" s="57">
        <f t="shared" si="19"/>
        <v>1850</v>
      </c>
      <c r="Q1257" s="58">
        <f>_xlfn.MAXIFS(Survey!$G$2:$G$3647,Survey!$M$2:$M$3647,Survey!$M1257)-Survey!$G1257</f>
        <v>2072.4010617880695</v>
      </c>
      <c r="R1257" s="59">
        <f>Survey!$P1257+(Survey!$Q1257*0.433)</f>
        <v>2747.3496597542339</v>
      </c>
    </row>
    <row r="1258" spans="1:18" x14ac:dyDescent="0.25">
      <c r="A1258" s="71" t="s">
        <v>17</v>
      </c>
      <c r="B1258" s="72" t="s">
        <v>18</v>
      </c>
      <c r="C1258" s="73" t="s">
        <v>19</v>
      </c>
      <c r="D1258" s="74">
        <v>236.40416862313131</v>
      </c>
      <c r="E1258" s="81">
        <v>1277129</v>
      </c>
      <c r="F1258" s="82">
        <v>1249155.6198347216</v>
      </c>
      <c r="G1258" s="75">
        <v>1658.5809560032963</v>
      </c>
      <c r="H1258" s="76">
        <v>3</v>
      </c>
      <c r="I1258" s="54" t="s">
        <v>20</v>
      </c>
      <c r="J1258" s="77">
        <v>40</v>
      </c>
      <c r="K1258" s="78">
        <v>3</v>
      </c>
      <c r="L1258" s="54">
        <v>1</v>
      </c>
      <c r="M1258" s="54">
        <f>_xlfn.XLOOKUP(Survey!$F1258,sections[Start],sections[Test Section],,-1,1)</f>
        <v>5</v>
      </c>
      <c r="N1258" s="55">
        <f>_xlfn.XLOOKUP(Survey!$K1258,pipedata[ID],pipedata[WT])</f>
        <v>0.88800000000000001</v>
      </c>
      <c r="O1258" s="56">
        <f>_xlfn.XLOOKUP(Survey!$K1258,pipedata[ID],pipedata[104%])</f>
        <v>3078.4</v>
      </c>
      <c r="P1258" s="57">
        <f t="shared" si="19"/>
        <v>1850</v>
      </c>
      <c r="Q1258" s="58">
        <f>_xlfn.MAXIFS(Survey!$G$2:$G$3647,Survey!$M$2:$M$3647,Survey!$M1258)-Survey!$G1258</f>
        <v>2076.795883321975</v>
      </c>
      <c r="R1258" s="59">
        <f>Survey!$P1258+(Survey!$Q1258*0.433)</f>
        <v>2749.2526174784152</v>
      </c>
    </row>
    <row r="1259" spans="1:18" x14ac:dyDescent="0.25">
      <c r="A1259" s="60" t="s">
        <v>17</v>
      </c>
      <c r="B1259" s="61" t="s">
        <v>18</v>
      </c>
      <c r="C1259" s="62" t="s">
        <v>19</v>
      </c>
      <c r="D1259" s="63">
        <v>236.41220225236194</v>
      </c>
      <c r="E1259" s="64">
        <v>1277169</v>
      </c>
      <c r="F1259" s="65">
        <v>1249194.0785124076</v>
      </c>
      <c r="G1259" s="66">
        <v>1650.9496501803978</v>
      </c>
      <c r="H1259" s="67">
        <v>3</v>
      </c>
      <c r="I1259" s="68" t="s">
        <v>20</v>
      </c>
      <c r="J1259" s="69">
        <v>40</v>
      </c>
      <c r="K1259" s="70">
        <v>3</v>
      </c>
      <c r="L1259" s="68">
        <v>1</v>
      </c>
      <c r="M1259" s="68">
        <f>_xlfn.XLOOKUP(Survey!$F1259,sections[Start],sections[Test Section],,-1,1)</f>
        <v>5</v>
      </c>
      <c r="N1259" s="55">
        <f>_xlfn.XLOOKUP(Survey!$K1259,pipedata[ID],pipedata[WT])</f>
        <v>0.88800000000000001</v>
      </c>
      <c r="O1259" s="56">
        <f>_xlfn.XLOOKUP(Survey!$K1259,pipedata[ID],pipedata[104%])</f>
        <v>3078.4</v>
      </c>
      <c r="P1259" s="57">
        <f t="shared" si="19"/>
        <v>1850</v>
      </c>
      <c r="Q1259" s="58">
        <f>_xlfn.MAXIFS(Survey!$G$2:$G$3647,Survey!$M$2:$M$3647,Survey!$M1259)-Survey!$G1259</f>
        <v>2084.4271891448734</v>
      </c>
      <c r="R1259" s="59">
        <f>Survey!$P1259+(Survey!$Q1259*0.433)</f>
        <v>2752.5569728997302</v>
      </c>
    </row>
    <row r="1260" spans="1:18" x14ac:dyDescent="0.25">
      <c r="A1260" s="71" t="s">
        <v>17</v>
      </c>
      <c r="B1260" s="72" t="s">
        <v>18</v>
      </c>
      <c r="C1260" s="73" t="s">
        <v>19</v>
      </c>
      <c r="D1260" s="74">
        <v>236.42023588159219</v>
      </c>
      <c r="E1260" s="64">
        <v>1277209</v>
      </c>
      <c r="F1260" s="65">
        <v>1249232.5371900937</v>
      </c>
      <c r="G1260" s="75">
        <v>1644.6140113386632</v>
      </c>
      <c r="H1260" s="76">
        <v>3</v>
      </c>
      <c r="I1260" s="54" t="s">
        <v>20</v>
      </c>
      <c r="J1260" s="77">
        <v>40</v>
      </c>
      <c r="K1260" s="78">
        <v>3</v>
      </c>
      <c r="L1260" s="54">
        <v>1</v>
      </c>
      <c r="M1260" s="54">
        <f>_xlfn.XLOOKUP(Survey!$F1260,sections[Start],sections[Test Section],,-1,1)</f>
        <v>5</v>
      </c>
      <c r="N1260" s="55">
        <f>_xlfn.XLOOKUP(Survey!$K1260,pipedata[ID],pipedata[WT])</f>
        <v>0.88800000000000001</v>
      </c>
      <c r="O1260" s="56">
        <f>_xlfn.XLOOKUP(Survey!$K1260,pipedata[ID],pipedata[104%])</f>
        <v>3078.4</v>
      </c>
      <c r="P1260" s="57">
        <f t="shared" si="19"/>
        <v>1850</v>
      </c>
      <c r="Q1260" s="58">
        <f>_xlfn.MAXIFS(Survey!$G$2:$G$3647,Survey!$M$2:$M$3647,Survey!$M1260)-Survey!$G1260</f>
        <v>2090.762827986608</v>
      </c>
      <c r="R1260" s="59">
        <f>Survey!$P1260+(Survey!$Q1260*0.433)</f>
        <v>2755.3003045182013</v>
      </c>
    </row>
    <row r="1261" spans="1:18" x14ac:dyDescent="0.25">
      <c r="A1261" s="60" t="s">
        <v>17</v>
      </c>
      <c r="B1261" s="61" t="s">
        <v>18</v>
      </c>
      <c r="C1261" s="62" t="s">
        <v>19</v>
      </c>
      <c r="D1261" s="63">
        <v>236.42670590316754</v>
      </c>
      <c r="E1261" s="64">
        <v>1277249</v>
      </c>
      <c r="F1261" s="65">
        <v>1249270.9958677797</v>
      </c>
      <c r="G1261" s="66">
        <v>1643.2876409346611</v>
      </c>
      <c r="H1261" s="67">
        <v>3</v>
      </c>
      <c r="I1261" s="68" t="s">
        <v>20</v>
      </c>
      <c r="J1261" s="69">
        <v>40</v>
      </c>
      <c r="K1261" s="70">
        <v>3</v>
      </c>
      <c r="L1261" s="68">
        <v>1</v>
      </c>
      <c r="M1261" s="68">
        <f>_xlfn.XLOOKUP(Survey!$F1261,sections[Start],sections[Test Section],,-1,1)</f>
        <v>5</v>
      </c>
      <c r="N1261" s="55">
        <f>_xlfn.XLOOKUP(Survey!$K1261,pipedata[ID],pipedata[WT])</f>
        <v>0.88800000000000001</v>
      </c>
      <c r="O1261" s="56">
        <f>_xlfn.XLOOKUP(Survey!$K1261,pipedata[ID],pipedata[104%])</f>
        <v>3078.4</v>
      </c>
      <c r="P1261" s="57">
        <f t="shared" si="19"/>
        <v>1850</v>
      </c>
      <c r="Q1261" s="58">
        <f>_xlfn.MAXIFS(Survey!$G$2:$G$3647,Survey!$M$2:$M$3647,Survey!$M1261)-Survey!$G1261</f>
        <v>2092.0891983906104</v>
      </c>
      <c r="R1261" s="59">
        <f>Survey!$P1261+(Survey!$Q1261*0.433)</f>
        <v>2755.8746229031344</v>
      </c>
    </row>
    <row r="1262" spans="1:18" x14ac:dyDescent="0.25">
      <c r="A1262" s="71" t="s">
        <v>17</v>
      </c>
      <c r="B1262" s="72" t="s">
        <v>18</v>
      </c>
      <c r="C1262" s="73" t="s">
        <v>19</v>
      </c>
      <c r="D1262" s="74">
        <v>236.43429333660407</v>
      </c>
      <c r="E1262" s="81">
        <v>1277289</v>
      </c>
      <c r="F1262" s="82">
        <v>1249309.4545454658</v>
      </c>
      <c r="G1262" s="75">
        <v>1640.0957934879118</v>
      </c>
      <c r="H1262" s="76">
        <v>3</v>
      </c>
      <c r="I1262" s="54" t="s">
        <v>20</v>
      </c>
      <c r="J1262" s="77">
        <v>40</v>
      </c>
      <c r="K1262" s="78">
        <v>3</v>
      </c>
      <c r="L1262" s="54">
        <v>1</v>
      </c>
      <c r="M1262" s="54">
        <f>_xlfn.XLOOKUP(Survey!$F1262,sections[Start],sections[Test Section],,-1,1)</f>
        <v>5</v>
      </c>
      <c r="N1262" s="55">
        <f>_xlfn.XLOOKUP(Survey!$K1262,pipedata[ID],pipedata[WT])</f>
        <v>0.88800000000000001</v>
      </c>
      <c r="O1262" s="56">
        <f>_xlfn.XLOOKUP(Survey!$K1262,pipedata[ID],pipedata[104%])</f>
        <v>3078.4</v>
      </c>
      <c r="P1262" s="57">
        <f t="shared" si="19"/>
        <v>1850</v>
      </c>
      <c r="Q1262" s="58">
        <f>_xlfn.MAXIFS(Survey!$G$2:$G$3647,Survey!$M$2:$M$3647,Survey!$M1262)-Survey!$G1262</f>
        <v>2095.2810458373597</v>
      </c>
      <c r="R1262" s="59">
        <f>Survey!$P1262+(Survey!$Q1262*0.433)</f>
        <v>2757.2566928475767</v>
      </c>
    </row>
    <row r="1263" spans="1:18" x14ac:dyDescent="0.25">
      <c r="A1263" s="60" t="s">
        <v>17</v>
      </c>
      <c r="B1263" s="61" t="s">
        <v>18</v>
      </c>
      <c r="C1263" s="62" t="s">
        <v>19</v>
      </c>
      <c r="D1263" s="63">
        <v>236.44232836197546</v>
      </c>
      <c r="E1263" s="79">
        <v>1277329</v>
      </c>
      <c r="F1263" s="80">
        <v>1249347.9132231518</v>
      </c>
      <c r="G1263" s="66">
        <v>1632.3013446571376</v>
      </c>
      <c r="H1263" s="67">
        <v>3</v>
      </c>
      <c r="I1263" s="68" t="s">
        <v>20</v>
      </c>
      <c r="J1263" s="69">
        <v>40</v>
      </c>
      <c r="K1263" s="70">
        <v>3</v>
      </c>
      <c r="L1263" s="68">
        <v>1</v>
      </c>
      <c r="M1263" s="68">
        <f>_xlfn.XLOOKUP(Survey!$F1263,sections[Start],sections[Test Section],,-1,1)</f>
        <v>5</v>
      </c>
      <c r="N1263" s="55">
        <f>_xlfn.XLOOKUP(Survey!$K1263,pipedata[ID],pipedata[WT])</f>
        <v>0.88800000000000001</v>
      </c>
      <c r="O1263" s="56">
        <f>_xlfn.XLOOKUP(Survey!$K1263,pipedata[ID],pipedata[104%])</f>
        <v>3078.4</v>
      </c>
      <c r="P1263" s="57">
        <f t="shared" si="19"/>
        <v>1850</v>
      </c>
      <c r="Q1263" s="58">
        <f>_xlfn.MAXIFS(Survey!$G$2:$G$3647,Survey!$M$2:$M$3647,Survey!$M1263)-Survey!$G1263</f>
        <v>2103.0754946681336</v>
      </c>
      <c r="R1263" s="59">
        <f>Survey!$P1263+(Survey!$Q1263*0.433)</f>
        <v>2760.631689191302</v>
      </c>
    </row>
    <row r="1264" spans="1:18" x14ac:dyDescent="0.25">
      <c r="A1264" s="71" t="s">
        <v>17</v>
      </c>
      <c r="B1264" s="72" t="s">
        <v>18</v>
      </c>
      <c r="C1264" s="73" t="s">
        <v>19</v>
      </c>
      <c r="D1264" s="74">
        <v>236.44946820347712</v>
      </c>
      <c r="E1264" s="81">
        <v>1277369</v>
      </c>
      <c r="F1264" s="82">
        <v>1249386.3719008379</v>
      </c>
      <c r="G1264" s="75">
        <v>1626.1396941346984</v>
      </c>
      <c r="H1264" s="76">
        <v>3</v>
      </c>
      <c r="I1264" s="54" t="s">
        <v>20</v>
      </c>
      <c r="J1264" s="77">
        <v>40</v>
      </c>
      <c r="K1264" s="78">
        <v>3</v>
      </c>
      <c r="L1264" s="54">
        <v>1</v>
      </c>
      <c r="M1264" s="54">
        <f>_xlfn.XLOOKUP(Survey!$F1264,sections[Start],sections[Test Section],,-1,1)</f>
        <v>5</v>
      </c>
      <c r="N1264" s="55">
        <f>_xlfn.XLOOKUP(Survey!$K1264,pipedata[ID],pipedata[WT])</f>
        <v>0.88800000000000001</v>
      </c>
      <c r="O1264" s="56">
        <f>_xlfn.XLOOKUP(Survey!$K1264,pipedata[ID],pipedata[104%])</f>
        <v>3078.4</v>
      </c>
      <c r="P1264" s="57">
        <f t="shared" si="19"/>
        <v>1850</v>
      </c>
      <c r="Q1264" s="58">
        <f>_xlfn.MAXIFS(Survey!$G$2:$G$3647,Survey!$M$2:$M$3647,Survey!$M1264)-Survey!$G1264</f>
        <v>2109.2371451905728</v>
      </c>
      <c r="R1264" s="59">
        <f>Survey!$P1264+(Survey!$Q1264*0.433)</f>
        <v>2763.2996838675181</v>
      </c>
    </row>
    <row r="1265" spans="1:18" x14ac:dyDescent="0.25">
      <c r="A1265" s="60" t="s">
        <v>17</v>
      </c>
      <c r="B1265" s="61" t="s">
        <v>18</v>
      </c>
      <c r="C1265" s="62" t="s">
        <v>19</v>
      </c>
      <c r="D1265" s="63">
        <v>236.45705563691365</v>
      </c>
      <c r="E1265" s="79">
        <v>1277409</v>
      </c>
      <c r="F1265" s="80">
        <v>1249424.8305785239</v>
      </c>
      <c r="G1265" s="66">
        <v>1628.6849648203915</v>
      </c>
      <c r="H1265" s="67">
        <v>3</v>
      </c>
      <c r="I1265" s="68" t="s">
        <v>20</v>
      </c>
      <c r="J1265" s="69">
        <v>40</v>
      </c>
      <c r="K1265" s="70">
        <v>3</v>
      </c>
      <c r="L1265" s="68">
        <v>1</v>
      </c>
      <c r="M1265" s="68">
        <f>_xlfn.XLOOKUP(Survey!$F1265,sections[Start],sections[Test Section],,-1,1)</f>
        <v>5</v>
      </c>
      <c r="N1265" s="55">
        <f>_xlfn.XLOOKUP(Survey!$K1265,pipedata[ID],pipedata[WT])</f>
        <v>0.88800000000000001</v>
      </c>
      <c r="O1265" s="56">
        <f>_xlfn.XLOOKUP(Survey!$K1265,pipedata[ID],pipedata[104%])</f>
        <v>3078.4</v>
      </c>
      <c r="P1265" s="57">
        <f t="shared" si="19"/>
        <v>1850</v>
      </c>
      <c r="Q1265" s="58">
        <f>_xlfn.MAXIFS(Survey!$G$2:$G$3647,Survey!$M$2:$M$3647,Survey!$M1265)-Survey!$G1265</f>
        <v>2106.6918745048797</v>
      </c>
      <c r="R1265" s="59">
        <f>Survey!$P1265+(Survey!$Q1265*0.433)</f>
        <v>2762.1975816606127</v>
      </c>
    </row>
    <row r="1266" spans="1:18" x14ac:dyDescent="0.25">
      <c r="A1266" s="71" t="s">
        <v>17</v>
      </c>
      <c r="B1266" s="72" t="s">
        <v>18</v>
      </c>
      <c r="C1266" s="73" t="s">
        <v>19</v>
      </c>
      <c r="D1266" s="74">
        <v>236.46301116574884</v>
      </c>
      <c r="E1266" s="81">
        <v>1277449</v>
      </c>
      <c r="F1266" s="82">
        <v>1249463.28925621</v>
      </c>
      <c r="G1266" s="75">
        <v>1638.503142363413</v>
      </c>
      <c r="H1266" s="76">
        <v>3</v>
      </c>
      <c r="I1266" s="54" t="s">
        <v>20</v>
      </c>
      <c r="J1266" s="77">
        <v>40</v>
      </c>
      <c r="K1266" s="78">
        <v>3</v>
      </c>
      <c r="L1266" s="54">
        <v>1</v>
      </c>
      <c r="M1266" s="54">
        <f>_xlfn.XLOOKUP(Survey!$F1266,sections[Start],sections[Test Section],,-1,1)</f>
        <v>5</v>
      </c>
      <c r="N1266" s="55">
        <f>_xlfn.XLOOKUP(Survey!$K1266,pipedata[ID],pipedata[WT])</f>
        <v>0.88800000000000001</v>
      </c>
      <c r="O1266" s="56">
        <f>_xlfn.XLOOKUP(Survey!$K1266,pipedata[ID],pipedata[104%])</f>
        <v>3078.4</v>
      </c>
      <c r="P1266" s="57">
        <f t="shared" si="19"/>
        <v>1850</v>
      </c>
      <c r="Q1266" s="58">
        <f>_xlfn.MAXIFS(Survey!$G$2:$G$3647,Survey!$M$2:$M$3647,Survey!$M1266)-Survey!$G1266</f>
        <v>2096.8736969618585</v>
      </c>
      <c r="R1266" s="59">
        <f>Survey!$P1266+(Survey!$Q1266*0.433)</f>
        <v>2757.9463107844849</v>
      </c>
    </row>
    <row r="1267" spans="1:18" x14ac:dyDescent="0.25">
      <c r="A1267" s="60" t="s">
        <v>17</v>
      </c>
      <c r="B1267" s="61" t="s">
        <v>18</v>
      </c>
      <c r="C1267" s="62" t="s">
        <v>19</v>
      </c>
      <c r="D1267" s="63">
        <v>236.47130402683948</v>
      </c>
      <c r="E1267" s="79">
        <v>1277489</v>
      </c>
      <c r="F1267" s="80">
        <v>1249501.747933896</v>
      </c>
      <c r="G1267" s="66">
        <v>1650.6363439747176</v>
      </c>
      <c r="H1267" s="67">
        <v>3</v>
      </c>
      <c r="I1267" s="68" t="s">
        <v>20</v>
      </c>
      <c r="J1267" s="69">
        <v>40</v>
      </c>
      <c r="K1267" s="70">
        <v>3</v>
      </c>
      <c r="L1267" s="68">
        <v>1</v>
      </c>
      <c r="M1267" s="68">
        <f>_xlfn.XLOOKUP(Survey!$F1267,sections[Start],sections[Test Section],,-1,1)</f>
        <v>5</v>
      </c>
      <c r="N1267" s="55">
        <f>_xlfn.XLOOKUP(Survey!$K1267,pipedata[ID],pipedata[WT])</f>
        <v>0.88800000000000001</v>
      </c>
      <c r="O1267" s="56">
        <f>_xlfn.XLOOKUP(Survey!$K1267,pipedata[ID],pipedata[104%])</f>
        <v>3078.4</v>
      </c>
      <c r="P1267" s="57">
        <f t="shared" si="19"/>
        <v>1850</v>
      </c>
      <c r="Q1267" s="58">
        <f>_xlfn.MAXIFS(Survey!$G$2:$G$3647,Survey!$M$2:$M$3647,Survey!$M1267)-Survey!$G1267</f>
        <v>2084.7404953505538</v>
      </c>
      <c r="R1267" s="59">
        <f>Survey!$P1267+(Survey!$Q1267*0.433)</f>
        <v>2752.6926344867898</v>
      </c>
    </row>
    <row r="1268" spans="1:18" x14ac:dyDescent="0.25">
      <c r="A1268" s="71" t="s">
        <v>17</v>
      </c>
      <c r="B1268" s="72" t="s">
        <v>18</v>
      </c>
      <c r="C1268" s="73" t="s">
        <v>19</v>
      </c>
      <c r="D1268" s="74">
        <v>236.47713103480828</v>
      </c>
      <c r="E1268" s="81">
        <v>1277529</v>
      </c>
      <c r="F1268" s="82">
        <v>1249540.2066115821</v>
      </c>
      <c r="G1268" s="75">
        <v>1662.0206043006683</v>
      </c>
      <c r="H1268" s="76">
        <v>3</v>
      </c>
      <c r="I1268" s="54" t="s">
        <v>20</v>
      </c>
      <c r="J1268" s="77">
        <v>40</v>
      </c>
      <c r="K1268" s="78">
        <v>3</v>
      </c>
      <c r="L1268" s="54">
        <v>1</v>
      </c>
      <c r="M1268" s="54">
        <f>_xlfn.XLOOKUP(Survey!$F1268,sections[Start],sections[Test Section],,-1,1)</f>
        <v>5</v>
      </c>
      <c r="N1268" s="55">
        <f>_xlfn.XLOOKUP(Survey!$K1268,pipedata[ID],pipedata[WT])</f>
        <v>0.88800000000000001</v>
      </c>
      <c r="O1268" s="56">
        <f>_xlfn.XLOOKUP(Survey!$K1268,pipedata[ID],pipedata[104%])</f>
        <v>3078.4</v>
      </c>
      <c r="P1268" s="57">
        <f t="shared" si="19"/>
        <v>1850</v>
      </c>
      <c r="Q1268" s="58">
        <f>_xlfn.MAXIFS(Survey!$G$2:$G$3647,Survey!$M$2:$M$3647,Survey!$M1268)-Survey!$G1268</f>
        <v>2073.3562350246029</v>
      </c>
      <c r="R1268" s="59">
        <f>Survey!$P1268+(Survey!$Q1268*0.433)</f>
        <v>2747.7632497656532</v>
      </c>
    </row>
    <row r="1269" spans="1:18" x14ac:dyDescent="0.25">
      <c r="A1269" s="60" t="s">
        <v>17</v>
      </c>
      <c r="B1269" s="61" t="s">
        <v>18</v>
      </c>
      <c r="C1269" s="62" t="s">
        <v>19</v>
      </c>
      <c r="D1269" s="63">
        <v>236.48511313351005</v>
      </c>
      <c r="E1269" s="79">
        <v>1277569</v>
      </c>
      <c r="F1269" s="80">
        <v>1249578.6652892681</v>
      </c>
      <c r="G1269" s="66">
        <v>1678.6434063871204</v>
      </c>
      <c r="H1269" s="67">
        <v>3</v>
      </c>
      <c r="I1269" s="68" t="s">
        <v>20</v>
      </c>
      <c r="J1269" s="69">
        <v>40</v>
      </c>
      <c r="K1269" s="70">
        <v>3</v>
      </c>
      <c r="L1269" s="68">
        <v>1</v>
      </c>
      <c r="M1269" s="68">
        <f>_xlfn.XLOOKUP(Survey!$F1269,sections[Start],sections[Test Section],,-1,1)</f>
        <v>5</v>
      </c>
      <c r="N1269" s="55">
        <f>_xlfn.XLOOKUP(Survey!$K1269,pipedata[ID],pipedata[WT])</f>
        <v>0.88800000000000001</v>
      </c>
      <c r="O1269" s="56">
        <f>_xlfn.XLOOKUP(Survey!$K1269,pipedata[ID],pipedata[104%])</f>
        <v>3078.4</v>
      </c>
      <c r="P1269" s="57">
        <f t="shared" si="19"/>
        <v>1850</v>
      </c>
      <c r="Q1269" s="58">
        <f>_xlfn.MAXIFS(Survey!$G$2:$G$3647,Survey!$M$2:$M$3647,Survey!$M1269)-Survey!$G1269</f>
        <v>2056.7334329381511</v>
      </c>
      <c r="R1269" s="59">
        <f>Survey!$P1269+(Survey!$Q1269*0.433)</f>
        <v>2740.5655764622193</v>
      </c>
    </row>
    <row r="1270" spans="1:18" x14ac:dyDescent="0.25">
      <c r="A1270" s="71" t="s">
        <v>17</v>
      </c>
      <c r="B1270" s="72" t="s">
        <v>18</v>
      </c>
      <c r="C1270" s="73" t="s">
        <v>19</v>
      </c>
      <c r="D1270" s="74">
        <v>236.49315021269598</v>
      </c>
      <c r="E1270" s="81">
        <v>1277609</v>
      </c>
      <c r="F1270" s="82">
        <v>1249617.1239669542</v>
      </c>
      <c r="G1270" s="75">
        <v>1691.9793341768336</v>
      </c>
      <c r="H1270" s="76">
        <v>3</v>
      </c>
      <c r="I1270" s="54" t="s">
        <v>20</v>
      </c>
      <c r="J1270" s="77">
        <v>40</v>
      </c>
      <c r="K1270" s="78">
        <v>3</v>
      </c>
      <c r="L1270" s="54">
        <v>1</v>
      </c>
      <c r="M1270" s="54">
        <f>_xlfn.XLOOKUP(Survey!$F1270,sections[Start],sections[Test Section],,-1,1)</f>
        <v>5</v>
      </c>
      <c r="N1270" s="55">
        <f>_xlfn.XLOOKUP(Survey!$K1270,pipedata[ID],pipedata[WT])</f>
        <v>0.88800000000000001</v>
      </c>
      <c r="O1270" s="56">
        <f>_xlfn.XLOOKUP(Survey!$K1270,pipedata[ID],pipedata[104%])</f>
        <v>3078.4</v>
      </c>
      <c r="P1270" s="57">
        <f t="shared" si="19"/>
        <v>1850</v>
      </c>
      <c r="Q1270" s="58">
        <f>_xlfn.MAXIFS(Survey!$G$2:$G$3647,Survey!$M$2:$M$3647,Survey!$M1270)-Survey!$G1270</f>
        <v>2043.3975051484376</v>
      </c>
      <c r="R1270" s="59">
        <f>Survey!$P1270+(Survey!$Q1270*0.433)</f>
        <v>2734.7911197292733</v>
      </c>
    </row>
    <row r="1271" spans="1:18" x14ac:dyDescent="0.25">
      <c r="A1271" s="60" t="s">
        <v>17</v>
      </c>
      <c r="B1271" s="61" t="s">
        <v>18</v>
      </c>
      <c r="C1271" s="62" t="s">
        <v>19</v>
      </c>
      <c r="D1271" s="63">
        <v>236.49966306649912</v>
      </c>
      <c r="E1271" s="79">
        <v>1277649</v>
      </c>
      <c r="F1271" s="80">
        <v>1249655.5826446402</v>
      </c>
      <c r="G1271" s="66">
        <v>1700.5660430240607</v>
      </c>
      <c r="H1271" s="67">
        <v>3</v>
      </c>
      <c r="I1271" s="68" t="s">
        <v>20</v>
      </c>
      <c r="J1271" s="69">
        <v>40</v>
      </c>
      <c r="K1271" s="70">
        <v>3</v>
      </c>
      <c r="L1271" s="68">
        <v>1</v>
      </c>
      <c r="M1271" s="68">
        <f>_xlfn.XLOOKUP(Survey!$F1271,sections[Start],sections[Test Section],,-1,1)</f>
        <v>5</v>
      </c>
      <c r="N1271" s="55">
        <f>_xlfn.XLOOKUP(Survey!$K1271,pipedata[ID],pipedata[WT])</f>
        <v>0.88800000000000001</v>
      </c>
      <c r="O1271" s="56">
        <f>_xlfn.XLOOKUP(Survey!$K1271,pipedata[ID],pipedata[104%])</f>
        <v>3078.4</v>
      </c>
      <c r="P1271" s="57">
        <f t="shared" si="19"/>
        <v>1850</v>
      </c>
      <c r="Q1271" s="58">
        <f>_xlfn.MAXIFS(Survey!$G$2:$G$3647,Survey!$M$2:$M$3647,Survey!$M1271)-Survey!$G1271</f>
        <v>2034.8107963012105</v>
      </c>
      <c r="R1271" s="59">
        <f>Survey!$P1271+(Survey!$Q1271*0.433)</f>
        <v>2731.0730747984244</v>
      </c>
    </row>
    <row r="1272" spans="1:18" x14ac:dyDescent="0.25">
      <c r="A1272" s="71" t="s">
        <v>17</v>
      </c>
      <c r="B1272" s="72" t="s">
        <v>18</v>
      </c>
      <c r="C1272" s="73" t="s">
        <v>19</v>
      </c>
      <c r="D1272" s="74">
        <v>236.50824659442191</v>
      </c>
      <c r="E1272" s="81">
        <v>1277689</v>
      </c>
      <c r="F1272" s="82">
        <v>1249694.0413223263</v>
      </c>
      <c r="G1272" s="75">
        <v>1702.8811028806169</v>
      </c>
      <c r="H1272" s="76">
        <v>3</v>
      </c>
      <c r="I1272" s="54" t="s">
        <v>20</v>
      </c>
      <c r="J1272" s="77">
        <v>40</v>
      </c>
      <c r="K1272" s="78">
        <v>3</v>
      </c>
      <c r="L1272" s="54">
        <v>1</v>
      </c>
      <c r="M1272" s="54">
        <f>_xlfn.XLOOKUP(Survey!$F1272,sections[Start],sections[Test Section],,-1,1)</f>
        <v>5</v>
      </c>
      <c r="N1272" s="55">
        <f>_xlfn.XLOOKUP(Survey!$K1272,pipedata[ID],pipedata[WT])</f>
        <v>0.88800000000000001</v>
      </c>
      <c r="O1272" s="56">
        <f>_xlfn.XLOOKUP(Survey!$K1272,pipedata[ID],pipedata[104%])</f>
        <v>3078.4</v>
      </c>
      <c r="P1272" s="57">
        <f t="shared" si="19"/>
        <v>1850</v>
      </c>
      <c r="Q1272" s="58">
        <f>_xlfn.MAXIFS(Survey!$G$2:$G$3647,Survey!$M$2:$M$3647,Survey!$M1272)-Survey!$G1272</f>
        <v>2032.4957364446543</v>
      </c>
      <c r="R1272" s="59">
        <f>Survey!$P1272+(Survey!$Q1272*0.433)</f>
        <v>2730.0706538805352</v>
      </c>
    </row>
    <row r="1273" spans="1:18" x14ac:dyDescent="0.25">
      <c r="A1273" s="60" t="s">
        <v>17</v>
      </c>
      <c r="B1273" s="61" t="s">
        <v>18</v>
      </c>
      <c r="C1273" s="62" t="s">
        <v>19</v>
      </c>
      <c r="D1273" s="63">
        <v>236.51525218045725</v>
      </c>
      <c r="E1273" s="79">
        <v>1277729</v>
      </c>
      <c r="F1273" s="80">
        <v>1249732.5000000123</v>
      </c>
      <c r="G1273" s="66">
        <v>1709.5821328496897</v>
      </c>
      <c r="H1273" s="67">
        <v>3</v>
      </c>
      <c r="I1273" s="68" t="s">
        <v>20</v>
      </c>
      <c r="J1273" s="69">
        <v>40</v>
      </c>
      <c r="K1273" s="70">
        <v>3</v>
      </c>
      <c r="L1273" s="68">
        <v>1</v>
      </c>
      <c r="M1273" s="68">
        <f>_xlfn.XLOOKUP(Survey!$F1273,sections[Start],sections[Test Section],,-1,1)</f>
        <v>5</v>
      </c>
      <c r="N1273" s="55">
        <f>_xlfn.XLOOKUP(Survey!$K1273,pipedata[ID],pipedata[WT])</f>
        <v>0.88800000000000001</v>
      </c>
      <c r="O1273" s="56">
        <f>_xlfn.XLOOKUP(Survey!$K1273,pipedata[ID],pipedata[104%])</f>
        <v>3078.4</v>
      </c>
      <c r="P1273" s="57">
        <f t="shared" si="19"/>
        <v>1850</v>
      </c>
      <c r="Q1273" s="58">
        <f>_xlfn.MAXIFS(Survey!$G$2:$G$3647,Survey!$M$2:$M$3647,Survey!$M1273)-Survey!$G1273</f>
        <v>2025.7947064755815</v>
      </c>
      <c r="R1273" s="59">
        <f>Survey!$P1273+(Survey!$Q1273*0.433)</f>
        <v>2727.1691079039269</v>
      </c>
    </row>
    <row r="1274" spans="1:18" x14ac:dyDescent="0.25">
      <c r="A1274" s="71" t="s">
        <v>17</v>
      </c>
      <c r="B1274" s="72" t="s">
        <v>18</v>
      </c>
      <c r="C1274" s="73" t="s">
        <v>19</v>
      </c>
      <c r="D1274" s="74">
        <v>236.52299390994881</v>
      </c>
      <c r="E1274" s="81">
        <v>1277769</v>
      </c>
      <c r="F1274" s="82">
        <v>1249770.9586776984</v>
      </c>
      <c r="G1274" s="75">
        <v>1717.9508527862508</v>
      </c>
      <c r="H1274" s="76">
        <v>3</v>
      </c>
      <c r="I1274" s="54" t="s">
        <v>20</v>
      </c>
      <c r="J1274" s="77">
        <v>40</v>
      </c>
      <c r="K1274" s="78">
        <v>3</v>
      </c>
      <c r="L1274" s="54">
        <v>1</v>
      </c>
      <c r="M1274" s="54">
        <f>_xlfn.XLOOKUP(Survey!$F1274,sections[Start],sections[Test Section],,-1,1)</f>
        <v>5</v>
      </c>
      <c r="N1274" s="55">
        <f>_xlfn.XLOOKUP(Survey!$K1274,pipedata[ID],pipedata[WT])</f>
        <v>0.88800000000000001</v>
      </c>
      <c r="O1274" s="56">
        <f>_xlfn.XLOOKUP(Survey!$K1274,pipedata[ID],pipedata[104%])</f>
        <v>3078.4</v>
      </c>
      <c r="P1274" s="57">
        <f t="shared" si="19"/>
        <v>1850</v>
      </c>
      <c r="Q1274" s="58">
        <f>_xlfn.MAXIFS(Survey!$G$2:$G$3647,Survey!$M$2:$M$3647,Survey!$M1274)-Survey!$G1274</f>
        <v>2017.4259865390204</v>
      </c>
      <c r="R1274" s="59">
        <f>Survey!$P1274+(Survey!$Q1274*0.433)</f>
        <v>2723.5454521713959</v>
      </c>
    </row>
    <row r="1275" spans="1:18" x14ac:dyDescent="0.25">
      <c r="A1275" s="60" t="s">
        <v>17</v>
      </c>
      <c r="B1275" s="61" t="s">
        <v>18</v>
      </c>
      <c r="C1275" s="62" t="s">
        <v>19</v>
      </c>
      <c r="D1275" s="63">
        <v>236.53068423281613</v>
      </c>
      <c r="E1275" s="79">
        <v>1277809</v>
      </c>
      <c r="F1275" s="80">
        <v>1249809.4173553844</v>
      </c>
      <c r="G1275" s="66">
        <v>1720.3077210367867</v>
      </c>
      <c r="H1275" s="67">
        <v>3</v>
      </c>
      <c r="I1275" s="68" t="s">
        <v>20</v>
      </c>
      <c r="J1275" s="69">
        <v>40</v>
      </c>
      <c r="K1275" s="70">
        <v>3</v>
      </c>
      <c r="L1275" s="68">
        <v>1</v>
      </c>
      <c r="M1275" s="68">
        <f>_xlfn.XLOOKUP(Survey!$F1275,sections[Start],sections[Test Section],,-1,1)</f>
        <v>5</v>
      </c>
      <c r="N1275" s="55">
        <f>_xlfn.XLOOKUP(Survey!$K1275,pipedata[ID],pipedata[WT])</f>
        <v>0.88800000000000001</v>
      </c>
      <c r="O1275" s="56">
        <f>_xlfn.XLOOKUP(Survey!$K1275,pipedata[ID],pipedata[104%])</f>
        <v>3078.4</v>
      </c>
      <c r="P1275" s="57">
        <f t="shared" si="19"/>
        <v>1850</v>
      </c>
      <c r="Q1275" s="58">
        <f>_xlfn.MAXIFS(Survey!$G$2:$G$3647,Survey!$M$2:$M$3647,Survey!$M1275)-Survey!$G1275</f>
        <v>2015.0691182884846</v>
      </c>
      <c r="R1275" s="59">
        <f>Survey!$P1275+(Survey!$Q1275*0.433)</f>
        <v>2722.5249282189138</v>
      </c>
    </row>
    <row r="1276" spans="1:18" x14ac:dyDescent="0.25">
      <c r="A1276" s="71" t="s">
        <v>17</v>
      </c>
      <c r="B1276" s="72" t="s">
        <v>18</v>
      </c>
      <c r="C1276" s="73" t="s">
        <v>19</v>
      </c>
      <c r="D1276" s="74">
        <v>236.53845656903471</v>
      </c>
      <c r="E1276" s="81">
        <v>1277849</v>
      </c>
      <c r="F1276" s="82">
        <v>1249847.8760330705</v>
      </c>
      <c r="G1276" s="75">
        <v>1715.3703606133954</v>
      </c>
      <c r="H1276" s="76">
        <v>3</v>
      </c>
      <c r="I1276" s="54" t="s">
        <v>20</v>
      </c>
      <c r="J1276" s="77">
        <v>40</v>
      </c>
      <c r="K1276" s="78">
        <v>3</v>
      </c>
      <c r="L1276" s="54">
        <v>1</v>
      </c>
      <c r="M1276" s="54">
        <f>_xlfn.XLOOKUP(Survey!$F1276,sections[Start],sections[Test Section],,-1,1)</f>
        <v>5</v>
      </c>
      <c r="N1276" s="55">
        <f>_xlfn.XLOOKUP(Survey!$K1276,pipedata[ID],pipedata[WT])</f>
        <v>0.88800000000000001</v>
      </c>
      <c r="O1276" s="56">
        <f>_xlfn.XLOOKUP(Survey!$K1276,pipedata[ID],pipedata[104%])</f>
        <v>3078.4</v>
      </c>
      <c r="P1276" s="57">
        <f t="shared" si="19"/>
        <v>1850</v>
      </c>
      <c r="Q1276" s="58">
        <f>_xlfn.MAXIFS(Survey!$G$2:$G$3647,Survey!$M$2:$M$3647,Survey!$M1276)-Survey!$G1276</f>
        <v>2020.0064787118758</v>
      </c>
      <c r="R1276" s="59">
        <f>Survey!$P1276+(Survey!$Q1276*0.433)</f>
        <v>2724.6628052822425</v>
      </c>
    </row>
    <row r="1277" spans="1:18" x14ac:dyDescent="0.25">
      <c r="A1277" s="60" t="s">
        <v>17</v>
      </c>
      <c r="B1277" s="61" t="s">
        <v>18</v>
      </c>
      <c r="C1277" s="62" t="s">
        <v>19</v>
      </c>
      <c r="D1277" s="63">
        <v>236.54524539519858</v>
      </c>
      <c r="E1277" s="79">
        <v>1277889</v>
      </c>
      <c r="F1277" s="80">
        <v>1249886.3347107565</v>
      </c>
      <c r="G1277" s="66">
        <v>1711.0708051597578</v>
      </c>
      <c r="H1277" s="67">
        <v>3</v>
      </c>
      <c r="I1277" s="68" t="s">
        <v>20</v>
      </c>
      <c r="J1277" s="69">
        <v>40</v>
      </c>
      <c r="K1277" s="70">
        <v>3</v>
      </c>
      <c r="L1277" s="68">
        <v>1</v>
      </c>
      <c r="M1277" s="68">
        <f>_xlfn.XLOOKUP(Survey!$F1277,sections[Start],sections[Test Section],,-1,1)</f>
        <v>5</v>
      </c>
      <c r="N1277" s="55">
        <f>_xlfn.XLOOKUP(Survey!$K1277,pipedata[ID],pipedata[WT])</f>
        <v>0.88800000000000001</v>
      </c>
      <c r="O1277" s="56">
        <f>_xlfn.XLOOKUP(Survey!$K1277,pipedata[ID],pipedata[104%])</f>
        <v>3078.4</v>
      </c>
      <c r="P1277" s="57">
        <f t="shared" si="19"/>
        <v>1850</v>
      </c>
      <c r="Q1277" s="58">
        <f>_xlfn.MAXIFS(Survey!$G$2:$G$3647,Survey!$M$2:$M$3647,Survey!$M1277)-Survey!$G1277</f>
        <v>2024.3060341655134</v>
      </c>
      <c r="R1277" s="59">
        <f>Survey!$P1277+(Survey!$Q1277*0.433)</f>
        <v>2726.5245127936673</v>
      </c>
    </row>
    <row r="1278" spans="1:18" x14ac:dyDescent="0.25">
      <c r="A1278" s="71" t="s">
        <v>17</v>
      </c>
      <c r="B1278" s="72" t="s">
        <v>18</v>
      </c>
      <c r="C1278" s="73" t="s">
        <v>19</v>
      </c>
      <c r="D1278" s="74">
        <v>236.55223293751416</v>
      </c>
      <c r="E1278" s="81">
        <v>1277929</v>
      </c>
      <c r="F1278" s="82">
        <v>1249924.7933884426</v>
      </c>
      <c r="G1278" s="75">
        <v>1713.087188423335</v>
      </c>
      <c r="H1278" s="76">
        <v>3</v>
      </c>
      <c r="I1278" s="54" t="s">
        <v>20</v>
      </c>
      <c r="J1278" s="77">
        <v>40</v>
      </c>
      <c r="K1278" s="78">
        <v>3</v>
      </c>
      <c r="L1278" s="54">
        <v>1</v>
      </c>
      <c r="M1278" s="54">
        <f>_xlfn.XLOOKUP(Survey!$F1278,sections[Start],sections[Test Section],,-1,1)</f>
        <v>5</v>
      </c>
      <c r="N1278" s="55">
        <f>_xlfn.XLOOKUP(Survey!$K1278,pipedata[ID],pipedata[WT])</f>
        <v>0.88800000000000001</v>
      </c>
      <c r="O1278" s="56">
        <f>_xlfn.XLOOKUP(Survey!$K1278,pipedata[ID],pipedata[104%])</f>
        <v>3078.4</v>
      </c>
      <c r="P1278" s="57">
        <f t="shared" si="19"/>
        <v>1850</v>
      </c>
      <c r="Q1278" s="58">
        <f>_xlfn.MAXIFS(Survey!$G$2:$G$3647,Survey!$M$2:$M$3647,Survey!$M1278)-Survey!$G1278</f>
        <v>2022.2896509019363</v>
      </c>
      <c r="R1278" s="59">
        <f>Survey!$P1278+(Survey!$Q1278*0.433)</f>
        <v>2725.6514188405386</v>
      </c>
    </row>
    <row r="1279" spans="1:18" x14ac:dyDescent="0.25">
      <c r="A1279" s="60" t="s">
        <v>17</v>
      </c>
      <c r="B1279" s="61" t="s">
        <v>18</v>
      </c>
      <c r="C1279" s="62" t="s">
        <v>19</v>
      </c>
      <c r="D1279" s="63">
        <v>236.56095312279567</v>
      </c>
      <c r="E1279" s="79">
        <v>1277969</v>
      </c>
      <c r="F1279" s="80">
        <v>1249963.2520661287</v>
      </c>
      <c r="G1279" s="66">
        <v>1718.7058568984708</v>
      </c>
      <c r="H1279" s="67">
        <v>3</v>
      </c>
      <c r="I1279" s="68" t="s">
        <v>20</v>
      </c>
      <c r="J1279" s="69">
        <v>40</v>
      </c>
      <c r="K1279" s="70">
        <v>3</v>
      </c>
      <c r="L1279" s="68">
        <v>1</v>
      </c>
      <c r="M1279" s="68">
        <f>_xlfn.XLOOKUP(Survey!$F1279,sections[Start],sections[Test Section],,-1,1)</f>
        <v>5</v>
      </c>
      <c r="N1279" s="55">
        <f>_xlfn.XLOOKUP(Survey!$K1279,pipedata[ID],pipedata[WT])</f>
        <v>0.88800000000000001</v>
      </c>
      <c r="O1279" s="56">
        <f>_xlfn.XLOOKUP(Survey!$K1279,pipedata[ID],pipedata[104%])</f>
        <v>3078.4</v>
      </c>
      <c r="P1279" s="57">
        <f t="shared" si="19"/>
        <v>1850</v>
      </c>
      <c r="Q1279" s="58">
        <f>_xlfn.MAXIFS(Survey!$G$2:$G$3647,Survey!$M$2:$M$3647,Survey!$M1279)-Survey!$G1279</f>
        <v>2016.6709824268005</v>
      </c>
      <c r="R1279" s="59">
        <f>Survey!$P1279+(Survey!$Q1279*0.433)</f>
        <v>2723.2185353908044</v>
      </c>
    </row>
    <row r="1280" spans="1:18" x14ac:dyDescent="0.25">
      <c r="A1280" s="71" t="s">
        <v>17</v>
      </c>
      <c r="B1280" s="72" t="s">
        <v>18</v>
      </c>
      <c r="C1280" s="73" t="s">
        <v>19</v>
      </c>
      <c r="D1280" s="74">
        <v>236.56853720291687</v>
      </c>
      <c r="E1280" s="81">
        <v>1278009</v>
      </c>
      <c r="F1280" s="82">
        <v>1250001.7107438147</v>
      </c>
      <c r="G1280" s="75">
        <v>1724.5415702428668</v>
      </c>
      <c r="H1280" s="76">
        <v>3</v>
      </c>
      <c r="I1280" s="54" t="s">
        <v>20</v>
      </c>
      <c r="J1280" s="77">
        <v>40</v>
      </c>
      <c r="K1280" s="78">
        <v>3</v>
      </c>
      <c r="L1280" s="54">
        <v>1</v>
      </c>
      <c r="M1280" s="54">
        <f>_xlfn.XLOOKUP(Survey!$F1280,sections[Start],sections[Test Section],,-1,1)</f>
        <v>5</v>
      </c>
      <c r="N1280" s="55">
        <f>_xlfn.XLOOKUP(Survey!$K1280,pipedata[ID],pipedata[WT])</f>
        <v>0.88800000000000001</v>
      </c>
      <c r="O1280" s="56">
        <f>_xlfn.XLOOKUP(Survey!$K1280,pipedata[ID],pipedata[104%])</f>
        <v>3078.4</v>
      </c>
      <c r="P1280" s="57">
        <f t="shared" si="19"/>
        <v>1850</v>
      </c>
      <c r="Q1280" s="58">
        <f>_xlfn.MAXIFS(Survey!$G$2:$G$3647,Survey!$M$2:$M$3647,Survey!$M1280)-Survey!$G1280</f>
        <v>2010.8352690824045</v>
      </c>
      <c r="R1280" s="59">
        <f>Survey!$P1280+(Survey!$Q1280*0.433)</f>
        <v>2720.6916715126813</v>
      </c>
    </row>
    <row r="1281" spans="1:18" x14ac:dyDescent="0.25">
      <c r="A1281" s="60" t="s">
        <v>17</v>
      </c>
      <c r="B1281" s="61" t="s">
        <v>18</v>
      </c>
      <c r="C1281" s="62" t="s">
        <v>19</v>
      </c>
      <c r="D1281" s="63">
        <v>236.57552474523246</v>
      </c>
      <c r="E1281" s="79">
        <v>1278049</v>
      </c>
      <c r="F1281" s="80">
        <v>1250040.1694215008</v>
      </c>
      <c r="G1281" s="66">
        <v>1721.1410452147145</v>
      </c>
      <c r="H1281" s="67">
        <v>3</v>
      </c>
      <c r="I1281" s="68" t="s">
        <v>20</v>
      </c>
      <c r="J1281" s="69">
        <v>40</v>
      </c>
      <c r="K1281" s="70">
        <v>3</v>
      </c>
      <c r="L1281" s="68">
        <v>1</v>
      </c>
      <c r="M1281" s="68">
        <f>_xlfn.XLOOKUP(Survey!$F1281,sections[Start],sections[Test Section],,-1,1)</f>
        <v>5</v>
      </c>
      <c r="N1281" s="55">
        <f>_xlfn.XLOOKUP(Survey!$K1281,pipedata[ID],pipedata[WT])</f>
        <v>0.88800000000000001</v>
      </c>
      <c r="O1281" s="56">
        <f>_xlfn.XLOOKUP(Survey!$K1281,pipedata[ID],pipedata[104%])</f>
        <v>3078.4</v>
      </c>
      <c r="P1281" s="57">
        <f t="shared" si="19"/>
        <v>1850</v>
      </c>
      <c r="Q1281" s="58">
        <f>_xlfn.MAXIFS(Survey!$G$2:$G$3647,Survey!$M$2:$M$3647,Survey!$M1281)-Survey!$G1281</f>
        <v>2014.2357941105568</v>
      </c>
      <c r="R1281" s="59">
        <f>Survey!$P1281+(Survey!$Q1281*0.433)</f>
        <v>2722.1640988498712</v>
      </c>
    </row>
    <row r="1282" spans="1:18" x14ac:dyDescent="0.25">
      <c r="A1282" s="71" t="s">
        <v>17</v>
      </c>
      <c r="B1282" s="72" t="s">
        <v>18</v>
      </c>
      <c r="C1282" s="73" t="s">
        <v>19</v>
      </c>
      <c r="D1282" s="74">
        <v>236.58297986864932</v>
      </c>
      <c r="E1282" s="81">
        <v>1278089</v>
      </c>
      <c r="F1282" s="82">
        <v>1250078.6280991868</v>
      </c>
      <c r="G1282" s="75">
        <v>1717.9971760855763</v>
      </c>
      <c r="H1282" s="76">
        <v>3</v>
      </c>
      <c r="I1282" s="54" t="s">
        <v>20</v>
      </c>
      <c r="J1282" s="77">
        <v>40</v>
      </c>
      <c r="K1282" s="78">
        <v>3</v>
      </c>
      <c r="L1282" s="54">
        <v>1</v>
      </c>
      <c r="M1282" s="54">
        <f>_xlfn.XLOOKUP(Survey!$F1282,sections[Start],sections[Test Section],,-1,1)</f>
        <v>5</v>
      </c>
      <c r="N1282" s="55">
        <f>_xlfn.XLOOKUP(Survey!$K1282,pipedata[ID],pipedata[WT])</f>
        <v>0.88800000000000001</v>
      </c>
      <c r="O1282" s="56">
        <f>_xlfn.XLOOKUP(Survey!$K1282,pipedata[ID],pipedata[104%])</f>
        <v>3078.4</v>
      </c>
      <c r="P1282" s="57">
        <f t="shared" ref="P1282:P1345" si="20">IF(L1282=1,1850,IF(L1282=2,1850,2220))</f>
        <v>1850</v>
      </c>
      <c r="Q1282" s="58">
        <f>_xlfn.MAXIFS(Survey!$G$2:$G$3647,Survey!$M$2:$M$3647,Survey!$M1282)-Survey!$G1282</f>
        <v>2017.379663239695</v>
      </c>
      <c r="R1282" s="59">
        <f>Survey!$P1282+(Survey!$Q1282*0.433)</f>
        <v>2723.5253941827877</v>
      </c>
    </row>
    <row r="1283" spans="1:18" x14ac:dyDescent="0.25">
      <c r="A1283" s="60" t="s">
        <v>17</v>
      </c>
      <c r="B1283" s="61" t="s">
        <v>18</v>
      </c>
      <c r="C1283" s="62" t="s">
        <v>19</v>
      </c>
      <c r="D1283" s="63">
        <v>236.59086193572614</v>
      </c>
      <c r="E1283" s="79">
        <v>1278129</v>
      </c>
      <c r="F1283" s="80">
        <v>1250117.0867768729</v>
      </c>
      <c r="G1283" s="66">
        <v>1717.374858172356</v>
      </c>
      <c r="H1283" s="67">
        <v>3</v>
      </c>
      <c r="I1283" s="68" t="s">
        <v>20</v>
      </c>
      <c r="J1283" s="69">
        <v>40</v>
      </c>
      <c r="K1283" s="70">
        <v>3</v>
      </c>
      <c r="L1283" s="68">
        <v>1</v>
      </c>
      <c r="M1283" s="68">
        <f>_xlfn.XLOOKUP(Survey!$F1283,sections[Start],sections[Test Section],,-1,1)</f>
        <v>5</v>
      </c>
      <c r="N1283" s="55">
        <f>_xlfn.XLOOKUP(Survey!$K1283,pipedata[ID],pipedata[WT])</f>
        <v>0.88800000000000001</v>
      </c>
      <c r="O1283" s="56">
        <f>_xlfn.XLOOKUP(Survey!$K1283,pipedata[ID],pipedata[104%])</f>
        <v>3078.4</v>
      </c>
      <c r="P1283" s="57">
        <f t="shared" si="20"/>
        <v>1850</v>
      </c>
      <c r="Q1283" s="58">
        <f>_xlfn.MAXIFS(Survey!$G$2:$G$3647,Survey!$M$2:$M$3647,Survey!$M1283)-Survey!$G1283</f>
        <v>2018.0019811529153</v>
      </c>
      <c r="R1283" s="59">
        <f>Survey!$P1283+(Survey!$Q1283*0.433)</f>
        <v>2723.7948578392125</v>
      </c>
    </row>
    <row r="1284" spans="1:18" x14ac:dyDescent="0.25">
      <c r="A1284" s="71" t="s">
        <v>17</v>
      </c>
      <c r="B1284" s="72" t="s">
        <v>18</v>
      </c>
      <c r="C1284" s="73" t="s">
        <v>19</v>
      </c>
      <c r="D1284" s="74">
        <v>236.59712751856625</v>
      </c>
      <c r="E1284" s="81">
        <v>1278169</v>
      </c>
      <c r="F1284" s="82">
        <v>1250155.5454545589</v>
      </c>
      <c r="G1284" s="75">
        <v>1718.4895598341184</v>
      </c>
      <c r="H1284" s="76">
        <v>3</v>
      </c>
      <c r="I1284" s="54" t="s">
        <v>20</v>
      </c>
      <c r="J1284" s="77">
        <v>40</v>
      </c>
      <c r="K1284" s="78">
        <v>3</v>
      </c>
      <c r="L1284" s="54">
        <v>1</v>
      </c>
      <c r="M1284" s="54">
        <f>_xlfn.XLOOKUP(Survey!$F1284,sections[Start],sections[Test Section],,-1,1)</f>
        <v>5</v>
      </c>
      <c r="N1284" s="55">
        <f>_xlfn.XLOOKUP(Survey!$K1284,pipedata[ID],pipedata[WT])</f>
        <v>0.88800000000000001</v>
      </c>
      <c r="O1284" s="56">
        <f>_xlfn.XLOOKUP(Survey!$K1284,pipedata[ID],pipedata[104%])</f>
        <v>3078.4</v>
      </c>
      <c r="P1284" s="57">
        <f t="shared" si="20"/>
        <v>1850</v>
      </c>
      <c r="Q1284" s="58">
        <f>_xlfn.MAXIFS(Survey!$G$2:$G$3647,Survey!$M$2:$M$3647,Survey!$M1284)-Survey!$G1284</f>
        <v>2016.8872794911529</v>
      </c>
      <c r="R1284" s="59">
        <f>Survey!$P1284+(Survey!$Q1284*0.433)</f>
        <v>2723.3121920196691</v>
      </c>
    </row>
    <row r="1285" spans="1:18" x14ac:dyDescent="0.25">
      <c r="A1285" s="60" t="s">
        <v>17</v>
      </c>
      <c r="B1285" s="61" t="s">
        <v>18</v>
      </c>
      <c r="C1285" s="62" t="s">
        <v>19</v>
      </c>
      <c r="D1285" s="63">
        <v>236.60509359813543</v>
      </c>
      <c r="E1285" s="79">
        <v>1278209</v>
      </c>
      <c r="F1285" s="80">
        <v>1250194.004132245</v>
      </c>
      <c r="G1285" s="66">
        <v>1716.1787198600546</v>
      </c>
      <c r="H1285" s="67">
        <v>3</v>
      </c>
      <c r="I1285" s="68" t="s">
        <v>20</v>
      </c>
      <c r="J1285" s="69">
        <v>40</v>
      </c>
      <c r="K1285" s="70">
        <v>3</v>
      </c>
      <c r="L1285" s="68">
        <v>1</v>
      </c>
      <c r="M1285" s="68">
        <f>_xlfn.XLOOKUP(Survey!$F1285,sections[Start],sections[Test Section],,-1,1)</f>
        <v>5</v>
      </c>
      <c r="N1285" s="55">
        <f>_xlfn.XLOOKUP(Survey!$K1285,pipedata[ID],pipedata[WT])</f>
        <v>0.88800000000000001</v>
      </c>
      <c r="O1285" s="56">
        <f>_xlfn.XLOOKUP(Survey!$K1285,pipedata[ID],pipedata[104%])</f>
        <v>3078.4</v>
      </c>
      <c r="P1285" s="57">
        <f t="shared" si="20"/>
        <v>1850</v>
      </c>
      <c r="Q1285" s="58">
        <f>_xlfn.MAXIFS(Survey!$G$2:$G$3647,Survey!$M$2:$M$3647,Survey!$M1285)-Survey!$G1285</f>
        <v>2019.1981194652167</v>
      </c>
      <c r="R1285" s="59">
        <f>Survey!$P1285+(Survey!$Q1285*0.433)</f>
        <v>2724.3127857284389</v>
      </c>
    </row>
    <row r="1286" spans="1:18" x14ac:dyDescent="0.25">
      <c r="A1286" s="71" t="s">
        <v>17</v>
      </c>
      <c r="B1286" s="72" t="s">
        <v>18</v>
      </c>
      <c r="C1286" s="73" t="s">
        <v>19</v>
      </c>
      <c r="D1286" s="74">
        <v>236.6130596777044</v>
      </c>
      <c r="E1286" s="81">
        <v>1278249</v>
      </c>
      <c r="F1286" s="82">
        <v>1250232.462809931</v>
      </c>
      <c r="G1286" s="75">
        <v>1710.2835298082746</v>
      </c>
      <c r="H1286" s="76">
        <v>3</v>
      </c>
      <c r="I1286" s="54" t="s">
        <v>20</v>
      </c>
      <c r="J1286" s="77">
        <v>40</v>
      </c>
      <c r="K1286" s="78">
        <v>3</v>
      </c>
      <c r="L1286" s="54">
        <v>1</v>
      </c>
      <c r="M1286" s="54">
        <f>_xlfn.XLOOKUP(Survey!$F1286,sections[Start],sections[Test Section],,-1,1)</f>
        <v>5</v>
      </c>
      <c r="N1286" s="55">
        <f>_xlfn.XLOOKUP(Survey!$K1286,pipedata[ID],pipedata[WT])</f>
        <v>0.88800000000000001</v>
      </c>
      <c r="O1286" s="56">
        <f>_xlfn.XLOOKUP(Survey!$K1286,pipedata[ID],pipedata[104%])</f>
        <v>3078.4</v>
      </c>
      <c r="P1286" s="57">
        <f t="shared" si="20"/>
        <v>1850</v>
      </c>
      <c r="Q1286" s="58">
        <f>_xlfn.MAXIFS(Survey!$G$2:$G$3647,Survey!$M$2:$M$3647,Survey!$M1286)-Survey!$G1286</f>
        <v>2025.0933095169967</v>
      </c>
      <c r="R1286" s="59">
        <f>Survey!$P1286+(Survey!$Q1286*0.433)</f>
        <v>2726.8654030208595</v>
      </c>
    </row>
    <row r="1287" spans="1:18" x14ac:dyDescent="0.25">
      <c r="A1287" s="60" t="s">
        <v>17</v>
      </c>
      <c r="B1287" s="61" t="s">
        <v>18</v>
      </c>
      <c r="C1287" s="62" t="s">
        <v>19</v>
      </c>
      <c r="D1287" s="63">
        <v>236.62102575727363</v>
      </c>
      <c r="E1287" s="79">
        <v>1278289</v>
      </c>
      <c r="F1287" s="80">
        <v>1250270.9214876171</v>
      </c>
      <c r="G1287" s="66">
        <v>1701.5937153126299</v>
      </c>
      <c r="H1287" s="67">
        <v>3</v>
      </c>
      <c r="I1287" s="68" t="s">
        <v>20</v>
      </c>
      <c r="J1287" s="69">
        <v>40</v>
      </c>
      <c r="K1287" s="70">
        <v>3</v>
      </c>
      <c r="L1287" s="68">
        <v>1</v>
      </c>
      <c r="M1287" s="68">
        <f>_xlfn.XLOOKUP(Survey!$F1287,sections[Start],sections[Test Section],,-1,1)</f>
        <v>5</v>
      </c>
      <c r="N1287" s="55">
        <f>_xlfn.XLOOKUP(Survey!$K1287,pipedata[ID],pipedata[WT])</f>
        <v>0.88800000000000001</v>
      </c>
      <c r="O1287" s="56">
        <f>_xlfn.XLOOKUP(Survey!$K1287,pipedata[ID],pipedata[104%])</f>
        <v>3078.4</v>
      </c>
      <c r="P1287" s="57">
        <f t="shared" si="20"/>
        <v>1850</v>
      </c>
      <c r="Q1287" s="58">
        <f>_xlfn.MAXIFS(Survey!$G$2:$G$3647,Survey!$M$2:$M$3647,Survey!$M1287)-Survey!$G1287</f>
        <v>2033.7831240126413</v>
      </c>
      <c r="R1287" s="59">
        <f>Survey!$P1287+(Survey!$Q1287*0.433)</f>
        <v>2730.6280926974737</v>
      </c>
    </row>
    <row r="1288" spans="1:18" x14ac:dyDescent="0.25">
      <c r="A1288" s="71" t="s">
        <v>17</v>
      </c>
      <c r="B1288" s="72" t="s">
        <v>18</v>
      </c>
      <c r="C1288" s="73" t="s">
        <v>19</v>
      </c>
      <c r="D1288" s="74">
        <v>236.62633647698632</v>
      </c>
      <c r="E1288" s="81">
        <v>1278329</v>
      </c>
      <c r="F1288" s="82">
        <v>1250309.3801653031</v>
      </c>
      <c r="G1288" s="75">
        <v>1694.8333097358125</v>
      </c>
      <c r="H1288" s="76">
        <v>3</v>
      </c>
      <c r="I1288" s="54" t="s">
        <v>20</v>
      </c>
      <c r="J1288" s="77">
        <v>40</v>
      </c>
      <c r="K1288" s="78">
        <v>3</v>
      </c>
      <c r="L1288" s="54">
        <v>1</v>
      </c>
      <c r="M1288" s="54">
        <f>_xlfn.XLOOKUP(Survey!$F1288,sections[Start],sections[Test Section],,-1,1)</f>
        <v>5</v>
      </c>
      <c r="N1288" s="55">
        <f>_xlfn.XLOOKUP(Survey!$K1288,pipedata[ID],pipedata[WT])</f>
        <v>0.88800000000000001</v>
      </c>
      <c r="O1288" s="56">
        <f>_xlfn.XLOOKUP(Survey!$K1288,pipedata[ID],pipedata[104%])</f>
        <v>3078.4</v>
      </c>
      <c r="P1288" s="57">
        <f t="shared" si="20"/>
        <v>1850</v>
      </c>
      <c r="Q1288" s="58">
        <f>_xlfn.MAXIFS(Survey!$G$2:$G$3647,Survey!$M$2:$M$3647,Survey!$M1288)-Survey!$G1288</f>
        <v>2040.5435295894588</v>
      </c>
      <c r="R1288" s="59">
        <f>Survey!$P1288+(Survey!$Q1288*0.433)</f>
        <v>2733.5553483122358</v>
      </c>
    </row>
    <row r="1289" spans="1:18" x14ac:dyDescent="0.25">
      <c r="A1289" s="60" t="s">
        <v>17</v>
      </c>
      <c r="B1289" s="61" t="s">
        <v>18</v>
      </c>
      <c r="C1289" s="62" t="s">
        <v>19</v>
      </c>
      <c r="D1289" s="63">
        <v>236.63430255655535</v>
      </c>
      <c r="E1289" s="79">
        <v>1278369</v>
      </c>
      <c r="F1289" s="80">
        <v>1250347.8388429892</v>
      </c>
      <c r="G1289" s="66">
        <v>1691.3481317819374</v>
      </c>
      <c r="H1289" s="67">
        <v>3</v>
      </c>
      <c r="I1289" s="68" t="s">
        <v>20</v>
      </c>
      <c r="J1289" s="69">
        <v>40</v>
      </c>
      <c r="K1289" s="70">
        <v>3</v>
      </c>
      <c r="L1289" s="68">
        <v>1</v>
      </c>
      <c r="M1289" s="68">
        <f>_xlfn.XLOOKUP(Survey!$F1289,sections[Start],sections[Test Section],,-1,1)</f>
        <v>5</v>
      </c>
      <c r="N1289" s="55">
        <f>_xlfn.XLOOKUP(Survey!$K1289,pipedata[ID],pipedata[WT])</f>
        <v>0.88800000000000001</v>
      </c>
      <c r="O1289" s="56">
        <f>_xlfn.XLOOKUP(Survey!$K1289,pipedata[ID],pipedata[104%])</f>
        <v>3078.4</v>
      </c>
      <c r="P1289" s="57">
        <f t="shared" si="20"/>
        <v>1850</v>
      </c>
      <c r="Q1289" s="58">
        <f>_xlfn.MAXIFS(Survey!$G$2:$G$3647,Survey!$M$2:$M$3647,Survey!$M1289)-Survey!$G1289</f>
        <v>2044.0287075433339</v>
      </c>
      <c r="R1289" s="59">
        <f>Survey!$P1289+(Survey!$Q1289*0.433)</f>
        <v>2735.0644303662634</v>
      </c>
    </row>
    <row r="1290" spans="1:18" x14ac:dyDescent="0.25">
      <c r="A1290" s="71" t="s">
        <v>17</v>
      </c>
      <c r="B1290" s="72" t="s">
        <v>18</v>
      </c>
      <c r="C1290" s="73" t="s">
        <v>19</v>
      </c>
      <c r="D1290" s="74">
        <v>236.63961327626814</v>
      </c>
      <c r="E1290" s="81">
        <v>1278409</v>
      </c>
      <c r="F1290" s="82">
        <v>1250386.2975206752</v>
      </c>
      <c r="G1290" s="75">
        <v>1693.1340078716498</v>
      </c>
      <c r="H1290" s="76">
        <v>3</v>
      </c>
      <c r="I1290" s="54" t="s">
        <v>20</v>
      </c>
      <c r="J1290" s="77">
        <v>40</v>
      </c>
      <c r="K1290" s="78">
        <v>3</v>
      </c>
      <c r="L1290" s="54">
        <v>1</v>
      </c>
      <c r="M1290" s="54">
        <f>_xlfn.XLOOKUP(Survey!$F1290,sections[Start],sections[Test Section],,-1,1)</f>
        <v>5</v>
      </c>
      <c r="N1290" s="55">
        <f>_xlfn.XLOOKUP(Survey!$K1290,pipedata[ID],pipedata[WT])</f>
        <v>0.88800000000000001</v>
      </c>
      <c r="O1290" s="56">
        <f>_xlfn.XLOOKUP(Survey!$K1290,pipedata[ID],pipedata[104%])</f>
        <v>3078.4</v>
      </c>
      <c r="P1290" s="57">
        <f t="shared" si="20"/>
        <v>1850</v>
      </c>
      <c r="Q1290" s="58">
        <f>_xlfn.MAXIFS(Survey!$G$2:$G$3647,Survey!$M$2:$M$3647,Survey!$M1290)-Survey!$G1290</f>
        <v>2042.2428314536214</v>
      </c>
      <c r="R1290" s="59">
        <f>Survey!$P1290+(Survey!$Q1290*0.433)</f>
        <v>2734.2911460194182</v>
      </c>
    </row>
    <row r="1291" spans="1:18" x14ac:dyDescent="0.25">
      <c r="A1291" s="60" t="s">
        <v>17</v>
      </c>
      <c r="B1291" s="61" t="s">
        <v>18</v>
      </c>
      <c r="C1291" s="62" t="s">
        <v>19</v>
      </c>
      <c r="D1291" s="63">
        <v>236.64760649573387</v>
      </c>
      <c r="E1291" s="79">
        <v>1278449</v>
      </c>
      <c r="F1291" s="80">
        <v>1250424.7561983613</v>
      </c>
      <c r="G1291" s="66">
        <v>1711.0279614251986</v>
      </c>
      <c r="H1291" s="67">
        <v>3</v>
      </c>
      <c r="I1291" s="68" t="s">
        <v>20</v>
      </c>
      <c r="J1291" s="69">
        <v>40</v>
      </c>
      <c r="K1291" s="70">
        <v>3</v>
      </c>
      <c r="L1291" s="68">
        <v>1</v>
      </c>
      <c r="M1291" s="68">
        <f>_xlfn.XLOOKUP(Survey!$F1291,sections[Start],sections[Test Section],,-1,1)</f>
        <v>5</v>
      </c>
      <c r="N1291" s="55">
        <f>_xlfn.XLOOKUP(Survey!$K1291,pipedata[ID],pipedata[WT])</f>
        <v>0.88800000000000001</v>
      </c>
      <c r="O1291" s="56">
        <f>_xlfn.XLOOKUP(Survey!$K1291,pipedata[ID],pipedata[104%])</f>
        <v>3078.4</v>
      </c>
      <c r="P1291" s="57">
        <f t="shared" si="20"/>
        <v>1850</v>
      </c>
      <c r="Q1291" s="58">
        <f>_xlfn.MAXIFS(Survey!$G$2:$G$3647,Survey!$M$2:$M$3647,Survey!$M1291)-Survey!$G1291</f>
        <v>2024.3488779000727</v>
      </c>
      <c r="R1291" s="59">
        <f>Survey!$P1291+(Survey!$Q1291*0.433)</f>
        <v>2726.5430641307316</v>
      </c>
    </row>
    <row r="1292" spans="1:18" x14ac:dyDescent="0.25">
      <c r="A1292" s="71" t="s">
        <v>17</v>
      </c>
      <c r="B1292" s="72" t="s">
        <v>18</v>
      </c>
      <c r="C1292" s="73" t="s">
        <v>19</v>
      </c>
      <c r="D1292" s="74">
        <v>236.65301073954421</v>
      </c>
      <c r="E1292" s="81">
        <v>1278489</v>
      </c>
      <c r="F1292" s="82">
        <v>1250463.2148760473</v>
      </c>
      <c r="G1292" s="75">
        <v>1725.6431644239156</v>
      </c>
      <c r="H1292" s="76">
        <v>3</v>
      </c>
      <c r="I1292" s="54" t="s">
        <v>20</v>
      </c>
      <c r="J1292" s="77">
        <v>40</v>
      </c>
      <c r="K1292" s="78">
        <v>3</v>
      </c>
      <c r="L1292" s="54">
        <v>1</v>
      </c>
      <c r="M1292" s="54">
        <f>_xlfn.XLOOKUP(Survey!$F1292,sections[Start],sections[Test Section],,-1,1)</f>
        <v>5</v>
      </c>
      <c r="N1292" s="55">
        <f>_xlfn.XLOOKUP(Survey!$K1292,pipedata[ID],pipedata[WT])</f>
        <v>0.88800000000000001</v>
      </c>
      <c r="O1292" s="56">
        <f>_xlfn.XLOOKUP(Survey!$K1292,pipedata[ID],pipedata[104%])</f>
        <v>3078.4</v>
      </c>
      <c r="P1292" s="57">
        <f t="shared" si="20"/>
        <v>1850</v>
      </c>
      <c r="Q1292" s="58">
        <f>_xlfn.MAXIFS(Survey!$G$2:$G$3647,Survey!$M$2:$M$3647,Survey!$M1292)-Survey!$G1292</f>
        <v>2009.7336749013557</v>
      </c>
      <c r="R1292" s="59">
        <f>Survey!$P1292+(Survey!$Q1292*0.433)</f>
        <v>2720.2146812322871</v>
      </c>
    </row>
    <row r="1293" spans="1:18" x14ac:dyDescent="0.25">
      <c r="A1293" s="60" t="s">
        <v>17</v>
      </c>
      <c r="B1293" s="61" t="s">
        <v>18</v>
      </c>
      <c r="C1293" s="62" t="s">
        <v>19</v>
      </c>
      <c r="D1293" s="63">
        <v>236.66111710525959</v>
      </c>
      <c r="E1293" s="79">
        <v>1278529</v>
      </c>
      <c r="F1293" s="80">
        <v>1250501.6735537334</v>
      </c>
      <c r="G1293" s="66">
        <v>1752.057209008758</v>
      </c>
      <c r="H1293" s="67">
        <v>3</v>
      </c>
      <c r="I1293" s="68" t="s">
        <v>20</v>
      </c>
      <c r="J1293" s="69">
        <v>40</v>
      </c>
      <c r="K1293" s="70">
        <v>3</v>
      </c>
      <c r="L1293" s="68">
        <v>1</v>
      </c>
      <c r="M1293" s="68">
        <f>_xlfn.XLOOKUP(Survey!$F1293,sections[Start],sections[Test Section],,-1,1)</f>
        <v>5</v>
      </c>
      <c r="N1293" s="55">
        <f>_xlfn.XLOOKUP(Survey!$K1293,pipedata[ID],pipedata[WT])</f>
        <v>0.88800000000000001</v>
      </c>
      <c r="O1293" s="56">
        <f>_xlfn.XLOOKUP(Survey!$K1293,pipedata[ID],pipedata[104%])</f>
        <v>3078.4</v>
      </c>
      <c r="P1293" s="57">
        <f t="shared" si="20"/>
        <v>1850</v>
      </c>
      <c r="Q1293" s="58">
        <f>_xlfn.MAXIFS(Survey!$G$2:$G$3647,Survey!$M$2:$M$3647,Survey!$M1293)-Survey!$G1293</f>
        <v>1983.3196303165132</v>
      </c>
      <c r="R1293" s="59">
        <f>Survey!$P1293+(Survey!$Q1293*0.433)</f>
        <v>2708.7773999270503</v>
      </c>
    </row>
    <row r="1294" spans="1:18" x14ac:dyDescent="0.25">
      <c r="A1294" s="71" t="s">
        <v>17</v>
      </c>
      <c r="B1294" s="72" t="s">
        <v>18</v>
      </c>
      <c r="C1294" s="73" t="s">
        <v>19</v>
      </c>
      <c r="D1294" s="74">
        <v>236.66652134906991</v>
      </c>
      <c r="E1294" s="81">
        <v>1278569</v>
      </c>
      <c r="F1294" s="82">
        <v>1250540.1322314194</v>
      </c>
      <c r="G1294" s="75">
        <v>1770.4458621069509</v>
      </c>
      <c r="H1294" s="76">
        <v>3</v>
      </c>
      <c r="I1294" s="54" t="s">
        <v>20</v>
      </c>
      <c r="J1294" s="77">
        <v>40</v>
      </c>
      <c r="K1294" s="78">
        <v>3</v>
      </c>
      <c r="L1294" s="54">
        <v>1</v>
      </c>
      <c r="M1294" s="54">
        <f>_xlfn.XLOOKUP(Survey!$F1294,sections[Start],sections[Test Section],,-1,1)</f>
        <v>5</v>
      </c>
      <c r="N1294" s="55">
        <f>_xlfn.XLOOKUP(Survey!$K1294,pipedata[ID],pipedata[WT])</f>
        <v>0.88800000000000001</v>
      </c>
      <c r="O1294" s="56">
        <f>_xlfn.XLOOKUP(Survey!$K1294,pipedata[ID],pipedata[104%])</f>
        <v>3078.4</v>
      </c>
      <c r="P1294" s="57">
        <f t="shared" si="20"/>
        <v>1850</v>
      </c>
      <c r="Q1294" s="58">
        <f>_xlfn.MAXIFS(Survey!$G$2:$G$3647,Survey!$M$2:$M$3647,Survey!$M1294)-Survey!$G1294</f>
        <v>1964.9309772183203</v>
      </c>
      <c r="R1294" s="59">
        <f>Survey!$P1294+(Survey!$Q1294*0.433)</f>
        <v>2700.8151131355326</v>
      </c>
    </row>
    <row r="1295" spans="1:18" x14ac:dyDescent="0.25">
      <c r="A1295" s="60" t="s">
        <v>17</v>
      </c>
      <c r="B1295" s="61" t="s">
        <v>18</v>
      </c>
      <c r="C1295" s="62" t="s">
        <v>19</v>
      </c>
      <c r="D1295" s="63">
        <v>236.67557144591242</v>
      </c>
      <c r="E1295" s="79">
        <v>1278609</v>
      </c>
      <c r="F1295" s="80">
        <v>1250578.5909091055</v>
      </c>
      <c r="G1295" s="66">
        <v>1792.305748207845</v>
      </c>
      <c r="H1295" s="67">
        <v>3</v>
      </c>
      <c r="I1295" s="68" t="s">
        <v>20</v>
      </c>
      <c r="J1295" s="69">
        <v>40</v>
      </c>
      <c r="K1295" s="70">
        <v>3</v>
      </c>
      <c r="L1295" s="68">
        <v>1</v>
      </c>
      <c r="M1295" s="68">
        <f>_xlfn.XLOOKUP(Survey!$F1295,sections[Start],sections[Test Section],,-1,1)</f>
        <v>5</v>
      </c>
      <c r="N1295" s="55">
        <f>_xlfn.XLOOKUP(Survey!$K1295,pipedata[ID],pipedata[WT])</f>
        <v>0.88800000000000001</v>
      </c>
      <c r="O1295" s="56">
        <f>_xlfn.XLOOKUP(Survey!$K1295,pipedata[ID],pipedata[104%])</f>
        <v>3078.4</v>
      </c>
      <c r="P1295" s="57">
        <f t="shared" si="20"/>
        <v>1850</v>
      </c>
      <c r="Q1295" s="58">
        <f>_xlfn.MAXIFS(Survey!$G$2:$G$3647,Survey!$M$2:$M$3647,Survey!$M1295)-Survey!$G1295</f>
        <v>1943.0710911174262</v>
      </c>
      <c r="R1295" s="59">
        <f>Survey!$P1295+(Survey!$Q1295*0.433)</f>
        <v>2691.3497824538454</v>
      </c>
    </row>
    <row r="1296" spans="1:18" x14ac:dyDescent="0.25">
      <c r="A1296" s="71" t="s">
        <v>17</v>
      </c>
      <c r="B1296" s="72" t="s">
        <v>18</v>
      </c>
      <c r="C1296" s="73" t="s">
        <v>19</v>
      </c>
      <c r="D1296" s="74">
        <v>236.68245879543045</v>
      </c>
      <c r="E1296" s="81">
        <v>1278649</v>
      </c>
      <c r="F1296" s="82">
        <v>1250617.0495867915</v>
      </c>
      <c r="G1296" s="75">
        <v>1807.3098261521181</v>
      </c>
      <c r="H1296" s="76">
        <v>3</v>
      </c>
      <c r="I1296" s="54" t="s">
        <v>20</v>
      </c>
      <c r="J1296" s="77">
        <v>40</v>
      </c>
      <c r="K1296" s="78">
        <v>3</v>
      </c>
      <c r="L1296" s="54">
        <v>1</v>
      </c>
      <c r="M1296" s="54">
        <f>_xlfn.XLOOKUP(Survey!$F1296,sections[Start],sections[Test Section],,-1,1)</f>
        <v>5</v>
      </c>
      <c r="N1296" s="55">
        <f>_xlfn.XLOOKUP(Survey!$K1296,pipedata[ID],pipedata[WT])</f>
        <v>0.88800000000000001</v>
      </c>
      <c r="O1296" s="56">
        <f>_xlfn.XLOOKUP(Survey!$K1296,pipedata[ID],pipedata[104%])</f>
        <v>3078.4</v>
      </c>
      <c r="P1296" s="57">
        <f t="shared" si="20"/>
        <v>1850</v>
      </c>
      <c r="Q1296" s="58">
        <f>_xlfn.MAXIFS(Survey!$G$2:$G$3647,Survey!$M$2:$M$3647,Survey!$M1296)-Survey!$G1296</f>
        <v>1928.0670131731531</v>
      </c>
      <c r="R1296" s="59">
        <f>Survey!$P1296+(Survey!$Q1296*0.433)</f>
        <v>2684.8530167039753</v>
      </c>
    </row>
    <row r="1297" spans="1:18" x14ac:dyDescent="0.25">
      <c r="A1297" s="60" t="s">
        <v>17</v>
      </c>
      <c r="B1297" s="61" t="s">
        <v>18</v>
      </c>
      <c r="C1297" s="62" t="s">
        <v>19</v>
      </c>
      <c r="D1297" s="63">
        <v>236.68917998364748</v>
      </c>
      <c r="E1297" s="79">
        <v>1278689</v>
      </c>
      <c r="F1297" s="80">
        <v>1250655.5082644776</v>
      </c>
      <c r="G1297" s="66">
        <v>1829.4752007979248</v>
      </c>
      <c r="H1297" s="67">
        <v>3</v>
      </c>
      <c r="I1297" s="68" t="s">
        <v>20</v>
      </c>
      <c r="J1297" s="69">
        <v>40</v>
      </c>
      <c r="K1297" s="70">
        <v>3</v>
      </c>
      <c r="L1297" s="68">
        <v>1</v>
      </c>
      <c r="M1297" s="68">
        <f>_xlfn.XLOOKUP(Survey!$F1297,sections[Start],sections[Test Section],,-1,1)</f>
        <v>5</v>
      </c>
      <c r="N1297" s="55">
        <f>_xlfn.XLOOKUP(Survey!$K1297,pipedata[ID],pipedata[WT])</f>
        <v>0.88800000000000001</v>
      </c>
      <c r="O1297" s="56">
        <f>_xlfn.XLOOKUP(Survey!$K1297,pipedata[ID],pipedata[104%])</f>
        <v>3078.4</v>
      </c>
      <c r="P1297" s="57">
        <f t="shared" si="20"/>
        <v>1850</v>
      </c>
      <c r="Q1297" s="58">
        <f>_xlfn.MAXIFS(Survey!$G$2:$G$3647,Survey!$M$2:$M$3647,Survey!$M1297)-Survey!$G1297</f>
        <v>1905.9016385273464</v>
      </c>
      <c r="R1297" s="59">
        <f>Survey!$P1297+(Survey!$Q1297*0.433)</f>
        <v>2675.2554094823408</v>
      </c>
    </row>
    <row r="1298" spans="1:18" x14ac:dyDescent="0.25">
      <c r="A1298" s="71" t="s">
        <v>17</v>
      </c>
      <c r="B1298" s="72" t="s">
        <v>18</v>
      </c>
      <c r="C1298" s="73" t="s">
        <v>19</v>
      </c>
      <c r="D1298" s="74">
        <v>236.69614919196522</v>
      </c>
      <c r="E1298" s="81">
        <v>1278729</v>
      </c>
      <c r="F1298" s="82">
        <v>1250693.9669421636</v>
      </c>
      <c r="G1298" s="75">
        <v>1844.0069072960689</v>
      </c>
      <c r="H1298" s="76">
        <v>3</v>
      </c>
      <c r="I1298" s="54" t="s">
        <v>20</v>
      </c>
      <c r="J1298" s="77">
        <v>40</v>
      </c>
      <c r="K1298" s="78">
        <v>3</v>
      </c>
      <c r="L1298" s="54">
        <v>1</v>
      </c>
      <c r="M1298" s="54">
        <f>_xlfn.XLOOKUP(Survey!$F1298,sections[Start],sections[Test Section],,-1,1)</f>
        <v>5</v>
      </c>
      <c r="N1298" s="55">
        <f>_xlfn.XLOOKUP(Survey!$K1298,pipedata[ID],pipedata[WT])</f>
        <v>0.88800000000000001</v>
      </c>
      <c r="O1298" s="56">
        <f>_xlfn.XLOOKUP(Survey!$K1298,pipedata[ID],pipedata[104%])</f>
        <v>3078.4</v>
      </c>
      <c r="P1298" s="57">
        <f t="shared" si="20"/>
        <v>1850</v>
      </c>
      <c r="Q1298" s="58">
        <f>_xlfn.MAXIFS(Survey!$G$2:$G$3647,Survey!$M$2:$M$3647,Survey!$M1298)-Survey!$G1298</f>
        <v>1891.3699320292023</v>
      </c>
      <c r="R1298" s="59">
        <f>Survey!$P1298+(Survey!$Q1298*0.433)</f>
        <v>2668.9631805686445</v>
      </c>
    </row>
    <row r="1299" spans="1:18" x14ac:dyDescent="0.25">
      <c r="A1299" s="60" t="s">
        <v>17</v>
      </c>
      <c r="B1299" s="61" t="s">
        <v>18</v>
      </c>
      <c r="C1299" s="62" t="s">
        <v>19</v>
      </c>
      <c r="D1299" s="63">
        <v>236.70273233699854</v>
      </c>
      <c r="E1299" s="79">
        <v>1278769</v>
      </c>
      <c r="F1299" s="80">
        <v>1250732.4256198497</v>
      </c>
      <c r="G1299" s="66">
        <v>1858.7034424076005</v>
      </c>
      <c r="H1299" s="67">
        <v>3</v>
      </c>
      <c r="I1299" s="68" t="s">
        <v>20</v>
      </c>
      <c r="J1299" s="69">
        <v>40</v>
      </c>
      <c r="K1299" s="70">
        <v>3</v>
      </c>
      <c r="L1299" s="68">
        <v>1</v>
      </c>
      <c r="M1299" s="68">
        <f>_xlfn.XLOOKUP(Survey!$F1299,sections[Start],sections[Test Section],,-1,1)</f>
        <v>5</v>
      </c>
      <c r="N1299" s="55">
        <f>_xlfn.XLOOKUP(Survey!$K1299,pipedata[ID],pipedata[WT])</f>
        <v>0.88800000000000001</v>
      </c>
      <c r="O1299" s="56">
        <f>_xlfn.XLOOKUP(Survey!$K1299,pipedata[ID],pipedata[104%])</f>
        <v>3078.4</v>
      </c>
      <c r="P1299" s="57">
        <f t="shared" si="20"/>
        <v>1850</v>
      </c>
      <c r="Q1299" s="58">
        <f>_xlfn.MAXIFS(Survey!$G$2:$G$3647,Survey!$M$2:$M$3647,Survey!$M1299)-Survey!$G1299</f>
        <v>1876.6733969176707</v>
      </c>
      <c r="R1299" s="59">
        <f>Survey!$P1299+(Survey!$Q1299*0.433)</f>
        <v>2662.5995808653515</v>
      </c>
    </row>
    <row r="1300" spans="1:18" x14ac:dyDescent="0.25">
      <c r="A1300" s="71" t="s">
        <v>17</v>
      </c>
      <c r="B1300" s="72" t="s">
        <v>18</v>
      </c>
      <c r="C1300" s="73" t="s">
        <v>19</v>
      </c>
      <c r="D1300" s="74">
        <v>236.71022371284036</v>
      </c>
      <c r="E1300" s="81">
        <v>1278809</v>
      </c>
      <c r="F1300" s="82">
        <v>1250770.8842975358</v>
      </c>
      <c r="G1300" s="75">
        <v>1873.2844495463817</v>
      </c>
      <c r="H1300" s="76">
        <v>3</v>
      </c>
      <c r="I1300" s="54" t="s">
        <v>20</v>
      </c>
      <c r="J1300" s="77">
        <v>40</v>
      </c>
      <c r="K1300" s="78">
        <v>3</v>
      </c>
      <c r="L1300" s="54">
        <v>1</v>
      </c>
      <c r="M1300" s="54">
        <f>_xlfn.XLOOKUP(Survey!$F1300,sections[Start],sections[Test Section],,-1,1)</f>
        <v>5</v>
      </c>
      <c r="N1300" s="55">
        <f>_xlfn.XLOOKUP(Survey!$K1300,pipedata[ID],pipedata[WT])</f>
        <v>0.88800000000000001</v>
      </c>
      <c r="O1300" s="56">
        <f>_xlfn.XLOOKUP(Survey!$K1300,pipedata[ID],pipedata[104%])</f>
        <v>3078.4</v>
      </c>
      <c r="P1300" s="57">
        <f t="shared" si="20"/>
        <v>1850</v>
      </c>
      <c r="Q1300" s="58">
        <f>_xlfn.MAXIFS(Survey!$G$2:$G$3647,Survey!$M$2:$M$3647,Survey!$M1300)-Survey!$G1300</f>
        <v>1862.0923897788896</v>
      </c>
      <c r="R1300" s="59">
        <f>Survey!$P1300+(Survey!$Q1300*0.433)</f>
        <v>2656.2860047742593</v>
      </c>
    </row>
    <row r="1301" spans="1:18" x14ac:dyDescent="0.25">
      <c r="A1301" s="60" t="s">
        <v>17</v>
      </c>
      <c r="B1301" s="61" t="s">
        <v>18</v>
      </c>
      <c r="C1301" s="62" t="s">
        <v>19</v>
      </c>
      <c r="D1301" s="63">
        <v>236.71819814251185</v>
      </c>
      <c r="E1301" s="79">
        <v>1278849</v>
      </c>
      <c r="F1301" s="80">
        <v>1250809.3429752218</v>
      </c>
      <c r="G1301" s="66">
        <v>1883.7404160669842</v>
      </c>
      <c r="H1301" s="67">
        <v>3</v>
      </c>
      <c r="I1301" s="68" t="s">
        <v>20</v>
      </c>
      <c r="J1301" s="69">
        <v>40</v>
      </c>
      <c r="K1301" s="70">
        <v>3</v>
      </c>
      <c r="L1301" s="68">
        <v>1</v>
      </c>
      <c r="M1301" s="68">
        <f>_xlfn.XLOOKUP(Survey!$F1301,sections[Start],sections[Test Section],,-1,1)</f>
        <v>5</v>
      </c>
      <c r="N1301" s="55">
        <f>_xlfn.XLOOKUP(Survey!$K1301,pipedata[ID],pipedata[WT])</f>
        <v>0.88800000000000001</v>
      </c>
      <c r="O1301" s="56">
        <f>_xlfn.XLOOKUP(Survey!$K1301,pipedata[ID],pipedata[104%])</f>
        <v>3078.4</v>
      </c>
      <c r="P1301" s="57">
        <f t="shared" si="20"/>
        <v>1850</v>
      </c>
      <c r="Q1301" s="58">
        <f>_xlfn.MAXIFS(Survey!$G$2:$G$3647,Survey!$M$2:$M$3647,Survey!$M1301)-Survey!$G1301</f>
        <v>1851.6364232582871</v>
      </c>
      <c r="R1301" s="59">
        <f>Survey!$P1301+(Survey!$Q1301*0.433)</f>
        <v>2651.7585712708383</v>
      </c>
    </row>
    <row r="1302" spans="1:18" x14ac:dyDescent="0.25">
      <c r="A1302" s="71" t="s">
        <v>17</v>
      </c>
      <c r="B1302" s="72" t="s">
        <v>18</v>
      </c>
      <c r="C1302" s="73" t="s">
        <v>19</v>
      </c>
      <c r="D1302" s="74">
        <v>236.72599523304416</v>
      </c>
      <c r="E1302" s="81">
        <v>1278889</v>
      </c>
      <c r="F1302" s="82">
        <v>1250847.8016529079</v>
      </c>
      <c r="G1302" s="75">
        <v>1895.0569432541765</v>
      </c>
      <c r="H1302" s="76">
        <v>3</v>
      </c>
      <c r="I1302" s="54" t="s">
        <v>20</v>
      </c>
      <c r="J1302" s="77">
        <v>40</v>
      </c>
      <c r="K1302" s="78">
        <v>3</v>
      </c>
      <c r="L1302" s="54">
        <v>1</v>
      </c>
      <c r="M1302" s="54">
        <f>_xlfn.XLOOKUP(Survey!$F1302,sections[Start],sections[Test Section],,-1,1)</f>
        <v>5</v>
      </c>
      <c r="N1302" s="55">
        <f>_xlfn.XLOOKUP(Survey!$K1302,pipedata[ID],pipedata[WT])</f>
        <v>0.88800000000000001</v>
      </c>
      <c r="O1302" s="56">
        <f>_xlfn.XLOOKUP(Survey!$K1302,pipedata[ID],pipedata[104%])</f>
        <v>3078.4</v>
      </c>
      <c r="P1302" s="57">
        <f t="shared" si="20"/>
        <v>1850</v>
      </c>
      <c r="Q1302" s="58">
        <f>_xlfn.MAXIFS(Survey!$G$2:$G$3647,Survey!$M$2:$M$3647,Survey!$M1302)-Survey!$G1302</f>
        <v>1840.3198960710947</v>
      </c>
      <c r="R1302" s="59">
        <f>Survey!$P1302+(Survey!$Q1302*0.433)</f>
        <v>2646.8585149987839</v>
      </c>
    </row>
    <row r="1303" spans="1:18" x14ac:dyDescent="0.25">
      <c r="A1303" s="60" t="s">
        <v>17</v>
      </c>
      <c r="B1303" s="61" t="s">
        <v>18</v>
      </c>
      <c r="C1303" s="62" t="s">
        <v>19</v>
      </c>
      <c r="D1303" s="63">
        <v>236.73239832756147</v>
      </c>
      <c r="E1303" s="79">
        <v>1278929</v>
      </c>
      <c r="F1303" s="80">
        <v>1250886.2603305939</v>
      </c>
      <c r="G1303" s="66">
        <v>1904.6721133258252</v>
      </c>
      <c r="H1303" s="67">
        <v>3</v>
      </c>
      <c r="I1303" s="68" t="s">
        <v>20</v>
      </c>
      <c r="J1303" s="69">
        <v>40</v>
      </c>
      <c r="K1303" s="70">
        <v>3</v>
      </c>
      <c r="L1303" s="68">
        <v>1</v>
      </c>
      <c r="M1303" s="68">
        <f>_xlfn.XLOOKUP(Survey!$F1303,sections[Start],sections[Test Section],,-1,1)</f>
        <v>5</v>
      </c>
      <c r="N1303" s="55">
        <f>_xlfn.XLOOKUP(Survey!$K1303,pipedata[ID],pipedata[WT])</f>
        <v>0.88800000000000001</v>
      </c>
      <c r="O1303" s="56">
        <f>_xlfn.XLOOKUP(Survey!$K1303,pipedata[ID],pipedata[104%])</f>
        <v>3078.4</v>
      </c>
      <c r="P1303" s="57">
        <f t="shared" si="20"/>
        <v>1850</v>
      </c>
      <c r="Q1303" s="58">
        <f>_xlfn.MAXIFS(Survey!$G$2:$G$3647,Survey!$M$2:$M$3647,Survey!$M1303)-Survey!$G1303</f>
        <v>1830.7047259994461</v>
      </c>
      <c r="R1303" s="59">
        <f>Survey!$P1303+(Survey!$Q1303*0.433)</f>
        <v>2642.6951463577602</v>
      </c>
    </row>
    <row r="1304" spans="1:18" x14ac:dyDescent="0.25">
      <c r="A1304" s="71" t="s">
        <v>17</v>
      </c>
      <c r="B1304" s="72" t="s">
        <v>18</v>
      </c>
      <c r="C1304" s="73" t="s">
        <v>19</v>
      </c>
      <c r="D1304" s="74">
        <v>236.74087693206411</v>
      </c>
      <c r="E1304" s="81">
        <v>1278969</v>
      </c>
      <c r="F1304" s="82">
        <v>1250924.71900828</v>
      </c>
      <c r="G1304" s="75">
        <v>1913.5738066071999</v>
      </c>
      <c r="H1304" s="76">
        <v>3</v>
      </c>
      <c r="I1304" s="54" t="s">
        <v>20</v>
      </c>
      <c r="J1304" s="77">
        <v>40</v>
      </c>
      <c r="K1304" s="78">
        <v>3</v>
      </c>
      <c r="L1304" s="54">
        <v>1</v>
      </c>
      <c r="M1304" s="54">
        <f>_xlfn.XLOOKUP(Survey!$F1304,sections[Start],sections[Test Section],,-1,1)</f>
        <v>5</v>
      </c>
      <c r="N1304" s="55">
        <f>_xlfn.XLOOKUP(Survey!$K1304,pipedata[ID],pipedata[WT])</f>
        <v>0.88800000000000001</v>
      </c>
      <c r="O1304" s="56">
        <f>_xlfn.XLOOKUP(Survey!$K1304,pipedata[ID],pipedata[104%])</f>
        <v>3078.4</v>
      </c>
      <c r="P1304" s="57">
        <f t="shared" si="20"/>
        <v>1850</v>
      </c>
      <c r="Q1304" s="58">
        <f>_xlfn.MAXIFS(Survey!$G$2:$G$3647,Survey!$M$2:$M$3647,Survey!$M1304)-Survey!$G1304</f>
        <v>1821.8030327180713</v>
      </c>
      <c r="R1304" s="59">
        <f>Survey!$P1304+(Survey!$Q1304*0.433)</f>
        <v>2638.8407131669246</v>
      </c>
    </row>
    <row r="1305" spans="1:18" x14ac:dyDescent="0.25">
      <c r="A1305" s="60" t="s">
        <v>17</v>
      </c>
      <c r="B1305" s="61" t="s">
        <v>18</v>
      </c>
      <c r="C1305" s="62" t="s">
        <v>19</v>
      </c>
      <c r="D1305" s="63">
        <v>236.74765981566642</v>
      </c>
      <c r="E1305" s="79">
        <v>1279009</v>
      </c>
      <c r="F1305" s="80">
        <v>1250963.177685966</v>
      </c>
      <c r="G1305" s="66">
        <v>1921.5913987647518</v>
      </c>
      <c r="H1305" s="67">
        <v>3</v>
      </c>
      <c r="I1305" s="68" t="s">
        <v>20</v>
      </c>
      <c r="J1305" s="69">
        <v>40</v>
      </c>
      <c r="K1305" s="70">
        <v>3</v>
      </c>
      <c r="L1305" s="68">
        <v>1</v>
      </c>
      <c r="M1305" s="68">
        <f>_xlfn.XLOOKUP(Survey!$F1305,sections[Start],sections[Test Section],,-1,1)</f>
        <v>5</v>
      </c>
      <c r="N1305" s="55">
        <f>_xlfn.XLOOKUP(Survey!$K1305,pipedata[ID],pipedata[WT])</f>
        <v>0.88800000000000001</v>
      </c>
      <c r="O1305" s="56">
        <f>_xlfn.XLOOKUP(Survey!$K1305,pipedata[ID],pipedata[104%])</f>
        <v>3078.4</v>
      </c>
      <c r="P1305" s="57">
        <f t="shared" si="20"/>
        <v>1850</v>
      </c>
      <c r="Q1305" s="58">
        <f>_xlfn.MAXIFS(Survey!$G$2:$G$3647,Survey!$M$2:$M$3647,Survey!$M1305)-Survey!$G1305</f>
        <v>1813.7854405605194</v>
      </c>
      <c r="R1305" s="59">
        <f>Survey!$P1305+(Survey!$Q1305*0.433)</f>
        <v>2635.369095762705</v>
      </c>
    </row>
    <row r="1306" spans="1:18" x14ac:dyDescent="0.25">
      <c r="A1306" s="71" t="s">
        <v>17</v>
      </c>
      <c r="B1306" s="72" t="s">
        <v>18</v>
      </c>
      <c r="C1306" s="73" t="s">
        <v>19</v>
      </c>
      <c r="D1306" s="74">
        <v>236.75462781106074</v>
      </c>
      <c r="E1306" s="81">
        <v>1279049</v>
      </c>
      <c r="F1306" s="82">
        <v>1251001.6363636521</v>
      </c>
      <c r="G1306" s="75">
        <v>1927.5132858818545</v>
      </c>
      <c r="H1306" s="76">
        <v>3</v>
      </c>
      <c r="I1306" s="54" t="s">
        <v>20</v>
      </c>
      <c r="J1306" s="77">
        <v>40</v>
      </c>
      <c r="K1306" s="78">
        <v>3</v>
      </c>
      <c r="L1306" s="54">
        <v>1</v>
      </c>
      <c r="M1306" s="54">
        <f>_xlfn.XLOOKUP(Survey!$F1306,sections[Start],sections[Test Section],,-1,1)</f>
        <v>5</v>
      </c>
      <c r="N1306" s="55">
        <f>_xlfn.XLOOKUP(Survey!$K1306,pipedata[ID],pipedata[WT])</f>
        <v>0.88800000000000001</v>
      </c>
      <c r="O1306" s="56">
        <f>_xlfn.XLOOKUP(Survey!$K1306,pipedata[ID],pipedata[104%])</f>
        <v>3078.4</v>
      </c>
      <c r="P1306" s="57">
        <f t="shared" si="20"/>
        <v>1850</v>
      </c>
      <c r="Q1306" s="58">
        <f>_xlfn.MAXIFS(Survey!$G$2:$G$3647,Survey!$M$2:$M$3647,Survey!$M1306)-Survey!$G1306</f>
        <v>1807.8635534434168</v>
      </c>
      <c r="R1306" s="59">
        <f>Survey!$P1306+(Survey!$Q1306*0.433)</f>
        <v>2632.8049186409994</v>
      </c>
    </row>
    <row r="1307" spans="1:18" x14ac:dyDescent="0.25">
      <c r="A1307" s="60" t="s">
        <v>17</v>
      </c>
      <c r="B1307" s="61" t="s">
        <v>18</v>
      </c>
      <c r="C1307" s="62" t="s">
        <v>19</v>
      </c>
      <c r="D1307" s="63">
        <v>236.76292130377212</v>
      </c>
      <c r="E1307" s="79">
        <v>1279089</v>
      </c>
      <c r="F1307" s="80">
        <v>1251040.0950413381</v>
      </c>
      <c r="G1307" s="66">
        <v>1931.0680966210234</v>
      </c>
      <c r="H1307" s="67">
        <v>3</v>
      </c>
      <c r="I1307" s="68" t="s">
        <v>20</v>
      </c>
      <c r="J1307" s="69">
        <v>40</v>
      </c>
      <c r="K1307" s="70">
        <v>3</v>
      </c>
      <c r="L1307" s="68">
        <v>1</v>
      </c>
      <c r="M1307" s="68">
        <f>_xlfn.XLOOKUP(Survey!$F1307,sections[Start],sections[Test Section],,-1,1)</f>
        <v>5</v>
      </c>
      <c r="N1307" s="55">
        <f>_xlfn.XLOOKUP(Survey!$K1307,pipedata[ID],pipedata[WT])</f>
        <v>0.88800000000000001</v>
      </c>
      <c r="O1307" s="56">
        <f>_xlfn.XLOOKUP(Survey!$K1307,pipedata[ID],pipedata[104%])</f>
        <v>3078.4</v>
      </c>
      <c r="P1307" s="57">
        <f t="shared" si="20"/>
        <v>1850</v>
      </c>
      <c r="Q1307" s="58">
        <f>_xlfn.MAXIFS(Survey!$G$2:$G$3647,Survey!$M$2:$M$3647,Survey!$M1307)-Survey!$G1307</f>
        <v>1804.3087427042478</v>
      </c>
      <c r="R1307" s="59">
        <f>Survey!$P1307+(Survey!$Q1307*0.433)</f>
        <v>2631.265685590939</v>
      </c>
    </row>
    <row r="1308" spans="1:18" x14ac:dyDescent="0.25">
      <c r="A1308" s="71" t="s">
        <v>17</v>
      </c>
      <c r="B1308" s="72" t="s">
        <v>18</v>
      </c>
      <c r="C1308" s="73" t="s">
        <v>19</v>
      </c>
      <c r="D1308" s="74">
        <v>236.76989851933621</v>
      </c>
      <c r="E1308" s="81">
        <v>1279129</v>
      </c>
      <c r="F1308" s="82">
        <v>1251078.5537190242</v>
      </c>
      <c r="G1308" s="75">
        <v>1934.0345677494872</v>
      </c>
      <c r="H1308" s="76">
        <v>3</v>
      </c>
      <c r="I1308" s="54" t="s">
        <v>20</v>
      </c>
      <c r="J1308" s="77">
        <v>40</v>
      </c>
      <c r="K1308" s="78">
        <v>3</v>
      </c>
      <c r="L1308" s="54">
        <v>1</v>
      </c>
      <c r="M1308" s="54">
        <f>_xlfn.XLOOKUP(Survey!$F1308,sections[Start],sections[Test Section],,-1,1)</f>
        <v>5</v>
      </c>
      <c r="N1308" s="55">
        <f>_xlfn.XLOOKUP(Survey!$K1308,pipedata[ID],pipedata[WT])</f>
        <v>0.88800000000000001</v>
      </c>
      <c r="O1308" s="56">
        <f>_xlfn.XLOOKUP(Survey!$K1308,pipedata[ID],pipedata[104%])</f>
        <v>3078.4</v>
      </c>
      <c r="P1308" s="57">
        <f t="shared" si="20"/>
        <v>1850</v>
      </c>
      <c r="Q1308" s="58">
        <f>_xlfn.MAXIFS(Survey!$G$2:$G$3647,Survey!$M$2:$M$3647,Survey!$M1308)-Survey!$G1308</f>
        <v>1801.342271575784</v>
      </c>
      <c r="R1308" s="59">
        <f>Survey!$P1308+(Survey!$Q1308*0.433)</f>
        <v>2629.9812035923146</v>
      </c>
    </row>
    <row r="1309" spans="1:18" x14ac:dyDescent="0.25">
      <c r="A1309" s="60" t="s">
        <v>17</v>
      </c>
      <c r="B1309" s="61" t="s">
        <v>18</v>
      </c>
      <c r="C1309" s="62" t="s">
        <v>19</v>
      </c>
      <c r="D1309" s="63">
        <v>236.77818279187787</v>
      </c>
      <c r="E1309" s="79">
        <v>1279169</v>
      </c>
      <c r="F1309" s="80">
        <v>1251117.0123967102</v>
      </c>
      <c r="G1309" s="66">
        <v>1936.4456703014375</v>
      </c>
      <c r="H1309" s="67">
        <v>3</v>
      </c>
      <c r="I1309" s="68" t="s">
        <v>20</v>
      </c>
      <c r="J1309" s="69">
        <v>40</v>
      </c>
      <c r="K1309" s="70">
        <v>3</v>
      </c>
      <c r="L1309" s="68">
        <v>1</v>
      </c>
      <c r="M1309" s="68">
        <f>_xlfn.XLOOKUP(Survey!$F1309,sections[Start],sections[Test Section],,-1,1)</f>
        <v>5</v>
      </c>
      <c r="N1309" s="55">
        <f>_xlfn.XLOOKUP(Survey!$K1309,pipedata[ID],pipedata[WT])</f>
        <v>0.88800000000000001</v>
      </c>
      <c r="O1309" s="56">
        <f>_xlfn.XLOOKUP(Survey!$K1309,pipedata[ID],pipedata[104%])</f>
        <v>3078.4</v>
      </c>
      <c r="P1309" s="57">
        <f t="shared" si="20"/>
        <v>1850</v>
      </c>
      <c r="Q1309" s="58">
        <f>_xlfn.MAXIFS(Survey!$G$2:$G$3647,Survey!$M$2:$M$3647,Survey!$M1309)-Survey!$G1309</f>
        <v>1798.9311690238337</v>
      </c>
      <c r="R1309" s="59">
        <f>Survey!$P1309+(Survey!$Q1309*0.433)</f>
        <v>2628.9371961873198</v>
      </c>
    </row>
    <row r="1310" spans="1:18" x14ac:dyDescent="0.25">
      <c r="A1310" s="71" t="s">
        <v>17</v>
      </c>
      <c r="B1310" s="72" t="s">
        <v>18</v>
      </c>
      <c r="C1310" s="73" t="s">
        <v>19</v>
      </c>
      <c r="D1310" s="74">
        <v>236.78516670878099</v>
      </c>
      <c r="E1310" s="81">
        <v>1279209</v>
      </c>
      <c r="F1310" s="82">
        <v>1251155.4710743963</v>
      </c>
      <c r="G1310" s="75">
        <v>1938.7416399354061</v>
      </c>
      <c r="H1310" s="76">
        <v>3</v>
      </c>
      <c r="I1310" s="54" t="s">
        <v>20</v>
      </c>
      <c r="J1310" s="77">
        <v>40</v>
      </c>
      <c r="K1310" s="78">
        <v>3</v>
      </c>
      <c r="L1310" s="54">
        <v>1</v>
      </c>
      <c r="M1310" s="54">
        <f>_xlfn.XLOOKUP(Survey!$F1310,sections[Start],sections[Test Section],,-1,1)</f>
        <v>5</v>
      </c>
      <c r="N1310" s="55">
        <f>_xlfn.XLOOKUP(Survey!$K1310,pipedata[ID],pipedata[WT])</f>
        <v>0.88800000000000001</v>
      </c>
      <c r="O1310" s="56">
        <f>_xlfn.XLOOKUP(Survey!$K1310,pipedata[ID],pipedata[104%])</f>
        <v>3078.4</v>
      </c>
      <c r="P1310" s="57">
        <f t="shared" si="20"/>
        <v>1850</v>
      </c>
      <c r="Q1310" s="58">
        <f>_xlfn.MAXIFS(Survey!$G$2:$G$3647,Survey!$M$2:$M$3647,Survey!$M1310)-Survey!$G1310</f>
        <v>1796.6351993898652</v>
      </c>
      <c r="R1310" s="59">
        <f>Survey!$P1310+(Survey!$Q1310*0.433)</f>
        <v>2627.9430413358114</v>
      </c>
    </row>
    <row r="1311" spans="1:18" x14ac:dyDescent="0.25">
      <c r="A1311" s="60" t="s">
        <v>17</v>
      </c>
      <c r="B1311" s="61" t="s">
        <v>18</v>
      </c>
      <c r="C1311" s="62" t="s">
        <v>19</v>
      </c>
      <c r="D1311" s="63">
        <v>236.79368342391709</v>
      </c>
      <c r="E1311" s="79">
        <v>1279249</v>
      </c>
      <c r="F1311" s="80">
        <v>1251193.9297520823</v>
      </c>
      <c r="G1311" s="66">
        <v>1941.749280166179</v>
      </c>
      <c r="H1311" s="67">
        <v>3</v>
      </c>
      <c r="I1311" s="68" t="s">
        <v>20</v>
      </c>
      <c r="J1311" s="69">
        <v>40</v>
      </c>
      <c r="K1311" s="70">
        <v>3</v>
      </c>
      <c r="L1311" s="68">
        <v>1</v>
      </c>
      <c r="M1311" s="68">
        <f>_xlfn.XLOOKUP(Survey!$F1311,sections[Start],sections[Test Section],,-1,1)</f>
        <v>5</v>
      </c>
      <c r="N1311" s="55">
        <f>_xlfn.XLOOKUP(Survey!$K1311,pipedata[ID],pipedata[WT])</f>
        <v>0.88800000000000001</v>
      </c>
      <c r="O1311" s="56">
        <f>_xlfn.XLOOKUP(Survey!$K1311,pipedata[ID],pipedata[104%])</f>
        <v>3078.4</v>
      </c>
      <c r="P1311" s="57">
        <f t="shared" si="20"/>
        <v>1850</v>
      </c>
      <c r="Q1311" s="58">
        <f>_xlfn.MAXIFS(Survey!$G$2:$G$3647,Survey!$M$2:$M$3647,Survey!$M1311)-Survey!$G1311</f>
        <v>1793.6275591590922</v>
      </c>
      <c r="R1311" s="59">
        <f>Survey!$P1311+(Survey!$Q1311*0.433)</f>
        <v>2626.6407331158871</v>
      </c>
    </row>
    <row r="1312" spans="1:18" x14ac:dyDescent="0.25">
      <c r="A1312" s="71" t="s">
        <v>17</v>
      </c>
      <c r="B1312" s="72" t="s">
        <v>18</v>
      </c>
      <c r="C1312" s="73" t="s">
        <v>19</v>
      </c>
      <c r="D1312" s="74">
        <v>236.79975409504863</v>
      </c>
      <c r="E1312" s="81">
        <v>1279289</v>
      </c>
      <c r="F1312" s="82">
        <v>1251232.3884297684</v>
      </c>
      <c r="G1312" s="75">
        <v>1945.3232924163397</v>
      </c>
      <c r="H1312" s="76">
        <v>3</v>
      </c>
      <c r="I1312" s="54" t="s">
        <v>20</v>
      </c>
      <c r="J1312" s="77">
        <v>40</v>
      </c>
      <c r="K1312" s="78">
        <v>3</v>
      </c>
      <c r="L1312" s="54">
        <v>1</v>
      </c>
      <c r="M1312" s="54">
        <f>_xlfn.XLOOKUP(Survey!$F1312,sections[Start],sections[Test Section],,-1,1)</f>
        <v>5</v>
      </c>
      <c r="N1312" s="55">
        <f>_xlfn.XLOOKUP(Survey!$K1312,pipedata[ID],pipedata[WT])</f>
        <v>0.88800000000000001</v>
      </c>
      <c r="O1312" s="56">
        <f>_xlfn.XLOOKUP(Survey!$K1312,pipedata[ID],pipedata[104%])</f>
        <v>3078.4</v>
      </c>
      <c r="P1312" s="57">
        <f t="shared" si="20"/>
        <v>1850</v>
      </c>
      <c r="Q1312" s="58">
        <f>_xlfn.MAXIFS(Survey!$G$2:$G$3647,Survey!$M$2:$M$3647,Survey!$M1312)-Survey!$G1312</f>
        <v>1790.0535469089316</v>
      </c>
      <c r="R1312" s="59">
        <f>Survey!$P1312+(Survey!$Q1312*0.433)</f>
        <v>2625.0931858115673</v>
      </c>
    </row>
    <row r="1313" spans="1:18" x14ac:dyDescent="0.25">
      <c r="A1313" s="60" t="s">
        <v>17</v>
      </c>
      <c r="B1313" s="61" t="s">
        <v>18</v>
      </c>
      <c r="C1313" s="62" t="s">
        <v>19</v>
      </c>
      <c r="D1313" s="63">
        <v>236.80759802053171</v>
      </c>
      <c r="E1313" s="79">
        <v>1279329</v>
      </c>
      <c r="F1313" s="80">
        <v>1251270.8471074544</v>
      </c>
      <c r="G1313" s="66">
        <v>1944.2666734217219</v>
      </c>
      <c r="H1313" s="67">
        <v>3</v>
      </c>
      <c r="I1313" s="68" t="s">
        <v>20</v>
      </c>
      <c r="J1313" s="69">
        <v>40</v>
      </c>
      <c r="K1313" s="70">
        <v>3</v>
      </c>
      <c r="L1313" s="68">
        <v>1</v>
      </c>
      <c r="M1313" s="68">
        <f>_xlfn.XLOOKUP(Survey!$F1313,sections[Start],sections[Test Section],,-1,1)</f>
        <v>5</v>
      </c>
      <c r="N1313" s="55">
        <f>_xlfn.XLOOKUP(Survey!$K1313,pipedata[ID],pipedata[WT])</f>
        <v>0.88800000000000001</v>
      </c>
      <c r="O1313" s="56">
        <f>_xlfn.XLOOKUP(Survey!$K1313,pipedata[ID],pipedata[104%])</f>
        <v>3078.4</v>
      </c>
      <c r="P1313" s="57">
        <f t="shared" si="20"/>
        <v>1850</v>
      </c>
      <c r="Q1313" s="58">
        <f>_xlfn.MAXIFS(Survey!$G$2:$G$3647,Survey!$M$2:$M$3647,Survey!$M1313)-Survey!$G1313</f>
        <v>1791.1101659035494</v>
      </c>
      <c r="R1313" s="59">
        <f>Survey!$P1313+(Survey!$Q1313*0.433)</f>
        <v>2625.5507018362368</v>
      </c>
    </row>
    <row r="1314" spans="1:18" x14ac:dyDescent="0.25">
      <c r="A1314" s="71" t="s">
        <v>17</v>
      </c>
      <c r="B1314" s="72" t="s">
        <v>18</v>
      </c>
      <c r="C1314" s="73" t="s">
        <v>19</v>
      </c>
      <c r="D1314" s="74">
        <v>236.81522131095417</v>
      </c>
      <c r="E1314" s="81">
        <v>1279369</v>
      </c>
      <c r="F1314" s="82">
        <v>1251309.3057851405</v>
      </c>
      <c r="G1314" s="75">
        <v>1941.816638184365</v>
      </c>
      <c r="H1314" s="76">
        <v>3</v>
      </c>
      <c r="I1314" s="54" t="s">
        <v>20</v>
      </c>
      <c r="J1314" s="77">
        <v>40</v>
      </c>
      <c r="K1314" s="78">
        <v>3</v>
      </c>
      <c r="L1314" s="54">
        <v>1</v>
      </c>
      <c r="M1314" s="54">
        <f>_xlfn.XLOOKUP(Survey!$F1314,sections[Start],sections[Test Section],,-1,1)</f>
        <v>5</v>
      </c>
      <c r="N1314" s="55">
        <f>_xlfn.XLOOKUP(Survey!$K1314,pipedata[ID],pipedata[WT])</f>
        <v>0.88800000000000001</v>
      </c>
      <c r="O1314" s="56">
        <f>_xlfn.XLOOKUP(Survey!$K1314,pipedata[ID],pipedata[104%])</f>
        <v>3078.4</v>
      </c>
      <c r="P1314" s="57">
        <f t="shared" si="20"/>
        <v>1850</v>
      </c>
      <c r="Q1314" s="58">
        <f>_xlfn.MAXIFS(Survey!$G$2:$G$3647,Survey!$M$2:$M$3647,Survey!$M1314)-Survey!$G1314</f>
        <v>1793.5602011409062</v>
      </c>
      <c r="R1314" s="59">
        <f>Survey!$P1314+(Survey!$Q1314*0.433)</f>
        <v>2626.6115670940126</v>
      </c>
    </row>
    <row r="1315" spans="1:18" x14ac:dyDescent="0.25">
      <c r="A1315" s="60" t="s">
        <v>17</v>
      </c>
      <c r="B1315" s="61" t="s">
        <v>18</v>
      </c>
      <c r="C1315" s="62" t="s">
        <v>19</v>
      </c>
      <c r="D1315" s="63">
        <v>236.82248296955186</v>
      </c>
      <c r="E1315" s="79">
        <v>1279409</v>
      </c>
      <c r="F1315" s="80">
        <v>1251347.7644628265</v>
      </c>
      <c r="G1315" s="66">
        <v>1926.2672239999324</v>
      </c>
      <c r="H1315" s="67">
        <v>3</v>
      </c>
      <c r="I1315" s="68" t="s">
        <v>20</v>
      </c>
      <c r="J1315" s="69">
        <v>40</v>
      </c>
      <c r="K1315" s="70">
        <v>3</v>
      </c>
      <c r="L1315" s="68">
        <v>1</v>
      </c>
      <c r="M1315" s="68">
        <f>_xlfn.XLOOKUP(Survey!$F1315,sections[Start],sections[Test Section],,-1,1)</f>
        <v>5</v>
      </c>
      <c r="N1315" s="55">
        <f>_xlfn.XLOOKUP(Survey!$K1315,pipedata[ID],pipedata[WT])</f>
        <v>0.88800000000000001</v>
      </c>
      <c r="O1315" s="56">
        <f>_xlfn.XLOOKUP(Survey!$K1315,pipedata[ID],pipedata[104%])</f>
        <v>3078.4</v>
      </c>
      <c r="P1315" s="57">
        <f t="shared" si="20"/>
        <v>1850</v>
      </c>
      <c r="Q1315" s="58">
        <f>_xlfn.MAXIFS(Survey!$G$2:$G$3647,Survey!$M$2:$M$3647,Survey!$M1315)-Survey!$G1315</f>
        <v>1809.1096153253388</v>
      </c>
      <c r="R1315" s="59">
        <f>Survey!$P1315+(Survey!$Q1315*0.433)</f>
        <v>2633.3444634358716</v>
      </c>
    </row>
    <row r="1316" spans="1:18" x14ac:dyDescent="0.25">
      <c r="A1316" s="71" t="s">
        <v>17</v>
      </c>
      <c r="B1316" s="72" t="s">
        <v>18</v>
      </c>
      <c r="C1316" s="73" t="s">
        <v>19</v>
      </c>
      <c r="D1316" s="74">
        <v>236.82892298399557</v>
      </c>
      <c r="E1316" s="81">
        <v>1279449</v>
      </c>
      <c r="F1316" s="82">
        <v>1251386.2231405126</v>
      </c>
      <c r="G1316" s="75">
        <v>1908.6746229894013</v>
      </c>
      <c r="H1316" s="76">
        <v>3</v>
      </c>
      <c r="I1316" s="54" t="s">
        <v>20</v>
      </c>
      <c r="J1316" s="77">
        <v>40</v>
      </c>
      <c r="K1316" s="78">
        <v>3</v>
      </c>
      <c r="L1316" s="54">
        <v>1</v>
      </c>
      <c r="M1316" s="54">
        <f>_xlfn.XLOOKUP(Survey!$F1316,sections[Start],sections[Test Section],,-1,1)</f>
        <v>5</v>
      </c>
      <c r="N1316" s="55">
        <f>_xlfn.XLOOKUP(Survey!$K1316,pipedata[ID],pipedata[WT])</f>
        <v>0.88800000000000001</v>
      </c>
      <c r="O1316" s="56">
        <f>_xlfn.XLOOKUP(Survey!$K1316,pipedata[ID],pipedata[104%])</f>
        <v>3078.4</v>
      </c>
      <c r="P1316" s="57">
        <f t="shared" si="20"/>
        <v>1850</v>
      </c>
      <c r="Q1316" s="58">
        <f>_xlfn.MAXIFS(Survey!$G$2:$G$3647,Survey!$M$2:$M$3647,Survey!$M1316)-Survey!$G1316</f>
        <v>1826.7022163358699</v>
      </c>
      <c r="R1316" s="59">
        <f>Survey!$P1316+(Survey!$Q1316*0.433)</f>
        <v>2640.9620596734317</v>
      </c>
    </row>
    <row r="1317" spans="1:18" x14ac:dyDescent="0.25">
      <c r="A1317" s="60" t="s">
        <v>17</v>
      </c>
      <c r="B1317" s="61" t="s">
        <v>18</v>
      </c>
      <c r="C1317" s="62" t="s">
        <v>19</v>
      </c>
      <c r="D1317" s="63">
        <v>236.83618535961583</v>
      </c>
      <c r="E1317" s="79">
        <v>1279489</v>
      </c>
      <c r="F1317" s="80">
        <v>1251424.6818181986</v>
      </c>
      <c r="G1317" s="66">
        <v>1896.4603539342754</v>
      </c>
      <c r="H1317" s="67">
        <v>3</v>
      </c>
      <c r="I1317" s="68" t="s">
        <v>20</v>
      </c>
      <c r="J1317" s="69">
        <v>40</v>
      </c>
      <c r="K1317" s="70">
        <v>3</v>
      </c>
      <c r="L1317" s="68">
        <v>1</v>
      </c>
      <c r="M1317" s="68">
        <f>_xlfn.XLOOKUP(Survey!$F1317,sections[Start],sections[Test Section],,-1,1)</f>
        <v>5</v>
      </c>
      <c r="N1317" s="55">
        <f>_xlfn.XLOOKUP(Survey!$K1317,pipedata[ID],pipedata[WT])</f>
        <v>0.88800000000000001</v>
      </c>
      <c r="O1317" s="56">
        <f>_xlfn.XLOOKUP(Survey!$K1317,pipedata[ID],pipedata[104%])</f>
        <v>3078.4</v>
      </c>
      <c r="P1317" s="57">
        <f t="shared" si="20"/>
        <v>1850</v>
      </c>
      <c r="Q1317" s="58">
        <f>_xlfn.MAXIFS(Survey!$G$2:$G$3647,Survey!$M$2:$M$3647,Survey!$M1317)-Survey!$G1317</f>
        <v>1838.9164853909958</v>
      </c>
      <c r="R1317" s="59">
        <f>Survey!$P1317+(Survey!$Q1317*0.433)</f>
        <v>2646.250838174301</v>
      </c>
    </row>
    <row r="1318" spans="1:18" x14ac:dyDescent="0.25">
      <c r="A1318" s="71" t="s">
        <v>17</v>
      </c>
      <c r="B1318" s="72" t="s">
        <v>18</v>
      </c>
      <c r="C1318" s="73" t="s">
        <v>19</v>
      </c>
      <c r="D1318" s="74">
        <v>236.84380250353104</v>
      </c>
      <c r="E1318" s="81">
        <v>1279529</v>
      </c>
      <c r="F1318" s="82">
        <v>1251463.1404958847</v>
      </c>
      <c r="G1318" s="75">
        <v>1885.1353944618222</v>
      </c>
      <c r="H1318" s="76">
        <v>3</v>
      </c>
      <c r="I1318" s="54" t="s">
        <v>20</v>
      </c>
      <c r="J1318" s="77">
        <v>40</v>
      </c>
      <c r="K1318" s="78">
        <v>3</v>
      </c>
      <c r="L1318" s="54">
        <v>1</v>
      </c>
      <c r="M1318" s="54">
        <f>_xlfn.XLOOKUP(Survey!$F1318,sections[Start],sections[Test Section],,-1,1)</f>
        <v>5</v>
      </c>
      <c r="N1318" s="55">
        <f>_xlfn.XLOOKUP(Survey!$K1318,pipedata[ID],pipedata[WT])</f>
        <v>0.88800000000000001</v>
      </c>
      <c r="O1318" s="56">
        <f>_xlfn.XLOOKUP(Survey!$K1318,pipedata[ID],pipedata[104%])</f>
        <v>3078.4</v>
      </c>
      <c r="P1318" s="57">
        <f t="shared" si="20"/>
        <v>1850</v>
      </c>
      <c r="Q1318" s="58">
        <f>_xlfn.MAXIFS(Survey!$G$2:$G$3647,Survey!$M$2:$M$3647,Survey!$M1318)-Survey!$G1318</f>
        <v>1850.241444863449</v>
      </c>
      <c r="R1318" s="59">
        <f>Survey!$P1318+(Survey!$Q1318*0.433)</f>
        <v>2651.1545456258737</v>
      </c>
    </row>
    <row r="1319" spans="1:18" x14ac:dyDescent="0.25">
      <c r="A1319" s="60" t="s">
        <v>17</v>
      </c>
      <c r="B1319" s="61" t="s">
        <v>18</v>
      </c>
      <c r="C1319" s="62" t="s">
        <v>19</v>
      </c>
      <c r="D1319" s="63">
        <v>236.85053840854997</v>
      </c>
      <c r="E1319" s="79">
        <v>1279569</v>
      </c>
      <c r="F1319" s="80">
        <v>1251501.5991735708</v>
      </c>
      <c r="G1319" s="66">
        <v>1873.7228473853386</v>
      </c>
      <c r="H1319" s="67">
        <v>3</v>
      </c>
      <c r="I1319" s="68" t="s">
        <v>20</v>
      </c>
      <c r="J1319" s="69">
        <v>40</v>
      </c>
      <c r="K1319" s="70">
        <v>3</v>
      </c>
      <c r="L1319" s="68">
        <v>1</v>
      </c>
      <c r="M1319" s="68">
        <f>_xlfn.XLOOKUP(Survey!$F1319,sections[Start],sections[Test Section],,-1,1)</f>
        <v>5</v>
      </c>
      <c r="N1319" s="55">
        <f>_xlfn.XLOOKUP(Survey!$K1319,pipedata[ID],pipedata[WT])</f>
        <v>0.88800000000000001</v>
      </c>
      <c r="O1319" s="56">
        <f>_xlfn.XLOOKUP(Survey!$K1319,pipedata[ID],pipedata[104%])</f>
        <v>3078.4</v>
      </c>
      <c r="P1319" s="57">
        <f t="shared" si="20"/>
        <v>1850</v>
      </c>
      <c r="Q1319" s="58">
        <f>_xlfn.MAXIFS(Survey!$G$2:$G$3647,Survey!$M$2:$M$3647,Survey!$M1319)-Survey!$G1319</f>
        <v>1861.6539919399327</v>
      </c>
      <c r="R1319" s="59">
        <f>Survey!$P1319+(Survey!$Q1319*0.433)</f>
        <v>2656.0961785099908</v>
      </c>
    </row>
    <row r="1320" spans="1:18" x14ac:dyDescent="0.25">
      <c r="A1320" s="71" t="s">
        <v>17</v>
      </c>
      <c r="B1320" s="72" t="s">
        <v>18</v>
      </c>
      <c r="C1320" s="73" t="s">
        <v>19</v>
      </c>
      <c r="D1320" s="74">
        <v>236.8571060424357</v>
      </c>
      <c r="E1320" s="81">
        <v>1279609</v>
      </c>
      <c r="F1320" s="82">
        <v>1251540.0578512568</v>
      </c>
      <c r="G1320" s="75">
        <v>1858.8253392160141</v>
      </c>
      <c r="H1320" s="76">
        <v>3</v>
      </c>
      <c r="I1320" s="54" t="s">
        <v>20</v>
      </c>
      <c r="J1320" s="77">
        <v>40</v>
      </c>
      <c r="K1320" s="78">
        <v>3</v>
      </c>
      <c r="L1320" s="54">
        <v>1</v>
      </c>
      <c r="M1320" s="54">
        <f>_xlfn.XLOOKUP(Survey!$F1320,sections[Start],sections[Test Section],,-1,1)</f>
        <v>5</v>
      </c>
      <c r="N1320" s="55">
        <f>_xlfn.XLOOKUP(Survey!$K1320,pipedata[ID],pipedata[WT])</f>
        <v>0.88800000000000001</v>
      </c>
      <c r="O1320" s="56">
        <f>_xlfn.XLOOKUP(Survey!$K1320,pipedata[ID],pipedata[104%])</f>
        <v>3078.4</v>
      </c>
      <c r="P1320" s="57">
        <f t="shared" si="20"/>
        <v>1850</v>
      </c>
      <c r="Q1320" s="58">
        <f>_xlfn.MAXIFS(Survey!$G$2:$G$3647,Survey!$M$2:$M$3647,Survey!$M1320)-Survey!$G1320</f>
        <v>1876.5515001092572</v>
      </c>
      <c r="R1320" s="59">
        <f>Survey!$P1320+(Survey!$Q1320*0.433)</f>
        <v>2662.5467995473082</v>
      </c>
    </row>
    <row r="1321" spans="1:18" x14ac:dyDescent="0.25">
      <c r="A1321" s="60" t="s">
        <v>17</v>
      </c>
      <c r="B1321" s="61" t="s">
        <v>18</v>
      </c>
      <c r="C1321" s="62" t="s">
        <v>19</v>
      </c>
      <c r="D1321" s="63">
        <v>236.86294977816482</v>
      </c>
      <c r="E1321" s="79">
        <v>1279649</v>
      </c>
      <c r="F1321" s="80">
        <v>1251578.5165289429</v>
      </c>
      <c r="G1321" s="66">
        <v>1836.2720608303027</v>
      </c>
      <c r="H1321" s="67">
        <v>3</v>
      </c>
      <c r="I1321" s="68" t="s">
        <v>20</v>
      </c>
      <c r="J1321" s="69">
        <v>40</v>
      </c>
      <c r="K1321" s="70">
        <v>3</v>
      </c>
      <c r="L1321" s="68">
        <v>1</v>
      </c>
      <c r="M1321" s="68">
        <f>_xlfn.XLOOKUP(Survey!$F1321,sections[Start],sections[Test Section],,-1,1)</f>
        <v>5</v>
      </c>
      <c r="N1321" s="55">
        <f>_xlfn.XLOOKUP(Survey!$K1321,pipedata[ID],pipedata[WT])</f>
        <v>0.88800000000000001</v>
      </c>
      <c r="O1321" s="56">
        <f>_xlfn.XLOOKUP(Survey!$K1321,pipedata[ID],pipedata[104%])</f>
        <v>3078.4</v>
      </c>
      <c r="P1321" s="57">
        <f t="shared" si="20"/>
        <v>1850</v>
      </c>
      <c r="Q1321" s="58">
        <f>_xlfn.MAXIFS(Survey!$G$2:$G$3647,Survey!$M$2:$M$3647,Survey!$M1321)-Survey!$G1321</f>
        <v>1899.1047784949685</v>
      </c>
      <c r="R1321" s="59">
        <f>Survey!$P1321+(Survey!$Q1321*0.433)</f>
        <v>2672.3123690883212</v>
      </c>
    </row>
    <row r="1322" spans="1:18" x14ac:dyDescent="0.25">
      <c r="A1322" s="71" t="s">
        <v>17</v>
      </c>
      <c r="B1322" s="72" t="s">
        <v>18</v>
      </c>
      <c r="C1322" s="73" t="s">
        <v>19</v>
      </c>
      <c r="D1322" s="74">
        <v>236.87040958134034</v>
      </c>
      <c r="E1322" s="81">
        <v>1279689</v>
      </c>
      <c r="F1322" s="82">
        <v>1251616.9752066289</v>
      </c>
      <c r="G1322" s="75">
        <v>1817.8809135385789</v>
      </c>
      <c r="H1322" s="76">
        <v>3</v>
      </c>
      <c r="I1322" s="54" t="s">
        <v>20</v>
      </c>
      <c r="J1322" s="77">
        <v>40</v>
      </c>
      <c r="K1322" s="78">
        <v>3</v>
      </c>
      <c r="L1322" s="54">
        <v>1</v>
      </c>
      <c r="M1322" s="54">
        <f>_xlfn.XLOOKUP(Survey!$F1322,sections[Start],sections[Test Section],,-1,1)</f>
        <v>5</v>
      </c>
      <c r="N1322" s="55">
        <f>_xlfn.XLOOKUP(Survey!$K1322,pipedata[ID],pipedata[WT])</f>
        <v>0.88800000000000001</v>
      </c>
      <c r="O1322" s="56">
        <f>_xlfn.XLOOKUP(Survey!$K1322,pipedata[ID],pipedata[104%])</f>
        <v>3078.4</v>
      </c>
      <c r="P1322" s="57">
        <f t="shared" si="20"/>
        <v>1850</v>
      </c>
      <c r="Q1322" s="58">
        <f>_xlfn.MAXIFS(Survey!$G$2:$G$3647,Survey!$M$2:$M$3647,Survey!$M1322)-Survey!$G1322</f>
        <v>1917.4959257866924</v>
      </c>
      <c r="R1322" s="59">
        <f>Survey!$P1322+(Survey!$Q1322*0.433)</f>
        <v>2680.2757358656377</v>
      </c>
    </row>
    <row r="1323" spans="1:18" x14ac:dyDescent="0.25">
      <c r="A1323" s="60" t="s">
        <v>17</v>
      </c>
      <c r="B1323" s="61" t="s">
        <v>18</v>
      </c>
      <c r="C1323" s="62" t="s">
        <v>19</v>
      </c>
      <c r="D1323" s="63">
        <v>236.8768528904142</v>
      </c>
      <c r="E1323" s="79">
        <v>1279729</v>
      </c>
      <c r="F1323" s="80">
        <v>1251655.433884315</v>
      </c>
      <c r="G1323" s="66">
        <v>1798.1430131340517</v>
      </c>
      <c r="H1323" s="67">
        <v>3</v>
      </c>
      <c r="I1323" s="68" t="s">
        <v>20</v>
      </c>
      <c r="J1323" s="69">
        <v>40</v>
      </c>
      <c r="K1323" s="70">
        <v>3</v>
      </c>
      <c r="L1323" s="68">
        <v>1</v>
      </c>
      <c r="M1323" s="68">
        <f>_xlfn.XLOOKUP(Survey!$F1323,sections[Start],sections[Test Section],,-1,1)</f>
        <v>5</v>
      </c>
      <c r="N1323" s="55">
        <f>_xlfn.XLOOKUP(Survey!$K1323,pipedata[ID],pipedata[WT])</f>
        <v>0.88800000000000001</v>
      </c>
      <c r="O1323" s="56">
        <f>_xlfn.XLOOKUP(Survey!$K1323,pipedata[ID],pipedata[104%])</f>
        <v>3078.4</v>
      </c>
      <c r="P1323" s="57">
        <f t="shared" si="20"/>
        <v>1850</v>
      </c>
      <c r="Q1323" s="58">
        <f>_xlfn.MAXIFS(Survey!$G$2:$G$3647,Survey!$M$2:$M$3647,Survey!$M1323)-Survey!$G1323</f>
        <v>1937.2338261912196</v>
      </c>
      <c r="R1323" s="59">
        <f>Survey!$P1323+(Survey!$Q1323*0.433)</f>
        <v>2688.8222467407982</v>
      </c>
    </row>
    <row r="1324" spans="1:18" x14ac:dyDescent="0.25">
      <c r="A1324" s="71" t="s">
        <v>17</v>
      </c>
      <c r="B1324" s="72" t="s">
        <v>18</v>
      </c>
      <c r="C1324" s="73" t="s">
        <v>19</v>
      </c>
      <c r="D1324" s="74">
        <v>236.8838700855782</v>
      </c>
      <c r="E1324" s="81">
        <v>1279769</v>
      </c>
      <c r="F1324" s="82">
        <v>1251693.892562001</v>
      </c>
      <c r="G1324" s="75">
        <v>1776.2462497398885</v>
      </c>
      <c r="H1324" s="76">
        <v>3</v>
      </c>
      <c r="I1324" s="54" t="s">
        <v>20</v>
      </c>
      <c r="J1324" s="77">
        <v>40</v>
      </c>
      <c r="K1324" s="78">
        <v>3</v>
      </c>
      <c r="L1324" s="54">
        <v>1</v>
      </c>
      <c r="M1324" s="54">
        <f>_xlfn.XLOOKUP(Survey!$F1324,sections[Start],sections[Test Section],,-1,1)</f>
        <v>5</v>
      </c>
      <c r="N1324" s="55">
        <f>_xlfn.XLOOKUP(Survey!$K1324,pipedata[ID],pipedata[WT])</f>
        <v>0.88800000000000001</v>
      </c>
      <c r="O1324" s="56">
        <f>_xlfn.XLOOKUP(Survey!$K1324,pipedata[ID],pipedata[104%])</f>
        <v>3078.4</v>
      </c>
      <c r="P1324" s="57">
        <f t="shared" si="20"/>
        <v>1850</v>
      </c>
      <c r="Q1324" s="58">
        <f>_xlfn.MAXIFS(Survey!$G$2:$G$3647,Survey!$M$2:$M$3647,Survey!$M1324)-Survey!$G1324</f>
        <v>1959.1305895853827</v>
      </c>
      <c r="R1324" s="59">
        <f>Survey!$P1324+(Survey!$Q1324*0.433)</f>
        <v>2698.3035452904705</v>
      </c>
    </row>
    <row r="1325" spans="1:18" x14ac:dyDescent="0.25">
      <c r="A1325" s="60" t="s">
        <v>17</v>
      </c>
      <c r="B1325" s="61" t="s">
        <v>18</v>
      </c>
      <c r="C1325" s="62" t="s">
        <v>19</v>
      </c>
      <c r="D1325" s="63">
        <v>236.89131514247623</v>
      </c>
      <c r="E1325" s="79">
        <v>1279809</v>
      </c>
      <c r="F1325" s="80">
        <v>1251732.3512396871</v>
      </c>
      <c r="G1325" s="66">
        <v>1761.2558705334532</v>
      </c>
      <c r="H1325" s="67">
        <v>3</v>
      </c>
      <c r="I1325" s="68" t="s">
        <v>20</v>
      </c>
      <c r="J1325" s="69">
        <v>40</v>
      </c>
      <c r="K1325" s="70">
        <v>3</v>
      </c>
      <c r="L1325" s="68">
        <v>1</v>
      </c>
      <c r="M1325" s="68">
        <f>_xlfn.XLOOKUP(Survey!$F1325,sections[Start],sections[Test Section],,-1,1)</f>
        <v>5</v>
      </c>
      <c r="N1325" s="55">
        <f>_xlfn.XLOOKUP(Survey!$K1325,pipedata[ID],pipedata[WT])</f>
        <v>0.88800000000000001</v>
      </c>
      <c r="O1325" s="56">
        <f>_xlfn.XLOOKUP(Survey!$K1325,pipedata[ID],pipedata[104%])</f>
        <v>3078.4</v>
      </c>
      <c r="P1325" s="57">
        <f t="shared" si="20"/>
        <v>1850</v>
      </c>
      <c r="Q1325" s="58">
        <f>_xlfn.MAXIFS(Survey!$G$2:$G$3647,Survey!$M$2:$M$3647,Survey!$M1325)-Survey!$G1325</f>
        <v>1974.1209687918181</v>
      </c>
      <c r="R1325" s="59">
        <f>Survey!$P1325+(Survey!$Q1325*0.433)</f>
        <v>2704.794379486857</v>
      </c>
    </row>
    <row r="1326" spans="1:18" x14ac:dyDescent="0.25">
      <c r="A1326" s="71" t="s">
        <v>17</v>
      </c>
      <c r="B1326" s="72" t="s">
        <v>18</v>
      </c>
      <c r="C1326" s="73" t="s">
        <v>19</v>
      </c>
      <c r="D1326" s="74">
        <v>236.89790447590579</v>
      </c>
      <c r="E1326" s="81">
        <v>1279849</v>
      </c>
      <c r="F1326" s="82">
        <v>1251770.8099173731</v>
      </c>
      <c r="G1326" s="75">
        <v>1744.602453906592</v>
      </c>
      <c r="H1326" s="76">
        <v>3</v>
      </c>
      <c r="I1326" s="54" t="s">
        <v>20</v>
      </c>
      <c r="J1326" s="77">
        <v>40</v>
      </c>
      <c r="K1326" s="78">
        <v>3</v>
      </c>
      <c r="L1326" s="54">
        <v>1</v>
      </c>
      <c r="M1326" s="54">
        <f>_xlfn.XLOOKUP(Survey!$F1326,sections[Start],sections[Test Section],,-1,1)</f>
        <v>5</v>
      </c>
      <c r="N1326" s="55">
        <f>_xlfn.XLOOKUP(Survey!$K1326,pipedata[ID],pipedata[WT])</f>
        <v>0.88800000000000001</v>
      </c>
      <c r="O1326" s="56">
        <f>_xlfn.XLOOKUP(Survey!$K1326,pipedata[ID],pipedata[104%])</f>
        <v>3078.4</v>
      </c>
      <c r="P1326" s="57">
        <f t="shared" si="20"/>
        <v>1850</v>
      </c>
      <c r="Q1326" s="58">
        <f>_xlfn.MAXIFS(Survey!$G$2:$G$3647,Survey!$M$2:$M$3647,Survey!$M1326)-Survey!$G1326</f>
        <v>1990.7743854186792</v>
      </c>
      <c r="R1326" s="59">
        <f>Survey!$P1326+(Survey!$Q1326*0.433)</f>
        <v>2712.0053088862878</v>
      </c>
    </row>
    <row r="1327" spans="1:18" x14ac:dyDescent="0.25">
      <c r="A1327" s="60" t="s">
        <v>17</v>
      </c>
      <c r="B1327" s="61" t="s">
        <v>18</v>
      </c>
      <c r="C1327" s="62" t="s">
        <v>19</v>
      </c>
      <c r="D1327" s="63">
        <v>236.90492167106947</v>
      </c>
      <c r="E1327" s="79">
        <v>1279889</v>
      </c>
      <c r="F1327" s="80">
        <v>1251809.2685950592</v>
      </c>
      <c r="G1327" s="66">
        <v>1728.8178252919117</v>
      </c>
      <c r="H1327" s="67">
        <v>3</v>
      </c>
      <c r="I1327" s="68" t="s">
        <v>20</v>
      </c>
      <c r="J1327" s="69">
        <v>40</v>
      </c>
      <c r="K1327" s="70">
        <v>3</v>
      </c>
      <c r="L1327" s="68">
        <v>1</v>
      </c>
      <c r="M1327" s="68">
        <f>_xlfn.XLOOKUP(Survey!$F1327,sections[Start],sections[Test Section],,-1,1)</f>
        <v>5</v>
      </c>
      <c r="N1327" s="55">
        <f>_xlfn.XLOOKUP(Survey!$K1327,pipedata[ID],pipedata[WT])</f>
        <v>0.88800000000000001</v>
      </c>
      <c r="O1327" s="56">
        <f>_xlfn.XLOOKUP(Survey!$K1327,pipedata[ID],pipedata[104%])</f>
        <v>3078.4</v>
      </c>
      <c r="P1327" s="57">
        <f t="shared" si="20"/>
        <v>1850</v>
      </c>
      <c r="Q1327" s="58">
        <f>_xlfn.MAXIFS(Survey!$G$2:$G$3647,Survey!$M$2:$M$3647,Survey!$M1327)-Survey!$G1327</f>
        <v>2006.5590140333595</v>
      </c>
      <c r="R1327" s="59">
        <f>Survey!$P1327+(Survey!$Q1327*0.433)</f>
        <v>2718.8400530764447</v>
      </c>
    </row>
    <row r="1328" spans="1:18" x14ac:dyDescent="0.25">
      <c r="A1328" s="71" t="s">
        <v>17</v>
      </c>
      <c r="B1328" s="72" t="s">
        <v>18</v>
      </c>
      <c r="C1328" s="73" t="s">
        <v>19</v>
      </c>
      <c r="D1328" s="74">
        <v>236.91048049157504</v>
      </c>
      <c r="E1328" s="81">
        <v>1279929</v>
      </c>
      <c r="F1328" s="82">
        <v>1251847.7272727452</v>
      </c>
      <c r="G1328" s="75">
        <v>1707.8051466541958</v>
      </c>
      <c r="H1328" s="76">
        <v>3</v>
      </c>
      <c r="I1328" s="54" t="s">
        <v>20</v>
      </c>
      <c r="J1328" s="77">
        <v>40</v>
      </c>
      <c r="K1328" s="78">
        <v>3</v>
      </c>
      <c r="L1328" s="54">
        <v>1</v>
      </c>
      <c r="M1328" s="54">
        <f>_xlfn.XLOOKUP(Survey!$F1328,sections[Start],sections[Test Section],,-1,1)</f>
        <v>5</v>
      </c>
      <c r="N1328" s="55">
        <f>_xlfn.XLOOKUP(Survey!$K1328,pipedata[ID],pipedata[WT])</f>
        <v>0.88800000000000001</v>
      </c>
      <c r="O1328" s="56">
        <f>_xlfn.XLOOKUP(Survey!$K1328,pipedata[ID],pipedata[104%])</f>
        <v>3078.4</v>
      </c>
      <c r="P1328" s="57">
        <f t="shared" si="20"/>
        <v>1850</v>
      </c>
      <c r="Q1328" s="58">
        <f>_xlfn.MAXIFS(Survey!$G$2:$G$3647,Survey!$M$2:$M$3647,Survey!$M1328)-Survey!$G1328</f>
        <v>2027.5716926710754</v>
      </c>
      <c r="R1328" s="59">
        <f>Survey!$P1328+(Survey!$Q1328*0.433)</f>
        <v>2727.9385429265758</v>
      </c>
    </row>
    <row r="1329" spans="1:18" x14ac:dyDescent="0.25">
      <c r="A1329" s="60" t="s">
        <v>17</v>
      </c>
      <c r="B1329" s="61" t="s">
        <v>18</v>
      </c>
      <c r="C1329" s="62" t="s">
        <v>19</v>
      </c>
      <c r="D1329" s="63">
        <v>236.91792222028562</v>
      </c>
      <c r="E1329" s="79">
        <v>1279969</v>
      </c>
      <c r="F1329" s="80">
        <v>1251886.1859504313</v>
      </c>
      <c r="G1329" s="66">
        <v>1687.2409542630983</v>
      </c>
      <c r="H1329" s="67">
        <v>3</v>
      </c>
      <c r="I1329" s="68" t="s">
        <v>20</v>
      </c>
      <c r="J1329" s="69">
        <v>40</v>
      </c>
      <c r="K1329" s="70">
        <v>3</v>
      </c>
      <c r="L1329" s="68">
        <v>1</v>
      </c>
      <c r="M1329" s="68">
        <f>_xlfn.XLOOKUP(Survey!$F1329,sections[Start],sections[Test Section],,-1,1)</f>
        <v>5</v>
      </c>
      <c r="N1329" s="55">
        <f>_xlfn.XLOOKUP(Survey!$K1329,pipedata[ID],pipedata[WT])</f>
        <v>0.88800000000000001</v>
      </c>
      <c r="O1329" s="56">
        <f>_xlfn.XLOOKUP(Survey!$K1329,pipedata[ID],pipedata[104%])</f>
        <v>3078.4</v>
      </c>
      <c r="P1329" s="57">
        <f t="shared" si="20"/>
        <v>1850</v>
      </c>
      <c r="Q1329" s="58">
        <f>_xlfn.MAXIFS(Survey!$G$2:$G$3647,Survey!$M$2:$M$3647,Survey!$M1329)-Survey!$G1329</f>
        <v>2048.1358850621727</v>
      </c>
      <c r="R1329" s="59">
        <f>Survey!$P1329+(Survey!$Q1329*0.433)</f>
        <v>2736.8428382319207</v>
      </c>
    </row>
    <row r="1330" spans="1:18" x14ac:dyDescent="0.25">
      <c r="A1330" s="71" t="s">
        <v>17</v>
      </c>
      <c r="B1330" s="72" t="s">
        <v>18</v>
      </c>
      <c r="C1330" s="73" t="s">
        <v>19</v>
      </c>
      <c r="D1330" s="74">
        <v>236.92422839907684</v>
      </c>
      <c r="E1330" s="81">
        <v>1280009</v>
      </c>
      <c r="F1330" s="82">
        <v>1251924.6446281173</v>
      </c>
      <c r="G1330" s="75">
        <v>1665.8394239287468</v>
      </c>
      <c r="H1330" s="76">
        <v>3</v>
      </c>
      <c r="I1330" s="54" t="s">
        <v>20</v>
      </c>
      <c r="J1330" s="77">
        <v>40</v>
      </c>
      <c r="K1330" s="78">
        <v>3</v>
      </c>
      <c r="L1330" s="54">
        <v>1</v>
      </c>
      <c r="M1330" s="54">
        <f>_xlfn.XLOOKUP(Survey!$F1330,sections[Start],sections[Test Section],,-1,1)</f>
        <v>5</v>
      </c>
      <c r="N1330" s="55">
        <f>_xlfn.XLOOKUP(Survey!$K1330,pipedata[ID],pipedata[WT])</f>
        <v>0.88800000000000001</v>
      </c>
      <c r="O1330" s="56">
        <f>_xlfn.XLOOKUP(Survey!$K1330,pipedata[ID],pipedata[104%])</f>
        <v>3078.4</v>
      </c>
      <c r="P1330" s="57">
        <f t="shared" si="20"/>
        <v>1850</v>
      </c>
      <c r="Q1330" s="58">
        <f>_xlfn.MAXIFS(Survey!$G$2:$G$3647,Survey!$M$2:$M$3647,Survey!$M1330)-Survey!$G1330</f>
        <v>2069.5374153965245</v>
      </c>
      <c r="R1330" s="59">
        <f>Survey!$P1330+(Survey!$Q1330*0.433)</f>
        <v>2746.1097008666952</v>
      </c>
    </row>
    <row r="1331" spans="1:18" x14ac:dyDescent="0.25">
      <c r="A1331" s="60" t="s">
        <v>17</v>
      </c>
      <c r="B1331" s="61" t="s">
        <v>18</v>
      </c>
      <c r="C1331" s="62" t="s">
        <v>19</v>
      </c>
      <c r="D1331" s="63">
        <v>236.93154065540725</v>
      </c>
      <c r="E1331" s="79">
        <v>1280049</v>
      </c>
      <c r="F1331" s="80">
        <v>1251963.1033058034</v>
      </c>
      <c r="G1331" s="66">
        <v>1650.7572169999012</v>
      </c>
      <c r="H1331" s="67">
        <v>3</v>
      </c>
      <c r="I1331" s="68" t="s">
        <v>20</v>
      </c>
      <c r="J1331" s="69">
        <v>40</v>
      </c>
      <c r="K1331" s="70">
        <v>3</v>
      </c>
      <c r="L1331" s="68">
        <v>1</v>
      </c>
      <c r="M1331" s="68">
        <f>_xlfn.XLOOKUP(Survey!$F1331,sections[Start],sections[Test Section],,-1,1)</f>
        <v>5</v>
      </c>
      <c r="N1331" s="55">
        <f>_xlfn.XLOOKUP(Survey!$K1331,pipedata[ID],pipedata[WT])</f>
        <v>0.88800000000000001</v>
      </c>
      <c r="O1331" s="56">
        <f>_xlfn.XLOOKUP(Survey!$K1331,pipedata[ID],pipedata[104%])</f>
        <v>3078.4</v>
      </c>
      <c r="P1331" s="57">
        <f t="shared" si="20"/>
        <v>1850</v>
      </c>
      <c r="Q1331" s="58">
        <f>_xlfn.MAXIFS(Survey!$G$2:$G$3647,Survey!$M$2:$M$3647,Survey!$M1331)-Survey!$G1331</f>
        <v>2084.6196223253701</v>
      </c>
      <c r="R1331" s="59">
        <f>Survey!$P1331+(Survey!$Q1331*0.433)</f>
        <v>2752.640296466885</v>
      </c>
    </row>
    <row r="1332" spans="1:18" x14ac:dyDescent="0.25">
      <c r="A1332" s="71" t="s">
        <v>17</v>
      </c>
      <c r="B1332" s="72" t="s">
        <v>18</v>
      </c>
      <c r="C1332" s="73" t="s">
        <v>19</v>
      </c>
      <c r="D1332" s="74">
        <v>236.93743735568623</v>
      </c>
      <c r="E1332" s="81">
        <v>1280089</v>
      </c>
      <c r="F1332" s="82">
        <v>1252001.5619834894</v>
      </c>
      <c r="G1332" s="75">
        <v>1672.7880655010138</v>
      </c>
      <c r="H1332" s="76">
        <v>3</v>
      </c>
      <c r="I1332" s="54" t="s">
        <v>20</v>
      </c>
      <c r="J1332" s="77">
        <v>40</v>
      </c>
      <c r="K1332" s="78">
        <v>3</v>
      </c>
      <c r="L1332" s="54">
        <v>1</v>
      </c>
      <c r="M1332" s="54">
        <f>_xlfn.XLOOKUP(Survey!$F1332,sections[Start],sections[Test Section],,-1,1)</f>
        <v>5</v>
      </c>
      <c r="N1332" s="55">
        <f>_xlfn.XLOOKUP(Survey!$K1332,pipedata[ID],pipedata[WT])</f>
        <v>0.88800000000000001</v>
      </c>
      <c r="O1332" s="56">
        <f>_xlfn.XLOOKUP(Survey!$K1332,pipedata[ID],pipedata[104%])</f>
        <v>3078.4</v>
      </c>
      <c r="P1332" s="57">
        <f t="shared" si="20"/>
        <v>1850</v>
      </c>
      <c r="Q1332" s="58">
        <f>_xlfn.MAXIFS(Survey!$G$2:$G$3647,Survey!$M$2:$M$3647,Survey!$M1332)-Survey!$G1332</f>
        <v>2062.5887738242573</v>
      </c>
      <c r="R1332" s="59">
        <f>Survey!$P1332+(Survey!$Q1332*0.433)</f>
        <v>2743.1009390659033</v>
      </c>
    </row>
    <row r="1333" spans="1:18" x14ac:dyDescent="0.25">
      <c r="A1333" s="60" t="s">
        <v>17</v>
      </c>
      <c r="B1333" s="61" t="s">
        <v>18</v>
      </c>
      <c r="C1333" s="62" t="s">
        <v>19</v>
      </c>
      <c r="D1333" s="63">
        <v>236.94333405596524</v>
      </c>
      <c r="E1333" s="79">
        <v>1280129</v>
      </c>
      <c r="F1333" s="80">
        <v>1252040.0206611755</v>
      </c>
      <c r="G1333" s="66">
        <v>1698.8568364805863</v>
      </c>
      <c r="H1333" s="67">
        <v>3</v>
      </c>
      <c r="I1333" s="68" t="s">
        <v>20</v>
      </c>
      <c r="J1333" s="69">
        <v>40</v>
      </c>
      <c r="K1333" s="70">
        <v>3</v>
      </c>
      <c r="L1333" s="68">
        <v>1</v>
      </c>
      <c r="M1333" s="68">
        <f>_xlfn.XLOOKUP(Survey!$F1333,sections[Start],sections[Test Section],,-1,1)</f>
        <v>5</v>
      </c>
      <c r="N1333" s="55">
        <f>_xlfn.XLOOKUP(Survey!$K1333,pipedata[ID],pipedata[WT])</f>
        <v>0.88800000000000001</v>
      </c>
      <c r="O1333" s="56">
        <f>_xlfn.XLOOKUP(Survey!$K1333,pipedata[ID],pipedata[104%])</f>
        <v>3078.4</v>
      </c>
      <c r="P1333" s="57">
        <f t="shared" si="20"/>
        <v>1850</v>
      </c>
      <c r="Q1333" s="58">
        <f>_xlfn.MAXIFS(Survey!$G$2:$G$3647,Survey!$M$2:$M$3647,Survey!$M1333)-Survey!$G1333</f>
        <v>2036.520002844685</v>
      </c>
      <c r="R1333" s="59">
        <f>Survey!$P1333+(Survey!$Q1333*0.433)</f>
        <v>2731.8131612317484</v>
      </c>
    </row>
    <row r="1334" spans="1:18" x14ac:dyDescent="0.25">
      <c r="A1334" s="71" t="s">
        <v>17</v>
      </c>
      <c r="B1334" s="72" t="s">
        <v>18</v>
      </c>
      <c r="C1334" s="73" t="s">
        <v>19</v>
      </c>
      <c r="D1334" s="74">
        <v>236.94991495997766</v>
      </c>
      <c r="E1334" s="81">
        <v>1280169</v>
      </c>
      <c r="F1334" s="82">
        <v>1252078.4793388615</v>
      </c>
      <c r="G1334" s="75">
        <v>1726.4837316142646</v>
      </c>
      <c r="H1334" s="76">
        <v>3</v>
      </c>
      <c r="I1334" s="54" t="s">
        <v>20</v>
      </c>
      <c r="J1334" s="77">
        <v>40</v>
      </c>
      <c r="K1334" s="78">
        <v>3</v>
      </c>
      <c r="L1334" s="54">
        <v>1</v>
      </c>
      <c r="M1334" s="54">
        <f>_xlfn.XLOOKUP(Survey!$F1334,sections[Start],sections[Test Section],,-1,1)</f>
        <v>5</v>
      </c>
      <c r="N1334" s="55">
        <f>_xlfn.XLOOKUP(Survey!$K1334,pipedata[ID],pipedata[WT])</f>
        <v>0.88800000000000001</v>
      </c>
      <c r="O1334" s="56">
        <f>_xlfn.XLOOKUP(Survey!$K1334,pipedata[ID],pipedata[104%])</f>
        <v>3078.4</v>
      </c>
      <c r="P1334" s="57">
        <f t="shared" si="20"/>
        <v>1850</v>
      </c>
      <c r="Q1334" s="58">
        <f>_xlfn.MAXIFS(Survey!$G$2:$G$3647,Survey!$M$2:$M$3647,Survey!$M1334)-Survey!$G1334</f>
        <v>2008.8931077110067</v>
      </c>
      <c r="R1334" s="59">
        <f>Survey!$P1334+(Survey!$Q1334*0.433)</f>
        <v>2719.8507156388659</v>
      </c>
    </row>
    <row r="1335" spans="1:18" x14ac:dyDescent="0.25">
      <c r="A1335" s="60" t="s">
        <v>17</v>
      </c>
      <c r="B1335" s="61" t="s">
        <v>18</v>
      </c>
      <c r="C1335" s="62" t="s">
        <v>19</v>
      </c>
      <c r="D1335" s="63">
        <v>236.95709302328294</v>
      </c>
      <c r="E1335" s="79">
        <v>1280209</v>
      </c>
      <c r="F1335" s="80">
        <v>1252116.9380165476</v>
      </c>
      <c r="G1335" s="66">
        <v>1751.5036577515732</v>
      </c>
      <c r="H1335" s="67">
        <v>3</v>
      </c>
      <c r="I1335" s="68" t="s">
        <v>20</v>
      </c>
      <c r="J1335" s="69">
        <v>40</v>
      </c>
      <c r="K1335" s="70">
        <v>3</v>
      </c>
      <c r="L1335" s="68">
        <v>1</v>
      </c>
      <c r="M1335" s="68">
        <f>_xlfn.XLOOKUP(Survey!$F1335,sections[Start],sections[Test Section],,-1,1)</f>
        <v>5</v>
      </c>
      <c r="N1335" s="55">
        <f>_xlfn.XLOOKUP(Survey!$K1335,pipedata[ID],pipedata[WT])</f>
        <v>0.88800000000000001</v>
      </c>
      <c r="O1335" s="56">
        <f>_xlfn.XLOOKUP(Survey!$K1335,pipedata[ID],pipedata[104%])</f>
        <v>3078.4</v>
      </c>
      <c r="P1335" s="57">
        <f t="shared" si="20"/>
        <v>1850</v>
      </c>
      <c r="Q1335" s="58">
        <f>_xlfn.MAXIFS(Survey!$G$2:$G$3647,Survey!$M$2:$M$3647,Survey!$M1335)-Survey!$G1335</f>
        <v>1983.873181573698</v>
      </c>
      <c r="R1335" s="59">
        <f>Survey!$P1335+(Survey!$Q1335*0.433)</f>
        <v>2709.0170876214115</v>
      </c>
    </row>
    <row r="1336" spans="1:18" x14ac:dyDescent="0.25">
      <c r="A1336" s="71" t="s">
        <v>17</v>
      </c>
      <c r="B1336" s="72" t="s">
        <v>18</v>
      </c>
      <c r="C1336" s="73" t="s">
        <v>19</v>
      </c>
      <c r="D1336" s="74">
        <v>236.96351961965553</v>
      </c>
      <c r="E1336" s="81">
        <v>1280249</v>
      </c>
      <c r="F1336" s="82">
        <v>1252155.3966942336</v>
      </c>
      <c r="G1336" s="75">
        <v>1771.6106739947959</v>
      </c>
      <c r="H1336" s="76">
        <v>3</v>
      </c>
      <c r="I1336" s="54" t="s">
        <v>20</v>
      </c>
      <c r="J1336" s="77">
        <v>40</v>
      </c>
      <c r="K1336" s="78">
        <v>3</v>
      </c>
      <c r="L1336" s="54">
        <v>1</v>
      </c>
      <c r="M1336" s="54">
        <f>_xlfn.XLOOKUP(Survey!$F1336,sections[Start],sections[Test Section],,-1,1)</f>
        <v>5</v>
      </c>
      <c r="N1336" s="55">
        <f>_xlfn.XLOOKUP(Survey!$K1336,pipedata[ID],pipedata[WT])</f>
        <v>0.88800000000000001</v>
      </c>
      <c r="O1336" s="56">
        <f>_xlfn.XLOOKUP(Survey!$K1336,pipedata[ID],pipedata[104%])</f>
        <v>3078.4</v>
      </c>
      <c r="P1336" s="57">
        <f t="shared" si="20"/>
        <v>1850</v>
      </c>
      <c r="Q1336" s="58">
        <f>_xlfn.MAXIFS(Survey!$G$2:$G$3647,Survey!$M$2:$M$3647,Survey!$M1336)-Survey!$G1336</f>
        <v>1963.7661653304754</v>
      </c>
      <c r="R1336" s="59">
        <f>Survey!$P1336+(Survey!$Q1336*0.433)</f>
        <v>2700.3107495880959</v>
      </c>
    </row>
    <row r="1337" spans="1:18" x14ac:dyDescent="0.25">
      <c r="A1337" s="60" t="s">
        <v>17</v>
      </c>
      <c r="B1337" s="61" t="s">
        <v>18</v>
      </c>
      <c r="C1337" s="62" t="s">
        <v>19</v>
      </c>
      <c r="D1337" s="63">
        <v>236.97085199060052</v>
      </c>
      <c r="E1337" s="79">
        <v>1280289</v>
      </c>
      <c r="F1337" s="80">
        <v>1252193.8553719197</v>
      </c>
      <c r="G1337" s="66">
        <v>1787.5649802808052</v>
      </c>
      <c r="H1337" s="67">
        <v>3</v>
      </c>
      <c r="I1337" s="68" t="s">
        <v>20</v>
      </c>
      <c r="J1337" s="69">
        <v>40</v>
      </c>
      <c r="K1337" s="70">
        <v>3</v>
      </c>
      <c r="L1337" s="68">
        <v>1</v>
      </c>
      <c r="M1337" s="68">
        <f>_xlfn.XLOOKUP(Survey!$F1337,sections[Start],sections[Test Section],,-1,1)</f>
        <v>5</v>
      </c>
      <c r="N1337" s="55">
        <f>_xlfn.XLOOKUP(Survey!$K1337,pipedata[ID],pipedata[WT])</f>
        <v>0.88800000000000001</v>
      </c>
      <c r="O1337" s="56">
        <f>_xlfn.XLOOKUP(Survey!$K1337,pipedata[ID],pipedata[104%])</f>
        <v>3078.4</v>
      </c>
      <c r="P1337" s="57">
        <f t="shared" si="20"/>
        <v>1850</v>
      </c>
      <c r="Q1337" s="58">
        <f>_xlfn.MAXIFS(Survey!$G$2:$G$3647,Survey!$M$2:$M$3647,Survey!$M1337)-Survey!$G1337</f>
        <v>1947.811859044466</v>
      </c>
      <c r="R1337" s="59">
        <f>Survey!$P1337+(Survey!$Q1337*0.433)</f>
        <v>2693.4025349662538</v>
      </c>
    </row>
    <row r="1338" spans="1:18" x14ac:dyDescent="0.25">
      <c r="A1338" s="71" t="s">
        <v>17</v>
      </c>
      <c r="B1338" s="72" t="s">
        <v>18</v>
      </c>
      <c r="C1338" s="73" t="s">
        <v>19</v>
      </c>
      <c r="D1338" s="74">
        <v>236.97712427933322</v>
      </c>
      <c r="E1338" s="81">
        <v>1280329</v>
      </c>
      <c r="F1338" s="82">
        <v>1252232.3140496057</v>
      </c>
      <c r="G1338" s="75">
        <v>1801.809279458399</v>
      </c>
      <c r="H1338" s="76">
        <v>3</v>
      </c>
      <c r="I1338" s="54" t="s">
        <v>20</v>
      </c>
      <c r="J1338" s="77">
        <v>40</v>
      </c>
      <c r="K1338" s="78">
        <v>3</v>
      </c>
      <c r="L1338" s="54">
        <v>1</v>
      </c>
      <c r="M1338" s="54">
        <f>_xlfn.XLOOKUP(Survey!$F1338,sections[Start],sections[Test Section],,-1,1)</f>
        <v>5</v>
      </c>
      <c r="N1338" s="55">
        <f>_xlfn.XLOOKUP(Survey!$K1338,pipedata[ID],pipedata[WT])</f>
        <v>0.88800000000000001</v>
      </c>
      <c r="O1338" s="56">
        <f>_xlfn.XLOOKUP(Survey!$K1338,pipedata[ID],pipedata[104%])</f>
        <v>3078.4</v>
      </c>
      <c r="P1338" s="57">
        <f t="shared" si="20"/>
        <v>1850</v>
      </c>
      <c r="Q1338" s="58">
        <f>_xlfn.MAXIFS(Survey!$G$2:$G$3647,Survey!$M$2:$M$3647,Survey!$M1338)-Survey!$G1338</f>
        <v>1933.5675598668722</v>
      </c>
      <c r="R1338" s="59">
        <f>Survey!$P1338+(Survey!$Q1338*0.433)</f>
        <v>2687.2347534223554</v>
      </c>
    </row>
    <row r="1339" spans="1:18" x14ac:dyDescent="0.25">
      <c r="A1339" s="60" t="s">
        <v>17</v>
      </c>
      <c r="B1339" s="61" t="s">
        <v>18</v>
      </c>
      <c r="C1339" s="62" t="s">
        <v>19</v>
      </c>
      <c r="D1339" s="63">
        <v>236.98528707513981</v>
      </c>
      <c r="E1339" s="79">
        <v>1280369</v>
      </c>
      <c r="F1339" s="80">
        <v>1252270.7727272918</v>
      </c>
      <c r="G1339" s="66">
        <v>1814.9503187177013</v>
      </c>
      <c r="H1339" s="67">
        <v>3</v>
      </c>
      <c r="I1339" s="68" t="s">
        <v>20</v>
      </c>
      <c r="J1339" s="69">
        <v>40</v>
      </c>
      <c r="K1339" s="70">
        <v>3</v>
      </c>
      <c r="L1339" s="68">
        <v>1</v>
      </c>
      <c r="M1339" s="68">
        <f>_xlfn.XLOOKUP(Survey!$F1339,sections[Start],sections[Test Section],,-1,1)</f>
        <v>5</v>
      </c>
      <c r="N1339" s="55">
        <f>_xlfn.XLOOKUP(Survey!$K1339,pipedata[ID],pipedata[WT])</f>
        <v>0.88800000000000001</v>
      </c>
      <c r="O1339" s="56">
        <f>_xlfn.XLOOKUP(Survey!$K1339,pipedata[ID],pipedata[104%])</f>
        <v>3078.4</v>
      </c>
      <c r="P1339" s="57">
        <f t="shared" si="20"/>
        <v>1850</v>
      </c>
      <c r="Q1339" s="58">
        <f>_xlfn.MAXIFS(Survey!$G$2:$G$3647,Survey!$M$2:$M$3647,Survey!$M1339)-Survey!$G1339</f>
        <v>1920.42652060757</v>
      </c>
      <c r="R1339" s="59">
        <f>Survey!$P1339+(Survey!$Q1339*0.433)</f>
        <v>2681.5446834230779</v>
      </c>
    </row>
    <row r="1340" spans="1:18" x14ac:dyDescent="0.25">
      <c r="A1340" s="71" t="s">
        <v>17</v>
      </c>
      <c r="B1340" s="72" t="s">
        <v>18</v>
      </c>
      <c r="C1340" s="73" t="s">
        <v>19</v>
      </c>
      <c r="D1340" s="74">
        <v>236.99072893901095</v>
      </c>
      <c r="E1340" s="81">
        <v>1280409</v>
      </c>
      <c r="F1340" s="82">
        <v>1252309.2314049779</v>
      </c>
      <c r="G1340" s="75">
        <v>1831.6997869618895</v>
      </c>
      <c r="H1340" s="76">
        <v>3</v>
      </c>
      <c r="I1340" s="54" t="s">
        <v>20</v>
      </c>
      <c r="J1340" s="77">
        <v>40</v>
      </c>
      <c r="K1340" s="78">
        <v>3</v>
      </c>
      <c r="L1340" s="54">
        <v>1</v>
      </c>
      <c r="M1340" s="54">
        <f>_xlfn.XLOOKUP(Survey!$F1340,sections[Start],sections[Test Section],,-1,1)</f>
        <v>5</v>
      </c>
      <c r="N1340" s="55">
        <f>_xlfn.XLOOKUP(Survey!$K1340,pipedata[ID],pipedata[WT])</f>
        <v>0.88800000000000001</v>
      </c>
      <c r="O1340" s="56">
        <f>_xlfn.XLOOKUP(Survey!$K1340,pipedata[ID],pipedata[104%])</f>
        <v>3078.4</v>
      </c>
      <c r="P1340" s="57">
        <f t="shared" si="20"/>
        <v>1850</v>
      </c>
      <c r="Q1340" s="58">
        <f>_xlfn.MAXIFS(Survey!$G$2:$G$3647,Survey!$M$2:$M$3647,Survey!$M1340)-Survey!$G1340</f>
        <v>1903.6770523633818</v>
      </c>
      <c r="R1340" s="59">
        <f>Survey!$P1340+(Survey!$Q1340*0.433)</f>
        <v>2674.2921636733445</v>
      </c>
    </row>
    <row r="1341" spans="1:18" x14ac:dyDescent="0.25">
      <c r="A1341" s="60" t="s">
        <v>17</v>
      </c>
      <c r="B1341" s="61" t="s">
        <v>18</v>
      </c>
      <c r="C1341" s="62" t="s">
        <v>19</v>
      </c>
      <c r="D1341" s="63">
        <v>236.99889173481753</v>
      </c>
      <c r="E1341" s="79">
        <v>1280449</v>
      </c>
      <c r="F1341" s="80">
        <v>1252347.6900826639</v>
      </c>
      <c r="G1341" s="66">
        <v>1847.8947881958397</v>
      </c>
      <c r="H1341" s="67">
        <v>3</v>
      </c>
      <c r="I1341" s="68" t="s">
        <v>20</v>
      </c>
      <c r="J1341" s="69">
        <v>40</v>
      </c>
      <c r="K1341" s="70">
        <v>3</v>
      </c>
      <c r="L1341" s="68">
        <v>1</v>
      </c>
      <c r="M1341" s="68">
        <f>_xlfn.XLOOKUP(Survey!$F1341,sections[Start],sections[Test Section],,-1,1)</f>
        <v>5</v>
      </c>
      <c r="N1341" s="55">
        <f>_xlfn.XLOOKUP(Survey!$K1341,pipedata[ID],pipedata[WT])</f>
        <v>0.88800000000000001</v>
      </c>
      <c r="O1341" s="56">
        <f>_xlfn.XLOOKUP(Survey!$K1341,pipedata[ID],pipedata[104%])</f>
        <v>3078.4</v>
      </c>
      <c r="P1341" s="57">
        <f t="shared" si="20"/>
        <v>1850</v>
      </c>
      <c r="Q1341" s="58">
        <f>_xlfn.MAXIFS(Survey!$G$2:$G$3647,Survey!$M$2:$M$3647,Survey!$M1341)-Survey!$G1341</f>
        <v>1887.4820511294315</v>
      </c>
      <c r="R1341" s="59">
        <f>Survey!$P1341+(Survey!$Q1341*0.433)</f>
        <v>2667.279728139044</v>
      </c>
    </row>
    <row r="1342" spans="1:18" x14ac:dyDescent="0.25">
      <c r="A1342" s="71" t="s">
        <v>17</v>
      </c>
      <c r="B1342" s="72" t="s">
        <v>18</v>
      </c>
      <c r="C1342" s="73" t="s">
        <v>19</v>
      </c>
      <c r="D1342" s="74">
        <v>237.00610341565823</v>
      </c>
      <c r="E1342" s="81">
        <v>1280489</v>
      </c>
      <c r="F1342" s="82">
        <v>1252386.14876035</v>
      </c>
      <c r="G1342" s="75">
        <v>1862.4899630000014</v>
      </c>
      <c r="H1342" s="76">
        <v>3</v>
      </c>
      <c r="I1342" s="54" t="s">
        <v>20</v>
      </c>
      <c r="J1342" s="77">
        <v>40</v>
      </c>
      <c r="K1342" s="78">
        <v>3</v>
      </c>
      <c r="L1342" s="54">
        <v>1</v>
      </c>
      <c r="M1342" s="54">
        <f>_xlfn.XLOOKUP(Survey!$F1342,sections[Start],sections[Test Section],,-1,1)</f>
        <v>5</v>
      </c>
      <c r="N1342" s="55">
        <f>_xlfn.XLOOKUP(Survey!$K1342,pipedata[ID],pipedata[WT])</f>
        <v>0.88800000000000001</v>
      </c>
      <c r="O1342" s="56">
        <f>_xlfn.XLOOKUP(Survey!$K1342,pipedata[ID],pipedata[104%])</f>
        <v>3078.4</v>
      </c>
      <c r="P1342" s="57">
        <f t="shared" si="20"/>
        <v>1850</v>
      </c>
      <c r="Q1342" s="58">
        <f>_xlfn.MAXIFS(Survey!$G$2:$G$3647,Survey!$M$2:$M$3647,Survey!$M1342)-Survey!$G1342</f>
        <v>1872.8868763252699</v>
      </c>
      <c r="R1342" s="59">
        <f>Survey!$P1342+(Survey!$Q1342*0.433)</f>
        <v>2660.9600174488419</v>
      </c>
    </row>
    <row r="1343" spans="1:18" x14ac:dyDescent="0.25">
      <c r="A1343" s="60" t="s">
        <v>17</v>
      </c>
      <c r="B1343" s="61" t="s">
        <v>18</v>
      </c>
      <c r="C1343" s="62" t="s">
        <v>19</v>
      </c>
      <c r="D1343" s="63">
        <v>237.01383631424352</v>
      </c>
      <c r="E1343" s="79">
        <v>1280529</v>
      </c>
      <c r="F1343" s="80">
        <v>1252424.607438036</v>
      </c>
      <c r="G1343" s="66">
        <v>1873.4324367571398</v>
      </c>
      <c r="H1343" s="67">
        <v>3</v>
      </c>
      <c r="I1343" s="68" t="s">
        <v>20</v>
      </c>
      <c r="J1343" s="69">
        <v>40</v>
      </c>
      <c r="K1343" s="70">
        <v>3</v>
      </c>
      <c r="L1343" s="68">
        <v>1</v>
      </c>
      <c r="M1343" s="68">
        <f>_xlfn.XLOOKUP(Survey!$F1343,sections[Start],sections[Test Section],,-1,1)</f>
        <v>5</v>
      </c>
      <c r="N1343" s="55">
        <f>_xlfn.XLOOKUP(Survey!$K1343,pipedata[ID],pipedata[WT])</f>
        <v>0.88800000000000001</v>
      </c>
      <c r="O1343" s="56">
        <f>_xlfn.XLOOKUP(Survey!$K1343,pipedata[ID],pipedata[104%])</f>
        <v>3078.4</v>
      </c>
      <c r="P1343" s="57">
        <f t="shared" si="20"/>
        <v>1850</v>
      </c>
      <c r="Q1343" s="58">
        <f>_xlfn.MAXIFS(Survey!$G$2:$G$3647,Survey!$M$2:$M$3647,Survey!$M1343)-Survey!$G1343</f>
        <v>1861.9444025681314</v>
      </c>
      <c r="R1343" s="59">
        <f>Survey!$P1343+(Survey!$Q1343*0.433)</f>
        <v>2656.221926312001</v>
      </c>
    </row>
    <row r="1344" spans="1:18" x14ac:dyDescent="0.25">
      <c r="A1344" s="71" t="s">
        <v>17</v>
      </c>
      <c r="B1344" s="72" t="s">
        <v>18</v>
      </c>
      <c r="C1344" s="73" t="s">
        <v>19</v>
      </c>
      <c r="D1344" s="74">
        <v>237.02127317702173</v>
      </c>
      <c r="E1344" s="81">
        <v>1280569</v>
      </c>
      <c r="F1344" s="82">
        <v>1252463.0661157221</v>
      </c>
      <c r="G1344" s="75">
        <v>1877.2531796013564</v>
      </c>
      <c r="H1344" s="76">
        <v>3</v>
      </c>
      <c r="I1344" s="54" t="s">
        <v>20</v>
      </c>
      <c r="J1344" s="77">
        <v>40</v>
      </c>
      <c r="K1344" s="78">
        <v>3</v>
      </c>
      <c r="L1344" s="54">
        <v>1</v>
      </c>
      <c r="M1344" s="54">
        <f>_xlfn.XLOOKUP(Survey!$F1344,sections[Start],sections[Test Section],,-1,1)</f>
        <v>5</v>
      </c>
      <c r="N1344" s="55">
        <f>_xlfn.XLOOKUP(Survey!$K1344,pipedata[ID],pipedata[WT])</f>
        <v>0.88800000000000001</v>
      </c>
      <c r="O1344" s="56">
        <f>_xlfn.XLOOKUP(Survey!$K1344,pipedata[ID],pipedata[104%])</f>
        <v>3078.4</v>
      </c>
      <c r="P1344" s="57">
        <f t="shared" si="20"/>
        <v>1850</v>
      </c>
      <c r="Q1344" s="58">
        <f>_xlfn.MAXIFS(Survey!$G$2:$G$3647,Survey!$M$2:$M$3647,Survey!$M1344)-Survey!$G1344</f>
        <v>1858.1236597239149</v>
      </c>
      <c r="R1344" s="59">
        <f>Survey!$P1344+(Survey!$Q1344*0.433)</f>
        <v>2654.567544660455</v>
      </c>
    </row>
    <row r="1345" spans="1:18" x14ac:dyDescent="0.25">
      <c r="A1345" s="60" t="s">
        <v>17</v>
      </c>
      <c r="B1345" s="61" t="s">
        <v>18</v>
      </c>
      <c r="C1345" s="62" t="s">
        <v>19</v>
      </c>
      <c r="D1345" s="63">
        <v>237.02885805770353</v>
      </c>
      <c r="E1345" s="79">
        <v>1280609</v>
      </c>
      <c r="F1345" s="80">
        <v>1252501.5247934081</v>
      </c>
      <c r="G1345" s="66">
        <v>1878.0438222019573</v>
      </c>
      <c r="H1345" s="67">
        <v>3</v>
      </c>
      <c r="I1345" s="68" t="s">
        <v>20</v>
      </c>
      <c r="J1345" s="69">
        <v>40</v>
      </c>
      <c r="K1345" s="70">
        <v>3</v>
      </c>
      <c r="L1345" s="68">
        <v>1</v>
      </c>
      <c r="M1345" s="68">
        <f>_xlfn.XLOOKUP(Survey!$F1345,sections[Start],sections[Test Section],,-1,1)</f>
        <v>5</v>
      </c>
      <c r="N1345" s="55">
        <f>_xlfn.XLOOKUP(Survey!$K1345,pipedata[ID],pipedata[WT])</f>
        <v>0.88800000000000001</v>
      </c>
      <c r="O1345" s="56">
        <f>_xlfn.XLOOKUP(Survey!$K1345,pipedata[ID],pipedata[104%])</f>
        <v>3078.4</v>
      </c>
      <c r="P1345" s="57">
        <f t="shared" si="20"/>
        <v>1850</v>
      </c>
      <c r="Q1345" s="58">
        <f>_xlfn.MAXIFS(Survey!$G$2:$G$3647,Survey!$M$2:$M$3647,Survey!$M1345)-Survey!$G1345</f>
        <v>1857.333017123314</v>
      </c>
      <c r="R1345" s="59">
        <f>Survey!$P1345+(Survey!$Q1345*0.433)</f>
        <v>2654.2251964143952</v>
      </c>
    </row>
    <row r="1346" spans="1:18" x14ac:dyDescent="0.25">
      <c r="A1346" s="71" t="s">
        <v>17</v>
      </c>
      <c r="B1346" s="72" t="s">
        <v>18</v>
      </c>
      <c r="C1346" s="73" t="s">
        <v>19</v>
      </c>
      <c r="D1346" s="74">
        <v>237.03644293838536</v>
      </c>
      <c r="E1346" s="81">
        <v>1280649</v>
      </c>
      <c r="F1346" s="82">
        <v>1252539.9834710942</v>
      </c>
      <c r="G1346" s="75">
        <v>1875.9143664355986</v>
      </c>
      <c r="H1346" s="76">
        <v>3</v>
      </c>
      <c r="I1346" s="54" t="s">
        <v>20</v>
      </c>
      <c r="J1346" s="77">
        <v>40</v>
      </c>
      <c r="K1346" s="78">
        <v>3</v>
      </c>
      <c r="L1346" s="54">
        <v>1</v>
      </c>
      <c r="M1346" s="54">
        <f>_xlfn.XLOOKUP(Survey!$F1346,sections[Start],sections[Test Section],,-1,1)</f>
        <v>5</v>
      </c>
      <c r="N1346" s="55">
        <f>_xlfn.XLOOKUP(Survey!$K1346,pipedata[ID],pipedata[WT])</f>
        <v>0.88800000000000001</v>
      </c>
      <c r="O1346" s="56">
        <f>_xlfn.XLOOKUP(Survey!$K1346,pipedata[ID],pipedata[104%])</f>
        <v>3078.4</v>
      </c>
      <c r="P1346" s="57">
        <f t="shared" ref="P1346:P1409" si="21">IF(L1346=1,1850,IF(L1346=2,1850,2220))</f>
        <v>1850</v>
      </c>
      <c r="Q1346" s="58">
        <f>_xlfn.MAXIFS(Survey!$G$2:$G$3647,Survey!$M$2:$M$3647,Survey!$M1346)-Survey!$G1346</f>
        <v>1859.4624728896727</v>
      </c>
      <c r="R1346" s="59">
        <f>Survey!$P1346+(Survey!$Q1346*0.433)</f>
        <v>2655.1472507612284</v>
      </c>
    </row>
    <row r="1347" spans="1:18" x14ac:dyDescent="0.25">
      <c r="A1347" s="60" t="s">
        <v>17</v>
      </c>
      <c r="B1347" s="61" t="s">
        <v>18</v>
      </c>
      <c r="C1347" s="62" t="s">
        <v>19</v>
      </c>
      <c r="D1347" s="63">
        <v>237.04402781906705</v>
      </c>
      <c r="E1347" s="79">
        <v>1280689</v>
      </c>
      <c r="F1347" s="80">
        <v>1252578.4421487802</v>
      </c>
      <c r="G1347" s="66">
        <v>1871.1913891272477</v>
      </c>
      <c r="H1347" s="67">
        <v>3</v>
      </c>
      <c r="I1347" s="68" t="s">
        <v>20</v>
      </c>
      <c r="J1347" s="69">
        <v>40</v>
      </c>
      <c r="K1347" s="70">
        <v>3</v>
      </c>
      <c r="L1347" s="68">
        <v>1</v>
      </c>
      <c r="M1347" s="68">
        <f>_xlfn.XLOOKUP(Survey!$F1347,sections[Start],sections[Test Section],,-1,1)</f>
        <v>5</v>
      </c>
      <c r="N1347" s="55">
        <f>_xlfn.XLOOKUP(Survey!$K1347,pipedata[ID],pipedata[WT])</f>
        <v>0.88800000000000001</v>
      </c>
      <c r="O1347" s="56">
        <f>_xlfn.XLOOKUP(Survey!$K1347,pipedata[ID],pipedata[104%])</f>
        <v>3078.4</v>
      </c>
      <c r="P1347" s="57">
        <f t="shared" si="21"/>
        <v>1850</v>
      </c>
      <c r="Q1347" s="58">
        <f>_xlfn.MAXIFS(Survey!$G$2:$G$3647,Survey!$M$2:$M$3647,Survey!$M1347)-Survey!$G1347</f>
        <v>1864.1854501980235</v>
      </c>
      <c r="R1347" s="59">
        <f>Survey!$P1347+(Survey!$Q1347*0.433)</f>
        <v>2657.1922999357439</v>
      </c>
    </row>
    <row r="1348" spans="1:18" x14ac:dyDescent="0.25">
      <c r="A1348" s="71" t="s">
        <v>17</v>
      </c>
      <c r="B1348" s="72" t="s">
        <v>18</v>
      </c>
      <c r="C1348" s="73" t="s">
        <v>19</v>
      </c>
      <c r="D1348" s="74">
        <v>237.04973036069396</v>
      </c>
      <c r="E1348" s="81">
        <v>1280729</v>
      </c>
      <c r="F1348" s="82">
        <v>1252616.9008264663</v>
      </c>
      <c r="G1348" s="75">
        <v>1865.3239237269433</v>
      </c>
      <c r="H1348" s="76">
        <v>3</v>
      </c>
      <c r="I1348" s="54" t="s">
        <v>20</v>
      </c>
      <c r="J1348" s="77">
        <v>40</v>
      </c>
      <c r="K1348" s="78">
        <v>3</v>
      </c>
      <c r="L1348" s="54">
        <v>1</v>
      </c>
      <c r="M1348" s="54">
        <f>_xlfn.XLOOKUP(Survey!$F1348,sections[Start],sections[Test Section],,-1,1)</f>
        <v>5</v>
      </c>
      <c r="N1348" s="55">
        <f>_xlfn.XLOOKUP(Survey!$K1348,pipedata[ID],pipedata[WT])</f>
        <v>0.88800000000000001</v>
      </c>
      <c r="O1348" s="56">
        <f>_xlfn.XLOOKUP(Survey!$K1348,pipedata[ID],pipedata[104%])</f>
        <v>3078.4</v>
      </c>
      <c r="P1348" s="57">
        <f t="shared" si="21"/>
        <v>1850</v>
      </c>
      <c r="Q1348" s="58">
        <f>_xlfn.MAXIFS(Survey!$G$2:$G$3647,Survey!$M$2:$M$3647,Survey!$M1348)-Survey!$G1348</f>
        <v>1870.0529155983279</v>
      </c>
      <c r="R1348" s="59">
        <f>Survey!$P1348+(Survey!$Q1348*0.433)</f>
        <v>2659.7329124540761</v>
      </c>
    </row>
    <row r="1349" spans="1:18" x14ac:dyDescent="0.25">
      <c r="A1349" s="60" t="s">
        <v>17</v>
      </c>
      <c r="B1349" s="61" t="s">
        <v>18</v>
      </c>
      <c r="C1349" s="62" t="s">
        <v>19</v>
      </c>
      <c r="D1349" s="63">
        <v>237.05770681546076</v>
      </c>
      <c r="E1349" s="79">
        <v>1280769</v>
      </c>
      <c r="F1349" s="80">
        <v>1252655.3595041523</v>
      </c>
      <c r="G1349" s="66">
        <v>1856.7089162969526</v>
      </c>
      <c r="H1349" s="67">
        <v>3</v>
      </c>
      <c r="I1349" s="68" t="s">
        <v>20</v>
      </c>
      <c r="J1349" s="69">
        <v>40</v>
      </c>
      <c r="K1349" s="70">
        <v>3</v>
      </c>
      <c r="L1349" s="68">
        <v>1</v>
      </c>
      <c r="M1349" s="68">
        <f>_xlfn.XLOOKUP(Survey!$F1349,sections[Start],sections[Test Section],,-1,1)</f>
        <v>5</v>
      </c>
      <c r="N1349" s="55">
        <f>_xlfn.XLOOKUP(Survey!$K1349,pipedata[ID],pipedata[WT])</f>
        <v>0.88800000000000001</v>
      </c>
      <c r="O1349" s="56">
        <f>_xlfn.XLOOKUP(Survey!$K1349,pipedata[ID],pipedata[104%])</f>
        <v>3078.4</v>
      </c>
      <c r="P1349" s="57">
        <f t="shared" si="21"/>
        <v>1850</v>
      </c>
      <c r="Q1349" s="58">
        <f>_xlfn.MAXIFS(Survey!$G$2:$G$3647,Survey!$M$2:$M$3647,Survey!$M1349)-Survey!$G1349</f>
        <v>1878.6679230283187</v>
      </c>
      <c r="R1349" s="59">
        <f>Survey!$P1349+(Survey!$Q1349*0.433)</f>
        <v>2663.463210671262</v>
      </c>
    </row>
    <row r="1350" spans="1:18" x14ac:dyDescent="0.25">
      <c r="A1350" s="71" t="s">
        <v>17</v>
      </c>
      <c r="B1350" s="72" t="s">
        <v>18</v>
      </c>
      <c r="C1350" s="73" t="s">
        <v>19</v>
      </c>
      <c r="D1350" s="74">
        <v>237.06568327022748</v>
      </c>
      <c r="E1350" s="81">
        <v>1280809</v>
      </c>
      <c r="F1350" s="82">
        <v>1252693.8181818384</v>
      </c>
      <c r="G1350" s="75">
        <v>1846.0821907715829</v>
      </c>
      <c r="H1350" s="76">
        <v>3</v>
      </c>
      <c r="I1350" s="54" t="s">
        <v>20</v>
      </c>
      <c r="J1350" s="77">
        <v>40</v>
      </c>
      <c r="K1350" s="78">
        <v>3</v>
      </c>
      <c r="L1350" s="54">
        <v>1</v>
      </c>
      <c r="M1350" s="54">
        <f>_xlfn.XLOOKUP(Survey!$F1350,sections[Start],sections[Test Section],,-1,1)</f>
        <v>5</v>
      </c>
      <c r="N1350" s="55">
        <f>_xlfn.XLOOKUP(Survey!$K1350,pipedata[ID],pipedata[WT])</f>
        <v>0.88800000000000001</v>
      </c>
      <c r="O1350" s="56">
        <f>_xlfn.XLOOKUP(Survey!$K1350,pipedata[ID],pipedata[104%])</f>
        <v>3078.4</v>
      </c>
      <c r="P1350" s="57">
        <f t="shared" si="21"/>
        <v>1850</v>
      </c>
      <c r="Q1350" s="58">
        <f>_xlfn.MAXIFS(Survey!$G$2:$G$3647,Survey!$M$2:$M$3647,Survey!$M1350)-Survey!$G1350</f>
        <v>1889.2946485536884</v>
      </c>
      <c r="R1350" s="59">
        <f>Survey!$P1350+(Survey!$Q1350*0.433)</f>
        <v>2668.0645828237471</v>
      </c>
    </row>
    <row r="1351" spans="1:18" x14ac:dyDescent="0.25">
      <c r="A1351" s="60" t="s">
        <v>17</v>
      </c>
      <c r="B1351" s="61" t="s">
        <v>18</v>
      </c>
      <c r="C1351" s="62" t="s">
        <v>19</v>
      </c>
      <c r="D1351" s="63">
        <v>237.07247112162392</v>
      </c>
      <c r="E1351" s="79">
        <v>1280849</v>
      </c>
      <c r="F1351" s="80">
        <v>1252732.2768595244</v>
      </c>
      <c r="G1351" s="66">
        <v>1837.0699547863626</v>
      </c>
      <c r="H1351" s="67">
        <v>3</v>
      </c>
      <c r="I1351" s="68" t="s">
        <v>20</v>
      </c>
      <c r="J1351" s="69">
        <v>40</v>
      </c>
      <c r="K1351" s="70">
        <v>3</v>
      </c>
      <c r="L1351" s="68">
        <v>1</v>
      </c>
      <c r="M1351" s="68">
        <f>_xlfn.XLOOKUP(Survey!$F1351,sections[Start],sections[Test Section],,-1,1)</f>
        <v>5</v>
      </c>
      <c r="N1351" s="55">
        <f>_xlfn.XLOOKUP(Survey!$K1351,pipedata[ID],pipedata[WT])</f>
        <v>0.88800000000000001</v>
      </c>
      <c r="O1351" s="56">
        <f>_xlfn.XLOOKUP(Survey!$K1351,pipedata[ID],pipedata[104%])</f>
        <v>3078.4</v>
      </c>
      <c r="P1351" s="57">
        <f t="shared" si="21"/>
        <v>1850</v>
      </c>
      <c r="Q1351" s="58">
        <f>_xlfn.MAXIFS(Survey!$G$2:$G$3647,Survey!$M$2:$M$3647,Survey!$M1351)-Survey!$G1351</f>
        <v>1898.3068845389087</v>
      </c>
      <c r="R1351" s="59">
        <f>Survey!$P1351+(Survey!$Q1351*0.433)</f>
        <v>2671.9668810053472</v>
      </c>
    </row>
    <row r="1352" spans="1:18" x14ac:dyDescent="0.25">
      <c r="A1352" s="71" t="s">
        <v>17</v>
      </c>
      <c r="B1352" s="72" t="s">
        <v>18</v>
      </c>
      <c r="C1352" s="73" t="s">
        <v>19</v>
      </c>
      <c r="D1352" s="74">
        <v>237.08005600230575</v>
      </c>
      <c r="E1352" s="81">
        <v>1280889</v>
      </c>
      <c r="F1352" s="82">
        <v>1252770.7355372105</v>
      </c>
      <c r="G1352" s="75">
        <v>1826.4344780126737</v>
      </c>
      <c r="H1352" s="76">
        <v>3</v>
      </c>
      <c r="I1352" s="54" t="s">
        <v>20</v>
      </c>
      <c r="J1352" s="77">
        <v>40</v>
      </c>
      <c r="K1352" s="78">
        <v>3</v>
      </c>
      <c r="L1352" s="54">
        <v>1</v>
      </c>
      <c r="M1352" s="54">
        <f>_xlfn.XLOOKUP(Survey!$F1352,sections[Start],sections[Test Section],,-1,1)</f>
        <v>5</v>
      </c>
      <c r="N1352" s="55">
        <f>_xlfn.XLOOKUP(Survey!$K1352,pipedata[ID],pipedata[WT])</f>
        <v>0.88800000000000001</v>
      </c>
      <c r="O1352" s="56">
        <f>_xlfn.XLOOKUP(Survey!$K1352,pipedata[ID],pipedata[104%])</f>
        <v>3078.4</v>
      </c>
      <c r="P1352" s="57">
        <f t="shared" si="21"/>
        <v>1850</v>
      </c>
      <c r="Q1352" s="58">
        <f>_xlfn.MAXIFS(Survey!$G$2:$G$3647,Survey!$M$2:$M$3647,Survey!$M1352)-Survey!$G1352</f>
        <v>1908.9423613125975</v>
      </c>
      <c r="R1352" s="59">
        <f>Survey!$P1352+(Survey!$Q1352*0.433)</f>
        <v>2676.5720424483548</v>
      </c>
    </row>
    <row r="1353" spans="1:18" x14ac:dyDescent="0.25">
      <c r="A1353" s="60" t="s">
        <v>17</v>
      </c>
      <c r="B1353" s="61" t="s">
        <v>18</v>
      </c>
      <c r="C1353" s="62" t="s">
        <v>19</v>
      </c>
      <c r="D1353" s="63">
        <v>237.08807404304213</v>
      </c>
      <c r="E1353" s="79">
        <v>1280929</v>
      </c>
      <c r="F1353" s="80">
        <v>1252809.1942148965</v>
      </c>
      <c r="G1353" s="66">
        <v>1815.6945131831901</v>
      </c>
      <c r="H1353" s="67">
        <v>3</v>
      </c>
      <c r="I1353" s="68" t="s">
        <v>20</v>
      </c>
      <c r="J1353" s="69">
        <v>40</v>
      </c>
      <c r="K1353" s="70">
        <v>3</v>
      </c>
      <c r="L1353" s="68">
        <v>1</v>
      </c>
      <c r="M1353" s="68">
        <f>_xlfn.XLOOKUP(Survey!$F1353,sections[Start],sections[Test Section],,-1,1)</f>
        <v>5</v>
      </c>
      <c r="N1353" s="55">
        <f>_xlfn.XLOOKUP(Survey!$K1353,pipedata[ID],pipedata[WT])</f>
        <v>0.88800000000000001</v>
      </c>
      <c r="O1353" s="56">
        <f>_xlfn.XLOOKUP(Survey!$K1353,pipedata[ID],pipedata[104%])</f>
        <v>3078.4</v>
      </c>
      <c r="P1353" s="57">
        <f t="shared" si="21"/>
        <v>1850</v>
      </c>
      <c r="Q1353" s="58">
        <f>_xlfn.MAXIFS(Survey!$G$2:$G$3647,Survey!$M$2:$M$3647,Survey!$M1353)-Survey!$G1353</f>
        <v>1919.6823261420811</v>
      </c>
      <c r="R1353" s="59">
        <f>Survey!$P1353+(Survey!$Q1353*0.433)</f>
        <v>2681.2224472195212</v>
      </c>
    </row>
    <row r="1354" spans="1:18" x14ac:dyDescent="0.25">
      <c r="A1354" s="71" t="s">
        <v>17</v>
      </c>
      <c r="B1354" s="72" t="s">
        <v>18</v>
      </c>
      <c r="C1354" s="73" t="s">
        <v>19</v>
      </c>
      <c r="D1354" s="74">
        <v>237.09522576366925</v>
      </c>
      <c r="E1354" s="81">
        <v>1280969</v>
      </c>
      <c r="F1354" s="82">
        <v>1252847.6528925826</v>
      </c>
      <c r="G1354" s="75">
        <v>1805.9467065485865</v>
      </c>
      <c r="H1354" s="76">
        <v>3</v>
      </c>
      <c r="I1354" s="54" t="s">
        <v>20</v>
      </c>
      <c r="J1354" s="77">
        <v>40</v>
      </c>
      <c r="K1354" s="78">
        <v>3</v>
      </c>
      <c r="L1354" s="54">
        <v>1</v>
      </c>
      <c r="M1354" s="54">
        <f>_xlfn.XLOOKUP(Survey!$F1354,sections[Start],sections[Test Section],,-1,1)</f>
        <v>5</v>
      </c>
      <c r="N1354" s="55">
        <f>_xlfn.XLOOKUP(Survey!$K1354,pipedata[ID],pipedata[WT])</f>
        <v>0.88800000000000001</v>
      </c>
      <c r="O1354" s="56">
        <f>_xlfn.XLOOKUP(Survey!$K1354,pipedata[ID],pipedata[104%])</f>
        <v>3078.4</v>
      </c>
      <c r="P1354" s="57">
        <f t="shared" si="21"/>
        <v>1850</v>
      </c>
      <c r="Q1354" s="58">
        <f>_xlfn.MAXIFS(Survey!$G$2:$G$3647,Survey!$M$2:$M$3647,Survey!$M1354)-Survey!$G1354</f>
        <v>1929.4301327766848</v>
      </c>
      <c r="R1354" s="59">
        <f>Survey!$P1354+(Survey!$Q1354*0.433)</f>
        <v>2685.4432474923046</v>
      </c>
    </row>
    <row r="1355" spans="1:18" x14ac:dyDescent="0.25">
      <c r="A1355" s="60" t="s">
        <v>17</v>
      </c>
      <c r="B1355" s="61" t="s">
        <v>18</v>
      </c>
      <c r="C1355" s="62" t="s">
        <v>19</v>
      </c>
      <c r="D1355" s="63">
        <v>237.10157731667755</v>
      </c>
      <c r="E1355" s="79">
        <v>1281009</v>
      </c>
      <c r="F1355" s="80">
        <v>1252886.1115702686</v>
      </c>
      <c r="G1355" s="66">
        <v>1792.8520186422797</v>
      </c>
      <c r="H1355" s="67">
        <v>3</v>
      </c>
      <c r="I1355" s="68" t="s">
        <v>20</v>
      </c>
      <c r="J1355" s="69">
        <v>40</v>
      </c>
      <c r="K1355" s="70">
        <v>3</v>
      </c>
      <c r="L1355" s="68">
        <v>1</v>
      </c>
      <c r="M1355" s="68">
        <f>_xlfn.XLOOKUP(Survey!$F1355,sections[Start],sections[Test Section],,-1,1)</f>
        <v>5</v>
      </c>
      <c r="N1355" s="55">
        <f>_xlfn.XLOOKUP(Survey!$K1355,pipedata[ID],pipedata[WT])</f>
        <v>0.88800000000000001</v>
      </c>
      <c r="O1355" s="56">
        <f>_xlfn.XLOOKUP(Survey!$K1355,pipedata[ID],pipedata[104%])</f>
        <v>3078.4</v>
      </c>
      <c r="P1355" s="57">
        <f t="shared" si="21"/>
        <v>1850</v>
      </c>
      <c r="Q1355" s="58">
        <f>_xlfn.MAXIFS(Survey!$G$2:$G$3647,Survey!$M$2:$M$3647,Survey!$M1355)-Survey!$G1355</f>
        <v>1942.5248206829915</v>
      </c>
      <c r="R1355" s="59">
        <f>Survey!$P1355+(Survey!$Q1355*0.433)</f>
        <v>2691.1132473557354</v>
      </c>
    </row>
    <row r="1356" spans="1:18" x14ac:dyDescent="0.25">
      <c r="A1356" s="71" t="s">
        <v>17</v>
      </c>
      <c r="B1356" s="72" t="s">
        <v>18</v>
      </c>
      <c r="C1356" s="73" t="s">
        <v>19</v>
      </c>
      <c r="D1356" s="74">
        <v>237.10955377144427</v>
      </c>
      <c r="E1356" s="81">
        <v>1281049</v>
      </c>
      <c r="F1356" s="82">
        <v>1252924.5702479547</v>
      </c>
      <c r="G1356" s="75">
        <v>1780.4407090797586</v>
      </c>
      <c r="H1356" s="76">
        <v>3</v>
      </c>
      <c r="I1356" s="54" t="s">
        <v>20</v>
      </c>
      <c r="J1356" s="77">
        <v>40</v>
      </c>
      <c r="K1356" s="78">
        <v>3</v>
      </c>
      <c r="L1356" s="54">
        <v>1</v>
      </c>
      <c r="M1356" s="54">
        <f>_xlfn.XLOOKUP(Survey!$F1356,sections[Start],sections[Test Section],,-1,1)</f>
        <v>5</v>
      </c>
      <c r="N1356" s="55">
        <f>_xlfn.XLOOKUP(Survey!$K1356,pipedata[ID],pipedata[WT])</f>
        <v>0.88800000000000001</v>
      </c>
      <c r="O1356" s="56">
        <f>_xlfn.XLOOKUP(Survey!$K1356,pipedata[ID],pipedata[104%])</f>
        <v>3078.4</v>
      </c>
      <c r="P1356" s="57">
        <f t="shared" si="21"/>
        <v>1850</v>
      </c>
      <c r="Q1356" s="58">
        <f>_xlfn.MAXIFS(Survey!$G$2:$G$3647,Survey!$M$2:$M$3647,Survey!$M1356)-Survey!$G1356</f>
        <v>1954.9361302455127</v>
      </c>
      <c r="R1356" s="59">
        <f>Survey!$P1356+(Survey!$Q1356*0.433)</f>
        <v>2696.487344396307</v>
      </c>
    </row>
    <row r="1357" spans="1:18" x14ac:dyDescent="0.25">
      <c r="A1357" s="60" t="s">
        <v>17</v>
      </c>
      <c r="B1357" s="61" t="s">
        <v>18</v>
      </c>
      <c r="C1357" s="62" t="s">
        <v>19</v>
      </c>
      <c r="D1357" s="63">
        <v>237.1160841855442</v>
      </c>
      <c r="E1357" s="79">
        <v>1281089</v>
      </c>
      <c r="F1357" s="80">
        <v>1252963.0289256407</v>
      </c>
      <c r="G1357" s="66">
        <v>1770.3006052777762</v>
      </c>
      <c r="H1357" s="67">
        <v>3</v>
      </c>
      <c r="I1357" s="68" t="s">
        <v>20</v>
      </c>
      <c r="J1357" s="69">
        <v>40</v>
      </c>
      <c r="K1357" s="70">
        <v>3</v>
      </c>
      <c r="L1357" s="68">
        <v>1</v>
      </c>
      <c r="M1357" s="68">
        <f>_xlfn.XLOOKUP(Survey!$F1357,sections[Start],sections[Test Section],,-1,1)</f>
        <v>5</v>
      </c>
      <c r="N1357" s="55">
        <f>_xlfn.XLOOKUP(Survey!$K1357,pipedata[ID],pipedata[WT])</f>
        <v>0.88800000000000001</v>
      </c>
      <c r="O1357" s="56">
        <f>_xlfn.XLOOKUP(Survey!$K1357,pipedata[ID],pipedata[104%])</f>
        <v>3078.4</v>
      </c>
      <c r="P1357" s="57">
        <f t="shared" si="21"/>
        <v>1850</v>
      </c>
      <c r="Q1357" s="58">
        <f>_xlfn.MAXIFS(Survey!$G$2:$G$3647,Survey!$M$2:$M$3647,Survey!$M1357)-Survey!$G1357</f>
        <v>1965.0762340474951</v>
      </c>
      <c r="R1357" s="59">
        <f>Survey!$P1357+(Survey!$Q1357*0.433)</f>
        <v>2700.8780093425653</v>
      </c>
    </row>
    <row r="1358" spans="1:18" x14ac:dyDescent="0.25">
      <c r="A1358" s="71" t="s">
        <v>17</v>
      </c>
      <c r="B1358" s="72" t="s">
        <v>18</v>
      </c>
      <c r="C1358" s="73" t="s">
        <v>19</v>
      </c>
      <c r="D1358" s="74">
        <v>237.12366906622603</v>
      </c>
      <c r="E1358" s="81">
        <v>1281129</v>
      </c>
      <c r="F1358" s="82">
        <v>1253001.4876033268</v>
      </c>
      <c r="G1358" s="75">
        <v>1758.7567498477283</v>
      </c>
      <c r="H1358" s="76">
        <v>3</v>
      </c>
      <c r="I1358" s="54" t="s">
        <v>20</v>
      </c>
      <c r="J1358" s="77">
        <v>40</v>
      </c>
      <c r="K1358" s="78">
        <v>3</v>
      </c>
      <c r="L1358" s="54">
        <v>1</v>
      </c>
      <c r="M1358" s="54">
        <f>_xlfn.XLOOKUP(Survey!$F1358,sections[Start],sections[Test Section],,-1,1)</f>
        <v>5</v>
      </c>
      <c r="N1358" s="55">
        <f>_xlfn.XLOOKUP(Survey!$K1358,pipedata[ID],pipedata[WT])</f>
        <v>0.88800000000000001</v>
      </c>
      <c r="O1358" s="56">
        <f>_xlfn.XLOOKUP(Survey!$K1358,pipedata[ID],pipedata[104%])</f>
        <v>3078.4</v>
      </c>
      <c r="P1358" s="57">
        <f t="shared" si="21"/>
        <v>1850</v>
      </c>
      <c r="Q1358" s="58">
        <f>_xlfn.MAXIFS(Survey!$G$2:$G$3647,Survey!$M$2:$M$3647,Survey!$M1358)-Survey!$G1358</f>
        <v>1976.6200894775429</v>
      </c>
      <c r="R1358" s="59">
        <f>Survey!$P1358+(Survey!$Q1358*0.433)</f>
        <v>2705.8764987437762</v>
      </c>
    </row>
    <row r="1359" spans="1:18" x14ac:dyDescent="0.25">
      <c r="A1359" s="60" t="s">
        <v>17</v>
      </c>
      <c r="B1359" s="61" t="s">
        <v>18</v>
      </c>
      <c r="C1359" s="62" t="s">
        <v>19</v>
      </c>
      <c r="D1359" s="63">
        <v>237.13148902205293</v>
      </c>
      <c r="E1359" s="79">
        <v>1281169</v>
      </c>
      <c r="F1359" s="80">
        <v>1253039.9462810128</v>
      </c>
      <c r="G1359" s="66">
        <v>1753.459695532162</v>
      </c>
      <c r="H1359" s="67">
        <v>3</v>
      </c>
      <c r="I1359" s="68" t="s">
        <v>20</v>
      </c>
      <c r="J1359" s="69">
        <v>40</v>
      </c>
      <c r="K1359" s="70">
        <v>3</v>
      </c>
      <c r="L1359" s="68">
        <v>1</v>
      </c>
      <c r="M1359" s="68">
        <f>_xlfn.XLOOKUP(Survey!$F1359,sections[Start],sections[Test Section],,-1,1)</f>
        <v>5</v>
      </c>
      <c r="N1359" s="55">
        <f>_xlfn.XLOOKUP(Survey!$K1359,pipedata[ID],pipedata[WT])</f>
        <v>0.88800000000000001</v>
      </c>
      <c r="O1359" s="56">
        <f>_xlfn.XLOOKUP(Survey!$K1359,pipedata[ID],pipedata[104%])</f>
        <v>3078.4</v>
      </c>
      <c r="P1359" s="57">
        <f t="shared" si="21"/>
        <v>1850</v>
      </c>
      <c r="Q1359" s="58">
        <f>_xlfn.MAXIFS(Survey!$G$2:$G$3647,Survey!$M$2:$M$3647,Survey!$M1359)-Survey!$G1359</f>
        <v>1981.9171437931093</v>
      </c>
      <c r="R1359" s="59">
        <f>Survey!$P1359+(Survey!$Q1359*0.433)</f>
        <v>2708.1701232624164</v>
      </c>
    </row>
    <row r="1360" spans="1:18" x14ac:dyDescent="0.25">
      <c r="A1360" s="71" t="s">
        <v>17</v>
      </c>
      <c r="B1360" s="72" t="s">
        <v>18</v>
      </c>
      <c r="C1360" s="73" t="s">
        <v>19</v>
      </c>
      <c r="D1360" s="74">
        <v>237.13946547681962</v>
      </c>
      <c r="E1360" s="81">
        <v>1281209</v>
      </c>
      <c r="F1360" s="82">
        <v>1253078.4049586989</v>
      </c>
      <c r="G1360" s="75">
        <v>1749.7922891783683</v>
      </c>
      <c r="H1360" s="76">
        <v>3</v>
      </c>
      <c r="I1360" s="54" t="s">
        <v>20</v>
      </c>
      <c r="J1360" s="77">
        <v>40</v>
      </c>
      <c r="K1360" s="78">
        <v>3</v>
      </c>
      <c r="L1360" s="54">
        <v>1</v>
      </c>
      <c r="M1360" s="54">
        <f>_xlfn.XLOOKUP(Survey!$F1360,sections[Start],sections[Test Section],,-1,1)</f>
        <v>5</v>
      </c>
      <c r="N1360" s="55">
        <f>_xlfn.XLOOKUP(Survey!$K1360,pipedata[ID],pipedata[WT])</f>
        <v>0.88800000000000001</v>
      </c>
      <c r="O1360" s="56">
        <f>_xlfn.XLOOKUP(Survey!$K1360,pipedata[ID],pipedata[104%])</f>
        <v>3078.4</v>
      </c>
      <c r="P1360" s="57">
        <f t="shared" si="21"/>
        <v>1850</v>
      </c>
      <c r="Q1360" s="58">
        <f>_xlfn.MAXIFS(Survey!$G$2:$G$3647,Survey!$M$2:$M$3647,Survey!$M1360)-Survey!$G1360</f>
        <v>1985.584550146903</v>
      </c>
      <c r="R1360" s="59">
        <f>Survey!$P1360+(Survey!$Q1360*0.433)</f>
        <v>2709.7581102136091</v>
      </c>
    </row>
    <row r="1361" spans="1:18" x14ac:dyDescent="0.25">
      <c r="A1361" s="60" t="s">
        <v>17</v>
      </c>
      <c r="B1361" s="61" t="s">
        <v>18</v>
      </c>
      <c r="C1361" s="62" t="s">
        <v>19</v>
      </c>
      <c r="D1361" s="63">
        <v>237.14642370827139</v>
      </c>
      <c r="E1361" s="79">
        <v>1281249</v>
      </c>
      <c r="F1361" s="80">
        <v>1253116.863636385</v>
      </c>
      <c r="G1361" s="66">
        <v>1745.7829150930743</v>
      </c>
      <c r="H1361" s="67">
        <v>3</v>
      </c>
      <c r="I1361" s="68" t="s">
        <v>20</v>
      </c>
      <c r="J1361" s="69">
        <v>40</v>
      </c>
      <c r="K1361" s="70">
        <v>3</v>
      </c>
      <c r="L1361" s="68">
        <v>1</v>
      </c>
      <c r="M1361" s="68">
        <f>_xlfn.XLOOKUP(Survey!$F1361,sections[Start],sections[Test Section],,-1,1)</f>
        <v>5</v>
      </c>
      <c r="N1361" s="55">
        <f>_xlfn.XLOOKUP(Survey!$K1361,pipedata[ID],pipedata[WT])</f>
        <v>0.88800000000000001</v>
      </c>
      <c r="O1361" s="56">
        <f>_xlfn.XLOOKUP(Survey!$K1361,pipedata[ID],pipedata[104%])</f>
        <v>3078.4</v>
      </c>
      <c r="P1361" s="57">
        <f t="shared" si="21"/>
        <v>1850</v>
      </c>
      <c r="Q1361" s="58">
        <f>_xlfn.MAXIFS(Survey!$G$2:$G$3647,Survey!$M$2:$M$3647,Survey!$M1361)-Survey!$G1361</f>
        <v>1989.593924232197</v>
      </c>
      <c r="R1361" s="59">
        <f>Survey!$P1361+(Survey!$Q1361*0.433)</f>
        <v>2711.4941691925414</v>
      </c>
    </row>
    <row r="1362" spans="1:18" x14ac:dyDescent="0.25">
      <c r="A1362" s="71" t="s">
        <v>17</v>
      </c>
      <c r="B1362" s="72" t="s">
        <v>18</v>
      </c>
      <c r="C1362" s="73" t="s">
        <v>19</v>
      </c>
      <c r="D1362" s="74">
        <v>237.15400858895322</v>
      </c>
      <c r="E1362" s="81">
        <v>1281289</v>
      </c>
      <c r="F1362" s="82">
        <v>1253155.322314071</v>
      </c>
      <c r="G1362" s="75">
        <v>1738.0104357596199</v>
      </c>
      <c r="H1362" s="76">
        <v>3</v>
      </c>
      <c r="I1362" s="54" t="s">
        <v>20</v>
      </c>
      <c r="J1362" s="77">
        <v>40</v>
      </c>
      <c r="K1362" s="78">
        <v>3</v>
      </c>
      <c r="L1362" s="54">
        <v>1</v>
      </c>
      <c r="M1362" s="54">
        <f>_xlfn.XLOOKUP(Survey!$F1362,sections[Start],sections[Test Section],,-1,1)</f>
        <v>5</v>
      </c>
      <c r="N1362" s="55">
        <f>_xlfn.XLOOKUP(Survey!$K1362,pipedata[ID],pipedata[WT])</f>
        <v>0.88800000000000001</v>
      </c>
      <c r="O1362" s="56">
        <f>_xlfn.XLOOKUP(Survey!$K1362,pipedata[ID],pipedata[104%])</f>
        <v>3078.4</v>
      </c>
      <c r="P1362" s="57">
        <f t="shared" si="21"/>
        <v>1850</v>
      </c>
      <c r="Q1362" s="58">
        <f>_xlfn.MAXIFS(Survey!$G$2:$G$3647,Survey!$M$2:$M$3647,Survey!$M1362)-Survey!$G1362</f>
        <v>1997.3664035656514</v>
      </c>
      <c r="R1362" s="59">
        <f>Survey!$P1362+(Survey!$Q1362*0.433)</f>
        <v>2714.8596527439267</v>
      </c>
    </row>
    <row r="1363" spans="1:18" x14ac:dyDescent="0.25">
      <c r="A1363" s="60" t="s">
        <v>17</v>
      </c>
      <c r="B1363" s="61" t="s">
        <v>18</v>
      </c>
      <c r="C1363" s="62" t="s">
        <v>19</v>
      </c>
      <c r="D1363" s="63">
        <v>237.1599590118324</v>
      </c>
      <c r="E1363" s="79">
        <v>1281329</v>
      </c>
      <c r="F1363" s="80">
        <v>1253193.7809917571</v>
      </c>
      <c r="G1363" s="66">
        <v>1724.235441351688</v>
      </c>
      <c r="H1363" s="67">
        <v>3</v>
      </c>
      <c r="I1363" s="68" t="s">
        <v>20</v>
      </c>
      <c r="J1363" s="69">
        <v>40</v>
      </c>
      <c r="K1363" s="70">
        <v>3</v>
      </c>
      <c r="L1363" s="68">
        <v>1</v>
      </c>
      <c r="M1363" s="68">
        <f>_xlfn.XLOOKUP(Survey!$F1363,sections[Start],sections[Test Section],,-1,1)</f>
        <v>5</v>
      </c>
      <c r="N1363" s="55">
        <f>_xlfn.XLOOKUP(Survey!$K1363,pipedata[ID],pipedata[WT])</f>
        <v>0.88800000000000001</v>
      </c>
      <c r="O1363" s="56">
        <f>_xlfn.XLOOKUP(Survey!$K1363,pipedata[ID],pipedata[104%])</f>
        <v>3078.4</v>
      </c>
      <c r="P1363" s="57">
        <f t="shared" si="21"/>
        <v>1850</v>
      </c>
      <c r="Q1363" s="58">
        <f>_xlfn.MAXIFS(Survey!$G$2:$G$3647,Survey!$M$2:$M$3647,Survey!$M1363)-Survey!$G1363</f>
        <v>2011.1413979735833</v>
      </c>
      <c r="R1363" s="59">
        <f>Survey!$P1363+(Survey!$Q1363*0.433)</f>
        <v>2720.8242253225617</v>
      </c>
    </row>
    <row r="1364" spans="1:18" x14ac:dyDescent="0.25">
      <c r="A1364" s="71" t="s">
        <v>17</v>
      </c>
      <c r="B1364" s="72" t="s">
        <v>18</v>
      </c>
      <c r="C1364" s="73" t="s">
        <v>19</v>
      </c>
      <c r="D1364" s="74">
        <v>237.16661696136268</v>
      </c>
      <c r="E1364" s="81">
        <v>1281369</v>
      </c>
      <c r="F1364" s="82">
        <v>1253232.2396694431</v>
      </c>
      <c r="G1364" s="75">
        <v>1710.6087762369402</v>
      </c>
      <c r="H1364" s="76">
        <v>3</v>
      </c>
      <c r="I1364" s="54" t="s">
        <v>20</v>
      </c>
      <c r="J1364" s="77">
        <v>40</v>
      </c>
      <c r="K1364" s="78">
        <v>3</v>
      </c>
      <c r="L1364" s="54">
        <v>1</v>
      </c>
      <c r="M1364" s="54">
        <f>_xlfn.XLOOKUP(Survey!$F1364,sections[Start],sections[Test Section],,-1,1)</f>
        <v>5</v>
      </c>
      <c r="N1364" s="55">
        <f>_xlfn.XLOOKUP(Survey!$K1364,pipedata[ID],pipedata[WT])</f>
        <v>0.88800000000000001</v>
      </c>
      <c r="O1364" s="56">
        <f>_xlfn.XLOOKUP(Survey!$K1364,pipedata[ID],pipedata[104%])</f>
        <v>3078.4</v>
      </c>
      <c r="P1364" s="57">
        <f t="shared" si="21"/>
        <v>1850</v>
      </c>
      <c r="Q1364" s="58">
        <f>_xlfn.MAXIFS(Survey!$G$2:$G$3647,Survey!$M$2:$M$3647,Survey!$M1364)-Survey!$G1364</f>
        <v>2024.768063088331</v>
      </c>
      <c r="R1364" s="59">
        <f>Survey!$P1364+(Survey!$Q1364*0.433)</f>
        <v>2726.7245713172474</v>
      </c>
    </row>
    <row r="1365" spans="1:18" x14ac:dyDescent="0.25">
      <c r="A1365" s="60" t="s">
        <v>17</v>
      </c>
      <c r="B1365" s="61" t="s">
        <v>18</v>
      </c>
      <c r="C1365" s="62" t="s">
        <v>19</v>
      </c>
      <c r="D1365" s="63">
        <v>237.17345559014075</v>
      </c>
      <c r="E1365" s="79">
        <v>1281409</v>
      </c>
      <c r="F1365" s="80">
        <v>1253270.6983471292</v>
      </c>
      <c r="G1365" s="66">
        <v>1693.1697585244383</v>
      </c>
      <c r="H1365" s="67">
        <v>3</v>
      </c>
      <c r="I1365" s="68" t="s">
        <v>20</v>
      </c>
      <c r="J1365" s="69">
        <v>40</v>
      </c>
      <c r="K1365" s="70">
        <v>3</v>
      </c>
      <c r="L1365" s="68">
        <v>1</v>
      </c>
      <c r="M1365" s="68">
        <f>_xlfn.XLOOKUP(Survey!$F1365,sections[Start],sections[Test Section],,-1,1)</f>
        <v>5</v>
      </c>
      <c r="N1365" s="55">
        <f>_xlfn.XLOOKUP(Survey!$K1365,pipedata[ID],pipedata[WT])</f>
        <v>0.88800000000000001</v>
      </c>
      <c r="O1365" s="56">
        <f>_xlfn.XLOOKUP(Survey!$K1365,pipedata[ID],pipedata[104%])</f>
        <v>3078.4</v>
      </c>
      <c r="P1365" s="57">
        <f t="shared" si="21"/>
        <v>1850</v>
      </c>
      <c r="Q1365" s="58">
        <f>_xlfn.MAXIFS(Survey!$G$2:$G$3647,Survey!$M$2:$M$3647,Survey!$M1365)-Survey!$G1365</f>
        <v>2042.207080800833</v>
      </c>
      <c r="R1365" s="59">
        <f>Survey!$P1365+(Survey!$Q1365*0.433)</f>
        <v>2734.2756659867609</v>
      </c>
    </row>
    <row r="1366" spans="1:18" x14ac:dyDescent="0.25">
      <c r="A1366" s="71" t="s">
        <v>17</v>
      </c>
      <c r="B1366" s="72" t="s">
        <v>18</v>
      </c>
      <c r="C1366" s="73" t="s">
        <v>19</v>
      </c>
      <c r="D1366" s="74">
        <v>237.18146765515729</v>
      </c>
      <c r="E1366" s="81">
        <v>1281449</v>
      </c>
      <c r="F1366" s="82">
        <v>1253309.1570248152</v>
      </c>
      <c r="G1366" s="75">
        <v>1679.4871228565819</v>
      </c>
      <c r="H1366" s="76">
        <v>3</v>
      </c>
      <c r="I1366" s="54" t="s">
        <v>20</v>
      </c>
      <c r="J1366" s="77">
        <v>40</v>
      </c>
      <c r="K1366" s="78">
        <v>3</v>
      </c>
      <c r="L1366" s="54">
        <v>1</v>
      </c>
      <c r="M1366" s="54">
        <f>_xlfn.XLOOKUP(Survey!$F1366,sections[Start],sections[Test Section],,-1,1)</f>
        <v>5</v>
      </c>
      <c r="N1366" s="55">
        <f>_xlfn.XLOOKUP(Survey!$K1366,pipedata[ID],pipedata[WT])</f>
        <v>0.88800000000000001</v>
      </c>
      <c r="O1366" s="56">
        <f>_xlfn.XLOOKUP(Survey!$K1366,pipedata[ID],pipedata[104%])</f>
        <v>3078.4</v>
      </c>
      <c r="P1366" s="57">
        <f t="shared" si="21"/>
        <v>1850</v>
      </c>
      <c r="Q1366" s="58">
        <f>_xlfn.MAXIFS(Survey!$G$2:$G$3647,Survey!$M$2:$M$3647,Survey!$M1366)-Survey!$G1366</f>
        <v>2055.8897164686896</v>
      </c>
      <c r="R1366" s="59">
        <f>Survey!$P1366+(Survey!$Q1366*0.433)</f>
        <v>2740.2002472309428</v>
      </c>
    </row>
    <row r="1367" spans="1:18" x14ac:dyDescent="0.25">
      <c r="A1367" s="60" t="s">
        <v>17</v>
      </c>
      <c r="B1367" s="61" t="s">
        <v>18</v>
      </c>
      <c r="C1367" s="62" t="s">
        <v>19</v>
      </c>
      <c r="D1367" s="63">
        <v>237.189270566678</v>
      </c>
      <c r="E1367" s="79">
        <v>1281489</v>
      </c>
      <c r="F1367" s="80">
        <v>1253347.6157025013</v>
      </c>
      <c r="G1367" s="66">
        <v>1663.1850072169761</v>
      </c>
      <c r="H1367" s="67">
        <v>3</v>
      </c>
      <c r="I1367" s="68" t="s">
        <v>20</v>
      </c>
      <c r="J1367" s="69">
        <v>40</v>
      </c>
      <c r="K1367" s="70">
        <v>3</v>
      </c>
      <c r="L1367" s="68">
        <v>1</v>
      </c>
      <c r="M1367" s="68">
        <f>_xlfn.XLOOKUP(Survey!$F1367,sections[Start],sections[Test Section],,-1,1)</f>
        <v>5</v>
      </c>
      <c r="N1367" s="55">
        <f>_xlfn.XLOOKUP(Survey!$K1367,pipedata[ID],pipedata[WT])</f>
        <v>0.88800000000000001</v>
      </c>
      <c r="O1367" s="56">
        <f>_xlfn.XLOOKUP(Survey!$K1367,pipedata[ID],pipedata[104%])</f>
        <v>3078.4</v>
      </c>
      <c r="P1367" s="57">
        <f t="shared" si="21"/>
        <v>1850</v>
      </c>
      <c r="Q1367" s="58">
        <f>_xlfn.MAXIFS(Survey!$G$2:$G$3647,Survey!$M$2:$M$3647,Survey!$M1367)-Survey!$G1367</f>
        <v>2072.1918321082949</v>
      </c>
      <c r="R1367" s="59">
        <f>Survey!$P1367+(Survey!$Q1367*0.433)</f>
        <v>2747.2590633028917</v>
      </c>
    </row>
    <row r="1368" spans="1:18" x14ac:dyDescent="0.25">
      <c r="A1368" s="71" t="s">
        <v>17</v>
      </c>
      <c r="B1368" s="72" t="s">
        <v>18</v>
      </c>
      <c r="C1368" s="73" t="s">
        <v>19</v>
      </c>
      <c r="D1368" s="74">
        <v>237.1948210968516</v>
      </c>
      <c r="E1368" s="81">
        <v>1281529</v>
      </c>
      <c r="F1368" s="82">
        <v>1253386.0743801873</v>
      </c>
      <c r="G1368" s="75">
        <v>1654.7708146395535</v>
      </c>
      <c r="H1368" s="76">
        <v>3</v>
      </c>
      <c r="I1368" s="54" t="s">
        <v>20</v>
      </c>
      <c r="J1368" s="77">
        <v>40</v>
      </c>
      <c r="K1368" s="78">
        <v>3</v>
      </c>
      <c r="L1368" s="54">
        <v>1</v>
      </c>
      <c r="M1368" s="54">
        <f>_xlfn.XLOOKUP(Survey!$F1368,sections[Start],sections[Test Section],,-1,1)</f>
        <v>5</v>
      </c>
      <c r="N1368" s="55">
        <f>_xlfn.XLOOKUP(Survey!$K1368,pipedata[ID],pipedata[WT])</f>
        <v>0.88800000000000001</v>
      </c>
      <c r="O1368" s="56">
        <f>_xlfn.XLOOKUP(Survey!$K1368,pipedata[ID],pipedata[104%])</f>
        <v>3078.4</v>
      </c>
      <c r="P1368" s="57">
        <f t="shared" si="21"/>
        <v>1850</v>
      </c>
      <c r="Q1368" s="58">
        <f>_xlfn.MAXIFS(Survey!$G$2:$G$3647,Survey!$M$2:$M$3647,Survey!$M1368)-Survey!$G1368</f>
        <v>2080.6060246857178</v>
      </c>
      <c r="R1368" s="59">
        <f>Survey!$P1368+(Survey!$Q1368*0.433)</f>
        <v>2750.9024086889158</v>
      </c>
    </row>
    <row r="1369" spans="1:18" x14ac:dyDescent="0.25">
      <c r="A1369" s="60" t="s">
        <v>17</v>
      </c>
      <c r="B1369" s="61" t="s">
        <v>18</v>
      </c>
      <c r="C1369" s="62" t="s">
        <v>19</v>
      </c>
      <c r="D1369" s="63">
        <v>237.20283316186814</v>
      </c>
      <c r="E1369" s="79">
        <v>1281569</v>
      </c>
      <c r="F1369" s="80">
        <v>1253424.5330578734</v>
      </c>
      <c r="G1369" s="66">
        <v>1659.2678092833553</v>
      </c>
      <c r="H1369" s="67">
        <v>3</v>
      </c>
      <c r="I1369" s="68" t="s">
        <v>20</v>
      </c>
      <c r="J1369" s="69">
        <v>40</v>
      </c>
      <c r="K1369" s="70">
        <v>3</v>
      </c>
      <c r="L1369" s="68">
        <v>1</v>
      </c>
      <c r="M1369" s="68">
        <f>_xlfn.XLOOKUP(Survey!$F1369,sections[Start],sections[Test Section],,-1,1)</f>
        <v>5</v>
      </c>
      <c r="N1369" s="55">
        <f>_xlfn.XLOOKUP(Survey!$K1369,pipedata[ID],pipedata[WT])</f>
        <v>0.88800000000000001</v>
      </c>
      <c r="O1369" s="56">
        <f>_xlfn.XLOOKUP(Survey!$K1369,pipedata[ID],pipedata[104%])</f>
        <v>3078.4</v>
      </c>
      <c r="P1369" s="57">
        <f t="shared" si="21"/>
        <v>1850</v>
      </c>
      <c r="Q1369" s="58">
        <f>_xlfn.MAXIFS(Survey!$G$2:$G$3647,Survey!$M$2:$M$3647,Survey!$M1369)-Survey!$G1369</f>
        <v>2076.109030041916</v>
      </c>
      <c r="R1369" s="59">
        <f>Survey!$P1369+(Survey!$Q1369*0.433)</f>
        <v>2748.9552100081496</v>
      </c>
    </row>
    <row r="1370" spans="1:18" x14ac:dyDescent="0.25">
      <c r="A1370" s="71" t="s">
        <v>17</v>
      </c>
      <c r="B1370" s="72" t="s">
        <v>18</v>
      </c>
      <c r="C1370" s="73" t="s">
        <v>19</v>
      </c>
      <c r="D1370" s="74">
        <v>237.2108452268846</v>
      </c>
      <c r="E1370" s="81">
        <v>1281609</v>
      </c>
      <c r="F1370" s="82">
        <v>1253462.9917355594</v>
      </c>
      <c r="G1370" s="75">
        <v>1665.4807748999594</v>
      </c>
      <c r="H1370" s="76">
        <v>3</v>
      </c>
      <c r="I1370" s="54" t="s">
        <v>20</v>
      </c>
      <c r="J1370" s="77">
        <v>40</v>
      </c>
      <c r="K1370" s="78">
        <v>3</v>
      </c>
      <c r="L1370" s="54">
        <v>1</v>
      </c>
      <c r="M1370" s="54">
        <f>_xlfn.XLOOKUP(Survey!$F1370,sections[Start],sections[Test Section],,-1,1)</f>
        <v>5</v>
      </c>
      <c r="N1370" s="55">
        <f>_xlfn.XLOOKUP(Survey!$K1370,pipedata[ID],pipedata[WT])</f>
        <v>0.88800000000000001</v>
      </c>
      <c r="O1370" s="56">
        <f>_xlfn.XLOOKUP(Survey!$K1370,pipedata[ID],pipedata[104%])</f>
        <v>3078.4</v>
      </c>
      <c r="P1370" s="57">
        <f t="shared" si="21"/>
        <v>1850</v>
      </c>
      <c r="Q1370" s="58">
        <f>_xlfn.MAXIFS(Survey!$G$2:$G$3647,Survey!$M$2:$M$3647,Survey!$M1370)-Survey!$G1370</f>
        <v>2069.896064425312</v>
      </c>
      <c r="R1370" s="59">
        <f>Survey!$P1370+(Survey!$Q1370*0.433)</f>
        <v>2746.2649958961601</v>
      </c>
    </row>
    <row r="1371" spans="1:18" x14ac:dyDescent="0.25">
      <c r="A1371" s="60" t="s">
        <v>17</v>
      </c>
      <c r="B1371" s="61" t="s">
        <v>18</v>
      </c>
      <c r="C1371" s="62" t="s">
        <v>19</v>
      </c>
      <c r="D1371" s="63">
        <v>237.2188572919012</v>
      </c>
      <c r="E1371" s="79">
        <v>1281649</v>
      </c>
      <c r="F1371" s="80">
        <v>1253501.4504132455</v>
      </c>
      <c r="G1371" s="66">
        <v>1675.2750454321651</v>
      </c>
      <c r="H1371" s="67">
        <v>3</v>
      </c>
      <c r="I1371" s="68" t="s">
        <v>20</v>
      </c>
      <c r="J1371" s="69">
        <v>40</v>
      </c>
      <c r="K1371" s="70">
        <v>3</v>
      </c>
      <c r="L1371" s="68">
        <v>1</v>
      </c>
      <c r="M1371" s="68">
        <f>_xlfn.XLOOKUP(Survey!$F1371,sections[Start],sections[Test Section],,-1,1)</f>
        <v>5</v>
      </c>
      <c r="N1371" s="55">
        <f>_xlfn.XLOOKUP(Survey!$K1371,pipedata[ID],pipedata[WT])</f>
        <v>0.88800000000000001</v>
      </c>
      <c r="O1371" s="56">
        <f>_xlfn.XLOOKUP(Survey!$K1371,pipedata[ID],pipedata[104%])</f>
        <v>3078.4</v>
      </c>
      <c r="P1371" s="57">
        <f t="shared" si="21"/>
        <v>1850</v>
      </c>
      <c r="Q1371" s="58">
        <f>_xlfn.MAXIFS(Survey!$G$2:$G$3647,Survey!$M$2:$M$3647,Survey!$M1371)-Survey!$G1371</f>
        <v>2060.1017938931063</v>
      </c>
      <c r="R1371" s="59">
        <f>Survey!$P1371+(Survey!$Q1371*0.433)</f>
        <v>2742.0240767557152</v>
      </c>
    </row>
    <row r="1372" spans="1:18" x14ac:dyDescent="0.25">
      <c r="A1372" s="71" t="s">
        <v>17</v>
      </c>
      <c r="B1372" s="72" t="s">
        <v>18</v>
      </c>
      <c r="C1372" s="73" t="s">
        <v>19</v>
      </c>
      <c r="D1372" s="74">
        <v>237.22553446923854</v>
      </c>
      <c r="E1372" s="81">
        <v>1281689</v>
      </c>
      <c r="F1372" s="82">
        <v>1253539.9090909315</v>
      </c>
      <c r="G1372" s="75">
        <v>1679.9791473248904</v>
      </c>
      <c r="H1372" s="76">
        <v>3</v>
      </c>
      <c r="I1372" s="54" t="s">
        <v>20</v>
      </c>
      <c r="J1372" s="77">
        <v>40</v>
      </c>
      <c r="K1372" s="78">
        <v>3</v>
      </c>
      <c r="L1372" s="54">
        <v>1</v>
      </c>
      <c r="M1372" s="54">
        <f>_xlfn.XLOOKUP(Survey!$F1372,sections[Start],sections[Test Section],,-1,1)</f>
        <v>5</v>
      </c>
      <c r="N1372" s="55">
        <f>_xlfn.XLOOKUP(Survey!$K1372,pipedata[ID],pipedata[WT])</f>
        <v>0.88800000000000001</v>
      </c>
      <c r="O1372" s="56">
        <f>_xlfn.XLOOKUP(Survey!$K1372,pipedata[ID],pipedata[104%])</f>
        <v>3078.4</v>
      </c>
      <c r="P1372" s="57">
        <f t="shared" si="21"/>
        <v>1850</v>
      </c>
      <c r="Q1372" s="58">
        <f>_xlfn.MAXIFS(Survey!$G$2:$G$3647,Survey!$M$2:$M$3647,Survey!$M1372)-Survey!$G1372</f>
        <v>2055.3976920003806</v>
      </c>
      <c r="R1372" s="59">
        <f>Survey!$P1372+(Survey!$Q1372*0.433)</f>
        <v>2739.9872006361647</v>
      </c>
    </row>
    <row r="1373" spans="1:18" x14ac:dyDescent="0.25">
      <c r="A1373" s="60" t="s">
        <v>17</v>
      </c>
      <c r="B1373" s="61" t="s">
        <v>18</v>
      </c>
      <c r="C1373" s="62" t="s">
        <v>19</v>
      </c>
      <c r="D1373" s="63">
        <v>237.23225055092684</v>
      </c>
      <c r="E1373" s="79">
        <v>1281729</v>
      </c>
      <c r="F1373" s="80">
        <v>1253578.3677686176</v>
      </c>
      <c r="G1373" s="66">
        <v>1682.7810725089055</v>
      </c>
      <c r="H1373" s="67">
        <v>3</v>
      </c>
      <c r="I1373" s="68" t="s">
        <v>20</v>
      </c>
      <c r="J1373" s="69">
        <v>40</v>
      </c>
      <c r="K1373" s="70">
        <v>3</v>
      </c>
      <c r="L1373" s="68">
        <v>1</v>
      </c>
      <c r="M1373" s="68">
        <f>_xlfn.XLOOKUP(Survey!$F1373,sections[Start],sections[Test Section],,-1,1)</f>
        <v>5</v>
      </c>
      <c r="N1373" s="55">
        <f>_xlfn.XLOOKUP(Survey!$K1373,pipedata[ID],pipedata[WT])</f>
        <v>0.88800000000000001</v>
      </c>
      <c r="O1373" s="56">
        <f>_xlfn.XLOOKUP(Survey!$K1373,pipedata[ID],pipedata[104%])</f>
        <v>3078.4</v>
      </c>
      <c r="P1373" s="57">
        <f t="shared" si="21"/>
        <v>1850</v>
      </c>
      <c r="Q1373" s="58">
        <f>_xlfn.MAXIFS(Survey!$G$2:$G$3647,Survey!$M$2:$M$3647,Survey!$M1373)-Survey!$G1373</f>
        <v>2052.5957668163655</v>
      </c>
      <c r="R1373" s="59">
        <f>Survey!$P1373+(Survey!$Q1373*0.433)</f>
        <v>2738.7739670314863</v>
      </c>
    </row>
    <row r="1374" spans="1:18" x14ac:dyDescent="0.25">
      <c r="A1374" s="71" t="s">
        <v>17</v>
      </c>
      <c r="B1374" s="72" t="s">
        <v>18</v>
      </c>
      <c r="C1374" s="73" t="s">
        <v>19</v>
      </c>
      <c r="D1374" s="74">
        <v>237.24161035061357</v>
      </c>
      <c r="E1374" s="81">
        <v>1281769</v>
      </c>
      <c r="F1374" s="82">
        <v>1253616.8264463036</v>
      </c>
      <c r="G1374" s="75">
        <v>1687.4851563794839</v>
      </c>
      <c r="H1374" s="76">
        <v>3</v>
      </c>
      <c r="I1374" s="54" t="s">
        <v>20</v>
      </c>
      <c r="J1374" s="77">
        <v>40</v>
      </c>
      <c r="K1374" s="78">
        <v>3</v>
      </c>
      <c r="L1374" s="54">
        <v>1</v>
      </c>
      <c r="M1374" s="54">
        <f>_xlfn.XLOOKUP(Survey!$F1374,sections[Start],sections[Test Section],,-1,1)</f>
        <v>5</v>
      </c>
      <c r="N1374" s="55">
        <f>_xlfn.XLOOKUP(Survey!$K1374,pipedata[ID],pipedata[WT])</f>
        <v>0.88800000000000001</v>
      </c>
      <c r="O1374" s="56">
        <f>_xlfn.XLOOKUP(Survey!$K1374,pipedata[ID],pipedata[104%])</f>
        <v>3078.4</v>
      </c>
      <c r="P1374" s="57">
        <f t="shared" si="21"/>
        <v>1850</v>
      </c>
      <c r="Q1374" s="58">
        <f>_xlfn.MAXIFS(Survey!$G$2:$G$3647,Survey!$M$2:$M$3647,Survey!$M1374)-Survey!$G1374</f>
        <v>2047.8916829457874</v>
      </c>
      <c r="R1374" s="59">
        <f>Survey!$P1374+(Survey!$Q1374*0.433)</f>
        <v>2736.7370987155259</v>
      </c>
    </row>
    <row r="1375" spans="1:18" x14ac:dyDescent="0.25">
      <c r="A1375" s="60" t="s">
        <v>17</v>
      </c>
      <c r="B1375" s="61" t="s">
        <v>18</v>
      </c>
      <c r="C1375" s="62" t="s">
        <v>19</v>
      </c>
      <c r="D1375" s="63">
        <v>237.24897874696697</v>
      </c>
      <c r="E1375" s="79">
        <v>1281809</v>
      </c>
      <c r="F1375" s="80">
        <v>1253655.2851239897</v>
      </c>
      <c r="G1375" s="66">
        <v>1694.1855166573453</v>
      </c>
      <c r="H1375" s="67">
        <v>3</v>
      </c>
      <c r="I1375" s="68" t="s">
        <v>20</v>
      </c>
      <c r="J1375" s="69">
        <v>40</v>
      </c>
      <c r="K1375" s="70">
        <v>3</v>
      </c>
      <c r="L1375" s="68">
        <v>1</v>
      </c>
      <c r="M1375" s="68">
        <f>_xlfn.XLOOKUP(Survey!$F1375,sections[Start],sections[Test Section],,-1,1)</f>
        <v>5</v>
      </c>
      <c r="N1375" s="55">
        <f>_xlfn.XLOOKUP(Survey!$K1375,pipedata[ID],pipedata[WT])</f>
        <v>0.88800000000000001</v>
      </c>
      <c r="O1375" s="56">
        <f>_xlfn.XLOOKUP(Survey!$K1375,pipedata[ID],pipedata[104%])</f>
        <v>3078.4</v>
      </c>
      <c r="P1375" s="57">
        <f t="shared" si="21"/>
        <v>1850</v>
      </c>
      <c r="Q1375" s="58">
        <f>_xlfn.MAXIFS(Survey!$G$2:$G$3647,Survey!$M$2:$M$3647,Survey!$M1375)-Survey!$G1375</f>
        <v>2041.191322667926</v>
      </c>
      <c r="R1375" s="59">
        <f>Survey!$P1375+(Survey!$Q1375*0.433)</f>
        <v>2733.835842715212</v>
      </c>
    </row>
    <row r="1376" spans="1:18" x14ac:dyDescent="0.25">
      <c r="A1376" s="71" t="s">
        <v>17</v>
      </c>
      <c r="B1376" s="72" t="s">
        <v>18</v>
      </c>
      <c r="C1376" s="73" t="s">
        <v>19</v>
      </c>
      <c r="D1376" s="74">
        <v>237.25526637912435</v>
      </c>
      <c r="E1376" s="81">
        <v>1281849</v>
      </c>
      <c r="F1376" s="82">
        <v>1253693.7438016757</v>
      </c>
      <c r="G1376" s="75">
        <v>1699.62359726106</v>
      </c>
      <c r="H1376" s="76">
        <v>3</v>
      </c>
      <c r="I1376" s="54" t="s">
        <v>20</v>
      </c>
      <c r="J1376" s="77">
        <v>40</v>
      </c>
      <c r="K1376" s="78">
        <v>3</v>
      </c>
      <c r="L1376" s="54">
        <v>1</v>
      </c>
      <c r="M1376" s="54">
        <f>_xlfn.XLOOKUP(Survey!$F1376,sections[Start],sections[Test Section],,-1,1)</f>
        <v>5</v>
      </c>
      <c r="N1376" s="55">
        <f>_xlfn.XLOOKUP(Survey!$K1376,pipedata[ID],pipedata[WT])</f>
        <v>0.88800000000000001</v>
      </c>
      <c r="O1376" s="56">
        <f>_xlfn.XLOOKUP(Survey!$K1376,pipedata[ID],pipedata[104%])</f>
        <v>3078.4</v>
      </c>
      <c r="P1376" s="57">
        <f t="shared" si="21"/>
        <v>1850</v>
      </c>
      <c r="Q1376" s="58">
        <f>_xlfn.MAXIFS(Survey!$G$2:$G$3647,Survey!$M$2:$M$3647,Survey!$M1376)-Survey!$G1376</f>
        <v>2035.7532420642112</v>
      </c>
      <c r="R1376" s="59">
        <f>Survey!$P1376+(Survey!$Q1376*0.433)</f>
        <v>2731.4811538138033</v>
      </c>
    </row>
    <row r="1377" spans="1:18" x14ac:dyDescent="0.25">
      <c r="A1377" s="60" t="s">
        <v>17</v>
      </c>
      <c r="B1377" s="61" t="s">
        <v>18</v>
      </c>
      <c r="C1377" s="62" t="s">
        <v>19</v>
      </c>
      <c r="D1377" s="63">
        <v>237.26364988866757</v>
      </c>
      <c r="E1377" s="79">
        <v>1281889</v>
      </c>
      <c r="F1377" s="80">
        <v>1253732.2024793618</v>
      </c>
      <c r="G1377" s="66">
        <v>1702.9806868850926</v>
      </c>
      <c r="H1377" s="67">
        <v>3</v>
      </c>
      <c r="I1377" s="68" t="s">
        <v>20</v>
      </c>
      <c r="J1377" s="69">
        <v>40</v>
      </c>
      <c r="K1377" s="70">
        <v>3</v>
      </c>
      <c r="L1377" s="68">
        <v>1</v>
      </c>
      <c r="M1377" s="68">
        <f>_xlfn.XLOOKUP(Survey!$F1377,sections[Start],sections[Test Section],,-1,1)</f>
        <v>5</v>
      </c>
      <c r="N1377" s="55">
        <f>_xlfn.XLOOKUP(Survey!$K1377,pipedata[ID],pipedata[WT])</f>
        <v>0.88800000000000001</v>
      </c>
      <c r="O1377" s="56">
        <f>_xlfn.XLOOKUP(Survey!$K1377,pipedata[ID],pipedata[104%])</f>
        <v>3078.4</v>
      </c>
      <c r="P1377" s="57">
        <f t="shared" si="21"/>
        <v>1850</v>
      </c>
      <c r="Q1377" s="58">
        <f>_xlfn.MAXIFS(Survey!$G$2:$G$3647,Survey!$M$2:$M$3647,Survey!$M1377)-Survey!$G1377</f>
        <v>2032.3961524401786</v>
      </c>
      <c r="R1377" s="59">
        <f>Survey!$P1377+(Survey!$Q1377*0.433)</f>
        <v>2730.0275340065973</v>
      </c>
    </row>
    <row r="1378" spans="1:18" x14ac:dyDescent="0.25">
      <c r="A1378" s="71" t="s">
        <v>17</v>
      </c>
      <c r="B1378" s="72" t="s">
        <v>18</v>
      </c>
      <c r="C1378" s="73" t="s">
        <v>19</v>
      </c>
      <c r="D1378" s="74">
        <v>237.27026873635856</v>
      </c>
      <c r="E1378" s="81">
        <v>1281929</v>
      </c>
      <c r="F1378" s="82">
        <v>1253770.6611570478</v>
      </c>
      <c r="G1378" s="75">
        <v>1700.927040114507</v>
      </c>
      <c r="H1378" s="76">
        <v>3</v>
      </c>
      <c r="I1378" s="54" t="s">
        <v>20</v>
      </c>
      <c r="J1378" s="77">
        <v>40</v>
      </c>
      <c r="K1378" s="78">
        <v>3</v>
      </c>
      <c r="L1378" s="54">
        <v>1</v>
      </c>
      <c r="M1378" s="54">
        <f>_xlfn.XLOOKUP(Survey!$F1378,sections[Start],sections[Test Section],,-1,1)</f>
        <v>5</v>
      </c>
      <c r="N1378" s="55">
        <f>_xlfn.XLOOKUP(Survey!$K1378,pipedata[ID],pipedata[WT])</f>
        <v>0.88800000000000001</v>
      </c>
      <c r="O1378" s="56">
        <f>_xlfn.XLOOKUP(Survey!$K1378,pipedata[ID],pipedata[104%])</f>
        <v>3078.4</v>
      </c>
      <c r="P1378" s="57">
        <f t="shared" si="21"/>
        <v>1850</v>
      </c>
      <c r="Q1378" s="58">
        <f>_xlfn.MAXIFS(Survey!$G$2:$G$3647,Survey!$M$2:$M$3647,Survey!$M1378)-Survey!$G1378</f>
        <v>2034.4497992107642</v>
      </c>
      <c r="R1378" s="59">
        <f>Survey!$P1378+(Survey!$Q1378*0.433)</f>
        <v>2730.916763058261</v>
      </c>
    </row>
    <row r="1379" spans="1:18" x14ac:dyDescent="0.25">
      <c r="A1379" s="60" t="s">
        <v>17</v>
      </c>
      <c r="B1379" s="61" t="s">
        <v>18</v>
      </c>
      <c r="C1379" s="62" t="s">
        <v>19</v>
      </c>
      <c r="D1379" s="63">
        <v>237.27832103036829</v>
      </c>
      <c r="E1379" s="79">
        <v>1281969</v>
      </c>
      <c r="F1379" s="80">
        <v>1253809.1198347339</v>
      </c>
      <c r="G1379" s="66">
        <v>1691.3691847852765</v>
      </c>
      <c r="H1379" s="67">
        <v>3</v>
      </c>
      <c r="I1379" s="68" t="s">
        <v>20</v>
      </c>
      <c r="J1379" s="69">
        <v>40</v>
      </c>
      <c r="K1379" s="70">
        <v>3</v>
      </c>
      <c r="L1379" s="68">
        <v>1</v>
      </c>
      <c r="M1379" s="68">
        <f>_xlfn.XLOOKUP(Survey!$F1379,sections[Start],sections[Test Section],,-1,1)</f>
        <v>5</v>
      </c>
      <c r="N1379" s="55">
        <f>_xlfn.XLOOKUP(Survey!$K1379,pipedata[ID],pipedata[WT])</f>
        <v>0.88800000000000001</v>
      </c>
      <c r="O1379" s="56">
        <f>_xlfn.XLOOKUP(Survey!$K1379,pipedata[ID],pipedata[104%])</f>
        <v>3078.4</v>
      </c>
      <c r="P1379" s="57">
        <f t="shared" si="21"/>
        <v>1850</v>
      </c>
      <c r="Q1379" s="58">
        <f>_xlfn.MAXIFS(Survey!$G$2:$G$3647,Survey!$M$2:$M$3647,Survey!$M1379)-Survey!$G1379</f>
        <v>2044.0076545399947</v>
      </c>
      <c r="R1379" s="59">
        <f>Survey!$P1379+(Survey!$Q1379*0.433)</f>
        <v>2735.0553144158175</v>
      </c>
    </row>
    <row r="1380" spans="1:18" x14ac:dyDescent="0.25">
      <c r="A1380" s="71" t="s">
        <v>17</v>
      </c>
      <c r="B1380" s="72" t="s">
        <v>18</v>
      </c>
      <c r="C1380" s="73" t="s">
        <v>19</v>
      </c>
      <c r="D1380" s="74">
        <v>237.28557540869417</v>
      </c>
      <c r="E1380" s="81">
        <v>1282009</v>
      </c>
      <c r="F1380" s="82">
        <v>1253847.5785124199</v>
      </c>
      <c r="G1380" s="75">
        <v>1681.267000618471</v>
      </c>
      <c r="H1380" s="76">
        <v>3</v>
      </c>
      <c r="I1380" s="54" t="s">
        <v>20</v>
      </c>
      <c r="J1380" s="77">
        <v>40</v>
      </c>
      <c r="K1380" s="78">
        <v>3</v>
      </c>
      <c r="L1380" s="54">
        <v>1</v>
      </c>
      <c r="M1380" s="54">
        <f>_xlfn.XLOOKUP(Survey!$F1380,sections[Start],sections[Test Section],,-1,1)</f>
        <v>5</v>
      </c>
      <c r="N1380" s="55">
        <f>_xlfn.XLOOKUP(Survey!$K1380,pipedata[ID],pipedata[WT])</f>
        <v>0.88800000000000001</v>
      </c>
      <c r="O1380" s="56">
        <f>_xlfn.XLOOKUP(Survey!$K1380,pipedata[ID],pipedata[104%])</f>
        <v>3078.4</v>
      </c>
      <c r="P1380" s="57">
        <f t="shared" si="21"/>
        <v>1850</v>
      </c>
      <c r="Q1380" s="58">
        <f>_xlfn.MAXIFS(Survey!$G$2:$G$3647,Survey!$M$2:$M$3647,Survey!$M1380)-Survey!$G1380</f>
        <v>2054.1098387068005</v>
      </c>
      <c r="R1380" s="59">
        <f>Survey!$P1380+(Survey!$Q1380*0.433)</f>
        <v>2739.4295601600447</v>
      </c>
    </row>
    <row r="1381" spans="1:18" x14ac:dyDescent="0.25">
      <c r="A1381" s="60" t="s">
        <v>17</v>
      </c>
      <c r="B1381" s="61" t="s">
        <v>18</v>
      </c>
      <c r="C1381" s="62" t="s">
        <v>19</v>
      </c>
      <c r="D1381" s="63">
        <v>237.29299217206898</v>
      </c>
      <c r="E1381" s="79">
        <v>1282049</v>
      </c>
      <c r="F1381" s="80">
        <v>1253886.037190106</v>
      </c>
      <c r="G1381" s="66">
        <v>1667.7364798858723</v>
      </c>
      <c r="H1381" s="67">
        <v>3</v>
      </c>
      <c r="I1381" s="68" t="s">
        <v>20</v>
      </c>
      <c r="J1381" s="69">
        <v>40</v>
      </c>
      <c r="K1381" s="70">
        <v>3</v>
      </c>
      <c r="L1381" s="68">
        <v>1</v>
      </c>
      <c r="M1381" s="68">
        <f>_xlfn.XLOOKUP(Survey!$F1381,sections[Start],sections[Test Section],,-1,1)</f>
        <v>5</v>
      </c>
      <c r="N1381" s="55">
        <f>_xlfn.XLOOKUP(Survey!$K1381,pipedata[ID],pipedata[WT])</f>
        <v>0.88800000000000001</v>
      </c>
      <c r="O1381" s="56">
        <f>_xlfn.XLOOKUP(Survey!$K1381,pipedata[ID],pipedata[104%])</f>
        <v>3078.4</v>
      </c>
      <c r="P1381" s="57">
        <f t="shared" si="21"/>
        <v>1850</v>
      </c>
      <c r="Q1381" s="58">
        <f>_xlfn.MAXIFS(Survey!$G$2:$G$3647,Survey!$M$2:$M$3647,Survey!$M1381)-Survey!$G1381</f>
        <v>2067.6403594393987</v>
      </c>
      <c r="R1381" s="59">
        <f>Survey!$P1381+(Survey!$Q1381*0.433)</f>
        <v>2745.2882756372596</v>
      </c>
    </row>
    <row r="1382" spans="1:18" x14ac:dyDescent="0.25">
      <c r="A1382" s="71" t="s">
        <v>17</v>
      </c>
      <c r="B1382" s="72" t="s">
        <v>18</v>
      </c>
      <c r="C1382" s="73" t="s">
        <v>19</v>
      </c>
      <c r="D1382" s="74">
        <v>237.29927980422644</v>
      </c>
      <c r="E1382" s="81">
        <v>1282089</v>
      </c>
      <c r="F1382" s="82">
        <v>1253924.4958677921</v>
      </c>
      <c r="G1382" s="75">
        <v>1657.8951819931142</v>
      </c>
      <c r="H1382" s="76">
        <v>3</v>
      </c>
      <c r="I1382" s="54" t="s">
        <v>20</v>
      </c>
      <c r="J1382" s="77">
        <v>40</v>
      </c>
      <c r="K1382" s="78">
        <v>3</v>
      </c>
      <c r="L1382" s="54">
        <v>1</v>
      </c>
      <c r="M1382" s="54">
        <f>_xlfn.XLOOKUP(Survey!$F1382,sections[Start],sections[Test Section],,-1,1)</f>
        <v>5</v>
      </c>
      <c r="N1382" s="55">
        <f>_xlfn.XLOOKUP(Survey!$K1382,pipedata[ID],pipedata[WT])</f>
        <v>0.88800000000000001</v>
      </c>
      <c r="O1382" s="56">
        <f>_xlfn.XLOOKUP(Survey!$K1382,pipedata[ID],pipedata[104%])</f>
        <v>3078.4</v>
      </c>
      <c r="P1382" s="57">
        <f t="shared" si="21"/>
        <v>1850</v>
      </c>
      <c r="Q1382" s="58">
        <f>_xlfn.MAXIFS(Survey!$G$2:$G$3647,Survey!$M$2:$M$3647,Survey!$M1382)-Survey!$G1382</f>
        <v>2077.4816573321568</v>
      </c>
      <c r="R1382" s="59">
        <f>Survey!$P1382+(Survey!$Q1382*0.433)</f>
        <v>2749.549557624824</v>
      </c>
    </row>
    <row r="1383" spans="1:18" x14ac:dyDescent="0.25">
      <c r="A1383" s="60" t="s">
        <v>17</v>
      </c>
      <c r="B1383" s="61" t="s">
        <v>18</v>
      </c>
      <c r="C1383" s="62" t="s">
        <v>19</v>
      </c>
      <c r="D1383" s="63">
        <v>237.30766331376961</v>
      </c>
      <c r="E1383" s="79">
        <v>1282129</v>
      </c>
      <c r="F1383" s="80">
        <v>1253962.9545454781</v>
      </c>
      <c r="G1383" s="66">
        <v>1648.4408388803924</v>
      </c>
      <c r="H1383" s="67">
        <v>3</v>
      </c>
      <c r="I1383" s="68" t="s">
        <v>20</v>
      </c>
      <c r="J1383" s="69">
        <v>40</v>
      </c>
      <c r="K1383" s="70">
        <v>3</v>
      </c>
      <c r="L1383" s="68">
        <v>1</v>
      </c>
      <c r="M1383" s="68">
        <f>_xlfn.XLOOKUP(Survey!$F1383,sections[Start],sections[Test Section],,-1,1)</f>
        <v>5</v>
      </c>
      <c r="N1383" s="55">
        <f>_xlfn.XLOOKUP(Survey!$K1383,pipedata[ID],pipedata[WT])</f>
        <v>0.88800000000000001</v>
      </c>
      <c r="O1383" s="56">
        <f>_xlfn.XLOOKUP(Survey!$K1383,pipedata[ID],pipedata[104%])</f>
        <v>3078.4</v>
      </c>
      <c r="P1383" s="57">
        <f t="shared" si="21"/>
        <v>1850</v>
      </c>
      <c r="Q1383" s="58">
        <f>_xlfn.MAXIFS(Survey!$G$2:$G$3647,Survey!$M$2:$M$3647,Survey!$M1383)-Survey!$G1383</f>
        <v>2086.936000444879</v>
      </c>
      <c r="R1383" s="59">
        <f>Survey!$P1383+(Survey!$Q1383*0.433)</f>
        <v>2753.6432881926326</v>
      </c>
    </row>
    <row r="1384" spans="1:18" x14ac:dyDescent="0.25">
      <c r="A1384" s="71" t="s">
        <v>17</v>
      </c>
      <c r="B1384" s="72" t="s">
        <v>18</v>
      </c>
      <c r="C1384" s="73" t="s">
        <v>19</v>
      </c>
      <c r="D1384" s="74">
        <v>237.31449155871383</v>
      </c>
      <c r="E1384" s="81">
        <v>1282169</v>
      </c>
      <c r="F1384" s="82">
        <v>1254001.4132231642</v>
      </c>
      <c r="G1384" s="75">
        <v>1639.4604066938473</v>
      </c>
      <c r="H1384" s="76">
        <v>3</v>
      </c>
      <c r="I1384" s="54" t="s">
        <v>20</v>
      </c>
      <c r="J1384" s="77">
        <v>40</v>
      </c>
      <c r="K1384" s="78">
        <v>3</v>
      </c>
      <c r="L1384" s="54">
        <v>1</v>
      </c>
      <c r="M1384" s="54">
        <f>_xlfn.XLOOKUP(Survey!$F1384,sections[Start],sections[Test Section],,-1,1)</f>
        <v>5</v>
      </c>
      <c r="N1384" s="55">
        <f>_xlfn.XLOOKUP(Survey!$K1384,pipedata[ID],pipedata[WT])</f>
        <v>0.88800000000000001</v>
      </c>
      <c r="O1384" s="56">
        <f>_xlfn.XLOOKUP(Survey!$K1384,pipedata[ID],pipedata[104%])</f>
        <v>3078.4</v>
      </c>
      <c r="P1384" s="57">
        <f t="shared" si="21"/>
        <v>1850</v>
      </c>
      <c r="Q1384" s="58">
        <f>_xlfn.MAXIFS(Survey!$G$2:$G$3647,Survey!$M$2:$M$3647,Survey!$M1384)-Survey!$G1384</f>
        <v>2095.916432631424</v>
      </c>
      <c r="R1384" s="59">
        <f>Survey!$P1384+(Survey!$Q1384*0.433)</f>
        <v>2757.5318153294065</v>
      </c>
    </row>
    <row r="1385" spans="1:18" x14ac:dyDescent="0.25">
      <c r="A1385" s="60" t="s">
        <v>17</v>
      </c>
      <c r="B1385" s="61" t="s">
        <v>18</v>
      </c>
      <c r="C1385" s="62" t="s">
        <v>19</v>
      </c>
      <c r="D1385" s="63">
        <v>237.3223344554703</v>
      </c>
      <c r="E1385" s="79">
        <v>1282209</v>
      </c>
      <c r="F1385" s="80">
        <v>1254039.8719008502</v>
      </c>
      <c r="G1385" s="66">
        <v>1629.3756263937948</v>
      </c>
      <c r="H1385" s="67">
        <v>3</v>
      </c>
      <c r="I1385" s="68" t="s">
        <v>20</v>
      </c>
      <c r="J1385" s="69">
        <v>40</v>
      </c>
      <c r="K1385" s="70">
        <v>3</v>
      </c>
      <c r="L1385" s="68">
        <v>1</v>
      </c>
      <c r="M1385" s="68">
        <f>_xlfn.XLOOKUP(Survey!$F1385,sections[Start],sections[Test Section],,-1,1)</f>
        <v>5</v>
      </c>
      <c r="N1385" s="55">
        <f>_xlfn.XLOOKUP(Survey!$K1385,pipedata[ID],pipedata[WT])</f>
        <v>0.88800000000000001</v>
      </c>
      <c r="O1385" s="56">
        <f>_xlfn.XLOOKUP(Survey!$K1385,pipedata[ID],pipedata[104%])</f>
        <v>3078.4</v>
      </c>
      <c r="P1385" s="57">
        <f t="shared" si="21"/>
        <v>1850</v>
      </c>
      <c r="Q1385" s="58">
        <f>_xlfn.MAXIFS(Survey!$G$2:$G$3647,Survey!$M$2:$M$3647,Survey!$M1385)-Survey!$G1385</f>
        <v>2106.0012129314764</v>
      </c>
      <c r="R1385" s="59">
        <f>Survey!$P1385+(Survey!$Q1385*0.433)</f>
        <v>2761.898525199329</v>
      </c>
    </row>
    <row r="1386" spans="1:18" x14ac:dyDescent="0.25">
      <c r="A1386" s="71" t="s">
        <v>17</v>
      </c>
      <c r="B1386" s="72" t="s">
        <v>18</v>
      </c>
      <c r="C1386" s="73" t="s">
        <v>19</v>
      </c>
      <c r="D1386" s="74">
        <v>237.32940018607633</v>
      </c>
      <c r="E1386" s="81">
        <v>1282249</v>
      </c>
      <c r="F1386" s="82">
        <v>1254078.3305785363</v>
      </c>
      <c r="G1386" s="75">
        <v>1617.2262065087259</v>
      </c>
      <c r="H1386" s="76">
        <v>3</v>
      </c>
      <c r="I1386" s="54" t="s">
        <v>20</v>
      </c>
      <c r="J1386" s="77">
        <v>40</v>
      </c>
      <c r="K1386" s="78">
        <v>3</v>
      </c>
      <c r="L1386" s="54">
        <v>1</v>
      </c>
      <c r="M1386" s="54">
        <f>_xlfn.XLOOKUP(Survey!$F1386,sections[Start],sections[Test Section],,-1,1)</f>
        <v>5</v>
      </c>
      <c r="N1386" s="55">
        <f>_xlfn.XLOOKUP(Survey!$K1386,pipedata[ID],pipedata[WT])</f>
        <v>0.88800000000000001</v>
      </c>
      <c r="O1386" s="56">
        <f>_xlfn.XLOOKUP(Survey!$K1386,pipedata[ID],pipedata[104%])</f>
        <v>3078.4</v>
      </c>
      <c r="P1386" s="57">
        <f t="shared" si="21"/>
        <v>1850</v>
      </c>
      <c r="Q1386" s="58">
        <f>_xlfn.MAXIFS(Survey!$G$2:$G$3647,Survey!$M$2:$M$3647,Survey!$M1386)-Survey!$G1386</f>
        <v>2118.1506328165451</v>
      </c>
      <c r="R1386" s="59">
        <f>Survey!$P1386+(Survey!$Q1386*0.433)</f>
        <v>2767.1592240095642</v>
      </c>
    </row>
    <row r="1387" spans="1:18" x14ac:dyDescent="0.25">
      <c r="A1387" s="60" t="s">
        <v>17</v>
      </c>
      <c r="B1387" s="61" t="s">
        <v>18</v>
      </c>
      <c r="C1387" s="62" t="s">
        <v>19</v>
      </c>
      <c r="D1387" s="63">
        <v>237.33660296989245</v>
      </c>
      <c r="E1387" s="79">
        <v>1282289</v>
      </c>
      <c r="F1387" s="80">
        <v>1254116.7892562223</v>
      </c>
      <c r="G1387" s="66">
        <v>1603.107888728779</v>
      </c>
      <c r="H1387" s="67">
        <v>3</v>
      </c>
      <c r="I1387" s="68" t="s">
        <v>20</v>
      </c>
      <c r="J1387" s="69">
        <v>40</v>
      </c>
      <c r="K1387" s="70">
        <v>3</v>
      </c>
      <c r="L1387" s="68">
        <v>1</v>
      </c>
      <c r="M1387" s="68">
        <f>_xlfn.XLOOKUP(Survey!$F1387,sections[Start],sections[Test Section],,-1,1)</f>
        <v>5</v>
      </c>
      <c r="N1387" s="55">
        <f>_xlfn.XLOOKUP(Survey!$K1387,pipedata[ID],pipedata[WT])</f>
        <v>0.88800000000000001</v>
      </c>
      <c r="O1387" s="56">
        <f>_xlfn.XLOOKUP(Survey!$K1387,pipedata[ID],pipedata[104%])</f>
        <v>3078.4</v>
      </c>
      <c r="P1387" s="57">
        <f t="shared" si="21"/>
        <v>1850</v>
      </c>
      <c r="Q1387" s="58">
        <f>_xlfn.MAXIFS(Survey!$G$2:$G$3647,Survey!$M$2:$M$3647,Survey!$M1387)-Survey!$G1387</f>
        <v>2132.2689505964922</v>
      </c>
      <c r="R1387" s="59">
        <f>Survey!$P1387+(Survey!$Q1387*0.433)</f>
        <v>2773.2724556082812</v>
      </c>
    </row>
    <row r="1388" spans="1:18" x14ac:dyDescent="0.25">
      <c r="A1388" s="71" t="s">
        <v>17</v>
      </c>
      <c r="B1388" s="72" t="s">
        <v>18</v>
      </c>
      <c r="C1388" s="73" t="s">
        <v>19</v>
      </c>
      <c r="D1388" s="74">
        <v>237.34329322932825</v>
      </c>
      <c r="E1388" s="81">
        <v>1282329</v>
      </c>
      <c r="F1388" s="82">
        <v>1254155.2479339084</v>
      </c>
      <c r="G1388" s="75">
        <v>1588.14505948996</v>
      </c>
      <c r="H1388" s="76">
        <v>3</v>
      </c>
      <c r="I1388" s="54" t="s">
        <v>20</v>
      </c>
      <c r="J1388" s="77">
        <v>40</v>
      </c>
      <c r="K1388" s="78">
        <v>3</v>
      </c>
      <c r="L1388" s="54">
        <v>1</v>
      </c>
      <c r="M1388" s="54">
        <f>_xlfn.XLOOKUP(Survey!$F1388,sections[Start],sections[Test Section],,-1,1)</f>
        <v>5</v>
      </c>
      <c r="N1388" s="55">
        <f>_xlfn.XLOOKUP(Survey!$K1388,pipedata[ID],pipedata[WT])</f>
        <v>0.88800000000000001</v>
      </c>
      <c r="O1388" s="56">
        <f>_xlfn.XLOOKUP(Survey!$K1388,pipedata[ID],pipedata[104%])</f>
        <v>3078.4</v>
      </c>
      <c r="P1388" s="57">
        <f t="shared" si="21"/>
        <v>1850</v>
      </c>
      <c r="Q1388" s="58">
        <f>_xlfn.MAXIFS(Survey!$G$2:$G$3647,Survey!$M$2:$M$3647,Survey!$M1388)-Survey!$G1388</f>
        <v>2147.2317798353115</v>
      </c>
      <c r="R1388" s="59">
        <f>Survey!$P1388+(Survey!$Q1388*0.433)</f>
        <v>2779.7513606686898</v>
      </c>
    </row>
    <row r="1389" spans="1:18" x14ac:dyDescent="0.25">
      <c r="A1389" s="60" t="s">
        <v>17</v>
      </c>
      <c r="B1389" s="61" t="s">
        <v>18</v>
      </c>
      <c r="C1389" s="62" t="s">
        <v>19</v>
      </c>
      <c r="D1389" s="63">
        <v>237.34955780683433</v>
      </c>
      <c r="E1389" s="79">
        <v>1282369</v>
      </c>
      <c r="F1389" s="80">
        <v>1254193.7066115944</v>
      </c>
      <c r="G1389" s="66">
        <v>1569.2271681990733</v>
      </c>
      <c r="H1389" s="67">
        <v>3</v>
      </c>
      <c r="I1389" s="68" t="s">
        <v>20</v>
      </c>
      <c r="J1389" s="69">
        <v>40</v>
      </c>
      <c r="K1389" s="70">
        <v>3</v>
      </c>
      <c r="L1389" s="68">
        <v>1</v>
      </c>
      <c r="M1389" s="68">
        <f>_xlfn.XLOOKUP(Survey!$F1389,sections[Start],sections[Test Section],,-1,1)</f>
        <v>5</v>
      </c>
      <c r="N1389" s="55">
        <f>_xlfn.XLOOKUP(Survey!$K1389,pipedata[ID],pipedata[WT])</f>
        <v>0.88800000000000001</v>
      </c>
      <c r="O1389" s="56">
        <f>_xlfn.XLOOKUP(Survey!$K1389,pipedata[ID],pipedata[104%])</f>
        <v>3078.4</v>
      </c>
      <c r="P1389" s="57">
        <f t="shared" si="21"/>
        <v>1850</v>
      </c>
      <c r="Q1389" s="58">
        <f>_xlfn.MAXIFS(Survey!$G$2:$G$3647,Survey!$M$2:$M$3647,Survey!$M1389)-Survey!$G1389</f>
        <v>2166.149671126198</v>
      </c>
      <c r="R1389" s="59">
        <f>Survey!$P1389+(Survey!$Q1389*0.433)</f>
        <v>2787.9428075976439</v>
      </c>
    </row>
    <row r="1390" spans="1:18" x14ac:dyDescent="0.25">
      <c r="A1390" s="71" t="s">
        <v>17</v>
      </c>
      <c r="B1390" s="72" t="s">
        <v>18</v>
      </c>
      <c r="C1390" s="73" t="s">
        <v>19</v>
      </c>
      <c r="D1390" s="74">
        <v>237.35685702253105</v>
      </c>
      <c r="E1390" s="81">
        <v>1282409</v>
      </c>
      <c r="F1390" s="82">
        <v>1254232.1652892805</v>
      </c>
      <c r="G1390" s="75">
        <v>1552.6905276606988</v>
      </c>
      <c r="H1390" s="76">
        <v>3</v>
      </c>
      <c r="I1390" s="54" t="s">
        <v>20</v>
      </c>
      <c r="J1390" s="77">
        <v>40</v>
      </c>
      <c r="K1390" s="78">
        <v>3</v>
      </c>
      <c r="L1390" s="54">
        <v>1</v>
      </c>
      <c r="M1390" s="54">
        <f>_xlfn.XLOOKUP(Survey!$F1390,sections[Start],sections[Test Section],,-1,1)</f>
        <v>5</v>
      </c>
      <c r="N1390" s="55">
        <f>_xlfn.XLOOKUP(Survey!$K1390,pipedata[ID],pipedata[WT])</f>
        <v>0.88800000000000001</v>
      </c>
      <c r="O1390" s="56">
        <f>_xlfn.XLOOKUP(Survey!$K1390,pipedata[ID],pipedata[104%])</f>
        <v>3078.4</v>
      </c>
      <c r="P1390" s="57">
        <f t="shared" si="21"/>
        <v>1850</v>
      </c>
      <c r="Q1390" s="58">
        <f>_xlfn.MAXIFS(Survey!$G$2:$G$3647,Survey!$M$2:$M$3647,Survey!$M1390)-Survey!$G1390</f>
        <v>2182.6863116645727</v>
      </c>
      <c r="R1390" s="59">
        <f>Survey!$P1390+(Survey!$Q1390*0.433)</f>
        <v>2795.1031729507599</v>
      </c>
    </row>
    <row r="1391" spans="1:18" x14ac:dyDescent="0.25">
      <c r="A1391" s="60" t="s">
        <v>17</v>
      </c>
      <c r="B1391" s="61" t="s">
        <v>18</v>
      </c>
      <c r="C1391" s="62" t="s">
        <v>19</v>
      </c>
      <c r="D1391" s="63">
        <v>237.36422894853484</v>
      </c>
      <c r="E1391" s="79">
        <v>1282449</v>
      </c>
      <c r="F1391" s="80">
        <v>1254270.6239669665</v>
      </c>
      <c r="G1391" s="66">
        <v>1536.2840022763144</v>
      </c>
      <c r="H1391" s="67">
        <v>3</v>
      </c>
      <c r="I1391" s="68" t="s">
        <v>20</v>
      </c>
      <c r="J1391" s="69">
        <v>40</v>
      </c>
      <c r="K1391" s="70">
        <v>3</v>
      </c>
      <c r="L1391" s="68">
        <v>1</v>
      </c>
      <c r="M1391" s="68">
        <f>_xlfn.XLOOKUP(Survey!$F1391,sections[Start],sections[Test Section],,-1,1)</f>
        <v>5</v>
      </c>
      <c r="N1391" s="55">
        <f>_xlfn.XLOOKUP(Survey!$K1391,pipedata[ID],pipedata[WT])</f>
        <v>0.88800000000000001</v>
      </c>
      <c r="O1391" s="56">
        <f>_xlfn.XLOOKUP(Survey!$K1391,pipedata[ID],pipedata[104%])</f>
        <v>3078.4</v>
      </c>
      <c r="P1391" s="57">
        <f t="shared" si="21"/>
        <v>1850</v>
      </c>
      <c r="Q1391" s="58">
        <f>_xlfn.MAXIFS(Survey!$G$2:$G$3647,Survey!$M$2:$M$3647,Survey!$M1391)-Survey!$G1391</f>
        <v>2199.0928370489569</v>
      </c>
      <c r="R1391" s="59">
        <f>Survey!$P1391+(Survey!$Q1391*0.433)</f>
        <v>2802.2071984421982</v>
      </c>
    </row>
    <row r="1392" spans="1:18" x14ac:dyDescent="0.25">
      <c r="A1392" s="71" t="s">
        <v>17</v>
      </c>
      <c r="B1392" s="72" t="s">
        <v>18</v>
      </c>
      <c r="C1392" s="73" t="s">
        <v>19</v>
      </c>
      <c r="D1392" s="74">
        <v>237.37042909951128</v>
      </c>
      <c r="E1392" s="81">
        <v>1282489</v>
      </c>
      <c r="F1392" s="82">
        <v>1254309.0826446526</v>
      </c>
      <c r="G1392" s="75">
        <v>1523.7431667883948</v>
      </c>
      <c r="H1392" s="76">
        <v>3</v>
      </c>
      <c r="I1392" s="54" t="s">
        <v>20</v>
      </c>
      <c r="J1392" s="77">
        <v>40</v>
      </c>
      <c r="K1392" s="78">
        <v>3</v>
      </c>
      <c r="L1392" s="54">
        <v>1</v>
      </c>
      <c r="M1392" s="54">
        <f>_xlfn.XLOOKUP(Survey!$F1392,sections[Start],sections[Test Section],,-1,1)</f>
        <v>5</v>
      </c>
      <c r="N1392" s="55">
        <f>_xlfn.XLOOKUP(Survey!$K1392,pipedata[ID],pipedata[WT])</f>
        <v>0.88800000000000001</v>
      </c>
      <c r="O1392" s="56">
        <f>_xlfn.XLOOKUP(Survey!$K1392,pipedata[ID],pipedata[104%])</f>
        <v>3078.4</v>
      </c>
      <c r="P1392" s="57">
        <f t="shared" si="21"/>
        <v>1850</v>
      </c>
      <c r="Q1392" s="58">
        <f>_xlfn.MAXIFS(Survey!$G$2:$G$3647,Survey!$M$2:$M$3647,Survey!$M1392)-Survey!$G1392</f>
        <v>2211.6336725368765</v>
      </c>
      <c r="R1392" s="59">
        <f>Survey!$P1392+(Survey!$Q1392*0.433)</f>
        <v>2807.6373802084672</v>
      </c>
    </row>
    <row r="1393" spans="1:18" x14ac:dyDescent="0.25">
      <c r="A1393" s="60" t="s">
        <v>17</v>
      </c>
      <c r="B1393" s="61" t="s">
        <v>18</v>
      </c>
      <c r="C1393" s="62" t="s">
        <v>19</v>
      </c>
      <c r="D1393" s="63">
        <v>237.37848241437644</v>
      </c>
      <c r="E1393" s="79">
        <v>1282529</v>
      </c>
      <c r="F1393" s="80">
        <v>1254347.5413223386</v>
      </c>
      <c r="G1393" s="66">
        <v>1507.6049633298107</v>
      </c>
      <c r="H1393" s="67">
        <v>3</v>
      </c>
      <c r="I1393" s="68" t="s">
        <v>20</v>
      </c>
      <c r="J1393" s="69">
        <v>23</v>
      </c>
      <c r="K1393" s="70">
        <v>3</v>
      </c>
      <c r="L1393" s="68">
        <v>1</v>
      </c>
      <c r="M1393" s="68">
        <f>_xlfn.XLOOKUP(Survey!$F1393,sections[Start],sections[Test Section],,-1,1)</f>
        <v>5</v>
      </c>
      <c r="N1393" s="55">
        <f>_xlfn.XLOOKUP(Survey!$K1393,pipedata[ID],pipedata[WT])</f>
        <v>0.88800000000000001</v>
      </c>
      <c r="O1393" s="56">
        <f>_xlfn.XLOOKUP(Survey!$K1393,pipedata[ID],pipedata[104%])</f>
        <v>3078.4</v>
      </c>
      <c r="P1393" s="57">
        <f t="shared" si="21"/>
        <v>1850</v>
      </c>
      <c r="Q1393" s="58">
        <f>_xlfn.MAXIFS(Survey!$G$2:$G$3647,Survey!$M$2:$M$3647,Survey!$M1393)-Survey!$G1393</f>
        <v>2227.7718759954605</v>
      </c>
      <c r="R1393" s="59">
        <f>Survey!$P1393+(Survey!$Q1393*0.433)</f>
        <v>2814.6252223060346</v>
      </c>
    </row>
    <row r="1394" spans="1:18" x14ac:dyDescent="0.25">
      <c r="A1394" s="71" t="s">
        <v>17</v>
      </c>
      <c r="B1394" s="72" t="s">
        <v>18</v>
      </c>
      <c r="C1394" s="73" t="s">
        <v>19</v>
      </c>
      <c r="D1394" s="74">
        <v>237.3856257564394</v>
      </c>
      <c r="E1394" s="81">
        <v>1282552</v>
      </c>
      <c r="F1394" s="82">
        <v>1254386</v>
      </c>
      <c r="G1394" s="75">
        <v>1491.999761630185</v>
      </c>
      <c r="H1394" s="76">
        <v>3</v>
      </c>
      <c r="I1394" s="54" t="s">
        <v>21</v>
      </c>
      <c r="J1394" s="77">
        <v>40</v>
      </c>
      <c r="K1394" s="78">
        <v>5</v>
      </c>
      <c r="L1394" s="54">
        <v>1</v>
      </c>
      <c r="M1394" s="54">
        <f>_xlfn.XLOOKUP(Survey!$F1394,sections[Start],sections[Test Section],,-1,1)</f>
        <v>5</v>
      </c>
      <c r="N1394" s="55">
        <f>_xlfn.XLOOKUP(Survey!$K1394,pipedata[ID],pipedata[WT])</f>
        <v>0.88800000000000001</v>
      </c>
      <c r="O1394" s="56">
        <f>_xlfn.XLOOKUP(Survey!$K1394,pipedata[ID],pipedata[104%])</f>
        <v>3078.4</v>
      </c>
      <c r="P1394" s="57">
        <f t="shared" si="21"/>
        <v>1850</v>
      </c>
      <c r="Q1394" s="58">
        <f>_xlfn.MAXIFS(Survey!$G$2:$G$3647,Survey!$M$2:$M$3647,Survey!$M1394)-Survey!$G1394</f>
        <v>2243.377077695086</v>
      </c>
      <c r="R1394" s="59">
        <f>Survey!$P1394+(Survey!$Q1394*0.433)</f>
        <v>2821.3822746419723</v>
      </c>
    </row>
    <row r="1395" spans="1:18" x14ac:dyDescent="0.25">
      <c r="A1395" s="60" t="s">
        <v>17</v>
      </c>
      <c r="B1395" s="61" t="s">
        <v>18</v>
      </c>
      <c r="C1395" s="62" t="s">
        <v>19</v>
      </c>
      <c r="D1395" s="63">
        <v>237.39322408490366</v>
      </c>
      <c r="E1395" s="79">
        <v>1282592</v>
      </c>
      <c r="F1395" s="80">
        <v>1254426</v>
      </c>
      <c r="G1395" s="66">
        <v>1482.7673331324959</v>
      </c>
      <c r="H1395" s="67">
        <v>3</v>
      </c>
      <c r="I1395" s="68" t="s">
        <v>20</v>
      </c>
      <c r="J1395" s="69">
        <v>57</v>
      </c>
      <c r="K1395" s="70">
        <v>3</v>
      </c>
      <c r="L1395" s="68">
        <v>1</v>
      </c>
      <c r="M1395" s="68">
        <f>_xlfn.XLOOKUP(Survey!$F1395,sections[Start],sections[Test Section],,-1,1)</f>
        <v>5</v>
      </c>
      <c r="N1395" s="55">
        <f>_xlfn.XLOOKUP(Survey!$K1395,pipedata[ID],pipedata[WT])</f>
        <v>0.88800000000000001</v>
      </c>
      <c r="O1395" s="56">
        <f>_xlfn.XLOOKUP(Survey!$K1395,pipedata[ID],pipedata[104%])</f>
        <v>3078.4</v>
      </c>
      <c r="P1395" s="57">
        <f t="shared" si="21"/>
        <v>1850</v>
      </c>
      <c r="Q1395" s="58">
        <f>_xlfn.MAXIFS(Survey!$G$2:$G$3647,Survey!$M$2:$M$3647,Survey!$M1395)-Survey!$G1395</f>
        <v>2252.6095061927754</v>
      </c>
      <c r="R1395" s="59">
        <f>Survey!$P1395+(Survey!$Q1395*0.433)</f>
        <v>2825.3799161814718</v>
      </c>
    </row>
    <row r="1396" spans="1:18" x14ac:dyDescent="0.25">
      <c r="A1396" s="71" t="s">
        <v>17</v>
      </c>
      <c r="B1396" s="72" t="s">
        <v>18</v>
      </c>
      <c r="C1396" s="73" t="s">
        <v>19</v>
      </c>
      <c r="D1396" s="74">
        <v>237.40082241336782</v>
      </c>
      <c r="E1396" s="81">
        <v>1282649</v>
      </c>
      <c r="F1396" s="82">
        <v>1254464.375</v>
      </c>
      <c r="G1396" s="75">
        <v>1481.4738510501675</v>
      </c>
      <c r="H1396" s="76">
        <v>3</v>
      </c>
      <c r="I1396" s="54" t="s">
        <v>20</v>
      </c>
      <c r="J1396" s="77">
        <v>40</v>
      </c>
      <c r="K1396" s="78">
        <v>3</v>
      </c>
      <c r="L1396" s="54">
        <v>1</v>
      </c>
      <c r="M1396" s="54">
        <f>_xlfn.XLOOKUP(Survey!$F1396,sections[Start],sections[Test Section],,-1,1)</f>
        <v>5</v>
      </c>
      <c r="N1396" s="55">
        <f>_xlfn.XLOOKUP(Survey!$K1396,pipedata[ID],pipedata[WT])</f>
        <v>0.88800000000000001</v>
      </c>
      <c r="O1396" s="56">
        <f>_xlfn.XLOOKUP(Survey!$K1396,pipedata[ID],pipedata[104%])</f>
        <v>3078.4</v>
      </c>
      <c r="P1396" s="57">
        <f t="shared" si="21"/>
        <v>1850</v>
      </c>
      <c r="Q1396" s="58">
        <f>_xlfn.MAXIFS(Survey!$G$2:$G$3647,Survey!$M$2:$M$3647,Survey!$M1396)-Survey!$G1396</f>
        <v>2253.9029882751038</v>
      </c>
      <c r="R1396" s="59">
        <f>Survey!$P1396+(Survey!$Q1396*0.433)</f>
        <v>2825.9399939231198</v>
      </c>
    </row>
    <row r="1397" spans="1:18" x14ac:dyDescent="0.25">
      <c r="A1397" s="60" t="s">
        <v>17</v>
      </c>
      <c r="B1397" s="61" t="s">
        <v>18</v>
      </c>
      <c r="C1397" s="62" t="s">
        <v>19</v>
      </c>
      <c r="D1397" s="63">
        <v>237.40730295619142</v>
      </c>
      <c r="E1397" s="79">
        <v>1282689</v>
      </c>
      <c r="F1397" s="80">
        <v>1254502.75</v>
      </c>
      <c r="G1397" s="66">
        <v>1489.1164416057079</v>
      </c>
      <c r="H1397" s="67">
        <v>3</v>
      </c>
      <c r="I1397" s="68" t="s">
        <v>20</v>
      </c>
      <c r="J1397" s="69">
        <v>40</v>
      </c>
      <c r="K1397" s="70">
        <v>3</v>
      </c>
      <c r="L1397" s="68">
        <v>1</v>
      </c>
      <c r="M1397" s="68">
        <f>_xlfn.XLOOKUP(Survey!$F1397,sections[Start],sections[Test Section],,-1,1)</f>
        <v>5</v>
      </c>
      <c r="N1397" s="55">
        <f>_xlfn.XLOOKUP(Survey!$K1397,pipedata[ID],pipedata[WT])</f>
        <v>0.88800000000000001</v>
      </c>
      <c r="O1397" s="56">
        <f>_xlfn.XLOOKUP(Survey!$K1397,pipedata[ID],pipedata[104%])</f>
        <v>3078.4</v>
      </c>
      <c r="P1397" s="57">
        <f t="shared" si="21"/>
        <v>1850</v>
      </c>
      <c r="Q1397" s="58">
        <f>_xlfn.MAXIFS(Survey!$G$2:$G$3647,Survey!$M$2:$M$3647,Survey!$M1397)-Survey!$G1397</f>
        <v>2246.2603977195631</v>
      </c>
      <c r="R1397" s="59">
        <f>Survey!$P1397+(Survey!$Q1397*0.433)</f>
        <v>2822.6307522125708</v>
      </c>
    </row>
    <row r="1398" spans="1:18" x14ac:dyDescent="0.25">
      <c r="A1398" s="71" t="s">
        <v>17</v>
      </c>
      <c r="B1398" s="72" t="s">
        <v>18</v>
      </c>
      <c r="C1398" s="73" t="s">
        <v>19</v>
      </c>
      <c r="D1398" s="74">
        <v>237.41411948818003</v>
      </c>
      <c r="E1398" s="64">
        <v>1282729</v>
      </c>
      <c r="F1398" s="65">
        <v>1254541.125</v>
      </c>
      <c r="G1398" s="75">
        <v>1503.7777855215654</v>
      </c>
      <c r="H1398" s="76">
        <v>3</v>
      </c>
      <c r="I1398" s="54" t="s">
        <v>20</v>
      </c>
      <c r="J1398" s="77">
        <v>40</v>
      </c>
      <c r="K1398" s="78">
        <v>3</v>
      </c>
      <c r="L1398" s="54">
        <v>1</v>
      </c>
      <c r="M1398" s="54">
        <f>_xlfn.XLOOKUP(Survey!$F1398,sections[Start],sections[Test Section],,-1,1)</f>
        <v>5</v>
      </c>
      <c r="N1398" s="55">
        <f>_xlfn.XLOOKUP(Survey!$K1398,pipedata[ID],pipedata[WT])</f>
        <v>0.88800000000000001</v>
      </c>
      <c r="O1398" s="56">
        <f>_xlfn.XLOOKUP(Survey!$K1398,pipedata[ID],pipedata[104%])</f>
        <v>3078.4</v>
      </c>
      <c r="P1398" s="57">
        <f t="shared" si="21"/>
        <v>1850</v>
      </c>
      <c r="Q1398" s="58">
        <f>_xlfn.MAXIFS(Survey!$G$2:$G$3647,Survey!$M$2:$M$3647,Survey!$M1398)-Survey!$G1398</f>
        <v>2231.5990538037058</v>
      </c>
      <c r="R1398" s="59">
        <f>Survey!$P1398+(Survey!$Q1398*0.433)</f>
        <v>2816.2823902970049</v>
      </c>
    </row>
    <row r="1399" spans="1:18" x14ac:dyDescent="0.25">
      <c r="A1399" s="60" t="s">
        <v>17</v>
      </c>
      <c r="B1399" s="61" t="s">
        <v>18</v>
      </c>
      <c r="C1399" s="62" t="s">
        <v>19</v>
      </c>
      <c r="D1399" s="63">
        <v>237.42177263853955</v>
      </c>
      <c r="E1399" s="64">
        <v>1282769</v>
      </c>
      <c r="F1399" s="65">
        <v>1254579.5</v>
      </c>
      <c r="G1399" s="66">
        <v>1516.5939661100058</v>
      </c>
      <c r="H1399" s="67">
        <v>3</v>
      </c>
      <c r="I1399" s="68" t="s">
        <v>20</v>
      </c>
      <c r="J1399" s="69">
        <v>40</v>
      </c>
      <c r="K1399" s="70">
        <v>3</v>
      </c>
      <c r="L1399" s="68">
        <v>1</v>
      </c>
      <c r="M1399" s="68">
        <f>_xlfn.XLOOKUP(Survey!$F1399,sections[Start],sections[Test Section],,-1,1)</f>
        <v>5</v>
      </c>
      <c r="N1399" s="55">
        <f>_xlfn.XLOOKUP(Survey!$K1399,pipedata[ID],pipedata[WT])</f>
        <v>0.88800000000000001</v>
      </c>
      <c r="O1399" s="56">
        <f>_xlfn.XLOOKUP(Survey!$K1399,pipedata[ID],pipedata[104%])</f>
        <v>3078.4</v>
      </c>
      <c r="P1399" s="57">
        <f t="shared" si="21"/>
        <v>1850</v>
      </c>
      <c r="Q1399" s="58">
        <f>_xlfn.MAXIFS(Survey!$G$2:$G$3647,Survey!$M$2:$M$3647,Survey!$M1399)-Survey!$G1399</f>
        <v>2218.7828732152657</v>
      </c>
      <c r="R1399" s="59">
        <f>Survey!$P1399+(Survey!$Q1399*0.433)</f>
        <v>2810.7329841022101</v>
      </c>
    </row>
    <row r="1400" spans="1:18" x14ac:dyDescent="0.25">
      <c r="A1400" s="71" t="s">
        <v>17</v>
      </c>
      <c r="B1400" s="72" t="s">
        <v>18</v>
      </c>
      <c r="C1400" s="73" t="s">
        <v>19</v>
      </c>
      <c r="D1400" s="74">
        <v>237.42931614510829</v>
      </c>
      <c r="E1400" s="81">
        <v>1282809</v>
      </c>
      <c r="F1400" s="82">
        <v>1254617.875</v>
      </c>
      <c r="G1400" s="75">
        <v>1531.7151678778912</v>
      </c>
      <c r="H1400" s="76">
        <v>3</v>
      </c>
      <c r="I1400" s="54" t="s">
        <v>20</v>
      </c>
      <c r="J1400" s="77">
        <v>40</v>
      </c>
      <c r="K1400" s="78">
        <v>3</v>
      </c>
      <c r="L1400" s="54">
        <v>1</v>
      </c>
      <c r="M1400" s="54">
        <f>_xlfn.XLOOKUP(Survey!$F1400,sections[Start],sections[Test Section],,-1,1)</f>
        <v>5</v>
      </c>
      <c r="N1400" s="55">
        <f>_xlfn.XLOOKUP(Survey!$K1400,pipedata[ID],pipedata[WT])</f>
        <v>0.88800000000000001</v>
      </c>
      <c r="O1400" s="56">
        <f>_xlfn.XLOOKUP(Survey!$K1400,pipedata[ID],pipedata[104%])</f>
        <v>3078.4</v>
      </c>
      <c r="P1400" s="57">
        <f t="shared" si="21"/>
        <v>1850</v>
      </c>
      <c r="Q1400" s="58">
        <f>_xlfn.MAXIFS(Survey!$G$2:$G$3647,Survey!$M$2:$M$3647,Survey!$M1400)-Survey!$G1400</f>
        <v>2203.6616714473803</v>
      </c>
      <c r="R1400" s="59">
        <f>Survey!$P1400+(Survey!$Q1400*0.433)</f>
        <v>2804.1855037367159</v>
      </c>
    </row>
    <row r="1401" spans="1:18" x14ac:dyDescent="0.25">
      <c r="A1401" s="60" t="s">
        <v>17</v>
      </c>
      <c r="B1401" s="61" t="s">
        <v>18</v>
      </c>
      <c r="C1401" s="62" t="s">
        <v>19</v>
      </c>
      <c r="D1401" s="63">
        <v>237.43612349800617</v>
      </c>
      <c r="E1401" s="64">
        <v>1282849</v>
      </c>
      <c r="F1401" s="65">
        <v>1254656.25</v>
      </c>
      <c r="G1401" s="66">
        <v>1545.8268207824976</v>
      </c>
      <c r="H1401" s="67">
        <v>3</v>
      </c>
      <c r="I1401" s="68" t="s">
        <v>20</v>
      </c>
      <c r="J1401" s="69">
        <v>40</v>
      </c>
      <c r="K1401" s="70">
        <v>3</v>
      </c>
      <c r="L1401" s="68">
        <v>1</v>
      </c>
      <c r="M1401" s="68">
        <f>_xlfn.XLOOKUP(Survey!$F1401,sections[Start],sections[Test Section],,-1,1)</f>
        <v>5</v>
      </c>
      <c r="N1401" s="55">
        <f>_xlfn.XLOOKUP(Survey!$K1401,pipedata[ID],pipedata[WT])</f>
        <v>0.88800000000000001</v>
      </c>
      <c r="O1401" s="56">
        <f>_xlfn.XLOOKUP(Survey!$K1401,pipedata[ID],pipedata[104%])</f>
        <v>3078.4</v>
      </c>
      <c r="P1401" s="57">
        <f t="shared" si="21"/>
        <v>1850</v>
      </c>
      <c r="Q1401" s="58">
        <f>_xlfn.MAXIFS(Survey!$G$2:$G$3647,Survey!$M$2:$M$3647,Survey!$M1401)-Survey!$G1401</f>
        <v>2189.5500185427736</v>
      </c>
      <c r="R1401" s="59">
        <f>Survey!$P1401+(Survey!$Q1401*0.433)</f>
        <v>2798.0751580290207</v>
      </c>
    </row>
    <row r="1402" spans="1:18" x14ac:dyDescent="0.25">
      <c r="A1402" s="71" t="s">
        <v>17</v>
      </c>
      <c r="B1402" s="72" t="s">
        <v>18</v>
      </c>
      <c r="C1402" s="73" t="s">
        <v>19</v>
      </c>
      <c r="D1402" s="74">
        <v>237.44261321992053</v>
      </c>
      <c r="E1402" s="64">
        <v>1282889</v>
      </c>
      <c r="F1402" s="65">
        <v>1254694.625</v>
      </c>
      <c r="G1402" s="75">
        <v>1562.9428579518478</v>
      </c>
      <c r="H1402" s="76">
        <v>3</v>
      </c>
      <c r="I1402" s="54" t="s">
        <v>20</v>
      </c>
      <c r="J1402" s="77">
        <v>40</v>
      </c>
      <c r="K1402" s="78">
        <v>3</v>
      </c>
      <c r="L1402" s="54">
        <v>1</v>
      </c>
      <c r="M1402" s="54">
        <f>_xlfn.XLOOKUP(Survey!$F1402,sections[Start],sections[Test Section],,-1,1)</f>
        <v>5</v>
      </c>
      <c r="N1402" s="55">
        <f>_xlfn.XLOOKUP(Survey!$K1402,pipedata[ID],pipedata[WT])</f>
        <v>0.88800000000000001</v>
      </c>
      <c r="O1402" s="56">
        <f>_xlfn.XLOOKUP(Survey!$K1402,pipedata[ID],pipedata[104%])</f>
        <v>3078.4</v>
      </c>
      <c r="P1402" s="57">
        <f t="shared" si="21"/>
        <v>1850</v>
      </c>
      <c r="Q1402" s="58">
        <f>_xlfn.MAXIFS(Survey!$G$2:$G$3647,Survey!$M$2:$M$3647,Survey!$M1402)-Survey!$G1402</f>
        <v>2172.4339813734232</v>
      </c>
      <c r="R1402" s="59">
        <f>Survey!$P1402+(Survey!$Q1402*0.433)</f>
        <v>2790.6639139346921</v>
      </c>
    </row>
    <row r="1403" spans="1:18" x14ac:dyDescent="0.25">
      <c r="A1403" s="60" t="s">
        <v>17</v>
      </c>
      <c r="B1403" s="61" t="s">
        <v>18</v>
      </c>
      <c r="C1403" s="62" t="s">
        <v>19</v>
      </c>
      <c r="D1403" s="63">
        <v>237.45053376891309</v>
      </c>
      <c r="E1403" s="79">
        <v>1282929</v>
      </c>
      <c r="F1403" s="80">
        <v>1254733</v>
      </c>
      <c r="G1403" s="66">
        <v>1571.7996213083816</v>
      </c>
      <c r="H1403" s="67">
        <v>3</v>
      </c>
      <c r="I1403" s="68" t="s">
        <v>20</v>
      </c>
      <c r="J1403" s="69">
        <v>40</v>
      </c>
      <c r="K1403" s="70">
        <v>3</v>
      </c>
      <c r="L1403" s="68">
        <v>1</v>
      </c>
      <c r="M1403" s="68">
        <f>_xlfn.XLOOKUP(Survey!$F1403,sections[Start],sections[Test Section],,-1,1)</f>
        <v>5</v>
      </c>
      <c r="N1403" s="55">
        <f>_xlfn.XLOOKUP(Survey!$K1403,pipedata[ID],pipedata[WT])</f>
        <v>0.88800000000000001</v>
      </c>
      <c r="O1403" s="56">
        <f>_xlfn.XLOOKUP(Survey!$K1403,pipedata[ID],pipedata[104%])</f>
        <v>3078.4</v>
      </c>
      <c r="P1403" s="57">
        <f t="shared" si="21"/>
        <v>1850</v>
      </c>
      <c r="Q1403" s="58">
        <f>_xlfn.MAXIFS(Survey!$G$2:$G$3647,Survey!$M$2:$M$3647,Survey!$M1403)-Survey!$G1403</f>
        <v>2163.5772180168897</v>
      </c>
      <c r="R1403" s="59">
        <f>Survey!$P1403+(Survey!$Q1403*0.433)</f>
        <v>2786.8289354013132</v>
      </c>
    </row>
    <row r="1404" spans="1:18" x14ac:dyDescent="0.25">
      <c r="A1404" s="71" t="s">
        <v>17</v>
      </c>
      <c r="B1404" s="72" t="s">
        <v>18</v>
      </c>
      <c r="C1404" s="73" t="s">
        <v>19</v>
      </c>
      <c r="D1404" s="74">
        <v>237.456709599302</v>
      </c>
      <c r="E1404" s="81">
        <v>1282969</v>
      </c>
      <c r="F1404" s="82">
        <v>1254771.375</v>
      </c>
      <c r="G1404" s="75">
        <v>1587.9976947362413</v>
      </c>
      <c r="H1404" s="76">
        <v>3</v>
      </c>
      <c r="I1404" s="54" t="s">
        <v>20</v>
      </c>
      <c r="J1404" s="77">
        <v>40</v>
      </c>
      <c r="K1404" s="78">
        <v>3</v>
      </c>
      <c r="L1404" s="54">
        <v>1</v>
      </c>
      <c r="M1404" s="54">
        <f>_xlfn.XLOOKUP(Survey!$F1404,sections[Start],sections[Test Section],,-1,1)</f>
        <v>5</v>
      </c>
      <c r="N1404" s="55">
        <f>_xlfn.XLOOKUP(Survey!$K1404,pipedata[ID],pipedata[WT])</f>
        <v>0.88800000000000001</v>
      </c>
      <c r="O1404" s="56">
        <f>_xlfn.XLOOKUP(Survey!$K1404,pipedata[ID],pipedata[104%])</f>
        <v>3078.4</v>
      </c>
      <c r="P1404" s="57">
        <f t="shared" si="21"/>
        <v>1850</v>
      </c>
      <c r="Q1404" s="58">
        <f>_xlfn.MAXIFS(Survey!$G$2:$G$3647,Survey!$M$2:$M$3647,Survey!$M1404)-Survey!$G1404</f>
        <v>2147.3791445890301</v>
      </c>
      <c r="R1404" s="59">
        <f>Survey!$P1404+(Survey!$Q1404*0.433)</f>
        <v>2779.8151696070499</v>
      </c>
    </row>
    <row r="1405" spans="1:18" x14ac:dyDescent="0.25">
      <c r="A1405" s="60" t="s">
        <v>17</v>
      </c>
      <c r="B1405" s="61" t="s">
        <v>18</v>
      </c>
      <c r="C1405" s="62" t="s">
        <v>19</v>
      </c>
      <c r="D1405" s="63">
        <v>237.46350862319687</v>
      </c>
      <c r="E1405" s="79">
        <v>1283009</v>
      </c>
      <c r="F1405" s="80">
        <v>1254809.75</v>
      </c>
      <c r="G1405" s="66">
        <v>1601.5071552488207</v>
      </c>
      <c r="H1405" s="67">
        <v>3</v>
      </c>
      <c r="I1405" s="68" t="s">
        <v>20</v>
      </c>
      <c r="J1405" s="69">
        <v>40</v>
      </c>
      <c r="K1405" s="70">
        <v>3</v>
      </c>
      <c r="L1405" s="68">
        <v>1</v>
      </c>
      <c r="M1405" s="68">
        <f>_xlfn.XLOOKUP(Survey!$F1405,sections[Start],sections[Test Section],,-1,1)</f>
        <v>5</v>
      </c>
      <c r="N1405" s="55">
        <f>_xlfn.XLOOKUP(Survey!$K1405,pipedata[ID],pipedata[WT])</f>
        <v>0.88800000000000001</v>
      </c>
      <c r="O1405" s="56">
        <f>_xlfn.XLOOKUP(Survey!$K1405,pipedata[ID],pipedata[104%])</f>
        <v>3078.4</v>
      </c>
      <c r="P1405" s="57">
        <f t="shared" si="21"/>
        <v>1850</v>
      </c>
      <c r="Q1405" s="58">
        <f>_xlfn.MAXIFS(Survey!$G$2:$G$3647,Survey!$M$2:$M$3647,Survey!$M1405)-Survey!$G1405</f>
        <v>2133.8696840764505</v>
      </c>
      <c r="R1405" s="59">
        <f>Survey!$P1405+(Survey!$Q1405*0.433)</f>
        <v>2773.9655732051033</v>
      </c>
    </row>
    <row r="1406" spans="1:18" x14ac:dyDescent="0.25">
      <c r="A1406" s="71" t="s">
        <v>17</v>
      </c>
      <c r="B1406" s="72" t="s">
        <v>18</v>
      </c>
      <c r="C1406" s="73" t="s">
        <v>19</v>
      </c>
      <c r="D1406" s="74">
        <v>237.47111987020995</v>
      </c>
      <c r="E1406" s="81">
        <v>1283049</v>
      </c>
      <c r="F1406" s="82">
        <v>1254848.125</v>
      </c>
      <c r="G1406" s="75">
        <v>1616.6560788420402</v>
      </c>
      <c r="H1406" s="76">
        <v>3</v>
      </c>
      <c r="I1406" s="54" t="s">
        <v>20</v>
      </c>
      <c r="J1406" s="77">
        <v>40</v>
      </c>
      <c r="K1406" s="78">
        <v>3</v>
      </c>
      <c r="L1406" s="54">
        <v>1</v>
      </c>
      <c r="M1406" s="54">
        <f>_xlfn.XLOOKUP(Survey!$F1406,sections[Start],sections[Test Section],,-1,1)</f>
        <v>5</v>
      </c>
      <c r="N1406" s="55">
        <f>_xlfn.XLOOKUP(Survey!$K1406,pipedata[ID],pipedata[WT])</f>
        <v>0.88800000000000001</v>
      </c>
      <c r="O1406" s="56">
        <f>_xlfn.XLOOKUP(Survey!$K1406,pipedata[ID],pipedata[104%])</f>
        <v>3078.4</v>
      </c>
      <c r="P1406" s="57">
        <f t="shared" si="21"/>
        <v>1850</v>
      </c>
      <c r="Q1406" s="58">
        <f>_xlfn.MAXIFS(Survey!$G$2:$G$3647,Survey!$M$2:$M$3647,Survey!$M1406)-Survey!$G1406</f>
        <v>2118.7207604832311</v>
      </c>
      <c r="R1406" s="59">
        <f>Survey!$P1406+(Survey!$Q1406*0.433)</f>
        <v>2767.4060892892389</v>
      </c>
    </row>
    <row r="1407" spans="1:18" x14ac:dyDescent="0.25">
      <c r="A1407" s="60" t="s">
        <v>17</v>
      </c>
      <c r="B1407" s="61" t="s">
        <v>18</v>
      </c>
      <c r="C1407" s="62" t="s">
        <v>19</v>
      </c>
      <c r="D1407" s="63">
        <v>237.47870528012518</v>
      </c>
      <c r="E1407" s="79">
        <v>1283089</v>
      </c>
      <c r="F1407" s="80">
        <v>1254886.5</v>
      </c>
      <c r="G1407" s="66">
        <v>1631.5295924670995</v>
      </c>
      <c r="H1407" s="67">
        <v>3</v>
      </c>
      <c r="I1407" s="68" t="s">
        <v>20</v>
      </c>
      <c r="J1407" s="69">
        <v>40</v>
      </c>
      <c r="K1407" s="70">
        <v>3</v>
      </c>
      <c r="L1407" s="68">
        <v>1</v>
      </c>
      <c r="M1407" s="68">
        <f>_xlfn.XLOOKUP(Survey!$F1407,sections[Start],sections[Test Section],,-1,1)</f>
        <v>5</v>
      </c>
      <c r="N1407" s="55">
        <f>_xlfn.XLOOKUP(Survey!$K1407,pipedata[ID],pipedata[WT])</f>
        <v>0.88800000000000001</v>
      </c>
      <c r="O1407" s="56">
        <f>_xlfn.XLOOKUP(Survey!$K1407,pipedata[ID],pipedata[104%])</f>
        <v>3078.4</v>
      </c>
      <c r="P1407" s="57">
        <f t="shared" si="21"/>
        <v>1850</v>
      </c>
      <c r="Q1407" s="58">
        <f>_xlfn.MAXIFS(Survey!$G$2:$G$3647,Survey!$M$2:$M$3647,Survey!$M1407)-Survey!$G1407</f>
        <v>2103.8472468581717</v>
      </c>
      <c r="R1407" s="59">
        <f>Survey!$P1407+(Survey!$Q1407*0.433)</f>
        <v>2760.9658578895883</v>
      </c>
    </row>
    <row r="1408" spans="1:18" x14ac:dyDescent="0.25">
      <c r="A1408" s="71" t="s">
        <v>17</v>
      </c>
      <c r="B1408" s="72" t="s">
        <v>18</v>
      </c>
      <c r="C1408" s="73" t="s">
        <v>19</v>
      </c>
      <c r="D1408" s="74">
        <v>237.48540222845489</v>
      </c>
      <c r="E1408" s="81">
        <v>1283129</v>
      </c>
      <c r="F1408" s="82">
        <v>1254924.875</v>
      </c>
      <c r="G1408" s="75">
        <v>1645.9210550581588</v>
      </c>
      <c r="H1408" s="76">
        <v>3</v>
      </c>
      <c r="I1408" s="54" t="s">
        <v>20</v>
      </c>
      <c r="J1408" s="77">
        <v>40</v>
      </c>
      <c r="K1408" s="78">
        <v>3</v>
      </c>
      <c r="L1408" s="54">
        <v>1</v>
      </c>
      <c r="M1408" s="54">
        <f>_xlfn.XLOOKUP(Survey!$F1408,sections[Start],sections[Test Section],,-1,1)</f>
        <v>5</v>
      </c>
      <c r="N1408" s="55">
        <f>_xlfn.XLOOKUP(Survey!$K1408,pipedata[ID],pipedata[WT])</f>
        <v>0.88800000000000001</v>
      </c>
      <c r="O1408" s="56">
        <f>_xlfn.XLOOKUP(Survey!$K1408,pipedata[ID],pipedata[104%])</f>
        <v>3078.4</v>
      </c>
      <c r="P1408" s="57">
        <f t="shared" si="21"/>
        <v>1850</v>
      </c>
      <c r="Q1408" s="58">
        <f>_xlfn.MAXIFS(Survey!$G$2:$G$3647,Survey!$M$2:$M$3647,Survey!$M1408)-Survey!$G1408</f>
        <v>2089.4557842671124</v>
      </c>
      <c r="R1408" s="59">
        <f>Survey!$P1408+(Survey!$Q1408*0.433)</f>
        <v>2754.7343545876597</v>
      </c>
    </row>
    <row r="1409" spans="1:18" x14ac:dyDescent="0.25">
      <c r="A1409" s="60" t="s">
        <v>17</v>
      </c>
      <c r="B1409" s="61" t="s">
        <v>18</v>
      </c>
      <c r="C1409" s="62" t="s">
        <v>19</v>
      </c>
      <c r="D1409" s="63">
        <v>237.49269982070587</v>
      </c>
      <c r="E1409" s="64">
        <v>1283169</v>
      </c>
      <c r="F1409" s="65">
        <v>1254963.25</v>
      </c>
      <c r="G1409" s="66">
        <v>1660.7756337014864</v>
      </c>
      <c r="H1409" s="67">
        <v>3</v>
      </c>
      <c r="I1409" s="68" t="s">
        <v>20</v>
      </c>
      <c r="J1409" s="69">
        <v>40</v>
      </c>
      <c r="K1409" s="70">
        <v>3</v>
      </c>
      <c r="L1409" s="68">
        <v>1</v>
      </c>
      <c r="M1409" s="68">
        <f>_xlfn.XLOOKUP(Survey!$F1409,sections[Start],sections[Test Section],,-1,1)</f>
        <v>5</v>
      </c>
      <c r="N1409" s="55">
        <f>_xlfn.XLOOKUP(Survey!$K1409,pipedata[ID],pipedata[WT])</f>
        <v>0.88800000000000001</v>
      </c>
      <c r="O1409" s="56">
        <f>_xlfn.XLOOKUP(Survey!$K1409,pipedata[ID],pipedata[104%])</f>
        <v>3078.4</v>
      </c>
      <c r="P1409" s="57">
        <f t="shared" si="21"/>
        <v>1850</v>
      </c>
      <c r="Q1409" s="58">
        <f>_xlfn.MAXIFS(Survey!$G$2:$G$3647,Survey!$M$2:$M$3647,Survey!$M1409)-Survey!$G1409</f>
        <v>2074.6012056237851</v>
      </c>
      <c r="R1409" s="59">
        <f>Survey!$P1409+(Survey!$Q1409*0.433)</f>
        <v>2748.3023220350988</v>
      </c>
    </row>
    <row r="1410" spans="1:18" x14ac:dyDescent="0.25">
      <c r="A1410" s="71" t="s">
        <v>17</v>
      </c>
      <c r="B1410" s="72" t="s">
        <v>18</v>
      </c>
      <c r="C1410" s="73" t="s">
        <v>19</v>
      </c>
      <c r="D1410" s="74">
        <v>237.49907192514206</v>
      </c>
      <c r="E1410" s="64">
        <v>1283209</v>
      </c>
      <c r="F1410" s="65">
        <v>1255001.625</v>
      </c>
      <c r="G1410" s="75">
        <v>1681.1363004745488</v>
      </c>
      <c r="H1410" s="76">
        <v>3</v>
      </c>
      <c r="I1410" s="54" t="s">
        <v>20</v>
      </c>
      <c r="J1410" s="77">
        <v>40</v>
      </c>
      <c r="K1410" s="78">
        <v>3</v>
      </c>
      <c r="L1410" s="54">
        <v>1</v>
      </c>
      <c r="M1410" s="54">
        <f>_xlfn.XLOOKUP(Survey!$F1410,sections[Start],sections[Test Section],,-1,1)</f>
        <v>5</v>
      </c>
      <c r="N1410" s="55">
        <f>_xlfn.XLOOKUP(Survey!$K1410,pipedata[ID],pipedata[WT])</f>
        <v>0.88800000000000001</v>
      </c>
      <c r="O1410" s="56">
        <f>_xlfn.XLOOKUP(Survey!$K1410,pipedata[ID],pipedata[104%])</f>
        <v>3078.4</v>
      </c>
      <c r="P1410" s="57">
        <f t="shared" ref="P1410:P1473" si="22">IF(L1410=1,1850,IF(L1410=2,1850,2220))</f>
        <v>1850</v>
      </c>
      <c r="Q1410" s="58">
        <f>_xlfn.MAXIFS(Survey!$G$2:$G$3647,Survey!$M$2:$M$3647,Survey!$M1410)-Survey!$G1410</f>
        <v>2054.2405388507223</v>
      </c>
      <c r="R1410" s="59">
        <f>Survey!$P1410+(Survey!$Q1410*0.433)</f>
        <v>2739.486153322363</v>
      </c>
    </row>
    <row r="1411" spans="1:18" x14ac:dyDescent="0.25">
      <c r="A1411" s="60" t="s">
        <v>17</v>
      </c>
      <c r="B1411" s="61" t="s">
        <v>18</v>
      </c>
      <c r="C1411" s="62" t="s">
        <v>19</v>
      </c>
      <c r="D1411" s="63">
        <v>237.50583436668177</v>
      </c>
      <c r="E1411" s="64">
        <v>1283249</v>
      </c>
      <c r="F1411" s="65">
        <v>1255040</v>
      </c>
      <c r="G1411" s="66">
        <v>1696.7296983839949</v>
      </c>
      <c r="H1411" s="67">
        <v>3</v>
      </c>
      <c r="I1411" s="68" t="s">
        <v>20</v>
      </c>
      <c r="J1411" s="69">
        <v>40</v>
      </c>
      <c r="K1411" s="70">
        <v>3</v>
      </c>
      <c r="L1411" s="68">
        <v>1</v>
      </c>
      <c r="M1411" s="68">
        <f>_xlfn.XLOOKUP(Survey!$F1411,sections[Start],sections[Test Section],,-1,1)</f>
        <v>5</v>
      </c>
      <c r="N1411" s="55">
        <f>_xlfn.XLOOKUP(Survey!$K1411,pipedata[ID],pipedata[WT])</f>
        <v>0.88800000000000001</v>
      </c>
      <c r="O1411" s="56">
        <f>_xlfn.XLOOKUP(Survey!$K1411,pipedata[ID],pipedata[104%])</f>
        <v>3078.4</v>
      </c>
      <c r="P1411" s="57">
        <f t="shared" si="22"/>
        <v>1850</v>
      </c>
      <c r="Q1411" s="58">
        <f>_xlfn.MAXIFS(Survey!$G$2:$G$3647,Survey!$M$2:$M$3647,Survey!$M1411)-Survey!$G1411</f>
        <v>2038.6471409412763</v>
      </c>
      <c r="R1411" s="59">
        <f>Survey!$P1411+(Survey!$Q1411*0.433)</f>
        <v>2732.7342120275725</v>
      </c>
    </row>
    <row r="1412" spans="1:18" x14ac:dyDescent="0.25">
      <c r="A1412" s="71" t="s">
        <v>17</v>
      </c>
      <c r="B1412" s="72" t="s">
        <v>18</v>
      </c>
      <c r="C1412" s="73" t="s">
        <v>19</v>
      </c>
      <c r="D1412" s="74">
        <v>237.512814034532</v>
      </c>
      <c r="E1412" s="81">
        <v>1283289</v>
      </c>
      <c r="F1412" s="82">
        <v>1255078.375</v>
      </c>
      <c r="G1412" s="75">
        <v>1711.245946135841</v>
      </c>
      <c r="H1412" s="76">
        <v>3</v>
      </c>
      <c r="I1412" s="54" t="s">
        <v>20</v>
      </c>
      <c r="J1412" s="77">
        <v>40</v>
      </c>
      <c r="K1412" s="78">
        <v>3</v>
      </c>
      <c r="L1412" s="54">
        <v>1</v>
      </c>
      <c r="M1412" s="54">
        <f>_xlfn.XLOOKUP(Survey!$F1412,sections[Start],sections[Test Section],,-1,1)</f>
        <v>5</v>
      </c>
      <c r="N1412" s="55">
        <f>_xlfn.XLOOKUP(Survey!$K1412,pipedata[ID],pipedata[WT])</f>
        <v>0.88800000000000001</v>
      </c>
      <c r="O1412" s="56">
        <f>_xlfn.XLOOKUP(Survey!$K1412,pipedata[ID],pipedata[104%])</f>
        <v>3078.4</v>
      </c>
      <c r="P1412" s="57">
        <f t="shared" si="22"/>
        <v>1850</v>
      </c>
      <c r="Q1412" s="58">
        <f>_xlfn.MAXIFS(Survey!$G$2:$G$3647,Survey!$M$2:$M$3647,Survey!$M1412)-Survey!$G1412</f>
        <v>2024.1308931894303</v>
      </c>
      <c r="R1412" s="59">
        <f>Survey!$P1412+(Survey!$Q1412*0.433)</f>
        <v>2726.4486767510234</v>
      </c>
    </row>
    <row r="1413" spans="1:18" x14ac:dyDescent="0.25">
      <c r="A1413" s="60" t="s">
        <v>17</v>
      </c>
      <c r="B1413" s="61" t="s">
        <v>18</v>
      </c>
      <c r="C1413" s="62" t="s">
        <v>19</v>
      </c>
      <c r="D1413" s="63">
        <v>237.51979370238206</v>
      </c>
      <c r="E1413" s="79">
        <v>1283329</v>
      </c>
      <c r="F1413" s="80">
        <v>1255116.75</v>
      </c>
      <c r="G1413" s="66">
        <v>1727.0957776760572</v>
      </c>
      <c r="H1413" s="67">
        <v>3</v>
      </c>
      <c r="I1413" s="68" t="s">
        <v>20</v>
      </c>
      <c r="J1413" s="69">
        <v>40</v>
      </c>
      <c r="K1413" s="70">
        <v>3</v>
      </c>
      <c r="L1413" s="68">
        <v>1</v>
      </c>
      <c r="M1413" s="68">
        <f>_xlfn.XLOOKUP(Survey!$F1413,sections[Start],sections[Test Section],,-1,1)</f>
        <v>5</v>
      </c>
      <c r="N1413" s="55">
        <f>_xlfn.XLOOKUP(Survey!$K1413,pipedata[ID],pipedata[WT])</f>
        <v>0.88800000000000001</v>
      </c>
      <c r="O1413" s="56">
        <f>_xlfn.XLOOKUP(Survey!$K1413,pipedata[ID],pipedata[104%])</f>
        <v>3078.4</v>
      </c>
      <c r="P1413" s="57">
        <f t="shared" si="22"/>
        <v>1850</v>
      </c>
      <c r="Q1413" s="58">
        <f>_xlfn.MAXIFS(Survey!$G$2:$G$3647,Survey!$M$2:$M$3647,Survey!$M1413)-Survey!$G1413</f>
        <v>2008.2810616492141</v>
      </c>
      <c r="R1413" s="59">
        <f>Survey!$P1413+(Survey!$Q1413*0.433)</f>
        <v>2719.5856996941097</v>
      </c>
    </row>
    <row r="1414" spans="1:18" x14ac:dyDescent="0.25">
      <c r="A1414" s="71" t="s">
        <v>17</v>
      </c>
      <c r="B1414" s="72" t="s">
        <v>18</v>
      </c>
      <c r="C1414" s="73" t="s">
        <v>19</v>
      </c>
      <c r="D1414" s="74">
        <v>237.52677337023223</v>
      </c>
      <c r="E1414" s="81">
        <v>1283369</v>
      </c>
      <c r="F1414" s="82">
        <v>1255155.125</v>
      </c>
      <c r="G1414" s="75">
        <v>1742.7416555430182</v>
      </c>
      <c r="H1414" s="76">
        <v>3</v>
      </c>
      <c r="I1414" s="54" t="s">
        <v>20</v>
      </c>
      <c r="J1414" s="77">
        <v>40</v>
      </c>
      <c r="K1414" s="78">
        <v>3</v>
      </c>
      <c r="L1414" s="54">
        <v>1</v>
      </c>
      <c r="M1414" s="54">
        <f>_xlfn.XLOOKUP(Survey!$F1414,sections[Start],sections[Test Section],,-1,1)</f>
        <v>5</v>
      </c>
      <c r="N1414" s="55">
        <f>_xlfn.XLOOKUP(Survey!$K1414,pipedata[ID],pipedata[WT])</f>
        <v>0.88800000000000001</v>
      </c>
      <c r="O1414" s="56">
        <f>_xlfn.XLOOKUP(Survey!$K1414,pipedata[ID],pipedata[104%])</f>
        <v>3078.4</v>
      </c>
      <c r="P1414" s="57">
        <f t="shared" si="22"/>
        <v>1850</v>
      </c>
      <c r="Q1414" s="58">
        <f>_xlfn.MAXIFS(Survey!$G$2:$G$3647,Survey!$M$2:$M$3647,Survey!$M1414)-Survey!$G1414</f>
        <v>1992.6351837822531</v>
      </c>
      <c r="R1414" s="59">
        <f>Survey!$P1414+(Survey!$Q1414*0.433)</f>
        <v>2712.8110345777154</v>
      </c>
    </row>
    <row r="1415" spans="1:18" x14ac:dyDescent="0.25">
      <c r="A1415" s="60" t="s">
        <v>17</v>
      </c>
      <c r="B1415" s="61" t="s">
        <v>18</v>
      </c>
      <c r="C1415" s="62" t="s">
        <v>19</v>
      </c>
      <c r="D1415" s="63">
        <v>237.53375303808275</v>
      </c>
      <c r="E1415" s="79">
        <v>1283409</v>
      </c>
      <c r="F1415" s="80">
        <v>1255193.5</v>
      </c>
      <c r="G1415" s="66">
        <v>1760.4070009601655</v>
      </c>
      <c r="H1415" s="67">
        <v>3</v>
      </c>
      <c r="I1415" s="68" t="s">
        <v>20</v>
      </c>
      <c r="J1415" s="69">
        <v>40</v>
      </c>
      <c r="K1415" s="70">
        <v>3</v>
      </c>
      <c r="L1415" s="68">
        <v>1</v>
      </c>
      <c r="M1415" s="68">
        <f>_xlfn.XLOOKUP(Survey!$F1415,sections[Start],sections[Test Section],,-1,1)</f>
        <v>5</v>
      </c>
      <c r="N1415" s="55">
        <f>_xlfn.XLOOKUP(Survey!$K1415,pipedata[ID],pipedata[WT])</f>
        <v>0.88800000000000001</v>
      </c>
      <c r="O1415" s="56">
        <f>_xlfn.XLOOKUP(Survey!$K1415,pipedata[ID],pipedata[104%])</f>
        <v>3078.4</v>
      </c>
      <c r="P1415" s="57">
        <f t="shared" si="22"/>
        <v>1850</v>
      </c>
      <c r="Q1415" s="58">
        <f>_xlfn.MAXIFS(Survey!$G$2:$G$3647,Survey!$M$2:$M$3647,Survey!$M1415)-Survey!$G1415</f>
        <v>1974.9698383651057</v>
      </c>
      <c r="R1415" s="59">
        <f>Survey!$P1415+(Survey!$Q1415*0.433)</f>
        <v>2705.1619400120908</v>
      </c>
    </row>
    <row r="1416" spans="1:18" x14ac:dyDescent="0.25">
      <c r="A1416" s="71" t="s">
        <v>17</v>
      </c>
      <c r="B1416" s="72" t="s">
        <v>18</v>
      </c>
      <c r="C1416" s="73" t="s">
        <v>19</v>
      </c>
      <c r="D1416" s="74">
        <v>237.54177447856523</v>
      </c>
      <c r="E1416" s="81">
        <v>1283449</v>
      </c>
      <c r="F1416" s="82">
        <v>1255231.875</v>
      </c>
      <c r="G1416" s="75">
        <v>1771.4637269680295</v>
      </c>
      <c r="H1416" s="76">
        <v>3</v>
      </c>
      <c r="I1416" s="54" t="s">
        <v>20</v>
      </c>
      <c r="J1416" s="77">
        <v>40</v>
      </c>
      <c r="K1416" s="78">
        <v>3</v>
      </c>
      <c r="L1416" s="54">
        <v>1</v>
      </c>
      <c r="M1416" s="54">
        <f>_xlfn.XLOOKUP(Survey!$F1416,sections[Start],sections[Test Section],,-1,1)</f>
        <v>5</v>
      </c>
      <c r="N1416" s="55">
        <f>_xlfn.XLOOKUP(Survey!$K1416,pipedata[ID],pipedata[WT])</f>
        <v>0.88800000000000001</v>
      </c>
      <c r="O1416" s="56">
        <f>_xlfn.XLOOKUP(Survey!$K1416,pipedata[ID],pipedata[104%])</f>
        <v>3078.4</v>
      </c>
      <c r="P1416" s="57">
        <f t="shared" si="22"/>
        <v>1850</v>
      </c>
      <c r="Q1416" s="58">
        <f>_xlfn.MAXIFS(Survey!$G$2:$G$3647,Survey!$M$2:$M$3647,Survey!$M1416)-Survey!$G1416</f>
        <v>1963.9131123572417</v>
      </c>
      <c r="R1416" s="59">
        <f>Survey!$P1416+(Survey!$Q1416*0.433)</f>
        <v>2700.3743776506858</v>
      </c>
    </row>
    <row r="1417" spans="1:18" x14ac:dyDescent="0.25">
      <c r="A1417" s="60" t="s">
        <v>17</v>
      </c>
      <c r="B1417" s="61" t="s">
        <v>18</v>
      </c>
      <c r="C1417" s="62" t="s">
        <v>19</v>
      </c>
      <c r="D1417" s="63">
        <v>237.54853914857853</v>
      </c>
      <c r="E1417" s="79">
        <v>1283489</v>
      </c>
      <c r="F1417" s="80">
        <v>1255270.25</v>
      </c>
      <c r="G1417" s="66">
        <v>1777.3319920479062</v>
      </c>
      <c r="H1417" s="67">
        <v>3</v>
      </c>
      <c r="I1417" s="68" t="s">
        <v>20</v>
      </c>
      <c r="J1417" s="69">
        <v>40</v>
      </c>
      <c r="K1417" s="70">
        <v>3</v>
      </c>
      <c r="L1417" s="68">
        <v>1</v>
      </c>
      <c r="M1417" s="68">
        <f>_xlfn.XLOOKUP(Survey!$F1417,sections[Start],sections[Test Section],,-1,1)</f>
        <v>5</v>
      </c>
      <c r="N1417" s="55">
        <f>_xlfn.XLOOKUP(Survey!$K1417,pipedata[ID],pipedata[WT])</f>
        <v>0.88800000000000001</v>
      </c>
      <c r="O1417" s="56">
        <f>_xlfn.XLOOKUP(Survey!$K1417,pipedata[ID],pipedata[104%])</f>
        <v>3078.4</v>
      </c>
      <c r="P1417" s="57">
        <f t="shared" si="22"/>
        <v>1850</v>
      </c>
      <c r="Q1417" s="58">
        <f>_xlfn.MAXIFS(Survey!$G$2:$G$3647,Survey!$M$2:$M$3647,Survey!$M1417)-Survey!$G1417</f>
        <v>1958.0448472773651</v>
      </c>
      <c r="R1417" s="59">
        <f>Survey!$P1417+(Survey!$Q1417*0.433)</f>
        <v>2697.8334188710992</v>
      </c>
    </row>
    <row r="1418" spans="1:18" x14ac:dyDescent="0.25">
      <c r="A1418" s="71" t="s">
        <v>17</v>
      </c>
      <c r="B1418" s="72" t="s">
        <v>18</v>
      </c>
      <c r="C1418" s="73" t="s">
        <v>19</v>
      </c>
      <c r="D1418" s="74">
        <v>237.55642086505745</v>
      </c>
      <c r="E1418" s="81">
        <v>1283529</v>
      </c>
      <c r="F1418" s="82">
        <v>1255308.625</v>
      </c>
      <c r="G1418" s="75">
        <v>1781.8335438311449</v>
      </c>
      <c r="H1418" s="76">
        <v>3</v>
      </c>
      <c r="I1418" s="54" t="s">
        <v>20</v>
      </c>
      <c r="J1418" s="77">
        <v>40</v>
      </c>
      <c r="K1418" s="78">
        <v>3</v>
      </c>
      <c r="L1418" s="54">
        <v>1</v>
      </c>
      <c r="M1418" s="54">
        <f>_xlfn.XLOOKUP(Survey!$F1418,sections[Start],sections[Test Section],,-1,1)</f>
        <v>5</v>
      </c>
      <c r="N1418" s="55">
        <f>_xlfn.XLOOKUP(Survey!$K1418,pipedata[ID],pipedata[WT])</f>
        <v>0.88800000000000001</v>
      </c>
      <c r="O1418" s="56">
        <f>_xlfn.XLOOKUP(Survey!$K1418,pipedata[ID],pipedata[104%])</f>
        <v>3078.4</v>
      </c>
      <c r="P1418" s="57">
        <f t="shared" si="22"/>
        <v>1850</v>
      </c>
      <c r="Q1418" s="58">
        <f>_xlfn.MAXIFS(Survey!$G$2:$G$3647,Survey!$M$2:$M$3647,Survey!$M1418)-Survey!$G1418</f>
        <v>1953.5432954941264</v>
      </c>
      <c r="R1418" s="59">
        <f>Survey!$P1418+(Survey!$Q1418*0.433)</f>
        <v>2695.8842469489568</v>
      </c>
    </row>
    <row r="1419" spans="1:18" x14ac:dyDescent="0.25">
      <c r="A1419" s="60" t="s">
        <v>17</v>
      </c>
      <c r="B1419" s="61" t="s">
        <v>18</v>
      </c>
      <c r="C1419" s="62" t="s">
        <v>19</v>
      </c>
      <c r="D1419" s="63">
        <v>237.56432337860875</v>
      </c>
      <c r="E1419" s="79">
        <v>1283569</v>
      </c>
      <c r="F1419" s="80">
        <v>1255347</v>
      </c>
      <c r="G1419" s="66">
        <v>1783.5528381179645</v>
      </c>
      <c r="H1419" s="67">
        <v>3</v>
      </c>
      <c r="I1419" s="68" t="s">
        <v>20</v>
      </c>
      <c r="J1419" s="69">
        <v>40</v>
      </c>
      <c r="K1419" s="70">
        <v>3</v>
      </c>
      <c r="L1419" s="68">
        <v>1</v>
      </c>
      <c r="M1419" s="68">
        <f>_xlfn.XLOOKUP(Survey!$F1419,sections[Start],sections[Test Section],,-1,1)</f>
        <v>5</v>
      </c>
      <c r="N1419" s="55">
        <f>_xlfn.XLOOKUP(Survey!$K1419,pipedata[ID],pipedata[WT])</f>
        <v>0.88800000000000001</v>
      </c>
      <c r="O1419" s="56">
        <f>_xlfn.XLOOKUP(Survey!$K1419,pipedata[ID],pipedata[104%])</f>
        <v>3078.4</v>
      </c>
      <c r="P1419" s="57">
        <f t="shared" si="22"/>
        <v>1850</v>
      </c>
      <c r="Q1419" s="58">
        <f>_xlfn.MAXIFS(Survey!$G$2:$G$3647,Survey!$M$2:$M$3647,Survey!$M1419)-Survey!$G1419</f>
        <v>1951.8240012073068</v>
      </c>
      <c r="R1419" s="59">
        <f>Survey!$P1419+(Survey!$Q1419*0.433)</f>
        <v>2695.1397925227639</v>
      </c>
    </row>
    <row r="1420" spans="1:18" x14ac:dyDescent="0.25">
      <c r="A1420" s="71" t="s">
        <v>17</v>
      </c>
      <c r="B1420" s="72" t="s">
        <v>18</v>
      </c>
      <c r="C1420" s="73" t="s">
        <v>19</v>
      </c>
      <c r="D1420" s="74">
        <v>237.57048425046139</v>
      </c>
      <c r="E1420" s="81">
        <v>1283609</v>
      </c>
      <c r="F1420" s="82">
        <v>1255385.375</v>
      </c>
      <c r="G1420" s="75">
        <v>1781.5937128868363</v>
      </c>
      <c r="H1420" s="76">
        <v>3</v>
      </c>
      <c r="I1420" s="54" t="s">
        <v>20</v>
      </c>
      <c r="J1420" s="77">
        <v>40</v>
      </c>
      <c r="K1420" s="78">
        <v>3</v>
      </c>
      <c r="L1420" s="54">
        <v>1</v>
      </c>
      <c r="M1420" s="54">
        <f>_xlfn.XLOOKUP(Survey!$F1420,sections[Start],sections[Test Section],,-1,1)</f>
        <v>5</v>
      </c>
      <c r="N1420" s="55">
        <f>_xlfn.XLOOKUP(Survey!$K1420,pipedata[ID],pipedata[WT])</f>
        <v>0.88800000000000001</v>
      </c>
      <c r="O1420" s="56">
        <f>_xlfn.XLOOKUP(Survey!$K1420,pipedata[ID],pipedata[104%])</f>
        <v>3078.4</v>
      </c>
      <c r="P1420" s="57">
        <f t="shared" si="22"/>
        <v>1850</v>
      </c>
      <c r="Q1420" s="58">
        <f>_xlfn.MAXIFS(Survey!$G$2:$G$3647,Survey!$M$2:$M$3647,Survey!$M1420)-Survey!$G1420</f>
        <v>1953.7831264384349</v>
      </c>
      <c r="R1420" s="59">
        <f>Survey!$P1420+(Survey!$Q1420*0.433)</f>
        <v>2695.9880937478424</v>
      </c>
    </row>
    <row r="1421" spans="1:18" x14ac:dyDescent="0.25">
      <c r="A1421" s="60" t="s">
        <v>17</v>
      </c>
      <c r="B1421" s="61" t="s">
        <v>18</v>
      </c>
      <c r="C1421" s="62" t="s">
        <v>19</v>
      </c>
      <c r="D1421" s="63">
        <v>237.57902055667958</v>
      </c>
      <c r="E1421" s="79">
        <v>1283649</v>
      </c>
      <c r="F1421" s="80">
        <v>1255423.75</v>
      </c>
      <c r="G1421" s="66">
        <v>1776.8388074868842</v>
      </c>
      <c r="H1421" s="67">
        <v>3</v>
      </c>
      <c r="I1421" s="68" t="s">
        <v>20</v>
      </c>
      <c r="J1421" s="69">
        <v>40</v>
      </c>
      <c r="K1421" s="70">
        <v>3</v>
      </c>
      <c r="L1421" s="68">
        <v>1</v>
      </c>
      <c r="M1421" s="68">
        <f>_xlfn.XLOOKUP(Survey!$F1421,sections[Start],sections[Test Section],,-1,1)</f>
        <v>5</v>
      </c>
      <c r="N1421" s="55">
        <f>_xlfn.XLOOKUP(Survey!$K1421,pipedata[ID],pipedata[WT])</f>
        <v>0.88800000000000001</v>
      </c>
      <c r="O1421" s="56">
        <f>_xlfn.XLOOKUP(Survey!$K1421,pipedata[ID],pipedata[104%])</f>
        <v>3078.4</v>
      </c>
      <c r="P1421" s="57">
        <f t="shared" si="22"/>
        <v>1850</v>
      </c>
      <c r="Q1421" s="58">
        <f>_xlfn.MAXIFS(Survey!$G$2:$G$3647,Survey!$M$2:$M$3647,Survey!$M1421)-Survey!$G1421</f>
        <v>1958.538031838387</v>
      </c>
      <c r="R1421" s="59">
        <f>Survey!$P1421+(Survey!$Q1421*0.433)</f>
        <v>2698.0469677860215</v>
      </c>
    </row>
    <row r="1422" spans="1:18" x14ac:dyDescent="0.25">
      <c r="A1422" s="71" t="s">
        <v>17</v>
      </c>
      <c r="B1422" s="72" t="s">
        <v>18</v>
      </c>
      <c r="C1422" s="73" t="s">
        <v>19</v>
      </c>
      <c r="D1422" s="74">
        <v>237.58589670202124</v>
      </c>
      <c r="E1422" s="81">
        <v>1283689</v>
      </c>
      <c r="F1422" s="82">
        <v>1255462.125</v>
      </c>
      <c r="G1422" s="75">
        <v>1770.1033324493235</v>
      </c>
      <c r="H1422" s="76">
        <v>3</v>
      </c>
      <c r="I1422" s="54" t="s">
        <v>20</v>
      </c>
      <c r="J1422" s="77">
        <v>40</v>
      </c>
      <c r="K1422" s="78">
        <v>3</v>
      </c>
      <c r="L1422" s="54">
        <v>1</v>
      </c>
      <c r="M1422" s="54">
        <f>_xlfn.XLOOKUP(Survey!$F1422,sections[Start],sections[Test Section],,-1,1)</f>
        <v>5</v>
      </c>
      <c r="N1422" s="55">
        <f>_xlfn.XLOOKUP(Survey!$K1422,pipedata[ID],pipedata[WT])</f>
        <v>0.88800000000000001</v>
      </c>
      <c r="O1422" s="56">
        <f>_xlfn.XLOOKUP(Survey!$K1422,pipedata[ID],pipedata[104%])</f>
        <v>3078.4</v>
      </c>
      <c r="P1422" s="57">
        <f t="shared" si="22"/>
        <v>1850</v>
      </c>
      <c r="Q1422" s="58">
        <f>_xlfn.MAXIFS(Survey!$G$2:$G$3647,Survey!$M$2:$M$3647,Survey!$M1422)-Survey!$G1422</f>
        <v>1965.2735068759478</v>
      </c>
      <c r="R1422" s="59">
        <f>Survey!$P1422+(Survey!$Q1422*0.433)</f>
        <v>2700.9634284772856</v>
      </c>
    </row>
    <row r="1423" spans="1:18" x14ac:dyDescent="0.25">
      <c r="A1423" s="60" t="s">
        <v>17</v>
      </c>
      <c r="B1423" s="61" t="s">
        <v>18</v>
      </c>
      <c r="C1423" s="62" t="s">
        <v>19</v>
      </c>
      <c r="D1423" s="63">
        <v>237.59402324468942</v>
      </c>
      <c r="E1423" s="79">
        <v>1283729</v>
      </c>
      <c r="F1423" s="80">
        <v>1255500.5</v>
      </c>
      <c r="G1423" s="66">
        <v>1762.9773906399496</v>
      </c>
      <c r="H1423" s="67">
        <v>3</v>
      </c>
      <c r="I1423" s="68" t="s">
        <v>20</v>
      </c>
      <c r="J1423" s="69">
        <v>40</v>
      </c>
      <c r="K1423" s="70">
        <v>3</v>
      </c>
      <c r="L1423" s="68">
        <v>1</v>
      </c>
      <c r="M1423" s="68">
        <f>_xlfn.XLOOKUP(Survey!$F1423,sections[Start],sections[Test Section],,-1,1)</f>
        <v>5</v>
      </c>
      <c r="N1423" s="55">
        <f>_xlfn.XLOOKUP(Survey!$K1423,pipedata[ID],pipedata[WT])</f>
        <v>0.88800000000000001</v>
      </c>
      <c r="O1423" s="56">
        <f>_xlfn.XLOOKUP(Survey!$K1423,pipedata[ID],pipedata[104%])</f>
        <v>3078.4</v>
      </c>
      <c r="P1423" s="57">
        <f t="shared" si="22"/>
        <v>1850</v>
      </c>
      <c r="Q1423" s="58">
        <f>_xlfn.MAXIFS(Survey!$G$2:$G$3647,Survey!$M$2:$M$3647,Survey!$M1423)-Survey!$G1423</f>
        <v>1972.3994486853217</v>
      </c>
      <c r="R1423" s="59">
        <f>Survey!$P1423+(Survey!$Q1423*0.433)</f>
        <v>2704.0489612807442</v>
      </c>
    </row>
    <row r="1424" spans="1:18" x14ac:dyDescent="0.25">
      <c r="A1424" s="71" t="s">
        <v>17</v>
      </c>
      <c r="B1424" s="72" t="s">
        <v>18</v>
      </c>
      <c r="C1424" s="73" t="s">
        <v>19</v>
      </c>
      <c r="D1424" s="74">
        <v>237.60194104115138</v>
      </c>
      <c r="E1424" s="81">
        <v>1283769</v>
      </c>
      <c r="F1424" s="82">
        <v>1255538.875</v>
      </c>
      <c r="G1424" s="75">
        <v>1756.7980553152956</v>
      </c>
      <c r="H1424" s="76">
        <v>3</v>
      </c>
      <c r="I1424" s="54" t="s">
        <v>20</v>
      </c>
      <c r="J1424" s="77">
        <v>40</v>
      </c>
      <c r="K1424" s="78">
        <v>3</v>
      </c>
      <c r="L1424" s="54">
        <v>1</v>
      </c>
      <c r="M1424" s="54">
        <f>_xlfn.XLOOKUP(Survey!$F1424,sections[Start],sections[Test Section],,-1,1)</f>
        <v>5</v>
      </c>
      <c r="N1424" s="55">
        <f>_xlfn.XLOOKUP(Survey!$K1424,pipedata[ID],pipedata[WT])</f>
        <v>0.88800000000000001</v>
      </c>
      <c r="O1424" s="56">
        <f>_xlfn.XLOOKUP(Survey!$K1424,pipedata[ID],pipedata[104%])</f>
        <v>3078.4</v>
      </c>
      <c r="P1424" s="57">
        <f t="shared" si="22"/>
        <v>1850</v>
      </c>
      <c r="Q1424" s="58">
        <f>_xlfn.MAXIFS(Survey!$G$2:$G$3647,Survey!$M$2:$M$3647,Survey!$M1424)-Survey!$G1424</f>
        <v>1978.5787840099756</v>
      </c>
      <c r="R1424" s="59">
        <f>Survey!$P1424+(Survey!$Q1424*0.433)</f>
        <v>2706.7246134763195</v>
      </c>
    </row>
    <row r="1425" spans="1:18" x14ac:dyDescent="0.25">
      <c r="A1425" s="60" t="s">
        <v>17</v>
      </c>
      <c r="B1425" s="61" t="s">
        <v>18</v>
      </c>
      <c r="C1425" s="62" t="s">
        <v>19</v>
      </c>
      <c r="D1425" s="63">
        <v>237.60881718649304</v>
      </c>
      <c r="E1425" s="79">
        <v>1283809</v>
      </c>
      <c r="F1425" s="80">
        <v>1255577.25</v>
      </c>
      <c r="G1425" s="66">
        <v>1745.4068463418409</v>
      </c>
      <c r="H1425" s="67">
        <v>3</v>
      </c>
      <c r="I1425" s="68" t="s">
        <v>20</v>
      </c>
      <c r="J1425" s="69">
        <v>40</v>
      </c>
      <c r="K1425" s="70">
        <v>3</v>
      </c>
      <c r="L1425" s="68">
        <v>1</v>
      </c>
      <c r="M1425" s="68">
        <f>_xlfn.XLOOKUP(Survey!$F1425,sections[Start],sections[Test Section],,-1,1)</f>
        <v>5</v>
      </c>
      <c r="N1425" s="55">
        <f>_xlfn.XLOOKUP(Survey!$K1425,pipedata[ID],pipedata[WT])</f>
        <v>0.88800000000000001</v>
      </c>
      <c r="O1425" s="56">
        <f>_xlfn.XLOOKUP(Survey!$K1425,pipedata[ID],pipedata[104%])</f>
        <v>3078.4</v>
      </c>
      <c r="P1425" s="57">
        <f t="shared" si="22"/>
        <v>1850</v>
      </c>
      <c r="Q1425" s="58">
        <f>_xlfn.MAXIFS(Survey!$G$2:$G$3647,Survey!$M$2:$M$3647,Survey!$M1425)-Survey!$G1425</f>
        <v>1989.9699929834303</v>
      </c>
      <c r="R1425" s="59">
        <f>Survey!$P1425+(Survey!$Q1425*0.433)</f>
        <v>2711.6570069618256</v>
      </c>
    </row>
    <row r="1426" spans="1:18" x14ac:dyDescent="0.25">
      <c r="A1426" s="71" t="s">
        <v>17</v>
      </c>
      <c r="B1426" s="72" t="s">
        <v>18</v>
      </c>
      <c r="C1426" s="73" t="s">
        <v>19</v>
      </c>
      <c r="D1426" s="74">
        <v>237.61625972988858</v>
      </c>
      <c r="E1426" s="81">
        <v>1283849</v>
      </c>
      <c r="F1426" s="82">
        <v>1255615.625</v>
      </c>
      <c r="G1426" s="75">
        <v>1738.742037999996</v>
      </c>
      <c r="H1426" s="76">
        <v>3</v>
      </c>
      <c r="I1426" s="54" t="s">
        <v>20</v>
      </c>
      <c r="J1426" s="77">
        <v>40</v>
      </c>
      <c r="K1426" s="78">
        <v>3</v>
      </c>
      <c r="L1426" s="54">
        <v>1</v>
      </c>
      <c r="M1426" s="54">
        <f>_xlfn.XLOOKUP(Survey!$F1426,sections[Start],sections[Test Section],,-1,1)</f>
        <v>5</v>
      </c>
      <c r="N1426" s="55">
        <f>_xlfn.XLOOKUP(Survey!$K1426,pipedata[ID],pipedata[WT])</f>
        <v>0.88800000000000001</v>
      </c>
      <c r="O1426" s="56">
        <f>_xlfn.XLOOKUP(Survey!$K1426,pipedata[ID],pipedata[104%])</f>
        <v>3078.4</v>
      </c>
      <c r="P1426" s="57">
        <f t="shared" si="22"/>
        <v>1850</v>
      </c>
      <c r="Q1426" s="58">
        <f>_xlfn.MAXIFS(Survey!$G$2:$G$3647,Survey!$M$2:$M$3647,Survey!$M1426)-Survey!$G1426</f>
        <v>1996.6348013252752</v>
      </c>
      <c r="R1426" s="59">
        <f>Survey!$P1426+(Survey!$Q1426*0.433)</f>
        <v>2714.5428689738442</v>
      </c>
    </row>
    <row r="1427" spans="1:18" x14ac:dyDescent="0.25">
      <c r="A1427" s="60" t="s">
        <v>17</v>
      </c>
      <c r="B1427" s="61" t="s">
        <v>18</v>
      </c>
      <c r="C1427" s="62" t="s">
        <v>19</v>
      </c>
      <c r="D1427" s="63">
        <v>237.62392815656384</v>
      </c>
      <c r="E1427" s="79">
        <v>1283889</v>
      </c>
      <c r="F1427" s="80">
        <v>1255654</v>
      </c>
      <c r="G1427" s="66">
        <v>1740.3352082123683</v>
      </c>
      <c r="H1427" s="67">
        <v>3</v>
      </c>
      <c r="I1427" s="68" t="s">
        <v>20</v>
      </c>
      <c r="J1427" s="69">
        <v>40</v>
      </c>
      <c r="K1427" s="70">
        <v>3</v>
      </c>
      <c r="L1427" s="68">
        <v>1</v>
      </c>
      <c r="M1427" s="68">
        <f>_xlfn.XLOOKUP(Survey!$F1427,sections[Start],sections[Test Section],,-1,1)</f>
        <v>5</v>
      </c>
      <c r="N1427" s="55">
        <f>_xlfn.XLOOKUP(Survey!$K1427,pipedata[ID],pipedata[WT])</f>
        <v>0.88800000000000001</v>
      </c>
      <c r="O1427" s="56">
        <f>_xlfn.XLOOKUP(Survey!$K1427,pipedata[ID],pipedata[104%])</f>
        <v>3078.4</v>
      </c>
      <c r="P1427" s="57">
        <f t="shared" si="22"/>
        <v>1850</v>
      </c>
      <c r="Q1427" s="58">
        <f>_xlfn.MAXIFS(Survey!$G$2:$G$3647,Survey!$M$2:$M$3647,Survey!$M1427)-Survey!$G1427</f>
        <v>1995.0416311129029</v>
      </c>
      <c r="R1427" s="59">
        <f>Survey!$P1427+(Survey!$Q1427*0.433)</f>
        <v>2713.8530262718868</v>
      </c>
    </row>
    <row r="1428" spans="1:18" x14ac:dyDescent="0.25">
      <c r="A1428" s="71" t="s">
        <v>17</v>
      </c>
      <c r="B1428" s="72" t="s">
        <v>18</v>
      </c>
      <c r="C1428" s="73" t="s">
        <v>19</v>
      </c>
      <c r="D1428" s="74">
        <v>237.63095823841203</v>
      </c>
      <c r="E1428" s="81">
        <v>1283929</v>
      </c>
      <c r="F1428" s="82">
        <v>1255692.375</v>
      </c>
      <c r="G1428" s="75">
        <v>1740.6406170878151</v>
      </c>
      <c r="H1428" s="76">
        <v>3</v>
      </c>
      <c r="I1428" s="54" t="s">
        <v>20</v>
      </c>
      <c r="J1428" s="77">
        <v>40</v>
      </c>
      <c r="K1428" s="78">
        <v>3</v>
      </c>
      <c r="L1428" s="54">
        <v>1</v>
      </c>
      <c r="M1428" s="54">
        <f>_xlfn.XLOOKUP(Survey!$F1428,sections[Start],sections[Test Section],,-1,1)</f>
        <v>5</v>
      </c>
      <c r="N1428" s="55">
        <f>_xlfn.XLOOKUP(Survey!$K1428,pipedata[ID],pipedata[WT])</f>
        <v>0.88800000000000001</v>
      </c>
      <c r="O1428" s="56">
        <f>_xlfn.XLOOKUP(Survey!$K1428,pipedata[ID],pipedata[104%])</f>
        <v>3078.4</v>
      </c>
      <c r="P1428" s="57">
        <f t="shared" si="22"/>
        <v>1850</v>
      </c>
      <c r="Q1428" s="58">
        <f>_xlfn.MAXIFS(Survey!$G$2:$G$3647,Survey!$M$2:$M$3647,Survey!$M1428)-Survey!$G1428</f>
        <v>1994.7362222374561</v>
      </c>
      <c r="R1428" s="59">
        <f>Survey!$P1428+(Survey!$Q1428*0.433)</f>
        <v>2713.7207842288185</v>
      </c>
    </row>
    <row r="1429" spans="1:18" x14ac:dyDescent="0.25">
      <c r="A1429" s="60" t="s">
        <v>17</v>
      </c>
      <c r="B1429" s="61" t="s">
        <v>18</v>
      </c>
      <c r="C1429" s="62" t="s">
        <v>19</v>
      </c>
      <c r="D1429" s="63">
        <v>237.63830749267439</v>
      </c>
      <c r="E1429" s="79">
        <v>1283969</v>
      </c>
      <c r="F1429" s="80">
        <v>1255730.75</v>
      </c>
      <c r="G1429" s="66">
        <v>1737.2013460073861</v>
      </c>
      <c r="H1429" s="67">
        <v>3</v>
      </c>
      <c r="I1429" s="68" t="s">
        <v>20</v>
      </c>
      <c r="J1429" s="69">
        <v>40</v>
      </c>
      <c r="K1429" s="70">
        <v>3</v>
      </c>
      <c r="L1429" s="68">
        <v>1</v>
      </c>
      <c r="M1429" s="68">
        <f>_xlfn.XLOOKUP(Survey!$F1429,sections[Start],sections[Test Section],,-1,1)</f>
        <v>5</v>
      </c>
      <c r="N1429" s="55">
        <f>_xlfn.XLOOKUP(Survey!$K1429,pipedata[ID],pipedata[WT])</f>
        <v>0.88800000000000001</v>
      </c>
      <c r="O1429" s="56">
        <f>_xlfn.XLOOKUP(Survey!$K1429,pipedata[ID],pipedata[104%])</f>
        <v>3078.4</v>
      </c>
      <c r="P1429" s="57">
        <f t="shared" si="22"/>
        <v>1850</v>
      </c>
      <c r="Q1429" s="58">
        <f>_xlfn.MAXIFS(Survey!$G$2:$G$3647,Survey!$M$2:$M$3647,Survey!$M1429)-Survey!$G1429</f>
        <v>1998.1754933178852</v>
      </c>
      <c r="R1429" s="59">
        <f>Survey!$P1429+(Survey!$Q1429*0.433)</f>
        <v>2715.2099886066444</v>
      </c>
    </row>
    <row r="1430" spans="1:18" x14ac:dyDescent="0.25">
      <c r="A1430" s="71" t="s">
        <v>17</v>
      </c>
      <c r="B1430" s="72" t="s">
        <v>18</v>
      </c>
      <c r="C1430" s="73" t="s">
        <v>19</v>
      </c>
      <c r="D1430" s="74">
        <v>237.6464879695412</v>
      </c>
      <c r="E1430" s="81">
        <v>1284009</v>
      </c>
      <c r="F1430" s="82">
        <v>1255769.125</v>
      </c>
      <c r="G1430" s="75">
        <v>1738.8408733063004</v>
      </c>
      <c r="H1430" s="76">
        <v>3</v>
      </c>
      <c r="I1430" s="54" t="s">
        <v>20</v>
      </c>
      <c r="J1430" s="77">
        <v>40</v>
      </c>
      <c r="K1430" s="78">
        <v>3</v>
      </c>
      <c r="L1430" s="54">
        <v>1</v>
      </c>
      <c r="M1430" s="54">
        <f>_xlfn.XLOOKUP(Survey!$F1430,sections[Start],sections[Test Section],,-1,1)</f>
        <v>5</v>
      </c>
      <c r="N1430" s="55">
        <f>_xlfn.XLOOKUP(Survey!$K1430,pipedata[ID],pipedata[WT])</f>
        <v>0.88800000000000001</v>
      </c>
      <c r="O1430" s="56">
        <f>_xlfn.XLOOKUP(Survey!$K1430,pipedata[ID],pipedata[104%])</f>
        <v>3078.4</v>
      </c>
      <c r="P1430" s="57">
        <f t="shared" si="22"/>
        <v>1850</v>
      </c>
      <c r="Q1430" s="58">
        <f>_xlfn.MAXIFS(Survey!$G$2:$G$3647,Survey!$M$2:$M$3647,Survey!$M1430)-Survey!$G1430</f>
        <v>1996.5359660189708</v>
      </c>
      <c r="R1430" s="59">
        <f>Survey!$P1430+(Survey!$Q1430*0.433)</f>
        <v>2714.5000732862145</v>
      </c>
    </row>
    <row r="1431" spans="1:18" x14ac:dyDescent="0.25">
      <c r="A1431" s="60" t="s">
        <v>17</v>
      </c>
      <c r="B1431" s="61" t="s">
        <v>18</v>
      </c>
      <c r="C1431" s="62" t="s">
        <v>19</v>
      </c>
      <c r="D1431" s="63">
        <v>237.65300600119812</v>
      </c>
      <c r="E1431" s="79">
        <v>1284049</v>
      </c>
      <c r="F1431" s="80">
        <v>1255807.5</v>
      </c>
      <c r="G1431" s="66">
        <v>1742.5970684117376</v>
      </c>
      <c r="H1431" s="67">
        <v>3</v>
      </c>
      <c r="I1431" s="68" t="s">
        <v>20</v>
      </c>
      <c r="J1431" s="69">
        <v>40</v>
      </c>
      <c r="K1431" s="70">
        <v>3</v>
      </c>
      <c r="L1431" s="68">
        <v>1</v>
      </c>
      <c r="M1431" s="68">
        <f>_xlfn.XLOOKUP(Survey!$F1431,sections[Start],sections[Test Section],,-1,1)</f>
        <v>5</v>
      </c>
      <c r="N1431" s="55">
        <f>_xlfn.XLOOKUP(Survey!$K1431,pipedata[ID],pipedata[WT])</f>
        <v>0.88800000000000001</v>
      </c>
      <c r="O1431" s="56">
        <f>_xlfn.XLOOKUP(Survey!$K1431,pipedata[ID],pipedata[104%])</f>
        <v>3078.4</v>
      </c>
      <c r="P1431" s="57">
        <f t="shared" si="22"/>
        <v>1850</v>
      </c>
      <c r="Q1431" s="58">
        <f>_xlfn.MAXIFS(Survey!$G$2:$G$3647,Survey!$M$2:$M$3647,Survey!$M1431)-Survey!$G1431</f>
        <v>1992.7797709135336</v>
      </c>
      <c r="R1431" s="59">
        <f>Survey!$P1431+(Survey!$Q1431*0.433)</f>
        <v>2712.8736408055602</v>
      </c>
    </row>
    <row r="1432" spans="1:18" x14ac:dyDescent="0.25">
      <c r="A1432" s="71" t="s">
        <v>17</v>
      </c>
      <c r="B1432" s="72" t="s">
        <v>18</v>
      </c>
      <c r="C1432" s="73" t="s">
        <v>19</v>
      </c>
      <c r="D1432" s="74">
        <v>237.66073276452482</v>
      </c>
      <c r="E1432" s="81">
        <v>1284089</v>
      </c>
      <c r="F1432" s="82">
        <v>1255845.875</v>
      </c>
      <c r="G1432" s="75">
        <v>1744.7317370090448</v>
      </c>
      <c r="H1432" s="76">
        <v>3</v>
      </c>
      <c r="I1432" s="54" t="s">
        <v>20</v>
      </c>
      <c r="J1432" s="77">
        <v>40</v>
      </c>
      <c r="K1432" s="78">
        <v>3</v>
      </c>
      <c r="L1432" s="54">
        <v>1</v>
      </c>
      <c r="M1432" s="54">
        <f>_xlfn.XLOOKUP(Survey!$F1432,sections[Start],sections[Test Section],,-1,1)</f>
        <v>5</v>
      </c>
      <c r="N1432" s="55">
        <f>_xlfn.XLOOKUP(Survey!$K1432,pipedata[ID],pipedata[WT])</f>
        <v>0.88800000000000001</v>
      </c>
      <c r="O1432" s="56">
        <f>_xlfn.XLOOKUP(Survey!$K1432,pipedata[ID],pipedata[104%])</f>
        <v>3078.4</v>
      </c>
      <c r="P1432" s="57">
        <f t="shared" si="22"/>
        <v>1850</v>
      </c>
      <c r="Q1432" s="58">
        <f>_xlfn.MAXIFS(Survey!$G$2:$G$3647,Survey!$M$2:$M$3647,Survey!$M1432)-Survey!$G1432</f>
        <v>1990.6451023162265</v>
      </c>
      <c r="R1432" s="59">
        <f>Survey!$P1432+(Survey!$Q1432*0.433)</f>
        <v>2711.9493293029263</v>
      </c>
    </row>
    <row r="1433" spans="1:18" x14ac:dyDescent="0.25">
      <c r="A1433" s="60" t="s">
        <v>17</v>
      </c>
      <c r="B1433" s="61" t="s">
        <v>18</v>
      </c>
      <c r="C1433" s="62" t="s">
        <v>19</v>
      </c>
      <c r="D1433" s="63">
        <v>237.66844733306388</v>
      </c>
      <c r="E1433" s="79">
        <v>1284129</v>
      </c>
      <c r="F1433" s="80">
        <v>1255884.25</v>
      </c>
      <c r="G1433" s="66">
        <v>1742.824910938426</v>
      </c>
      <c r="H1433" s="67">
        <v>3</v>
      </c>
      <c r="I1433" s="68" t="s">
        <v>20</v>
      </c>
      <c r="J1433" s="69">
        <v>40</v>
      </c>
      <c r="K1433" s="70">
        <v>3</v>
      </c>
      <c r="L1433" s="68">
        <v>1</v>
      </c>
      <c r="M1433" s="68">
        <f>_xlfn.XLOOKUP(Survey!$F1433,sections[Start],sections[Test Section],,-1,1)</f>
        <v>5</v>
      </c>
      <c r="N1433" s="55">
        <f>_xlfn.XLOOKUP(Survey!$K1433,pipedata[ID],pipedata[WT])</f>
        <v>0.88800000000000001</v>
      </c>
      <c r="O1433" s="56">
        <f>_xlfn.XLOOKUP(Survey!$K1433,pipedata[ID],pipedata[104%])</f>
        <v>3078.4</v>
      </c>
      <c r="P1433" s="57">
        <f t="shared" si="22"/>
        <v>1850</v>
      </c>
      <c r="Q1433" s="58">
        <f>_xlfn.MAXIFS(Survey!$G$2:$G$3647,Survey!$M$2:$M$3647,Survey!$M1433)-Survey!$G1433</f>
        <v>1992.5519283868452</v>
      </c>
      <c r="R1433" s="59">
        <f>Survey!$P1433+(Survey!$Q1433*0.433)</f>
        <v>2712.774984991504</v>
      </c>
    </row>
    <row r="1434" spans="1:18" x14ac:dyDescent="0.25">
      <c r="A1434" s="71" t="s">
        <v>17</v>
      </c>
      <c r="B1434" s="72" t="s">
        <v>18</v>
      </c>
      <c r="C1434" s="73" t="s">
        <v>19</v>
      </c>
      <c r="D1434" s="74">
        <v>237.67616190160328</v>
      </c>
      <c r="E1434" s="81">
        <v>1284169</v>
      </c>
      <c r="F1434" s="82">
        <v>1255922.625</v>
      </c>
      <c r="G1434" s="75">
        <v>1749.5187432494145</v>
      </c>
      <c r="H1434" s="76">
        <v>3</v>
      </c>
      <c r="I1434" s="54" t="s">
        <v>20</v>
      </c>
      <c r="J1434" s="77">
        <v>40</v>
      </c>
      <c r="K1434" s="78">
        <v>3</v>
      </c>
      <c r="L1434" s="54">
        <v>1</v>
      </c>
      <c r="M1434" s="54">
        <f>_xlfn.XLOOKUP(Survey!$F1434,sections[Start],sections[Test Section],,-1,1)</f>
        <v>5</v>
      </c>
      <c r="N1434" s="55">
        <f>_xlfn.XLOOKUP(Survey!$K1434,pipedata[ID],pipedata[WT])</f>
        <v>0.88800000000000001</v>
      </c>
      <c r="O1434" s="56">
        <f>_xlfn.XLOOKUP(Survey!$K1434,pipedata[ID],pipedata[104%])</f>
        <v>3078.4</v>
      </c>
      <c r="P1434" s="57">
        <f t="shared" si="22"/>
        <v>1850</v>
      </c>
      <c r="Q1434" s="58">
        <f>_xlfn.MAXIFS(Survey!$G$2:$G$3647,Survey!$M$2:$M$3647,Survey!$M1434)-Survey!$G1434</f>
        <v>1985.8580960758568</v>
      </c>
      <c r="R1434" s="59">
        <f>Survey!$P1434+(Survey!$Q1434*0.433)</f>
        <v>2709.8765556008461</v>
      </c>
    </row>
    <row r="1435" spans="1:18" x14ac:dyDescent="0.25">
      <c r="A1435" s="60" t="s">
        <v>17</v>
      </c>
      <c r="B1435" s="61" t="s">
        <v>18</v>
      </c>
      <c r="C1435" s="62" t="s">
        <v>19</v>
      </c>
      <c r="D1435" s="63">
        <v>237.68387647014217</v>
      </c>
      <c r="E1435" s="79">
        <v>1284209</v>
      </c>
      <c r="F1435" s="80">
        <v>1255961</v>
      </c>
      <c r="G1435" s="66">
        <v>1762.3682129947892</v>
      </c>
      <c r="H1435" s="67">
        <v>3</v>
      </c>
      <c r="I1435" s="68" t="s">
        <v>20</v>
      </c>
      <c r="J1435" s="69">
        <v>40</v>
      </c>
      <c r="K1435" s="70">
        <v>3</v>
      </c>
      <c r="L1435" s="68">
        <v>1</v>
      </c>
      <c r="M1435" s="68">
        <f>_xlfn.XLOOKUP(Survey!$F1435,sections[Start],sections[Test Section],,-1,1)</f>
        <v>5</v>
      </c>
      <c r="N1435" s="55">
        <f>_xlfn.XLOOKUP(Survey!$K1435,pipedata[ID],pipedata[WT])</f>
        <v>0.88800000000000001</v>
      </c>
      <c r="O1435" s="56">
        <f>_xlfn.XLOOKUP(Survey!$K1435,pipedata[ID],pipedata[104%])</f>
        <v>3078.4</v>
      </c>
      <c r="P1435" s="57">
        <f t="shared" si="22"/>
        <v>1850</v>
      </c>
      <c r="Q1435" s="58">
        <f>_xlfn.MAXIFS(Survey!$G$2:$G$3647,Survey!$M$2:$M$3647,Survey!$M1435)-Survey!$G1435</f>
        <v>1973.008626330482</v>
      </c>
      <c r="R1435" s="59">
        <f>Survey!$P1435+(Survey!$Q1435*0.433)</f>
        <v>2704.3127352010988</v>
      </c>
    </row>
    <row r="1436" spans="1:18" x14ac:dyDescent="0.25">
      <c r="A1436" s="71" t="s">
        <v>17</v>
      </c>
      <c r="B1436" s="72" t="s">
        <v>18</v>
      </c>
      <c r="C1436" s="73" t="s">
        <v>19</v>
      </c>
      <c r="D1436" s="74">
        <v>237.69058917758068</v>
      </c>
      <c r="E1436" s="81">
        <v>1284249</v>
      </c>
      <c r="F1436" s="82">
        <v>1255999.375</v>
      </c>
      <c r="G1436" s="75">
        <v>1779.7058722490383</v>
      </c>
      <c r="H1436" s="76">
        <v>3</v>
      </c>
      <c r="I1436" s="54" t="s">
        <v>20</v>
      </c>
      <c r="J1436" s="77">
        <v>40</v>
      </c>
      <c r="K1436" s="78">
        <v>3</v>
      </c>
      <c r="L1436" s="54">
        <v>1</v>
      </c>
      <c r="M1436" s="54">
        <f>_xlfn.XLOOKUP(Survey!$F1436,sections[Start],sections[Test Section],,-1,1)</f>
        <v>5</v>
      </c>
      <c r="N1436" s="55">
        <f>_xlfn.XLOOKUP(Survey!$K1436,pipedata[ID],pipedata[WT])</f>
        <v>0.88800000000000001</v>
      </c>
      <c r="O1436" s="56">
        <f>_xlfn.XLOOKUP(Survey!$K1436,pipedata[ID],pipedata[104%])</f>
        <v>3078.4</v>
      </c>
      <c r="P1436" s="57">
        <f t="shared" si="22"/>
        <v>1850</v>
      </c>
      <c r="Q1436" s="58">
        <f>_xlfn.MAXIFS(Survey!$G$2:$G$3647,Survey!$M$2:$M$3647,Survey!$M1436)-Survey!$G1436</f>
        <v>1955.670967076233</v>
      </c>
      <c r="R1436" s="59">
        <f>Survey!$P1436+(Survey!$Q1436*0.433)</f>
        <v>2696.8055287440088</v>
      </c>
    </row>
    <row r="1437" spans="1:18" x14ac:dyDescent="0.25">
      <c r="A1437" s="60" t="s">
        <v>17</v>
      </c>
      <c r="B1437" s="61" t="s">
        <v>18</v>
      </c>
      <c r="C1437" s="62" t="s">
        <v>19</v>
      </c>
      <c r="D1437" s="63">
        <v>237.69716682762251</v>
      </c>
      <c r="E1437" s="79">
        <v>1284289</v>
      </c>
      <c r="F1437" s="80">
        <v>1256037.75</v>
      </c>
      <c r="G1437" s="66">
        <v>1798.4504045520368</v>
      </c>
      <c r="H1437" s="67">
        <v>3</v>
      </c>
      <c r="I1437" s="68" t="s">
        <v>20</v>
      </c>
      <c r="J1437" s="69">
        <v>40</v>
      </c>
      <c r="K1437" s="70">
        <v>3</v>
      </c>
      <c r="L1437" s="68">
        <v>1</v>
      </c>
      <c r="M1437" s="68">
        <f>_xlfn.XLOOKUP(Survey!$F1437,sections[Start],sections[Test Section],,-1,1)</f>
        <v>5</v>
      </c>
      <c r="N1437" s="55">
        <f>_xlfn.XLOOKUP(Survey!$K1437,pipedata[ID],pipedata[WT])</f>
        <v>0.88800000000000001</v>
      </c>
      <c r="O1437" s="56">
        <f>_xlfn.XLOOKUP(Survey!$K1437,pipedata[ID],pipedata[104%])</f>
        <v>3078.4</v>
      </c>
      <c r="P1437" s="57">
        <f t="shared" si="22"/>
        <v>1850</v>
      </c>
      <c r="Q1437" s="58">
        <f>_xlfn.MAXIFS(Survey!$G$2:$G$3647,Survey!$M$2:$M$3647,Survey!$M1437)-Survey!$G1437</f>
        <v>1936.9264347732344</v>
      </c>
      <c r="R1437" s="59">
        <f>Survey!$P1437+(Survey!$Q1437*0.433)</f>
        <v>2688.6891462568105</v>
      </c>
    </row>
    <row r="1438" spans="1:18" x14ac:dyDescent="0.25">
      <c r="A1438" s="71" t="s">
        <v>17</v>
      </c>
      <c r="B1438" s="72" t="s">
        <v>18</v>
      </c>
      <c r="C1438" s="73" t="s">
        <v>19</v>
      </c>
      <c r="D1438" s="74">
        <v>237.70353787704107</v>
      </c>
      <c r="E1438" s="81">
        <v>1284329</v>
      </c>
      <c r="F1438" s="82">
        <v>1256076.125</v>
      </c>
      <c r="G1438" s="75">
        <v>1811.3627025617036</v>
      </c>
      <c r="H1438" s="76">
        <v>3</v>
      </c>
      <c r="I1438" s="54" t="s">
        <v>20</v>
      </c>
      <c r="J1438" s="77">
        <v>40</v>
      </c>
      <c r="K1438" s="78">
        <v>3</v>
      </c>
      <c r="L1438" s="54">
        <v>1</v>
      </c>
      <c r="M1438" s="54">
        <f>_xlfn.XLOOKUP(Survey!$F1438,sections[Start],sections[Test Section],,-1,1)</f>
        <v>5</v>
      </c>
      <c r="N1438" s="55">
        <f>_xlfn.XLOOKUP(Survey!$K1438,pipedata[ID],pipedata[WT])</f>
        <v>0.88800000000000001</v>
      </c>
      <c r="O1438" s="56">
        <f>_xlfn.XLOOKUP(Survey!$K1438,pipedata[ID],pipedata[104%])</f>
        <v>3078.4</v>
      </c>
      <c r="P1438" s="57">
        <f t="shared" si="22"/>
        <v>1850</v>
      </c>
      <c r="Q1438" s="58">
        <f>_xlfn.MAXIFS(Survey!$G$2:$G$3647,Survey!$M$2:$M$3647,Survey!$M1438)-Survey!$G1438</f>
        <v>1924.0141367635676</v>
      </c>
      <c r="R1438" s="59">
        <f>Survey!$P1438+(Survey!$Q1438*0.433)</f>
        <v>2683.0981212186248</v>
      </c>
    </row>
    <row r="1439" spans="1:18" x14ac:dyDescent="0.25">
      <c r="A1439" s="60" t="s">
        <v>17</v>
      </c>
      <c r="B1439" s="61" t="s">
        <v>18</v>
      </c>
      <c r="C1439" s="62" t="s">
        <v>19</v>
      </c>
      <c r="D1439" s="63">
        <v>237.71227297040932</v>
      </c>
      <c r="E1439" s="79">
        <v>1284369</v>
      </c>
      <c r="F1439" s="80">
        <v>1256114.5</v>
      </c>
      <c r="G1439" s="66">
        <v>1819.1592956815248</v>
      </c>
      <c r="H1439" s="67">
        <v>3</v>
      </c>
      <c r="I1439" s="68" t="s">
        <v>20</v>
      </c>
      <c r="J1439" s="69">
        <v>40</v>
      </c>
      <c r="K1439" s="70">
        <v>3</v>
      </c>
      <c r="L1439" s="68">
        <v>1</v>
      </c>
      <c r="M1439" s="68">
        <f>_xlfn.XLOOKUP(Survey!$F1439,sections[Start],sections[Test Section],,-1,1)</f>
        <v>5</v>
      </c>
      <c r="N1439" s="55">
        <f>_xlfn.XLOOKUP(Survey!$K1439,pipedata[ID],pipedata[WT])</f>
        <v>0.88800000000000001</v>
      </c>
      <c r="O1439" s="56">
        <f>_xlfn.XLOOKUP(Survey!$K1439,pipedata[ID],pipedata[104%])</f>
        <v>3078.4</v>
      </c>
      <c r="P1439" s="57">
        <f t="shared" si="22"/>
        <v>1850</v>
      </c>
      <c r="Q1439" s="58">
        <f>_xlfn.MAXIFS(Survey!$G$2:$G$3647,Survey!$M$2:$M$3647,Survey!$M1439)-Survey!$G1439</f>
        <v>1916.2175436437465</v>
      </c>
      <c r="R1439" s="59">
        <f>Survey!$P1439+(Survey!$Q1439*0.433)</f>
        <v>2679.7221963977422</v>
      </c>
    </row>
    <row r="1440" spans="1:18" x14ac:dyDescent="0.25">
      <c r="A1440" s="71" t="s">
        <v>17</v>
      </c>
      <c r="B1440" s="72" t="s">
        <v>18</v>
      </c>
      <c r="C1440" s="73" t="s">
        <v>19</v>
      </c>
      <c r="D1440" s="74">
        <v>237.71986540271556</v>
      </c>
      <c r="E1440" s="81">
        <v>1284409</v>
      </c>
      <c r="F1440" s="82">
        <v>1256152.875</v>
      </c>
      <c r="G1440" s="75">
        <v>1821.9539607063066</v>
      </c>
      <c r="H1440" s="76">
        <v>3</v>
      </c>
      <c r="I1440" s="54" t="s">
        <v>20</v>
      </c>
      <c r="J1440" s="77">
        <v>40</v>
      </c>
      <c r="K1440" s="78">
        <v>3</v>
      </c>
      <c r="L1440" s="54">
        <v>1</v>
      </c>
      <c r="M1440" s="54">
        <f>_xlfn.XLOOKUP(Survey!$F1440,sections[Start],sections[Test Section],,-1,1)</f>
        <v>5</v>
      </c>
      <c r="N1440" s="55">
        <f>_xlfn.XLOOKUP(Survey!$K1440,pipedata[ID],pipedata[WT])</f>
        <v>0.88800000000000001</v>
      </c>
      <c r="O1440" s="56">
        <f>_xlfn.XLOOKUP(Survey!$K1440,pipedata[ID],pipedata[104%])</f>
        <v>3078.4</v>
      </c>
      <c r="P1440" s="57">
        <f t="shared" si="22"/>
        <v>1850</v>
      </c>
      <c r="Q1440" s="58">
        <f>_xlfn.MAXIFS(Survey!$G$2:$G$3647,Survey!$M$2:$M$3647,Survey!$M1440)-Survey!$G1440</f>
        <v>1913.4228786189647</v>
      </c>
      <c r="R1440" s="59">
        <f>Survey!$P1440+(Survey!$Q1440*0.433)</f>
        <v>2678.5121064420118</v>
      </c>
    </row>
    <row r="1441" spans="1:18" x14ac:dyDescent="0.25">
      <c r="A1441" s="60" t="s">
        <v>17</v>
      </c>
      <c r="B1441" s="61" t="s">
        <v>18</v>
      </c>
      <c r="C1441" s="62" t="s">
        <v>19</v>
      </c>
      <c r="D1441" s="63">
        <v>237.72745783502182</v>
      </c>
      <c r="E1441" s="79">
        <v>1284449</v>
      </c>
      <c r="F1441" s="80">
        <v>1256191.25</v>
      </c>
      <c r="G1441" s="66">
        <v>1821.8194758847746</v>
      </c>
      <c r="H1441" s="67">
        <v>3</v>
      </c>
      <c r="I1441" s="68" t="s">
        <v>20</v>
      </c>
      <c r="J1441" s="69">
        <v>40</v>
      </c>
      <c r="K1441" s="70">
        <v>3</v>
      </c>
      <c r="L1441" s="68">
        <v>1</v>
      </c>
      <c r="M1441" s="68">
        <f>_xlfn.XLOOKUP(Survey!$F1441,sections[Start],sections[Test Section],,-1,1)</f>
        <v>5</v>
      </c>
      <c r="N1441" s="55">
        <f>_xlfn.XLOOKUP(Survey!$K1441,pipedata[ID],pipedata[WT])</f>
        <v>0.88800000000000001</v>
      </c>
      <c r="O1441" s="56">
        <f>_xlfn.XLOOKUP(Survey!$K1441,pipedata[ID],pipedata[104%])</f>
        <v>3078.4</v>
      </c>
      <c r="P1441" s="57">
        <f t="shared" si="22"/>
        <v>1850</v>
      </c>
      <c r="Q1441" s="58">
        <f>_xlfn.MAXIFS(Survey!$G$2:$G$3647,Survey!$M$2:$M$3647,Survey!$M1441)-Survey!$G1441</f>
        <v>1913.5573634404966</v>
      </c>
      <c r="R1441" s="59">
        <f>Survey!$P1441+(Survey!$Q1441*0.433)</f>
        <v>2678.5703383697351</v>
      </c>
    </row>
    <row r="1442" spans="1:18" x14ac:dyDescent="0.25">
      <c r="A1442" s="71" t="s">
        <v>17</v>
      </c>
      <c r="B1442" s="72" t="s">
        <v>18</v>
      </c>
      <c r="C1442" s="73" t="s">
        <v>19</v>
      </c>
      <c r="D1442" s="74">
        <v>237.73505026732809</v>
      </c>
      <c r="E1442" s="81">
        <v>1284489</v>
      </c>
      <c r="F1442" s="82">
        <v>1256229.625</v>
      </c>
      <c r="G1442" s="75">
        <v>1820.0494197837072</v>
      </c>
      <c r="H1442" s="76">
        <v>3</v>
      </c>
      <c r="I1442" s="54" t="s">
        <v>20</v>
      </c>
      <c r="J1442" s="77">
        <v>40</v>
      </c>
      <c r="K1442" s="78">
        <v>3</v>
      </c>
      <c r="L1442" s="54">
        <v>1</v>
      </c>
      <c r="M1442" s="54">
        <f>_xlfn.XLOOKUP(Survey!$F1442,sections[Start],sections[Test Section],,-1,1)</f>
        <v>5</v>
      </c>
      <c r="N1442" s="55">
        <f>_xlfn.XLOOKUP(Survey!$K1442,pipedata[ID],pipedata[WT])</f>
        <v>0.88800000000000001</v>
      </c>
      <c r="O1442" s="56">
        <f>_xlfn.XLOOKUP(Survey!$K1442,pipedata[ID],pipedata[104%])</f>
        <v>3078.4</v>
      </c>
      <c r="P1442" s="57">
        <f t="shared" si="22"/>
        <v>1850</v>
      </c>
      <c r="Q1442" s="58">
        <f>_xlfn.MAXIFS(Survey!$G$2:$G$3647,Survey!$M$2:$M$3647,Survey!$M1442)-Survey!$G1442</f>
        <v>1915.327419541564</v>
      </c>
      <c r="R1442" s="59">
        <f>Survey!$P1442+(Survey!$Q1442*0.433)</f>
        <v>2679.336772661497</v>
      </c>
    </row>
    <row r="1443" spans="1:18" x14ac:dyDescent="0.25">
      <c r="A1443" s="60" t="s">
        <v>17</v>
      </c>
      <c r="B1443" s="61" t="s">
        <v>18</v>
      </c>
      <c r="C1443" s="62" t="s">
        <v>19</v>
      </c>
      <c r="D1443" s="63">
        <v>237.7419489846944</v>
      </c>
      <c r="E1443" s="79">
        <v>1284529</v>
      </c>
      <c r="F1443" s="80">
        <v>1256268</v>
      </c>
      <c r="G1443" s="66">
        <v>1817.7592359998775</v>
      </c>
      <c r="H1443" s="67">
        <v>3</v>
      </c>
      <c r="I1443" s="68" t="s">
        <v>20</v>
      </c>
      <c r="J1443" s="69">
        <v>40</v>
      </c>
      <c r="K1443" s="70">
        <v>3</v>
      </c>
      <c r="L1443" s="68">
        <v>1</v>
      </c>
      <c r="M1443" s="68">
        <f>_xlfn.XLOOKUP(Survey!$F1443,sections[Start],sections[Test Section],,-1,1)</f>
        <v>5</v>
      </c>
      <c r="N1443" s="55">
        <f>_xlfn.XLOOKUP(Survey!$K1443,pipedata[ID],pipedata[WT])</f>
        <v>0.88800000000000001</v>
      </c>
      <c r="O1443" s="56">
        <f>_xlfn.XLOOKUP(Survey!$K1443,pipedata[ID],pipedata[104%])</f>
        <v>3078.4</v>
      </c>
      <c r="P1443" s="57">
        <f t="shared" si="22"/>
        <v>1850</v>
      </c>
      <c r="Q1443" s="58">
        <f>_xlfn.MAXIFS(Survey!$G$2:$G$3647,Survey!$M$2:$M$3647,Survey!$M1443)-Survey!$G1443</f>
        <v>1917.6176033253937</v>
      </c>
      <c r="R1443" s="59">
        <f>Survey!$P1443+(Survey!$Q1443*0.433)</f>
        <v>2680.3284222398952</v>
      </c>
    </row>
    <row r="1444" spans="1:18" x14ac:dyDescent="0.25">
      <c r="A1444" s="71" t="s">
        <v>17</v>
      </c>
      <c r="B1444" s="72" t="s">
        <v>18</v>
      </c>
      <c r="C1444" s="73" t="s">
        <v>19</v>
      </c>
      <c r="D1444" s="74">
        <v>237.74881756786522</v>
      </c>
      <c r="E1444" s="81">
        <v>1284569</v>
      </c>
      <c r="F1444" s="82">
        <v>1256306.375</v>
      </c>
      <c r="G1444" s="75">
        <v>1817.0015868792721</v>
      </c>
      <c r="H1444" s="76">
        <v>3</v>
      </c>
      <c r="I1444" s="54" t="s">
        <v>20</v>
      </c>
      <c r="J1444" s="77">
        <v>40</v>
      </c>
      <c r="K1444" s="78">
        <v>3</v>
      </c>
      <c r="L1444" s="54">
        <v>1</v>
      </c>
      <c r="M1444" s="54">
        <f>_xlfn.XLOOKUP(Survey!$F1444,sections[Start],sections[Test Section],,-1,1)</f>
        <v>5</v>
      </c>
      <c r="N1444" s="55">
        <f>_xlfn.XLOOKUP(Survey!$K1444,pipedata[ID],pipedata[WT])</f>
        <v>0.88800000000000001</v>
      </c>
      <c r="O1444" s="56">
        <f>_xlfn.XLOOKUP(Survey!$K1444,pipedata[ID],pipedata[104%])</f>
        <v>3078.4</v>
      </c>
      <c r="P1444" s="57">
        <f t="shared" si="22"/>
        <v>1850</v>
      </c>
      <c r="Q1444" s="58">
        <f>_xlfn.MAXIFS(Survey!$G$2:$G$3647,Survey!$M$2:$M$3647,Survey!$M1444)-Survey!$G1444</f>
        <v>1918.3752524459992</v>
      </c>
      <c r="R1444" s="59">
        <f>Survey!$P1444+(Survey!$Q1444*0.433)</f>
        <v>2680.6564843091178</v>
      </c>
    </row>
    <row r="1445" spans="1:18" x14ac:dyDescent="0.25">
      <c r="A1445" s="60" t="s">
        <v>17</v>
      </c>
      <c r="B1445" s="61" t="s">
        <v>18</v>
      </c>
      <c r="C1445" s="62" t="s">
        <v>19</v>
      </c>
      <c r="D1445" s="63">
        <v>237.75748815123498</v>
      </c>
      <c r="E1445" s="79">
        <v>1284609</v>
      </c>
      <c r="F1445" s="80">
        <v>1256344.75</v>
      </c>
      <c r="G1445" s="66">
        <v>1816.8028275230747</v>
      </c>
      <c r="H1445" s="67">
        <v>3</v>
      </c>
      <c r="I1445" s="68" t="s">
        <v>20</v>
      </c>
      <c r="J1445" s="69">
        <v>40</v>
      </c>
      <c r="K1445" s="70">
        <v>3</v>
      </c>
      <c r="L1445" s="68">
        <v>1</v>
      </c>
      <c r="M1445" s="68">
        <f>_xlfn.XLOOKUP(Survey!$F1445,sections[Start],sections[Test Section],,-1,1)</f>
        <v>5</v>
      </c>
      <c r="N1445" s="55">
        <f>_xlfn.XLOOKUP(Survey!$K1445,pipedata[ID],pipedata[WT])</f>
        <v>0.88800000000000001</v>
      </c>
      <c r="O1445" s="56">
        <f>_xlfn.XLOOKUP(Survey!$K1445,pipedata[ID],pipedata[104%])</f>
        <v>3078.4</v>
      </c>
      <c r="P1445" s="57">
        <f t="shared" si="22"/>
        <v>1850</v>
      </c>
      <c r="Q1445" s="58">
        <f>_xlfn.MAXIFS(Survey!$G$2:$G$3647,Survey!$M$2:$M$3647,Survey!$M1445)-Survey!$G1445</f>
        <v>1918.5740118021965</v>
      </c>
      <c r="R1445" s="59">
        <f>Survey!$P1445+(Survey!$Q1445*0.433)</f>
        <v>2680.7425471103511</v>
      </c>
    </row>
    <row r="1446" spans="1:18" x14ac:dyDescent="0.25">
      <c r="A1446" s="71" t="s">
        <v>17</v>
      </c>
      <c r="B1446" s="72" t="s">
        <v>18</v>
      </c>
      <c r="C1446" s="73" t="s">
        <v>19</v>
      </c>
      <c r="D1446" s="74">
        <v>237.76370381785139</v>
      </c>
      <c r="E1446" s="81">
        <v>1284649</v>
      </c>
      <c r="F1446" s="82">
        <v>1256383.125</v>
      </c>
      <c r="G1446" s="75">
        <v>1814.1968362546581</v>
      </c>
      <c r="H1446" s="76">
        <v>3</v>
      </c>
      <c r="I1446" s="54" t="s">
        <v>20</v>
      </c>
      <c r="J1446" s="77">
        <v>40</v>
      </c>
      <c r="K1446" s="78">
        <v>3</v>
      </c>
      <c r="L1446" s="54">
        <v>1</v>
      </c>
      <c r="M1446" s="54">
        <f>_xlfn.XLOOKUP(Survey!$F1446,sections[Start],sections[Test Section],,-1,1)</f>
        <v>5</v>
      </c>
      <c r="N1446" s="55">
        <f>_xlfn.XLOOKUP(Survey!$K1446,pipedata[ID],pipedata[WT])</f>
        <v>0.88800000000000001</v>
      </c>
      <c r="O1446" s="56">
        <f>_xlfn.XLOOKUP(Survey!$K1446,pipedata[ID],pipedata[104%])</f>
        <v>3078.4</v>
      </c>
      <c r="P1446" s="57">
        <f t="shared" si="22"/>
        <v>1850</v>
      </c>
      <c r="Q1446" s="58">
        <f>_xlfn.MAXIFS(Survey!$G$2:$G$3647,Survey!$M$2:$M$3647,Survey!$M1446)-Survey!$G1446</f>
        <v>1921.1800030706131</v>
      </c>
      <c r="R1446" s="59">
        <f>Survey!$P1446+(Survey!$Q1446*0.433)</f>
        <v>2681.8709413295755</v>
      </c>
    </row>
    <row r="1447" spans="1:18" x14ac:dyDescent="0.25">
      <c r="A1447" s="60" t="s">
        <v>17</v>
      </c>
      <c r="B1447" s="61" t="s">
        <v>18</v>
      </c>
      <c r="C1447" s="62" t="s">
        <v>19</v>
      </c>
      <c r="D1447" s="63">
        <v>237.77270510918709</v>
      </c>
      <c r="E1447" s="79">
        <v>1284689</v>
      </c>
      <c r="F1447" s="80">
        <v>1256421.5</v>
      </c>
      <c r="G1447" s="66">
        <v>1814.1420451302567</v>
      </c>
      <c r="H1447" s="67">
        <v>3</v>
      </c>
      <c r="I1447" s="68" t="s">
        <v>20</v>
      </c>
      <c r="J1447" s="69">
        <v>40</v>
      </c>
      <c r="K1447" s="70">
        <v>3</v>
      </c>
      <c r="L1447" s="68">
        <v>1</v>
      </c>
      <c r="M1447" s="68">
        <f>_xlfn.XLOOKUP(Survey!$F1447,sections[Start],sections[Test Section],,-1,1)</f>
        <v>5</v>
      </c>
      <c r="N1447" s="55">
        <f>_xlfn.XLOOKUP(Survey!$K1447,pipedata[ID],pipedata[WT])</f>
        <v>0.88800000000000001</v>
      </c>
      <c r="O1447" s="56">
        <f>_xlfn.XLOOKUP(Survey!$K1447,pipedata[ID],pipedata[104%])</f>
        <v>3078.4</v>
      </c>
      <c r="P1447" s="57">
        <f t="shared" si="22"/>
        <v>1850</v>
      </c>
      <c r="Q1447" s="58">
        <f>_xlfn.MAXIFS(Survey!$G$2:$G$3647,Survey!$M$2:$M$3647,Survey!$M1447)-Survey!$G1447</f>
        <v>1921.2347941950145</v>
      </c>
      <c r="R1447" s="59">
        <f>Survey!$P1447+(Survey!$Q1447*0.433)</f>
        <v>2681.8946658864415</v>
      </c>
    </row>
    <row r="1448" spans="1:18" x14ac:dyDescent="0.25">
      <c r="A1448" s="71" t="s">
        <v>17</v>
      </c>
      <c r="B1448" s="72" t="s">
        <v>18</v>
      </c>
      <c r="C1448" s="73" t="s">
        <v>19</v>
      </c>
      <c r="D1448" s="74">
        <v>237.77856519984832</v>
      </c>
      <c r="E1448" s="81">
        <v>1284729</v>
      </c>
      <c r="F1448" s="82">
        <v>1256459.875</v>
      </c>
      <c r="G1448" s="75">
        <v>1820.3376789312344</v>
      </c>
      <c r="H1448" s="76">
        <v>3</v>
      </c>
      <c r="I1448" s="54" t="s">
        <v>20</v>
      </c>
      <c r="J1448" s="77">
        <v>40</v>
      </c>
      <c r="K1448" s="78">
        <v>3</v>
      </c>
      <c r="L1448" s="54">
        <v>1</v>
      </c>
      <c r="M1448" s="54">
        <f>_xlfn.XLOOKUP(Survey!$F1448,sections[Start],sections[Test Section],,-1,1)</f>
        <v>5</v>
      </c>
      <c r="N1448" s="55">
        <f>_xlfn.XLOOKUP(Survey!$K1448,pipedata[ID],pipedata[WT])</f>
        <v>0.88800000000000001</v>
      </c>
      <c r="O1448" s="56">
        <f>_xlfn.XLOOKUP(Survey!$K1448,pipedata[ID],pipedata[104%])</f>
        <v>3078.4</v>
      </c>
      <c r="P1448" s="57">
        <f t="shared" si="22"/>
        <v>1850</v>
      </c>
      <c r="Q1448" s="58">
        <f>_xlfn.MAXIFS(Survey!$G$2:$G$3647,Survey!$M$2:$M$3647,Survey!$M1448)-Survey!$G1448</f>
        <v>1915.0391603940368</v>
      </c>
      <c r="R1448" s="59">
        <f>Survey!$P1448+(Survey!$Q1448*0.433)</f>
        <v>2679.2119564506179</v>
      </c>
    </row>
    <row r="1449" spans="1:18" x14ac:dyDescent="0.25">
      <c r="A1449" s="60" t="s">
        <v>17</v>
      </c>
      <c r="B1449" s="61" t="s">
        <v>18</v>
      </c>
      <c r="C1449" s="62" t="s">
        <v>19</v>
      </c>
      <c r="D1449" s="63">
        <v>237.7878685521753</v>
      </c>
      <c r="E1449" s="79">
        <v>1284769</v>
      </c>
      <c r="F1449" s="80">
        <v>1256498.25</v>
      </c>
      <c r="G1449" s="66">
        <v>1823.7741401624705</v>
      </c>
      <c r="H1449" s="67">
        <v>3</v>
      </c>
      <c r="I1449" s="68" t="s">
        <v>20</v>
      </c>
      <c r="J1449" s="69">
        <v>40</v>
      </c>
      <c r="K1449" s="70">
        <v>3</v>
      </c>
      <c r="L1449" s="68">
        <v>1</v>
      </c>
      <c r="M1449" s="68">
        <f>_xlfn.XLOOKUP(Survey!$F1449,sections[Start],sections[Test Section],,-1,1)</f>
        <v>5</v>
      </c>
      <c r="N1449" s="55">
        <f>_xlfn.XLOOKUP(Survey!$K1449,pipedata[ID],pipedata[WT])</f>
        <v>0.88800000000000001</v>
      </c>
      <c r="O1449" s="56">
        <f>_xlfn.XLOOKUP(Survey!$K1449,pipedata[ID],pipedata[104%])</f>
        <v>3078.4</v>
      </c>
      <c r="P1449" s="57">
        <f t="shared" si="22"/>
        <v>1850</v>
      </c>
      <c r="Q1449" s="58">
        <f>_xlfn.MAXIFS(Survey!$G$2:$G$3647,Survey!$M$2:$M$3647,Survey!$M1449)-Survey!$G1449</f>
        <v>1911.6026991628007</v>
      </c>
      <c r="R1449" s="59">
        <f>Survey!$P1449+(Survey!$Q1449*0.433)</f>
        <v>2677.7239687374927</v>
      </c>
    </row>
    <row r="1450" spans="1:18" x14ac:dyDescent="0.25">
      <c r="A1450" s="71" t="s">
        <v>17</v>
      </c>
      <c r="B1450" s="72" t="s">
        <v>18</v>
      </c>
      <c r="C1450" s="73" t="s">
        <v>19</v>
      </c>
      <c r="D1450" s="74">
        <v>237.7948334568253</v>
      </c>
      <c r="E1450" s="64">
        <v>1284809</v>
      </c>
      <c r="F1450" s="65">
        <v>1256536.625</v>
      </c>
      <c r="G1450" s="75">
        <v>1827.0360646180152</v>
      </c>
      <c r="H1450" s="76">
        <v>3</v>
      </c>
      <c r="I1450" s="54" t="s">
        <v>20</v>
      </c>
      <c r="J1450" s="77">
        <v>40</v>
      </c>
      <c r="K1450" s="78">
        <v>3</v>
      </c>
      <c r="L1450" s="54">
        <v>1</v>
      </c>
      <c r="M1450" s="54">
        <f>_xlfn.XLOOKUP(Survey!$F1450,sections[Start],sections[Test Section],,-1,1)</f>
        <v>5</v>
      </c>
      <c r="N1450" s="55">
        <f>_xlfn.XLOOKUP(Survey!$K1450,pipedata[ID],pipedata[WT])</f>
        <v>0.88800000000000001</v>
      </c>
      <c r="O1450" s="56">
        <f>_xlfn.XLOOKUP(Survey!$K1450,pipedata[ID],pipedata[104%])</f>
        <v>3078.4</v>
      </c>
      <c r="P1450" s="57">
        <f t="shared" si="22"/>
        <v>1850</v>
      </c>
      <c r="Q1450" s="58">
        <f>_xlfn.MAXIFS(Survey!$G$2:$G$3647,Survey!$M$2:$M$3647,Survey!$M1450)-Survey!$G1450</f>
        <v>1908.3407747072561</v>
      </c>
      <c r="R1450" s="59">
        <f>Survey!$P1450+(Survey!$Q1450*0.433)</f>
        <v>2676.311555448242</v>
      </c>
    </row>
    <row r="1451" spans="1:18" x14ac:dyDescent="0.25">
      <c r="A1451" s="60" t="s">
        <v>17</v>
      </c>
      <c r="B1451" s="61" t="s">
        <v>18</v>
      </c>
      <c r="C1451" s="62" t="s">
        <v>19</v>
      </c>
      <c r="D1451" s="63">
        <v>237.8019221702005</v>
      </c>
      <c r="E1451" s="64">
        <v>1284849</v>
      </c>
      <c r="F1451" s="65">
        <v>1256575</v>
      </c>
      <c r="G1451" s="66">
        <v>1830.103997017417</v>
      </c>
      <c r="H1451" s="67">
        <v>3</v>
      </c>
      <c r="I1451" s="68" t="s">
        <v>20</v>
      </c>
      <c r="J1451" s="69">
        <v>40</v>
      </c>
      <c r="K1451" s="70">
        <v>3</v>
      </c>
      <c r="L1451" s="68">
        <v>1</v>
      </c>
      <c r="M1451" s="68">
        <f>_xlfn.XLOOKUP(Survey!$F1451,sections[Start],sections[Test Section],,-1,1)</f>
        <v>5</v>
      </c>
      <c r="N1451" s="55">
        <f>_xlfn.XLOOKUP(Survey!$K1451,pipedata[ID],pipedata[WT])</f>
        <v>0.88800000000000001</v>
      </c>
      <c r="O1451" s="56">
        <f>_xlfn.XLOOKUP(Survey!$K1451,pipedata[ID],pipedata[104%])</f>
        <v>3078.4</v>
      </c>
      <c r="P1451" s="57">
        <f t="shared" si="22"/>
        <v>1850</v>
      </c>
      <c r="Q1451" s="58">
        <f>_xlfn.MAXIFS(Survey!$G$2:$G$3647,Survey!$M$2:$M$3647,Survey!$M1451)-Survey!$G1451</f>
        <v>1905.2728423078543</v>
      </c>
      <c r="R1451" s="59">
        <f>Survey!$P1451+(Survey!$Q1451*0.433)</f>
        <v>2674.983140719301</v>
      </c>
    </row>
    <row r="1452" spans="1:18" x14ac:dyDescent="0.25">
      <c r="A1452" s="71" t="s">
        <v>17</v>
      </c>
      <c r="B1452" s="72" t="s">
        <v>18</v>
      </c>
      <c r="C1452" s="73" t="s">
        <v>19</v>
      </c>
      <c r="D1452" s="74">
        <v>237.80987414829011</v>
      </c>
      <c r="E1452" s="81">
        <v>1284889</v>
      </c>
      <c r="F1452" s="82">
        <v>1256613.375</v>
      </c>
      <c r="G1452" s="75">
        <v>1833.1507856226699</v>
      </c>
      <c r="H1452" s="76">
        <v>3</v>
      </c>
      <c r="I1452" s="54" t="s">
        <v>20</v>
      </c>
      <c r="J1452" s="77">
        <v>40</v>
      </c>
      <c r="K1452" s="78">
        <v>3</v>
      </c>
      <c r="L1452" s="54">
        <v>1</v>
      </c>
      <c r="M1452" s="54">
        <f>_xlfn.XLOOKUP(Survey!$F1452,sections[Start],sections[Test Section],,-1,1)</f>
        <v>5</v>
      </c>
      <c r="N1452" s="55">
        <f>_xlfn.XLOOKUP(Survey!$K1452,pipedata[ID],pipedata[WT])</f>
        <v>0.88800000000000001</v>
      </c>
      <c r="O1452" s="56">
        <f>_xlfn.XLOOKUP(Survey!$K1452,pipedata[ID],pipedata[104%])</f>
        <v>3078.4</v>
      </c>
      <c r="P1452" s="57">
        <f t="shared" si="22"/>
        <v>1850</v>
      </c>
      <c r="Q1452" s="58">
        <f>_xlfn.MAXIFS(Survey!$G$2:$G$3647,Survey!$M$2:$M$3647,Survey!$M1452)-Survey!$G1452</f>
        <v>1902.2260537026013</v>
      </c>
      <c r="R1452" s="59">
        <f>Survey!$P1452+(Survey!$Q1452*0.433)</f>
        <v>2673.6638812532265</v>
      </c>
    </row>
    <row r="1453" spans="1:18" x14ac:dyDescent="0.25">
      <c r="A1453" s="60" t="s">
        <v>17</v>
      </c>
      <c r="B1453" s="61" t="s">
        <v>18</v>
      </c>
      <c r="C1453" s="62" t="s">
        <v>19</v>
      </c>
      <c r="D1453" s="63">
        <v>237.81620887858708</v>
      </c>
      <c r="E1453" s="79">
        <v>1284929</v>
      </c>
      <c r="F1453" s="80">
        <v>1256651.75</v>
      </c>
      <c r="G1453" s="66">
        <v>1837.8783665028307</v>
      </c>
      <c r="H1453" s="67">
        <v>3</v>
      </c>
      <c r="I1453" s="68" t="s">
        <v>20</v>
      </c>
      <c r="J1453" s="69">
        <v>40</v>
      </c>
      <c r="K1453" s="70">
        <v>3</v>
      </c>
      <c r="L1453" s="68">
        <v>1</v>
      </c>
      <c r="M1453" s="68">
        <f>_xlfn.XLOOKUP(Survey!$F1453,sections[Start],sections[Test Section],,-1,1)</f>
        <v>5</v>
      </c>
      <c r="N1453" s="55">
        <f>_xlfn.XLOOKUP(Survey!$K1453,pipedata[ID],pipedata[WT])</f>
        <v>0.88800000000000001</v>
      </c>
      <c r="O1453" s="56">
        <f>_xlfn.XLOOKUP(Survey!$K1453,pipedata[ID],pipedata[104%])</f>
        <v>3078.4</v>
      </c>
      <c r="P1453" s="57">
        <f t="shared" si="22"/>
        <v>1850</v>
      </c>
      <c r="Q1453" s="58">
        <f>_xlfn.MAXIFS(Survey!$G$2:$G$3647,Survey!$M$2:$M$3647,Survey!$M1453)-Survey!$G1453</f>
        <v>1897.4984728224406</v>
      </c>
      <c r="R1453" s="59">
        <f>Survey!$P1453+(Survey!$Q1453*0.433)</f>
        <v>2671.6168387321168</v>
      </c>
    </row>
    <row r="1454" spans="1:18" x14ac:dyDescent="0.25">
      <c r="A1454" s="71" t="s">
        <v>17</v>
      </c>
      <c r="B1454" s="72" t="s">
        <v>18</v>
      </c>
      <c r="C1454" s="73" t="s">
        <v>19</v>
      </c>
      <c r="D1454" s="74">
        <v>237.82508196147211</v>
      </c>
      <c r="E1454" s="81">
        <v>1284969</v>
      </c>
      <c r="F1454" s="82">
        <v>1256690.125</v>
      </c>
      <c r="G1454" s="75">
        <v>1846.58399714916</v>
      </c>
      <c r="H1454" s="76">
        <v>3</v>
      </c>
      <c r="I1454" s="54" t="s">
        <v>20</v>
      </c>
      <c r="J1454" s="77">
        <v>40</v>
      </c>
      <c r="K1454" s="78">
        <v>3</v>
      </c>
      <c r="L1454" s="54">
        <v>1</v>
      </c>
      <c r="M1454" s="54">
        <f>_xlfn.XLOOKUP(Survey!$F1454,sections[Start],sections[Test Section],,-1,1)</f>
        <v>5</v>
      </c>
      <c r="N1454" s="55">
        <f>_xlfn.XLOOKUP(Survey!$K1454,pipedata[ID],pipedata[WT])</f>
        <v>0.88800000000000001</v>
      </c>
      <c r="O1454" s="56">
        <f>_xlfn.XLOOKUP(Survey!$K1454,pipedata[ID],pipedata[104%])</f>
        <v>3078.4</v>
      </c>
      <c r="P1454" s="57">
        <f t="shared" si="22"/>
        <v>1850</v>
      </c>
      <c r="Q1454" s="58">
        <f>_xlfn.MAXIFS(Survey!$G$2:$G$3647,Survey!$M$2:$M$3647,Survey!$M1454)-Survey!$G1454</f>
        <v>1888.7928421761112</v>
      </c>
      <c r="R1454" s="59">
        <f>Survey!$P1454+(Survey!$Q1454*0.433)</f>
        <v>2667.8473006622562</v>
      </c>
    </row>
    <row r="1455" spans="1:18" x14ac:dyDescent="0.25">
      <c r="A1455" s="60" t="s">
        <v>17</v>
      </c>
      <c r="B1455" s="61" t="s">
        <v>18</v>
      </c>
      <c r="C1455" s="62" t="s">
        <v>19</v>
      </c>
      <c r="D1455" s="63">
        <v>237.8326399281583</v>
      </c>
      <c r="E1455" s="79">
        <v>1285009</v>
      </c>
      <c r="F1455" s="80">
        <v>1256728.5</v>
      </c>
      <c r="G1455" s="66">
        <v>1854.2512753732351</v>
      </c>
      <c r="H1455" s="67">
        <v>3</v>
      </c>
      <c r="I1455" s="68" t="s">
        <v>20</v>
      </c>
      <c r="J1455" s="69">
        <v>40</v>
      </c>
      <c r="K1455" s="70">
        <v>3</v>
      </c>
      <c r="L1455" s="68">
        <v>1</v>
      </c>
      <c r="M1455" s="68">
        <f>_xlfn.XLOOKUP(Survey!$F1455,sections[Start],sections[Test Section],,-1,1)</f>
        <v>5</v>
      </c>
      <c r="N1455" s="55">
        <f>_xlfn.XLOOKUP(Survey!$K1455,pipedata[ID],pipedata[WT])</f>
        <v>0.88800000000000001</v>
      </c>
      <c r="O1455" s="56">
        <f>_xlfn.XLOOKUP(Survey!$K1455,pipedata[ID],pipedata[104%])</f>
        <v>3078.4</v>
      </c>
      <c r="P1455" s="57">
        <f t="shared" si="22"/>
        <v>1850</v>
      </c>
      <c r="Q1455" s="58">
        <f>_xlfn.MAXIFS(Survey!$G$2:$G$3647,Survey!$M$2:$M$3647,Survey!$M1455)-Survey!$G1455</f>
        <v>1881.1255639520361</v>
      </c>
      <c r="R1455" s="59">
        <f>Survey!$P1455+(Survey!$Q1455*0.433)</f>
        <v>2664.5273691912316</v>
      </c>
    </row>
    <row r="1456" spans="1:18" x14ac:dyDescent="0.25">
      <c r="A1456" s="71" t="s">
        <v>17</v>
      </c>
      <c r="B1456" s="72" t="s">
        <v>18</v>
      </c>
      <c r="C1456" s="73" t="s">
        <v>19</v>
      </c>
      <c r="D1456" s="74">
        <v>237.8403355421103</v>
      </c>
      <c r="E1456" s="81">
        <v>1285049</v>
      </c>
      <c r="F1456" s="82">
        <v>1256766.875</v>
      </c>
      <c r="G1456" s="75">
        <v>1858.5750086599139</v>
      </c>
      <c r="H1456" s="76">
        <v>3</v>
      </c>
      <c r="I1456" s="54" t="s">
        <v>20</v>
      </c>
      <c r="J1456" s="77">
        <v>40</v>
      </c>
      <c r="K1456" s="78">
        <v>3</v>
      </c>
      <c r="L1456" s="54">
        <v>1</v>
      </c>
      <c r="M1456" s="54">
        <f>_xlfn.XLOOKUP(Survey!$F1456,sections[Start],sections[Test Section],,-1,1)</f>
        <v>5</v>
      </c>
      <c r="N1456" s="55">
        <f>_xlfn.XLOOKUP(Survey!$K1456,pipedata[ID],pipedata[WT])</f>
        <v>0.88800000000000001</v>
      </c>
      <c r="O1456" s="56">
        <f>_xlfn.XLOOKUP(Survey!$K1456,pipedata[ID],pipedata[104%])</f>
        <v>3078.4</v>
      </c>
      <c r="P1456" s="57">
        <f t="shared" si="22"/>
        <v>1850</v>
      </c>
      <c r="Q1456" s="58">
        <f>_xlfn.MAXIFS(Survey!$G$2:$G$3647,Survey!$M$2:$M$3647,Survey!$M1456)-Survey!$G1456</f>
        <v>1876.8018306653573</v>
      </c>
      <c r="R1456" s="59">
        <f>Survey!$P1456+(Survey!$Q1456*0.433)</f>
        <v>2662.6551926780999</v>
      </c>
    </row>
    <row r="1457" spans="1:18" x14ac:dyDescent="0.25">
      <c r="A1457" s="60" t="s">
        <v>17</v>
      </c>
      <c r="B1457" s="61" t="s">
        <v>18</v>
      </c>
      <c r="C1457" s="62" t="s">
        <v>19</v>
      </c>
      <c r="D1457" s="63">
        <v>237.84734115647885</v>
      </c>
      <c r="E1457" s="79">
        <v>1285089</v>
      </c>
      <c r="F1457" s="80">
        <v>1256805.25</v>
      </c>
      <c r="G1457" s="66">
        <v>1863.6889727104392</v>
      </c>
      <c r="H1457" s="67">
        <v>3</v>
      </c>
      <c r="I1457" s="68" t="s">
        <v>20</v>
      </c>
      <c r="J1457" s="69">
        <v>40</v>
      </c>
      <c r="K1457" s="70">
        <v>3</v>
      </c>
      <c r="L1457" s="68">
        <v>1</v>
      </c>
      <c r="M1457" s="68">
        <f>_xlfn.XLOOKUP(Survey!$F1457,sections[Start],sections[Test Section],,-1,1)</f>
        <v>5</v>
      </c>
      <c r="N1457" s="55">
        <f>_xlfn.XLOOKUP(Survey!$K1457,pipedata[ID],pipedata[WT])</f>
        <v>0.88800000000000001</v>
      </c>
      <c r="O1457" s="56">
        <f>_xlfn.XLOOKUP(Survey!$K1457,pipedata[ID],pipedata[104%])</f>
        <v>3078.4</v>
      </c>
      <c r="P1457" s="57">
        <f t="shared" si="22"/>
        <v>1850</v>
      </c>
      <c r="Q1457" s="58">
        <f>_xlfn.MAXIFS(Survey!$G$2:$G$3647,Survey!$M$2:$M$3647,Survey!$M1457)-Survey!$G1457</f>
        <v>1871.687866614832</v>
      </c>
      <c r="R1457" s="59">
        <f>Survey!$P1457+(Survey!$Q1457*0.433)</f>
        <v>2660.4408462442225</v>
      </c>
    </row>
    <row r="1458" spans="1:18" x14ac:dyDescent="0.25">
      <c r="A1458" s="71" t="s">
        <v>17</v>
      </c>
      <c r="B1458" s="72" t="s">
        <v>18</v>
      </c>
      <c r="C1458" s="73" t="s">
        <v>19</v>
      </c>
      <c r="D1458" s="74">
        <v>237.85518282646808</v>
      </c>
      <c r="E1458" s="81">
        <v>1285129</v>
      </c>
      <c r="F1458" s="82">
        <v>1256843.625</v>
      </c>
      <c r="G1458" s="75">
        <v>1868.042178630209</v>
      </c>
      <c r="H1458" s="76">
        <v>3</v>
      </c>
      <c r="I1458" s="54" t="s">
        <v>20</v>
      </c>
      <c r="J1458" s="77">
        <v>40</v>
      </c>
      <c r="K1458" s="78">
        <v>3</v>
      </c>
      <c r="L1458" s="54">
        <v>1</v>
      </c>
      <c r="M1458" s="54">
        <f>_xlfn.XLOOKUP(Survey!$F1458,sections[Start],sections[Test Section],,-1,1)</f>
        <v>5</v>
      </c>
      <c r="N1458" s="55">
        <f>_xlfn.XLOOKUP(Survey!$K1458,pipedata[ID],pipedata[WT])</f>
        <v>0.88800000000000001</v>
      </c>
      <c r="O1458" s="56">
        <f>_xlfn.XLOOKUP(Survey!$K1458,pipedata[ID],pipedata[104%])</f>
        <v>3078.4</v>
      </c>
      <c r="P1458" s="57">
        <f t="shared" si="22"/>
        <v>1850</v>
      </c>
      <c r="Q1458" s="58">
        <f>_xlfn.MAXIFS(Survey!$G$2:$G$3647,Survey!$M$2:$M$3647,Survey!$M1458)-Survey!$G1458</f>
        <v>1867.3346606950622</v>
      </c>
      <c r="R1458" s="59">
        <f>Survey!$P1458+(Survey!$Q1458*0.433)</f>
        <v>2658.5559080809617</v>
      </c>
    </row>
    <row r="1459" spans="1:18" x14ac:dyDescent="0.25">
      <c r="A1459" s="60" t="s">
        <v>17</v>
      </c>
      <c r="B1459" s="61" t="s">
        <v>18</v>
      </c>
      <c r="C1459" s="62" t="s">
        <v>19</v>
      </c>
      <c r="D1459" s="63">
        <v>237.86123758103085</v>
      </c>
      <c r="E1459" s="79">
        <v>1285169</v>
      </c>
      <c r="F1459" s="80">
        <v>1256882</v>
      </c>
      <c r="G1459" s="66">
        <v>1876.7160733468013</v>
      </c>
      <c r="H1459" s="67">
        <v>3</v>
      </c>
      <c r="I1459" s="68" t="s">
        <v>20</v>
      </c>
      <c r="J1459" s="69">
        <v>40</v>
      </c>
      <c r="K1459" s="70">
        <v>3</v>
      </c>
      <c r="L1459" s="68">
        <v>1</v>
      </c>
      <c r="M1459" s="68">
        <f>_xlfn.XLOOKUP(Survey!$F1459,sections[Start],sections[Test Section],,-1,1)</f>
        <v>5</v>
      </c>
      <c r="N1459" s="55">
        <f>_xlfn.XLOOKUP(Survey!$K1459,pipedata[ID],pipedata[WT])</f>
        <v>0.88800000000000001</v>
      </c>
      <c r="O1459" s="56">
        <f>_xlfn.XLOOKUP(Survey!$K1459,pipedata[ID],pipedata[104%])</f>
        <v>3078.4</v>
      </c>
      <c r="P1459" s="57">
        <f t="shared" si="22"/>
        <v>1850</v>
      </c>
      <c r="Q1459" s="58">
        <f>_xlfn.MAXIFS(Survey!$G$2:$G$3647,Survey!$M$2:$M$3647,Survey!$M1459)-Survey!$G1459</f>
        <v>1858.66076597847</v>
      </c>
      <c r="R1459" s="59">
        <f>Survey!$P1459+(Survey!$Q1459*0.433)</f>
        <v>2654.8001116686773</v>
      </c>
    </row>
    <row r="1460" spans="1:18" x14ac:dyDescent="0.25">
      <c r="A1460" s="71" t="s">
        <v>17</v>
      </c>
      <c r="B1460" s="72" t="s">
        <v>18</v>
      </c>
      <c r="C1460" s="73" t="s">
        <v>19</v>
      </c>
      <c r="D1460" s="74">
        <v>237.86959839659914</v>
      </c>
      <c r="E1460" s="81">
        <v>1285209</v>
      </c>
      <c r="F1460" s="82">
        <v>1256920.375</v>
      </c>
      <c r="G1460" s="75">
        <v>1886.1697273351308</v>
      </c>
      <c r="H1460" s="76">
        <v>3</v>
      </c>
      <c r="I1460" s="54" t="s">
        <v>20</v>
      </c>
      <c r="J1460" s="77">
        <v>40</v>
      </c>
      <c r="K1460" s="78">
        <v>3</v>
      </c>
      <c r="L1460" s="54">
        <v>1</v>
      </c>
      <c r="M1460" s="54">
        <f>_xlfn.XLOOKUP(Survey!$F1460,sections[Start],sections[Test Section],,-1,1)</f>
        <v>5</v>
      </c>
      <c r="N1460" s="55">
        <f>_xlfn.XLOOKUP(Survey!$K1460,pipedata[ID],pipedata[WT])</f>
        <v>0.88800000000000001</v>
      </c>
      <c r="O1460" s="56">
        <f>_xlfn.XLOOKUP(Survey!$K1460,pipedata[ID],pipedata[104%])</f>
        <v>3078.4</v>
      </c>
      <c r="P1460" s="57">
        <f t="shared" si="22"/>
        <v>1850</v>
      </c>
      <c r="Q1460" s="58">
        <f>_xlfn.MAXIFS(Survey!$G$2:$G$3647,Survey!$M$2:$M$3647,Survey!$M1460)-Survey!$G1460</f>
        <v>1849.2071119901404</v>
      </c>
      <c r="R1460" s="59">
        <f>Survey!$P1460+(Survey!$Q1460*0.433)</f>
        <v>2650.7066794917309</v>
      </c>
    </row>
    <row r="1461" spans="1:18" x14ac:dyDescent="0.25">
      <c r="A1461" s="60" t="s">
        <v>17</v>
      </c>
      <c r="B1461" s="61" t="s">
        <v>18</v>
      </c>
      <c r="C1461" s="62" t="s">
        <v>19</v>
      </c>
      <c r="D1461" s="63">
        <v>237.87677614331363</v>
      </c>
      <c r="E1461" s="79">
        <v>1285249</v>
      </c>
      <c r="F1461" s="80">
        <v>1256958.75</v>
      </c>
      <c r="G1461" s="66">
        <v>1898.3429144797797</v>
      </c>
      <c r="H1461" s="67">
        <v>3</v>
      </c>
      <c r="I1461" s="68" t="s">
        <v>20</v>
      </c>
      <c r="J1461" s="69">
        <v>40</v>
      </c>
      <c r="K1461" s="70">
        <v>3</v>
      </c>
      <c r="L1461" s="68">
        <v>1</v>
      </c>
      <c r="M1461" s="68">
        <f>_xlfn.XLOOKUP(Survey!$F1461,sections[Start],sections[Test Section],,-1,1)</f>
        <v>5</v>
      </c>
      <c r="N1461" s="55">
        <f>_xlfn.XLOOKUP(Survey!$K1461,pipedata[ID],pipedata[WT])</f>
        <v>0.88800000000000001</v>
      </c>
      <c r="O1461" s="56">
        <f>_xlfn.XLOOKUP(Survey!$K1461,pipedata[ID],pipedata[104%])</f>
        <v>3078.4</v>
      </c>
      <c r="P1461" s="57">
        <f t="shared" si="22"/>
        <v>1850</v>
      </c>
      <c r="Q1461" s="58">
        <f>_xlfn.MAXIFS(Survey!$G$2:$G$3647,Survey!$M$2:$M$3647,Survey!$M1461)-Survey!$G1461</f>
        <v>1837.0339248454916</v>
      </c>
      <c r="R1461" s="59">
        <f>Survey!$P1461+(Survey!$Q1461*0.433)</f>
        <v>2645.4356894580978</v>
      </c>
    </row>
    <row r="1462" spans="1:18" x14ac:dyDescent="0.25">
      <c r="A1462" s="71" t="s">
        <v>17</v>
      </c>
      <c r="B1462" s="72" t="s">
        <v>18</v>
      </c>
      <c r="C1462" s="73" t="s">
        <v>19</v>
      </c>
      <c r="D1462" s="74">
        <v>237.88465061246319</v>
      </c>
      <c r="E1462" s="81">
        <v>1285289</v>
      </c>
      <c r="F1462" s="82">
        <v>1256997.125</v>
      </c>
      <c r="G1462" s="75">
        <v>1908.7000772677661</v>
      </c>
      <c r="H1462" s="76">
        <v>3</v>
      </c>
      <c r="I1462" s="54" t="s">
        <v>20</v>
      </c>
      <c r="J1462" s="77">
        <v>40</v>
      </c>
      <c r="K1462" s="78">
        <v>3</v>
      </c>
      <c r="L1462" s="54">
        <v>1</v>
      </c>
      <c r="M1462" s="54">
        <f>_xlfn.XLOOKUP(Survey!$F1462,sections[Start],sections[Test Section],,-1,1)</f>
        <v>5</v>
      </c>
      <c r="N1462" s="55">
        <f>_xlfn.XLOOKUP(Survey!$K1462,pipedata[ID],pipedata[WT])</f>
        <v>0.88800000000000001</v>
      </c>
      <c r="O1462" s="56">
        <f>_xlfn.XLOOKUP(Survey!$K1462,pipedata[ID],pipedata[104%])</f>
        <v>3078.4</v>
      </c>
      <c r="P1462" s="57">
        <f t="shared" si="22"/>
        <v>1850</v>
      </c>
      <c r="Q1462" s="58">
        <f>_xlfn.MAXIFS(Survey!$G$2:$G$3647,Survey!$M$2:$M$3647,Survey!$M1462)-Survey!$G1462</f>
        <v>1826.6767620575051</v>
      </c>
      <c r="R1462" s="59">
        <f>Survey!$P1462+(Survey!$Q1462*0.433)</f>
        <v>2640.9510379709</v>
      </c>
    </row>
    <row r="1463" spans="1:18" x14ac:dyDescent="0.25">
      <c r="A1463" s="60" t="s">
        <v>17</v>
      </c>
      <c r="B1463" s="61" t="s">
        <v>18</v>
      </c>
      <c r="C1463" s="62" t="s">
        <v>19</v>
      </c>
      <c r="D1463" s="63">
        <v>237.89197123603856</v>
      </c>
      <c r="E1463" s="79">
        <v>1285329</v>
      </c>
      <c r="F1463" s="80">
        <v>1257035.5</v>
      </c>
      <c r="G1463" s="66">
        <v>1914.7895953985644</v>
      </c>
      <c r="H1463" s="67">
        <v>3</v>
      </c>
      <c r="I1463" s="68" t="s">
        <v>20</v>
      </c>
      <c r="J1463" s="69">
        <v>40</v>
      </c>
      <c r="K1463" s="70">
        <v>3</v>
      </c>
      <c r="L1463" s="68">
        <v>1</v>
      </c>
      <c r="M1463" s="68">
        <f>_xlfn.XLOOKUP(Survey!$F1463,sections[Start],sections[Test Section],,-1,1)</f>
        <v>5</v>
      </c>
      <c r="N1463" s="55">
        <f>_xlfn.XLOOKUP(Survey!$K1463,pipedata[ID],pipedata[WT])</f>
        <v>0.88800000000000001</v>
      </c>
      <c r="O1463" s="56">
        <f>_xlfn.XLOOKUP(Survey!$K1463,pipedata[ID],pipedata[104%])</f>
        <v>3078.4</v>
      </c>
      <c r="P1463" s="57">
        <f t="shared" si="22"/>
        <v>1850</v>
      </c>
      <c r="Q1463" s="58">
        <f>_xlfn.MAXIFS(Survey!$G$2:$G$3647,Survey!$M$2:$M$3647,Survey!$M1463)-Survey!$G1463</f>
        <v>1820.5872439267068</v>
      </c>
      <c r="R1463" s="59">
        <f>Survey!$P1463+(Survey!$Q1463*0.433)</f>
        <v>2638.3142766202641</v>
      </c>
    </row>
    <row r="1464" spans="1:18" x14ac:dyDescent="0.25">
      <c r="A1464" s="71" t="s">
        <v>17</v>
      </c>
      <c r="B1464" s="72" t="s">
        <v>18</v>
      </c>
      <c r="C1464" s="73" t="s">
        <v>19</v>
      </c>
      <c r="D1464" s="74">
        <v>237.89956878240093</v>
      </c>
      <c r="E1464" s="81">
        <v>1285369</v>
      </c>
      <c r="F1464" s="82">
        <v>1257073.875</v>
      </c>
      <c r="G1464" s="75">
        <v>1918.7577791698061</v>
      </c>
      <c r="H1464" s="76">
        <v>3</v>
      </c>
      <c r="I1464" s="54" t="s">
        <v>20</v>
      </c>
      <c r="J1464" s="77">
        <v>40</v>
      </c>
      <c r="K1464" s="78">
        <v>3</v>
      </c>
      <c r="L1464" s="54">
        <v>1</v>
      </c>
      <c r="M1464" s="54">
        <f>_xlfn.XLOOKUP(Survey!$F1464,sections[Start],sections[Test Section],,-1,1)</f>
        <v>5</v>
      </c>
      <c r="N1464" s="55">
        <f>_xlfn.XLOOKUP(Survey!$K1464,pipedata[ID],pipedata[WT])</f>
        <v>0.88800000000000001</v>
      </c>
      <c r="O1464" s="56">
        <f>_xlfn.XLOOKUP(Survey!$K1464,pipedata[ID],pipedata[104%])</f>
        <v>3078.4</v>
      </c>
      <c r="P1464" s="57">
        <f t="shared" si="22"/>
        <v>1850</v>
      </c>
      <c r="Q1464" s="58">
        <f>_xlfn.MAXIFS(Survey!$G$2:$G$3647,Survey!$M$2:$M$3647,Survey!$M1464)-Survey!$G1464</f>
        <v>1816.6190601554651</v>
      </c>
      <c r="R1464" s="59">
        <f>Survey!$P1464+(Survey!$Q1464*0.433)</f>
        <v>2636.5960530473167</v>
      </c>
    </row>
    <row r="1465" spans="1:18" x14ac:dyDescent="0.25">
      <c r="A1465" s="60" t="s">
        <v>17</v>
      </c>
      <c r="B1465" s="61" t="s">
        <v>18</v>
      </c>
      <c r="C1465" s="62" t="s">
        <v>19</v>
      </c>
      <c r="D1465" s="63">
        <v>237.90716632876322</v>
      </c>
      <c r="E1465" s="79">
        <v>1285409</v>
      </c>
      <c r="F1465" s="80">
        <v>1257112.25</v>
      </c>
      <c r="G1465" s="66">
        <v>1917.8382386037169</v>
      </c>
      <c r="H1465" s="67">
        <v>3</v>
      </c>
      <c r="I1465" s="68" t="s">
        <v>20</v>
      </c>
      <c r="J1465" s="69">
        <v>40</v>
      </c>
      <c r="K1465" s="70">
        <v>3</v>
      </c>
      <c r="L1465" s="68">
        <v>1</v>
      </c>
      <c r="M1465" s="68">
        <f>_xlfn.XLOOKUP(Survey!$F1465,sections[Start],sections[Test Section],,-1,1)</f>
        <v>5</v>
      </c>
      <c r="N1465" s="55">
        <f>_xlfn.XLOOKUP(Survey!$K1465,pipedata[ID],pipedata[WT])</f>
        <v>0.88800000000000001</v>
      </c>
      <c r="O1465" s="56">
        <f>_xlfn.XLOOKUP(Survey!$K1465,pipedata[ID],pipedata[104%])</f>
        <v>3078.4</v>
      </c>
      <c r="P1465" s="57">
        <f t="shared" si="22"/>
        <v>1850</v>
      </c>
      <c r="Q1465" s="58">
        <f>_xlfn.MAXIFS(Survey!$G$2:$G$3647,Survey!$M$2:$M$3647,Survey!$M1465)-Survey!$G1465</f>
        <v>1817.5386007215543</v>
      </c>
      <c r="R1465" s="59">
        <f>Survey!$P1465+(Survey!$Q1465*0.433)</f>
        <v>2636.9942141124329</v>
      </c>
    </row>
    <row r="1466" spans="1:18" x14ac:dyDescent="0.25">
      <c r="A1466" s="71" t="s">
        <v>17</v>
      </c>
      <c r="B1466" s="72" t="s">
        <v>18</v>
      </c>
      <c r="C1466" s="73" t="s">
        <v>19</v>
      </c>
      <c r="D1466" s="74">
        <v>237.91476387512566</v>
      </c>
      <c r="E1466" s="81">
        <v>1285449</v>
      </c>
      <c r="F1466" s="82">
        <v>1257150.625</v>
      </c>
      <c r="G1466" s="75">
        <v>1915.0862429952469</v>
      </c>
      <c r="H1466" s="76">
        <v>3</v>
      </c>
      <c r="I1466" s="54" t="s">
        <v>20</v>
      </c>
      <c r="J1466" s="77">
        <v>40</v>
      </c>
      <c r="K1466" s="78">
        <v>3</v>
      </c>
      <c r="L1466" s="54">
        <v>1</v>
      </c>
      <c r="M1466" s="54">
        <f>_xlfn.XLOOKUP(Survey!$F1466,sections[Start],sections[Test Section],,-1,1)</f>
        <v>5</v>
      </c>
      <c r="N1466" s="55">
        <f>_xlfn.XLOOKUP(Survey!$K1466,pipedata[ID],pipedata[WT])</f>
        <v>0.88800000000000001</v>
      </c>
      <c r="O1466" s="56">
        <f>_xlfn.XLOOKUP(Survey!$K1466,pipedata[ID],pipedata[104%])</f>
        <v>3078.4</v>
      </c>
      <c r="P1466" s="57">
        <f t="shared" si="22"/>
        <v>1850</v>
      </c>
      <c r="Q1466" s="58">
        <f>_xlfn.MAXIFS(Survey!$G$2:$G$3647,Survey!$M$2:$M$3647,Survey!$M1466)-Survey!$G1466</f>
        <v>1820.2905963300243</v>
      </c>
      <c r="R1466" s="59">
        <f>Survey!$P1466+(Survey!$Q1466*0.433)</f>
        <v>2638.1858282109006</v>
      </c>
    </row>
    <row r="1467" spans="1:18" x14ac:dyDescent="0.25">
      <c r="A1467" s="60" t="s">
        <v>17</v>
      </c>
      <c r="B1467" s="61" t="s">
        <v>18</v>
      </c>
      <c r="C1467" s="62" t="s">
        <v>19</v>
      </c>
      <c r="D1467" s="63">
        <v>237.92236142148795</v>
      </c>
      <c r="E1467" s="79">
        <v>1285489</v>
      </c>
      <c r="F1467" s="80">
        <v>1257189</v>
      </c>
      <c r="G1467" s="66">
        <v>1912.6968463932778</v>
      </c>
      <c r="H1467" s="67">
        <v>3</v>
      </c>
      <c r="I1467" s="68" t="s">
        <v>20</v>
      </c>
      <c r="J1467" s="69">
        <v>40</v>
      </c>
      <c r="K1467" s="70">
        <v>3</v>
      </c>
      <c r="L1467" s="68">
        <v>1</v>
      </c>
      <c r="M1467" s="68">
        <f>_xlfn.XLOOKUP(Survey!$F1467,sections[Start],sections[Test Section],,-1,1)</f>
        <v>5</v>
      </c>
      <c r="N1467" s="55">
        <f>_xlfn.XLOOKUP(Survey!$K1467,pipedata[ID],pipedata[WT])</f>
        <v>0.88800000000000001</v>
      </c>
      <c r="O1467" s="56">
        <f>_xlfn.XLOOKUP(Survey!$K1467,pipedata[ID],pipedata[104%])</f>
        <v>3078.4</v>
      </c>
      <c r="P1467" s="57">
        <f t="shared" si="22"/>
        <v>1850</v>
      </c>
      <c r="Q1467" s="58">
        <f>_xlfn.MAXIFS(Survey!$G$2:$G$3647,Survey!$M$2:$M$3647,Survey!$M1467)-Survey!$G1467</f>
        <v>1822.6799929319934</v>
      </c>
      <c r="R1467" s="59">
        <f>Survey!$P1467+(Survey!$Q1467*0.433)</f>
        <v>2639.2204369395531</v>
      </c>
    </row>
    <row r="1468" spans="1:18" x14ac:dyDescent="0.25">
      <c r="A1468" s="71" t="s">
        <v>17</v>
      </c>
      <c r="B1468" s="72" t="s">
        <v>18</v>
      </c>
      <c r="C1468" s="73" t="s">
        <v>19</v>
      </c>
      <c r="D1468" s="74">
        <v>237.92995896785041</v>
      </c>
      <c r="E1468" s="81">
        <v>1285529</v>
      </c>
      <c r="F1468" s="82">
        <v>1257227.375</v>
      </c>
      <c r="G1468" s="75">
        <v>1911.3396314859772</v>
      </c>
      <c r="H1468" s="76">
        <v>3</v>
      </c>
      <c r="I1468" s="54" t="s">
        <v>20</v>
      </c>
      <c r="J1468" s="77">
        <v>40</v>
      </c>
      <c r="K1468" s="78">
        <v>3</v>
      </c>
      <c r="L1468" s="54">
        <v>1</v>
      </c>
      <c r="M1468" s="54">
        <f>_xlfn.XLOOKUP(Survey!$F1468,sections[Start],sections[Test Section],,-1,1)</f>
        <v>5</v>
      </c>
      <c r="N1468" s="55">
        <f>_xlfn.XLOOKUP(Survey!$K1468,pipedata[ID],pipedata[WT])</f>
        <v>0.88800000000000001</v>
      </c>
      <c r="O1468" s="56">
        <f>_xlfn.XLOOKUP(Survey!$K1468,pipedata[ID],pipedata[104%])</f>
        <v>3078.4</v>
      </c>
      <c r="P1468" s="57">
        <f t="shared" si="22"/>
        <v>1850</v>
      </c>
      <c r="Q1468" s="58">
        <f>_xlfn.MAXIFS(Survey!$G$2:$G$3647,Survey!$M$2:$M$3647,Survey!$M1468)-Survey!$G1468</f>
        <v>1824.0372078392941</v>
      </c>
      <c r="R1468" s="59">
        <f>Survey!$P1468+(Survey!$Q1468*0.433)</f>
        <v>2639.8081109944142</v>
      </c>
    </row>
    <row r="1469" spans="1:18" x14ac:dyDescent="0.25">
      <c r="A1469" s="60" t="s">
        <v>17</v>
      </c>
      <c r="B1469" s="61" t="s">
        <v>18</v>
      </c>
      <c r="C1469" s="62" t="s">
        <v>19</v>
      </c>
      <c r="D1469" s="63">
        <v>237.93755651421279</v>
      </c>
      <c r="E1469" s="79">
        <v>1285569</v>
      </c>
      <c r="F1469" s="80">
        <v>1257265.75</v>
      </c>
      <c r="G1469" s="66">
        <v>1911.4879120272456</v>
      </c>
      <c r="H1469" s="67">
        <v>3</v>
      </c>
      <c r="I1469" s="68" t="s">
        <v>20</v>
      </c>
      <c r="J1469" s="69">
        <v>40</v>
      </c>
      <c r="K1469" s="70">
        <v>3</v>
      </c>
      <c r="L1469" s="68">
        <v>1</v>
      </c>
      <c r="M1469" s="68">
        <f>_xlfn.XLOOKUP(Survey!$F1469,sections[Start],sections[Test Section],,-1,1)</f>
        <v>5</v>
      </c>
      <c r="N1469" s="55">
        <f>_xlfn.XLOOKUP(Survey!$K1469,pipedata[ID],pipedata[WT])</f>
        <v>0.88800000000000001</v>
      </c>
      <c r="O1469" s="56">
        <f>_xlfn.XLOOKUP(Survey!$K1469,pipedata[ID],pipedata[104%])</f>
        <v>3078.4</v>
      </c>
      <c r="P1469" s="57">
        <f t="shared" si="22"/>
        <v>1850</v>
      </c>
      <c r="Q1469" s="58">
        <f>_xlfn.MAXIFS(Survey!$G$2:$G$3647,Survey!$M$2:$M$3647,Survey!$M1469)-Survey!$G1469</f>
        <v>1823.8889272980257</v>
      </c>
      <c r="R1469" s="59">
        <f>Survey!$P1469+(Survey!$Q1469*0.433)</f>
        <v>2639.7439055200452</v>
      </c>
    </row>
    <row r="1470" spans="1:18" x14ac:dyDescent="0.25">
      <c r="A1470" s="71" t="s">
        <v>17</v>
      </c>
      <c r="B1470" s="72" t="s">
        <v>18</v>
      </c>
      <c r="C1470" s="73" t="s">
        <v>19</v>
      </c>
      <c r="D1470" s="74">
        <v>237.94515406057511</v>
      </c>
      <c r="E1470" s="64">
        <v>1285609</v>
      </c>
      <c r="F1470" s="65">
        <v>1257304.125</v>
      </c>
      <c r="G1470" s="75">
        <v>1912.681900217131</v>
      </c>
      <c r="H1470" s="76">
        <v>3</v>
      </c>
      <c r="I1470" s="54" t="s">
        <v>20</v>
      </c>
      <c r="J1470" s="77">
        <v>40</v>
      </c>
      <c r="K1470" s="78">
        <v>3</v>
      </c>
      <c r="L1470" s="54">
        <v>1</v>
      </c>
      <c r="M1470" s="54">
        <f>_xlfn.XLOOKUP(Survey!$F1470,sections[Start],sections[Test Section],,-1,1)</f>
        <v>5</v>
      </c>
      <c r="N1470" s="55">
        <f>_xlfn.XLOOKUP(Survey!$K1470,pipedata[ID],pipedata[WT])</f>
        <v>0.88800000000000001</v>
      </c>
      <c r="O1470" s="56">
        <f>_xlfn.XLOOKUP(Survey!$K1470,pipedata[ID],pipedata[104%])</f>
        <v>3078.4</v>
      </c>
      <c r="P1470" s="57">
        <f t="shared" si="22"/>
        <v>1850</v>
      </c>
      <c r="Q1470" s="58">
        <f>_xlfn.MAXIFS(Survey!$G$2:$G$3647,Survey!$M$2:$M$3647,Survey!$M1470)-Survey!$G1470</f>
        <v>1822.6949391081403</v>
      </c>
      <c r="R1470" s="59">
        <f>Survey!$P1470+(Survey!$Q1470*0.433)</f>
        <v>2639.2269086338247</v>
      </c>
    </row>
    <row r="1471" spans="1:18" x14ac:dyDescent="0.25">
      <c r="A1471" s="60" t="s">
        <v>17</v>
      </c>
      <c r="B1471" s="61" t="s">
        <v>18</v>
      </c>
      <c r="C1471" s="62" t="s">
        <v>19</v>
      </c>
      <c r="D1471" s="63">
        <v>237.95275160693762</v>
      </c>
      <c r="E1471" s="64">
        <v>1285649</v>
      </c>
      <c r="F1471" s="65">
        <v>1257342.5</v>
      </c>
      <c r="G1471" s="66">
        <v>1914.47733628788</v>
      </c>
      <c r="H1471" s="67">
        <v>3</v>
      </c>
      <c r="I1471" s="68" t="s">
        <v>20</v>
      </c>
      <c r="J1471" s="69">
        <v>40</v>
      </c>
      <c r="K1471" s="70">
        <v>3</v>
      </c>
      <c r="L1471" s="68">
        <v>1</v>
      </c>
      <c r="M1471" s="68">
        <f>_xlfn.XLOOKUP(Survey!$F1471,sections[Start],sections[Test Section],,-1,1)</f>
        <v>5</v>
      </c>
      <c r="N1471" s="55">
        <f>_xlfn.XLOOKUP(Survey!$K1471,pipedata[ID],pipedata[WT])</f>
        <v>0.88800000000000001</v>
      </c>
      <c r="O1471" s="56">
        <f>_xlfn.XLOOKUP(Survey!$K1471,pipedata[ID],pipedata[104%])</f>
        <v>3078.4</v>
      </c>
      <c r="P1471" s="57">
        <f t="shared" si="22"/>
        <v>1850</v>
      </c>
      <c r="Q1471" s="58">
        <f>_xlfn.MAXIFS(Survey!$G$2:$G$3647,Survey!$M$2:$M$3647,Survey!$M1471)-Survey!$G1471</f>
        <v>1820.8995030373912</v>
      </c>
      <c r="R1471" s="59">
        <f>Survey!$P1471+(Survey!$Q1471*0.433)</f>
        <v>2638.4494848151903</v>
      </c>
    </row>
    <row r="1472" spans="1:18" x14ac:dyDescent="0.25">
      <c r="A1472" s="71" t="s">
        <v>17</v>
      </c>
      <c r="B1472" s="72" t="s">
        <v>18</v>
      </c>
      <c r="C1472" s="73" t="s">
        <v>19</v>
      </c>
      <c r="D1472" s="74">
        <v>237.95893545146694</v>
      </c>
      <c r="E1472" s="81">
        <v>1285689</v>
      </c>
      <c r="F1472" s="82">
        <v>1257380.875</v>
      </c>
      <c r="G1472" s="75">
        <v>1917.224686223399</v>
      </c>
      <c r="H1472" s="76">
        <v>3</v>
      </c>
      <c r="I1472" s="54" t="s">
        <v>20</v>
      </c>
      <c r="J1472" s="77">
        <v>40</v>
      </c>
      <c r="K1472" s="78">
        <v>3</v>
      </c>
      <c r="L1472" s="54">
        <v>1</v>
      </c>
      <c r="M1472" s="54">
        <f>_xlfn.XLOOKUP(Survey!$F1472,sections[Start],sections[Test Section],,-1,1)</f>
        <v>5</v>
      </c>
      <c r="N1472" s="55">
        <f>_xlfn.XLOOKUP(Survey!$K1472,pipedata[ID],pipedata[WT])</f>
        <v>0.88800000000000001</v>
      </c>
      <c r="O1472" s="56">
        <f>_xlfn.XLOOKUP(Survey!$K1472,pipedata[ID],pipedata[104%])</f>
        <v>3078.4</v>
      </c>
      <c r="P1472" s="57">
        <f t="shared" si="22"/>
        <v>1850</v>
      </c>
      <c r="Q1472" s="58">
        <f>_xlfn.MAXIFS(Survey!$G$2:$G$3647,Survey!$M$2:$M$3647,Survey!$M1472)-Survey!$G1472</f>
        <v>1818.1521531018723</v>
      </c>
      <c r="R1472" s="59">
        <f>Survey!$P1472+(Survey!$Q1472*0.433)</f>
        <v>2637.2598822931104</v>
      </c>
    </row>
    <row r="1473" spans="1:18" x14ac:dyDescent="0.25">
      <c r="A1473" s="60" t="s">
        <v>17</v>
      </c>
      <c r="B1473" s="61" t="s">
        <v>18</v>
      </c>
      <c r="C1473" s="62" t="s">
        <v>19</v>
      </c>
      <c r="D1473" s="63">
        <v>237.96777410904744</v>
      </c>
      <c r="E1473" s="64">
        <v>1285729</v>
      </c>
      <c r="F1473" s="65">
        <v>1257419.25</v>
      </c>
      <c r="G1473" s="66">
        <v>1923.3150836588063</v>
      </c>
      <c r="H1473" s="67">
        <v>3</v>
      </c>
      <c r="I1473" s="68" t="s">
        <v>20</v>
      </c>
      <c r="J1473" s="69">
        <v>23</v>
      </c>
      <c r="K1473" s="70">
        <v>3</v>
      </c>
      <c r="L1473" s="68">
        <v>1</v>
      </c>
      <c r="M1473" s="68">
        <f>_xlfn.XLOOKUP(Survey!$F1473,sections[Start],sections[Test Section],,-1,1)</f>
        <v>5</v>
      </c>
      <c r="N1473" s="55">
        <f>_xlfn.XLOOKUP(Survey!$K1473,pipedata[ID],pipedata[WT])</f>
        <v>0.88800000000000001</v>
      </c>
      <c r="O1473" s="56">
        <f>_xlfn.XLOOKUP(Survey!$K1473,pipedata[ID],pipedata[104%])</f>
        <v>3078.4</v>
      </c>
      <c r="P1473" s="57">
        <f t="shared" si="22"/>
        <v>1850</v>
      </c>
      <c r="Q1473" s="58">
        <f>_xlfn.MAXIFS(Survey!$G$2:$G$3647,Survey!$M$2:$M$3647,Survey!$M1473)-Survey!$G1473</f>
        <v>1812.0617556664649</v>
      </c>
      <c r="R1473" s="59">
        <f>Survey!$P1473+(Survey!$Q1473*0.433)</f>
        <v>2634.6227402035793</v>
      </c>
    </row>
    <row r="1474" spans="1:18" x14ac:dyDescent="0.25">
      <c r="A1474" s="71" t="s">
        <v>17</v>
      </c>
      <c r="B1474" s="72" t="s">
        <v>22</v>
      </c>
      <c r="C1474" s="73" t="s">
        <v>19</v>
      </c>
      <c r="D1474" s="74">
        <v>237.97422938890884</v>
      </c>
      <c r="E1474" s="81">
        <v>1285752</v>
      </c>
      <c r="F1474" s="82">
        <v>1257496</v>
      </c>
      <c r="G1474" s="75">
        <v>1932.3242694485589</v>
      </c>
      <c r="H1474" s="76">
        <v>3</v>
      </c>
      <c r="I1474" s="54" t="s">
        <v>20</v>
      </c>
      <c r="J1474" s="77">
        <v>57</v>
      </c>
      <c r="K1474" s="78">
        <v>3</v>
      </c>
      <c r="L1474" s="54">
        <v>1</v>
      </c>
      <c r="M1474" s="54">
        <f>_xlfn.XLOOKUP(Survey!$F1474,sections[Start],sections[Test Section],,-1,1)</f>
        <v>5</v>
      </c>
      <c r="N1474" s="55">
        <f>_xlfn.XLOOKUP(Survey!$K1474,pipedata[ID],pipedata[WT])</f>
        <v>0.88800000000000001</v>
      </c>
      <c r="O1474" s="56">
        <f>_xlfn.XLOOKUP(Survey!$K1474,pipedata[ID],pipedata[104%])</f>
        <v>3078.4</v>
      </c>
      <c r="P1474" s="57">
        <f t="shared" ref="P1474:P1537" si="23">IF(L1474=1,1850,IF(L1474=2,1850,2220))</f>
        <v>1850</v>
      </c>
      <c r="Q1474" s="58">
        <f>_xlfn.MAXIFS(Survey!$G$2:$G$3647,Survey!$M$2:$M$3647,Survey!$M1474)-Survey!$G1474</f>
        <v>1803.0525698767124</v>
      </c>
      <c r="R1474" s="59">
        <f>Survey!$P1474+(Survey!$Q1474*0.433)</f>
        <v>2630.7217627566165</v>
      </c>
    </row>
    <row r="1475" spans="1:18" x14ac:dyDescent="0.25">
      <c r="A1475" s="60" t="s">
        <v>17</v>
      </c>
      <c r="B1475" s="61" t="s">
        <v>22</v>
      </c>
      <c r="C1475" s="62" t="s">
        <v>19</v>
      </c>
      <c r="D1475" s="63">
        <v>237.98258248502992</v>
      </c>
      <c r="E1475" s="79">
        <v>1285809</v>
      </c>
      <c r="F1475" s="80">
        <v>1257534.5882352942</v>
      </c>
      <c r="G1475" s="66">
        <v>1939.2627477976159</v>
      </c>
      <c r="H1475" s="67">
        <v>3</v>
      </c>
      <c r="I1475" s="68" t="s">
        <v>20</v>
      </c>
      <c r="J1475" s="69">
        <v>40</v>
      </c>
      <c r="K1475" s="70">
        <v>3</v>
      </c>
      <c r="L1475" s="68">
        <v>1</v>
      </c>
      <c r="M1475" s="68">
        <f>_xlfn.XLOOKUP(Survey!$F1475,sections[Start],sections[Test Section],,-1,1)</f>
        <v>5</v>
      </c>
      <c r="N1475" s="55">
        <f>_xlfn.XLOOKUP(Survey!$K1475,pipedata[ID],pipedata[WT])</f>
        <v>0.88800000000000001</v>
      </c>
      <c r="O1475" s="56">
        <f>_xlfn.XLOOKUP(Survey!$K1475,pipedata[ID],pipedata[104%])</f>
        <v>3078.4</v>
      </c>
      <c r="P1475" s="57">
        <f t="shared" si="23"/>
        <v>1850</v>
      </c>
      <c r="Q1475" s="58">
        <f>_xlfn.MAXIFS(Survey!$G$2:$G$3647,Survey!$M$2:$M$3647,Survey!$M1475)-Survey!$G1475</f>
        <v>1796.1140915276553</v>
      </c>
      <c r="R1475" s="59">
        <f>Survey!$P1475+(Survey!$Q1475*0.433)</f>
        <v>2627.7174016314748</v>
      </c>
    </row>
    <row r="1476" spans="1:18" x14ac:dyDescent="0.25">
      <c r="A1476" s="71" t="s">
        <v>17</v>
      </c>
      <c r="B1476" s="72" t="s">
        <v>22</v>
      </c>
      <c r="C1476" s="73" t="s">
        <v>19</v>
      </c>
      <c r="D1476" s="74">
        <v>237.98992425745337</v>
      </c>
      <c r="E1476" s="81">
        <v>1285849</v>
      </c>
      <c r="F1476" s="82">
        <v>1257573.1764705884</v>
      </c>
      <c r="G1476" s="75">
        <v>1946.2790923024804</v>
      </c>
      <c r="H1476" s="76">
        <v>3</v>
      </c>
      <c r="I1476" s="54" t="s">
        <v>20</v>
      </c>
      <c r="J1476" s="77">
        <v>40</v>
      </c>
      <c r="K1476" s="78">
        <v>3</v>
      </c>
      <c r="L1476" s="54">
        <v>1</v>
      </c>
      <c r="M1476" s="54">
        <f>_xlfn.XLOOKUP(Survey!$F1476,sections[Start],sections[Test Section],,-1,1)</f>
        <v>5</v>
      </c>
      <c r="N1476" s="55">
        <f>_xlfn.XLOOKUP(Survey!$K1476,pipedata[ID],pipedata[WT])</f>
        <v>0.88800000000000001</v>
      </c>
      <c r="O1476" s="56">
        <f>_xlfn.XLOOKUP(Survey!$K1476,pipedata[ID],pipedata[104%])</f>
        <v>3078.4</v>
      </c>
      <c r="P1476" s="57">
        <f t="shared" si="23"/>
        <v>1850</v>
      </c>
      <c r="Q1476" s="58">
        <f>_xlfn.MAXIFS(Survey!$G$2:$G$3647,Survey!$M$2:$M$3647,Survey!$M1476)-Survey!$G1476</f>
        <v>1789.0977470227908</v>
      </c>
      <c r="R1476" s="59">
        <f>Survey!$P1476+(Survey!$Q1476*0.433)</f>
        <v>2624.6793244608684</v>
      </c>
    </row>
    <row r="1477" spans="1:18" x14ac:dyDescent="0.25">
      <c r="A1477" s="60" t="s">
        <v>17</v>
      </c>
      <c r="B1477" s="61" t="s">
        <v>22</v>
      </c>
      <c r="C1477" s="62" t="s">
        <v>19</v>
      </c>
      <c r="D1477" s="63">
        <v>237.99670285925765</v>
      </c>
      <c r="E1477" s="79">
        <v>1285889</v>
      </c>
      <c r="F1477" s="80">
        <v>1257611.7647058826</v>
      </c>
      <c r="G1477" s="66">
        <v>1955.1379651951904</v>
      </c>
      <c r="H1477" s="67">
        <v>3</v>
      </c>
      <c r="I1477" s="68" t="s">
        <v>20</v>
      </c>
      <c r="J1477" s="69">
        <v>40</v>
      </c>
      <c r="K1477" s="70">
        <v>3</v>
      </c>
      <c r="L1477" s="68">
        <v>1</v>
      </c>
      <c r="M1477" s="68">
        <f>_xlfn.XLOOKUP(Survey!$F1477,sections[Start],sections[Test Section],,-1,1)</f>
        <v>5</v>
      </c>
      <c r="N1477" s="55">
        <f>_xlfn.XLOOKUP(Survey!$K1477,pipedata[ID],pipedata[WT])</f>
        <v>0.88800000000000001</v>
      </c>
      <c r="O1477" s="56">
        <f>_xlfn.XLOOKUP(Survey!$K1477,pipedata[ID],pipedata[104%])</f>
        <v>3078.4</v>
      </c>
      <c r="P1477" s="57">
        <f t="shared" si="23"/>
        <v>1850</v>
      </c>
      <c r="Q1477" s="58">
        <f>_xlfn.MAXIFS(Survey!$G$2:$G$3647,Survey!$M$2:$M$3647,Survey!$M1477)-Survey!$G1477</f>
        <v>1780.2388741300808</v>
      </c>
      <c r="R1477" s="59">
        <f>Survey!$P1477+(Survey!$Q1477*0.433)</f>
        <v>2620.843432498325</v>
      </c>
    </row>
    <row r="1478" spans="1:18" x14ac:dyDescent="0.25">
      <c r="A1478" s="71" t="s">
        <v>17</v>
      </c>
      <c r="B1478" s="72" t="s">
        <v>22</v>
      </c>
      <c r="C1478" s="73" t="s">
        <v>19</v>
      </c>
      <c r="D1478" s="74">
        <v>238.0036807533497</v>
      </c>
      <c r="E1478" s="81">
        <v>1285929</v>
      </c>
      <c r="F1478" s="82">
        <v>1257650.3529411769</v>
      </c>
      <c r="G1478" s="75">
        <v>1963.3666279003248</v>
      </c>
      <c r="H1478" s="76">
        <v>3</v>
      </c>
      <c r="I1478" s="54" t="s">
        <v>20</v>
      </c>
      <c r="J1478" s="77">
        <v>40</v>
      </c>
      <c r="K1478" s="78">
        <v>3</v>
      </c>
      <c r="L1478" s="54">
        <v>1</v>
      </c>
      <c r="M1478" s="54">
        <f>_xlfn.XLOOKUP(Survey!$F1478,sections[Start],sections[Test Section],,-1,1)</f>
        <v>5</v>
      </c>
      <c r="N1478" s="55">
        <f>_xlfn.XLOOKUP(Survey!$K1478,pipedata[ID],pipedata[WT])</f>
        <v>0.88800000000000001</v>
      </c>
      <c r="O1478" s="56">
        <f>_xlfn.XLOOKUP(Survey!$K1478,pipedata[ID],pipedata[104%])</f>
        <v>3078.4</v>
      </c>
      <c r="P1478" s="57">
        <f t="shared" si="23"/>
        <v>1850</v>
      </c>
      <c r="Q1478" s="58">
        <f>_xlfn.MAXIFS(Survey!$G$2:$G$3647,Survey!$M$2:$M$3647,Survey!$M1478)-Survey!$G1478</f>
        <v>1772.0102114249464</v>
      </c>
      <c r="R1478" s="59">
        <f>Survey!$P1478+(Survey!$Q1478*0.433)</f>
        <v>2617.2804215470019</v>
      </c>
    </row>
    <row r="1479" spans="1:18" x14ac:dyDescent="0.25">
      <c r="A1479" s="60" t="s">
        <v>17</v>
      </c>
      <c r="B1479" s="61" t="s">
        <v>22</v>
      </c>
      <c r="C1479" s="62" t="s">
        <v>19</v>
      </c>
      <c r="D1479" s="63">
        <v>238.01154515997408</v>
      </c>
      <c r="E1479" s="79">
        <v>1285969</v>
      </c>
      <c r="F1479" s="80">
        <v>1257688.9411764711</v>
      </c>
      <c r="G1479" s="66">
        <v>1972.5121747541939</v>
      </c>
      <c r="H1479" s="67">
        <v>3</v>
      </c>
      <c r="I1479" s="68" t="s">
        <v>20</v>
      </c>
      <c r="J1479" s="69">
        <v>40</v>
      </c>
      <c r="K1479" s="70">
        <v>3</v>
      </c>
      <c r="L1479" s="68">
        <v>1</v>
      </c>
      <c r="M1479" s="68">
        <f>_xlfn.XLOOKUP(Survey!$F1479,sections[Start],sections[Test Section],,-1,1)</f>
        <v>5</v>
      </c>
      <c r="N1479" s="55">
        <f>_xlfn.XLOOKUP(Survey!$K1479,pipedata[ID],pipedata[WT])</f>
        <v>0.88800000000000001</v>
      </c>
      <c r="O1479" s="56">
        <f>_xlfn.XLOOKUP(Survey!$K1479,pipedata[ID],pipedata[104%])</f>
        <v>3078.4</v>
      </c>
      <c r="P1479" s="57">
        <f t="shared" si="23"/>
        <v>1850</v>
      </c>
      <c r="Q1479" s="58">
        <f>_xlfn.MAXIFS(Survey!$G$2:$G$3647,Survey!$M$2:$M$3647,Survey!$M1479)-Survey!$G1479</f>
        <v>1762.8646645710774</v>
      </c>
      <c r="R1479" s="59">
        <f>Survey!$P1479+(Survey!$Q1479*0.433)</f>
        <v>2613.3203997592764</v>
      </c>
    </row>
    <row r="1480" spans="1:18" x14ac:dyDescent="0.25">
      <c r="A1480" s="71" t="s">
        <v>17</v>
      </c>
      <c r="B1480" s="72" t="s">
        <v>22</v>
      </c>
      <c r="C1480" s="73" t="s">
        <v>19</v>
      </c>
      <c r="D1480" s="74">
        <v>238.01913948278343</v>
      </c>
      <c r="E1480" s="81">
        <v>1286009</v>
      </c>
      <c r="F1480" s="82">
        <v>1257727.5294117653</v>
      </c>
      <c r="G1480" s="75">
        <v>1980.4449837293141</v>
      </c>
      <c r="H1480" s="76">
        <v>3</v>
      </c>
      <c r="I1480" s="54" t="s">
        <v>20</v>
      </c>
      <c r="J1480" s="77">
        <v>40</v>
      </c>
      <c r="K1480" s="78">
        <v>3</v>
      </c>
      <c r="L1480" s="54">
        <v>1</v>
      </c>
      <c r="M1480" s="54">
        <f>_xlfn.XLOOKUP(Survey!$F1480,sections[Start],sections[Test Section],,-1,1)</f>
        <v>5</v>
      </c>
      <c r="N1480" s="55">
        <f>_xlfn.XLOOKUP(Survey!$K1480,pipedata[ID],pipedata[WT])</f>
        <v>0.88800000000000001</v>
      </c>
      <c r="O1480" s="56">
        <f>_xlfn.XLOOKUP(Survey!$K1480,pipedata[ID],pipedata[104%])</f>
        <v>3078.4</v>
      </c>
      <c r="P1480" s="57">
        <f t="shared" si="23"/>
        <v>1850</v>
      </c>
      <c r="Q1480" s="58">
        <f>_xlfn.MAXIFS(Survey!$G$2:$G$3647,Survey!$M$2:$M$3647,Survey!$M1480)-Survey!$G1480</f>
        <v>1754.9318555959571</v>
      </c>
      <c r="R1480" s="59">
        <f>Survey!$P1480+(Survey!$Q1480*0.433)</f>
        <v>2609.8854934730493</v>
      </c>
    </row>
    <row r="1481" spans="1:18" x14ac:dyDescent="0.25">
      <c r="A1481" s="60" t="s">
        <v>17</v>
      </c>
      <c r="B1481" s="61" t="s">
        <v>22</v>
      </c>
      <c r="C1481" s="62" t="s">
        <v>19</v>
      </c>
      <c r="D1481" s="63">
        <v>238.02629582306906</v>
      </c>
      <c r="E1481" s="79">
        <v>1286049</v>
      </c>
      <c r="F1481" s="80">
        <v>1257766.1176470595</v>
      </c>
      <c r="G1481" s="66">
        <v>1990.0233032267665</v>
      </c>
      <c r="H1481" s="67">
        <v>3</v>
      </c>
      <c r="I1481" s="68" t="s">
        <v>20</v>
      </c>
      <c r="J1481" s="69">
        <v>40</v>
      </c>
      <c r="K1481" s="70">
        <v>3</v>
      </c>
      <c r="L1481" s="68">
        <v>1</v>
      </c>
      <c r="M1481" s="68">
        <f>_xlfn.XLOOKUP(Survey!$F1481,sections[Start],sections[Test Section],,-1,1)</f>
        <v>5</v>
      </c>
      <c r="N1481" s="55">
        <f>_xlfn.XLOOKUP(Survey!$K1481,pipedata[ID],pipedata[WT])</f>
        <v>0.88800000000000001</v>
      </c>
      <c r="O1481" s="56">
        <f>_xlfn.XLOOKUP(Survey!$K1481,pipedata[ID],pipedata[104%])</f>
        <v>3078.4</v>
      </c>
      <c r="P1481" s="57">
        <f t="shared" si="23"/>
        <v>1850</v>
      </c>
      <c r="Q1481" s="58">
        <f>_xlfn.MAXIFS(Survey!$G$2:$G$3647,Survey!$M$2:$M$3647,Survey!$M1481)-Survey!$G1481</f>
        <v>1745.3535360985047</v>
      </c>
      <c r="R1481" s="59">
        <f>Survey!$P1481+(Survey!$Q1481*0.433)</f>
        <v>2605.7380811306525</v>
      </c>
    </row>
    <row r="1482" spans="1:18" x14ac:dyDescent="0.25">
      <c r="A1482" s="71" t="s">
        <v>17</v>
      </c>
      <c r="B1482" s="72" t="s">
        <v>22</v>
      </c>
      <c r="C1482" s="73" t="s">
        <v>19</v>
      </c>
      <c r="D1482" s="74">
        <v>238.03397435027878</v>
      </c>
      <c r="E1482" s="81">
        <v>1286089</v>
      </c>
      <c r="F1482" s="82">
        <v>1257804.7058823537</v>
      </c>
      <c r="G1482" s="75">
        <v>2000.1528472146624</v>
      </c>
      <c r="H1482" s="76">
        <v>3</v>
      </c>
      <c r="I1482" s="54" t="s">
        <v>20</v>
      </c>
      <c r="J1482" s="77">
        <v>40</v>
      </c>
      <c r="K1482" s="78">
        <v>3</v>
      </c>
      <c r="L1482" s="54">
        <v>1</v>
      </c>
      <c r="M1482" s="54">
        <f>_xlfn.XLOOKUP(Survey!$F1482,sections[Start],sections[Test Section],,-1,1)</f>
        <v>5</v>
      </c>
      <c r="N1482" s="55">
        <f>_xlfn.XLOOKUP(Survey!$K1482,pipedata[ID],pipedata[WT])</f>
        <v>0.88800000000000001</v>
      </c>
      <c r="O1482" s="56">
        <f>_xlfn.XLOOKUP(Survey!$K1482,pipedata[ID],pipedata[104%])</f>
        <v>3078.4</v>
      </c>
      <c r="P1482" s="57">
        <f t="shared" si="23"/>
        <v>1850</v>
      </c>
      <c r="Q1482" s="58">
        <f>_xlfn.MAXIFS(Survey!$G$2:$G$3647,Survey!$M$2:$M$3647,Survey!$M1482)-Survey!$G1482</f>
        <v>1735.2239921106088</v>
      </c>
      <c r="R1482" s="59">
        <f>Survey!$P1482+(Survey!$Q1482*0.433)</f>
        <v>2601.3519885838937</v>
      </c>
    </row>
    <row r="1483" spans="1:18" x14ac:dyDescent="0.25">
      <c r="A1483" s="60" t="s">
        <v>17</v>
      </c>
      <c r="B1483" s="61" t="s">
        <v>22</v>
      </c>
      <c r="C1483" s="62" t="s">
        <v>19</v>
      </c>
      <c r="D1483" s="63">
        <v>238.04100710638536</v>
      </c>
      <c r="E1483" s="79">
        <v>1286129</v>
      </c>
      <c r="F1483" s="80">
        <v>1257843.2941176479</v>
      </c>
      <c r="G1483" s="66">
        <v>2017.4405564252434</v>
      </c>
      <c r="H1483" s="67">
        <v>3</v>
      </c>
      <c r="I1483" s="68" t="s">
        <v>20</v>
      </c>
      <c r="J1483" s="69">
        <v>40</v>
      </c>
      <c r="K1483" s="70">
        <v>3</v>
      </c>
      <c r="L1483" s="68">
        <v>1</v>
      </c>
      <c r="M1483" s="68">
        <f>_xlfn.XLOOKUP(Survey!$F1483,sections[Start],sections[Test Section],,-1,1)</f>
        <v>5</v>
      </c>
      <c r="N1483" s="55">
        <f>_xlfn.XLOOKUP(Survey!$K1483,pipedata[ID],pipedata[WT])</f>
        <v>0.88800000000000001</v>
      </c>
      <c r="O1483" s="56">
        <f>_xlfn.XLOOKUP(Survey!$K1483,pipedata[ID],pipedata[104%])</f>
        <v>3078.4</v>
      </c>
      <c r="P1483" s="57">
        <f t="shared" si="23"/>
        <v>1850</v>
      </c>
      <c r="Q1483" s="58">
        <f>_xlfn.MAXIFS(Survey!$G$2:$G$3647,Survey!$M$2:$M$3647,Survey!$M1483)-Survey!$G1483</f>
        <v>1717.9362829000279</v>
      </c>
      <c r="R1483" s="59">
        <f>Survey!$P1483+(Survey!$Q1483*0.433)</f>
        <v>2593.866410495712</v>
      </c>
    </row>
    <row r="1484" spans="1:18" x14ac:dyDescent="0.25">
      <c r="A1484" s="71" t="s">
        <v>17</v>
      </c>
      <c r="B1484" s="72" t="s">
        <v>22</v>
      </c>
      <c r="C1484" s="73" t="s">
        <v>19</v>
      </c>
      <c r="D1484" s="74">
        <v>238.0461136078861</v>
      </c>
      <c r="E1484" s="81">
        <v>1286169</v>
      </c>
      <c r="F1484" s="82">
        <v>1257881.8823529421</v>
      </c>
      <c r="G1484" s="75">
        <v>2032.9503795331359</v>
      </c>
      <c r="H1484" s="76">
        <v>3</v>
      </c>
      <c r="I1484" s="54" t="s">
        <v>20</v>
      </c>
      <c r="J1484" s="77">
        <v>40</v>
      </c>
      <c r="K1484" s="78">
        <v>3</v>
      </c>
      <c r="L1484" s="54">
        <v>1</v>
      </c>
      <c r="M1484" s="54">
        <f>_xlfn.XLOOKUP(Survey!$F1484,sections[Start],sections[Test Section],,-1,1)</f>
        <v>5</v>
      </c>
      <c r="N1484" s="55">
        <f>_xlfn.XLOOKUP(Survey!$K1484,pipedata[ID],pipedata[WT])</f>
        <v>0.88800000000000001</v>
      </c>
      <c r="O1484" s="56">
        <f>_xlfn.XLOOKUP(Survey!$K1484,pipedata[ID],pipedata[104%])</f>
        <v>3078.4</v>
      </c>
      <c r="P1484" s="57">
        <f t="shared" si="23"/>
        <v>1850</v>
      </c>
      <c r="Q1484" s="58">
        <f>_xlfn.MAXIFS(Survey!$G$2:$G$3647,Survey!$M$2:$M$3647,Survey!$M1484)-Survey!$G1484</f>
        <v>1702.4264597921353</v>
      </c>
      <c r="R1484" s="59">
        <f>Survey!$P1484+(Survey!$Q1484*0.433)</f>
        <v>2587.1506570899946</v>
      </c>
    </row>
    <row r="1485" spans="1:18" x14ac:dyDescent="0.25">
      <c r="A1485" s="60" t="s">
        <v>17</v>
      </c>
      <c r="B1485" s="61" t="s">
        <v>22</v>
      </c>
      <c r="C1485" s="62" t="s">
        <v>19</v>
      </c>
      <c r="D1485" s="63">
        <v>238.0528571391618</v>
      </c>
      <c r="E1485" s="79">
        <v>1286209</v>
      </c>
      <c r="F1485" s="80">
        <v>1257920.4705882363</v>
      </c>
      <c r="G1485" s="66">
        <v>2052.0617188040133</v>
      </c>
      <c r="H1485" s="67">
        <v>3</v>
      </c>
      <c r="I1485" s="68" t="s">
        <v>20</v>
      </c>
      <c r="J1485" s="69">
        <v>40</v>
      </c>
      <c r="K1485" s="70">
        <v>3</v>
      </c>
      <c r="L1485" s="68">
        <v>1</v>
      </c>
      <c r="M1485" s="68">
        <f>_xlfn.XLOOKUP(Survey!$F1485,sections[Start],sections[Test Section],,-1,1)</f>
        <v>5</v>
      </c>
      <c r="N1485" s="55">
        <f>_xlfn.XLOOKUP(Survey!$K1485,pipedata[ID],pipedata[WT])</f>
        <v>0.88800000000000001</v>
      </c>
      <c r="O1485" s="56">
        <f>_xlfn.XLOOKUP(Survey!$K1485,pipedata[ID],pipedata[104%])</f>
        <v>3078.4</v>
      </c>
      <c r="P1485" s="57">
        <f t="shared" si="23"/>
        <v>1850</v>
      </c>
      <c r="Q1485" s="58">
        <f>_xlfn.MAXIFS(Survey!$G$2:$G$3647,Survey!$M$2:$M$3647,Survey!$M1485)-Survey!$G1485</f>
        <v>1683.315120521258</v>
      </c>
      <c r="R1485" s="59">
        <f>Survey!$P1485+(Survey!$Q1485*0.433)</f>
        <v>2578.8754471857046</v>
      </c>
    </row>
    <row r="1486" spans="1:18" x14ac:dyDescent="0.25">
      <c r="A1486" s="71" t="s">
        <v>17</v>
      </c>
      <c r="B1486" s="72" t="s">
        <v>22</v>
      </c>
      <c r="C1486" s="73" t="s">
        <v>19</v>
      </c>
      <c r="D1486" s="74">
        <v>238.06139335717364</v>
      </c>
      <c r="E1486" s="81">
        <v>1286249</v>
      </c>
      <c r="F1486" s="82">
        <v>1257959.0588235306</v>
      </c>
      <c r="G1486" s="75">
        <v>2070.9647756384311</v>
      </c>
      <c r="H1486" s="76">
        <v>3</v>
      </c>
      <c r="I1486" s="54" t="s">
        <v>20</v>
      </c>
      <c r="J1486" s="77">
        <v>40</v>
      </c>
      <c r="K1486" s="78">
        <v>3</v>
      </c>
      <c r="L1486" s="54">
        <v>1</v>
      </c>
      <c r="M1486" s="54">
        <f>_xlfn.XLOOKUP(Survey!$F1486,sections[Start],sections[Test Section],,-1,1)</f>
        <v>5</v>
      </c>
      <c r="N1486" s="55">
        <f>_xlfn.XLOOKUP(Survey!$K1486,pipedata[ID],pipedata[WT])</f>
        <v>0.88800000000000001</v>
      </c>
      <c r="O1486" s="56">
        <f>_xlfn.XLOOKUP(Survey!$K1486,pipedata[ID],pipedata[104%])</f>
        <v>3078.4</v>
      </c>
      <c r="P1486" s="57">
        <f t="shared" si="23"/>
        <v>1850</v>
      </c>
      <c r="Q1486" s="58">
        <f>_xlfn.MAXIFS(Survey!$G$2:$G$3647,Survey!$M$2:$M$3647,Survey!$M1486)-Survey!$G1486</f>
        <v>1664.4120636868402</v>
      </c>
      <c r="R1486" s="59">
        <f>Survey!$P1486+(Survey!$Q1486*0.433)</f>
        <v>2570.6904235764018</v>
      </c>
    </row>
    <row r="1487" spans="1:18" x14ac:dyDescent="0.25">
      <c r="A1487" s="60" t="s">
        <v>17</v>
      </c>
      <c r="B1487" s="61" t="s">
        <v>22</v>
      </c>
      <c r="C1487" s="62" t="s">
        <v>19</v>
      </c>
      <c r="D1487" s="63">
        <v>238.06762438182346</v>
      </c>
      <c r="E1487" s="79">
        <v>1286289</v>
      </c>
      <c r="F1487" s="80">
        <v>1257997.6470588248</v>
      </c>
      <c r="G1487" s="66">
        <v>2091.7860458919913</v>
      </c>
      <c r="H1487" s="67">
        <v>3</v>
      </c>
      <c r="I1487" s="68" t="s">
        <v>20</v>
      </c>
      <c r="J1487" s="69">
        <v>40</v>
      </c>
      <c r="K1487" s="70">
        <v>3</v>
      </c>
      <c r="L1487" s="68">
        <v>1</v>
      </c>
      <c r="M1487" s="68">
        <f>_xlfn.XLOOKUP(Survey!$F1487,sections[Start],sections[Test Section],,-1,1)</f>
        <v>5</v>
      </c>
      <c r="N1487" s="55">
        <f>_xlfn.XLOOKUP(Survey!$K1487,pipedata[ID],pipedata[WT])</f>
        <v>0.88800000000000001</v>
      </c>
      <c r="O1487" s="56">
        <f>_xlfn.XLOOKUP(Survey!$K1487,pipedata[ID],pipedata[104%])</f>
        <v>3078.4</v>
      </c>
      <c r="P1487" s="57">
        <f t="shared" si="23"/>
        <v>1850</v>
      </c>
      <c r="Q1487" s="58">
        <f>_xlfn.MAXIFS(Survey!$G$2:$G$3647,Survey!$M$2:$M$3647,Survey!$M1487)-Survey!$G1487</f>
        <v>1643.5907934332799</v>
      </c>
      <c r="R1487" s="59">
        <f>Survey!$P1487+(Survey!$Q1487*0.433)</f>
        <v>2561.6748135566104</v>
      </c>
    </row>
    <row r="1488" spans="1:18" x14ac:dyDescent="0.25">
      <c r="A1488" s="71" t="s">
        <v>17</v>
      </c>
      <c r="B1488" s="72" t="s">
        <v>22</v>
      </c>
      <c r="C1488" s="73" t="s">
        <v>19</v>
      </c>
      <c r="D1488" s="74">
        <v>238.07385540647365</v>
      </c>
      <c r="E1488" s="81">
        <v>1286329</v>
      </c>
      <c r="F1488" s="82">
        <v>1258036.235294119</v>
      </c>
      <c r="G1488" s="75">
        <v>2108.8129510761628</v>
      </c>
      <c r="H1488" s="76">
        <v>3</v>
      </c>
      <c r="I1488" s="54" t="s">
        <v>20</v>
      </c>
      <c r="J1488" s="77">
        <v>40</v>
      </c>
      <c r="K1488" s="78">
        <v>3</v>
      </c>
      <c r="L1488" s="54">
        <v>1</v>
      </c>
      <c r="M1488" s="54">
        <f>_xlfn.XLOOKUP(Survey!$F1488,sections[Start],sections[Test Section],,-1,1)</f>
        <v>5</v>
      </c>
      <c r="N1488" s="55">
        <f>_xlfn.XLOOKUP(Survey!$K1488,pipedata[ID],pipedata[WT])</f>
        <v>0.88800000000000001</v>
      </c>
      <c r="O1488" s="56">
        <f>_xlfn.XLOOKUP(Survey!$K1488,pipedata[ID],pipedata[104%])</f>
        <v>3078.4</v>
      </c>
      <c r="P1488" s="57">
        <f t="shared" si="23"/>
        <v>1850</v>
      </c>
      <c r="Q1488" s="58">
        <f>_xlfn.MAXIFS(Survey!$G$2:$G$3647,Survey!$M$2:$M$3647,Survey!$M1488)-Survey!$G1488</f>
        <v>1626.5638882491085</v>
      </c>
      <c r="R1488" s="59">
        <f>Survey!$P1488+(Survey!$Q1488*0.433)</f>
        <v>2554.3021636118638</v>
      </c>
    </row>
    <row r="1489" spans="1:18" x14ac:dyDescent="0.25">
      <c r="A1489" s="60" t="s">
        <v>17</v>
      </c>
      <c r="B1489" s="61" t="s">
        <v>22</v>
      </c>
      <c r="C1489" s="62" t="s">
        <v>19</v>
      </c>
      <c r="D1489" s="63">
        <v>238.0800864311235</v>
      </c>
      <c r="E1489" s="79">
        <v>1286369</v>
      </c>
      <c r="F1489" s="80">
        <v>1258074.8235294132</v>
      </c>
      <c r="G1489" s="66">
        <v>2125.9319106964736</v>
      </c>
      <c r="H1489" s="67">
        <v>3</v>
      </c>
      <c r="I1489" s="68" t="s">
        <v>20</v>
      </c>
      <c r="J1489" s="69">
        <v>40</v>
      </c>
      <c r="K1489" s="70">
        <v>3</v>
      </c>
      <c r="L1489" s="68">
        <v>1</v>
      </c>
      <c r="M1489" s="68">
        <f>_xlfn.XLOOKUP(Survey!$F1489,sections[Start],sections[Test Section],,-1,1)</f>
        <v>5</v>
      </c>
      <c r="N1489" s="55">
        <f>_xlfn.XLOOKUP(Survey!$K1489,pipedata[ID],pipedata[WT])</f>
        <v>0.88800000000000001</v>
      </c>
      <c r="O1489" s="56">
        <f>_xlfn.XLOOKUP(Survey!$K1489,pipedata[ID],pipedata[104%])</f>
        <v>3078.4</v>
      </c>
      <c r="P1489" s="57">
        <f t="shared" si="23"/>
        <v>1850</v>
      </c>
      <c r="Q1489" s="58">
        <f>_xlfn.MAXIFS(Survey!$G$2:$G$3647,Survey!$M$2:$M$3647,Survey!$M1489)-Survey!$G1489</f>
        <v>1609.4449286287977</v>
      </c>
      <c r="R1489" s="59">
        <f>Survey!$P1489+(Survey!$Q1489*0.433)</f>
        <v>2546.8896540962696</v>
      </c>
    </row>
    <row r="1490" spans="1:18" x14ac:dyDescent="0.25">
      <c r="A1490" s="71" t="s">
        <v>17</v>
      </c>
      <c r="B1490" s="72" t="s">
        <v>22</v>
      </c>
      <c r="C1490" s="73" t="s">
        <v>19</v>
      </c>
      <c r="D1490" s="74">
        <v>238.08882263929863</v>
      </c>
      <c r="E1490" s="81">
        <v>1286409</v>
      </c>
      <c r="F1490" s="82">
        <v>1258113.4117647074</v>
      </c>
      <c r="G1490" s="75">
        <v>2141.4399153532813</v>
      </c>
      <c r="H1490" s="76">
        <v>3</v>
      </c>
      <c r="I1490" s="54" t="s">
        <v>20</v>
      </c>
      <c r="J1490" s="77">
        <v>49</v>
      </c>
      <c r="K1490" s="78">
        <v>3</v>
      </c>
      <c r="L1490" s="54">
        <v>1</v>
      </c>
      <c r="M1490" s="54">
        <f>_xlfn.XLOOKUP(Survey!$F1490,sections[Start],sections[Test Section],,-1,1)</f>
        <v>5</v>
      </c>
      <c r="N1490" s="55">
        <f>_xlfn.XLOOKUP(Survey!$K1490,pipedata[ID],pipedata[WT])</f>
        <v>0.88800000000000001</v>
      </c>
      <c r="O1490" s="56">
        <f>_xlfn.XLOOKUP(Survey!$K1490,pipedata[ID],pipedata[104%])</f>
        <v>3078.4</v>
      </c>
      <c r="P1490" s="57">
        <f t="shared" si="23"/>
        <v>1850</v>
      </c>
      <c r="Q1490" s="58">
        <f>_xlfn.MAXIFS(Survey!$G$2:$G$3647,Survey!$M$2:$M$3647,Survey!$M1490)-Survey!$G1490</f>
        <v>1593.9369239719899</v>
      </c>
      <c r="R1490" s="59">
        <f>Survey!$P1490+(Survey!$Q1490*0.433)</f>
        <v>2540.1746880798719</v>
      </c>
    </row>
    <row r="1491" spans="1:18" x14ac:dyDescent="0.25">
      <c r="A1491" s="60" t="s">
        <v>17</v>
      </c>
      <c r="B1491" s="61" t="s">
        <v>22</v>
      </c>
      <c r="C1491" s="62" t="s">
        <v>19</v>
      </c>
      <c r="D1491" s="63">
        <v>238.09556617057433</v>
      </c>
      <c r="E1491" s="79">
        <v>1286458</v>
      </c>
      <c r="F1491" s="80">
        <v>1258152</v>
      </c>
      <c r="G1491" s="66">
        <v>2162.3274591137788</v>
      </c>
      <c r="H1491" s="67">
        <v>2</v>
      </c>
      <c r="I1491" s="68" t="s">
        <v>20</v>
      </c>
      <c r="J1491" s="69">
        <v>31</v>
      </c>
      <c r="K1491" s="70">
        <v>2</v>
      </c>
      <c r="L1491" s="68">
        <v>1</v>
      </c>
      <c r="M1491" s="68">
        <f>_xlfn.XLOOKUP(Survey!$F1491,sections[Start],sections[Test Section],,-1,1)</f>
        <v>5</v>
      </c>
      <c r="N1491" s="55">
        <f>_xlfn.XLOOKUP(Survey!$K1491,pipedata[ID],pipedata[WT])</f>
        <v>0.74</v>
      </c>
      <c r="O1491" s="56">
        <f>_xlfn.XLOOKUP(Survey!$K1491,pipedata[ID],pipedata[104%])</f>
        <v>2565.3333333333335</v>
      </c>
      <c r="P1491" s="57">
        <f t="shared" si="23"/>
        <v>1850</v>
      </c>
      <c r="Q1491" s="58">
        <f>_xlfn.MAXIFS(Survey!$G$2:$G$3647,Survey!$M$2:$M$3647,Survey!$M1491)-Survey!$G1491</f>
        <v>1573.0493802114925</v>
      </c>
      <c r="R1491" s="59">
        <f>Survey!$P1491+(Survey!$Q1491*0.433)</f>
        <v>2531.1303816315763</v>
      </c>
    </row>
    <row r="1492" spans="1:18" x14ac:dyDescent="0.25">
      <c r="A1492" s="71" t="s">
        <v>17</v>
      </c>
      <c r="B1492" s="72" t="s">
        <v>22</v>
      </c>
      <c r="C1492" s="73" t="s">
        <v>19</v>
      </c>
      <c r="D1492" s="74">
        <v>238.10230970184995</v>
      </c>
      <c r="E1492" s="81">
        <v>1286489</v>
      </c>
      <c r="F1492" s="82">
        <v>1258189.2376237623</v>
      </c>
      <c r="G1492" s="75">
        <v>2179.8620867817781</v>
      </c>
      <c r="H1492" s="76">
        <v>2</v>
      </c>
      <c r="I1492" s="54" t="s">
        <v>20</v>
      </c>
      <c r="J1492" s="77">
        <v>40</v>
      </c>
      <c r="K1492" s="78">
        <v>2</v>
      </c>
      <c r="L1492" s="54">
        <v>1</v>
      </c>
      <c r="M1492" s="54">
        <f>_xlfn.XLOOKUP(Survey!$F1492,sections[Start],sections[Test Section],,-1,1)</f>
        <v>5</v>
      </c>
      <c r="N1492" s="55">
        <f>_xlfn.XLOOKUP(Survey!$K1492,pipedata[ID],pipedata[WT])</f>
        <v>0.74</v>
      </c>
      <c r="O1492" s="56">
        <f>_xlfn.XLOOKUP(Survey!$K1492,pipedata[ID],pipedata[104%])</f>
        <v>2565.3333333333335</v>
      </c>
      <c r="P1492" s="57">
        <f t="shared" si="23"/>
        <v>1850</v>
      </c>
      <c r="Q1492" s="58">
        <f>_xlfn.MAXIFS(Survey!$G$2:$G$3647,Survey!$M$2:$M$3647,Survey!$M1492)-Survey!$G1492</f>
        <v>1555.5147525434932</v>
      </c>
      <c r="R1492" s="59">
        <f>Survey!$P1492+(Survey!$Q1492*0.433)</f>
        <v>2523.5378878513325</v>
      </c>
    </row>
    <row r="1493" spans="1:18" x14ac:dyDescent="0.25">
      <c r="A1493" s="60" t="s">
        <v>17</v>
      </c>
      <c r="B1493" s="61" t="s">
        <v>22</v>
      </c>
      <c r="C1493" s="62" t="s">
        <v>19</v>
      </c>
      <c r="D1493" s="63">
        <v>238.10905323312565</v>
      </c>
      <c r="E1493" s="79">
        <v>1286529</v>
      </c>
      <c r="F1493" s="80">
        <v>1258226.4752475247</v>
      </c>
      <c r="G1493" s="66">
        <v>2197.2172755449619</v>
      </c>
      <c r="H1493" s="67">
        <v>2</v>
      </c>
      <c r="I1493" s="68" t="s">
        <v>20</v>
      </c>
      <c r="J1493" s="69">
        <v>40</v>
      </c>
      <c r="K1493" s="70">
        <v>2</v>
      </c>
      <c r="L1493" s="68">
        <v>1</v>
      </c>
      <c r="M1493" s="68">
        <f>_xlfn.XLOOKUP(Survey!$F1493,sections[Start],sections[Test Section],,-1,1)</f>
        <v>5</v>
      </c>
      <c r="N1493" s="55">
        <f>_xlfn.XLOOKUP(Survey!$K1493,pipedata[ID],pipedata[WT])</f>
        <v>0.74</v>
      </c>
      <c r="O1493" s="56">
        <f>_xlfn.XLOOKUP(Survey!$K1493,pipedata[ID],pipedata[104%])</f>
        <v>2565.3333333333335</v>
      </c>
      <c r="P1493" s="57">
        <f t="shared" si="23"/>
        <v>1850</v>
      </c>
      <c r="Q1493" s="58">
        <f>_xlfn.MAXIFS(Survey!$G$2:$G$3647,Survey!$M$2:$M$3647,Survey!$M1493)-Survey!$G1493</f>
        <v>1538.1595637803093</v>
      </c>
      <c r="R1493" s="59">
        <f>Survey!$P1493+(Survey!$Q1493*0.433)</f>
        <v>2516.0230911168737</v>
      </c>
    </row>
    <row r="1494" spans="1:18" x14ac:dyDescent="0.25">
      <c r="A1494" s="71" t="s">
        <v>17</v>
      </c>
      <c r="B1494" s="72" t="s">
        <v>22</v>
      </c>
      <c r="C1494" s="73" t="s">
        <v>19</v>
      </c>
      <c r="D1494" s="74">
        <v>238.1157967644013</v>
      </c>
      <c r="E1494" s="81">
        <v>1286569</v>
      </c>
      <c r="F1494" s="82">
        <v>1258263.712871287</v>
      </c>
      <c r="G1494" s="75">
        <v>2211.7654257213458</v>
      </c>
      <c r="H1494" s="76">
        <v>2</v>
      </c>
      <c r="I1494" s="54" t="s">
        <v>20</v>
      </c>
      <c r="J1494" s="77">
        <v>40</v>
      </c>
      <c r="K1494" s="78">
        <v>2</v>
      </c>
      <c r="L1494" s="54">
        <v>1</v>
      </c>
      <c r="M1494" s="54">
        <f>_xlfn.XLOOKUP(Survey!$F1494,sections[Start],sections[Test Section],,-1,1)</f>
        <v>5</v>
      </c>
      <c r="N1494" s="55">
        <f>_xlfn.XLOOKUP(Survey!$K1494,pipedata[ID],pipedata[WT])</f>
        <v>0.74</v>
      </c>
      <c r="O1494" s="56">
        <f>_xlfn.XLOOKUP(Survey!$K1494,pipedata[ID],pipedata[104%])</f>
        <v>2565.3333333333335</v>
      </c>
      <c r="P1494" s="57">
        <f t="shared" si="23"/>
        <v>1850</v>
      </c>
      <c r="Q1494" s="58">
        <f>_xlfn.MAXIFS(Survey!$G$2:$G$3647,Survey!$M$2:$M$3647,Survey!$M1494)-Survey!$G1494</f>
        <v>1523.6114136039255</v>
      </c>
      <c r="R1494" s="59">
        <f>Survey!$P1494+(Survey!$Q1494*0.433)</f>
        <v>2509.7237420904999</v>
      </c>
    </row>
    <row r="1495" spans="1:18" x14ac:dyDescent="0.25">
      <c r="A1495" s="60" t="s">
        <v>17</v>
      </c>
      <c r="B1495" s="61" t="s">
        <v>22</v>
      </c>
      <c r="C1495" s="62" t="s">
        <v>19</v>
      </c>
      <c r="D1495" s="63">
        <v>238.12254029567694</v>
      </c>
      <c r="E1495" s="79">
        <v>1286609</v>
      </c>
      <c r="F1495" s="80">
        <v>1258300.9504950494</v>
      </c>
      <c r="G1495" s="66">
        <v>2232.736344301195</v>
      </c>
      <c r="H1495" s="67">
        <v>2</v>
      </c>
      <c r="I1495" s="68" t="s">
        <v>20</v>
      </c>
      <c r="J1495" s="69">
        <v>40</v>
      </c>
      <c r="K1495" s="70">
        <v>2</v>
      </c>
      <c r="L1495" s="68">
        <v>1</v>
      </c>
      <c r="M1495" s="68">
        <f>_xlfn.XLOOKUP(Survey!$F1495,sections[Start],sections[Test Section],,-1,1)</f>
        <v>5</v>
      </c>
      <c r="N1495" s="55">
        <f>_xlfn.XLOOKUP(Survey!$K1495,pipedata[ID],pipedata[WT])</f>
        <v>0.74</v>
      </c>
      <c r="O1495" s="56">
        <f>_xlfn.XLOOKUP(Survey!$K1495,pipedata[ID],pipedata[104%])</f>
        <v>2565.3333333333335</v>
      </c>
      <c r="P1495" s="57">
        <f t="shared" si="23"/>
        <v>1850</v>
      </c>
      <c r="Q1495" s="58">
        <f>_xlfn.MAXIFS(Survey!$G$2:$G$3647,Survey!$M$2:$M$3647,Survey!$M1495)-Survey!$G1495</f>
        <v>1502.6404950240762</v>
      </c>
      <c r="R1495" s="59">
        <f>Survey!$P1495+(Survey!$Q1495*0.433)</f>
        <v>2500.643334345425</v>
      </c>
    </row>
    <row r="1496" spans="1:18" x14ac:dyDescent="0.25">
      <c r="A1496" s="71" t="s">
        <v>17</v>
      </c>
      <c r="B1496" s="72" t="s">
        <v>22</v>
      </c>
      <c r="C1496" s="73" t="s">
        <v>19</v>
      </c>
      <c r="D1496" s="74">
        <v>238.12928382695259</v>
      </c>
      <c r="E1496" s="81">
        <v>1286649</v>
      </c>
      <c r="F1496" s="82">
        <v>1258338.1881188117</v>
      </c>
      <c r="G1496" s="75">
        <v>2250.8077238811097</v>
      </c>
      <c r="H1496" s="76">
        <v>2</v>
      </c>
      <c r="I1496" s="54" t="s">
        <v>20</v>
      </c>
      <c r="J1496" s="77">
        <v>40</v>
      </c>
      <c r="K1496" s="78">
        <v>2</v>
      </c>
      <c r="L1496" s="54">
        <v>1</v>
      </c>
      <c r="M1496" s="54">
        <f>_xlfn.XLOOKUP(Survey!$F1496,sections[Start],sections[Test Section],,-1,1)</f>
        <v>5</v>
      </c>
      <c r="N1496" s="55">
        <f>_xlfn.XLOOKUP(Survey!$K1496,pipedata[ID],pipedata[WT])</f>
        <v>0.74</v>
      </c>
      <c r="O1496" s="56">
        <f>_xlfn.XLOOKUP(Survey!$K1496,pipedata[ID],pipedata[104%])</f>
        <v>2565.3333333333335</v>
      </c>
      <c r="P1496" s="57">
        <f t="shared" si="23"/>
        <v>1850</v>
      </c>
      <c r="Q1496" s="58">
        <f>_xlfn.MAXIFS(Survey!$G$2:$G$3647,Survey!$M$2:$M$3647,Survey!$M1496)-Survey!$G1496</f>
        <v>1484.5691154441615</v>
      </c>
      <c r="R1496" s="59">
        <f>Survey!$P1496+(Survey!$Q1496*0.433)</f>
        <v>2492.8184269873218</v>
      </c>
    </row>
    <row r="1497" spans="1:18" x14ac:dyDescent="0.25">
      <c r="A1497" s="60" t="s">
        <v>17</v>
      </c>
      <c r="B1497" s="61" t="s">
        <v>22</v>
      </c>
      <c r="C1497" s="62" t="s">
        <v>19</v>
      </c>
      <c r="D1497" s="63">
        <v>238.13616565297201</v>
      </c>
      <c r="E1497" s="79">
        <v>1286689</v>
      </c>
      <c r="F1497" s="80">
        <v>1258375.425742574</v>
      </c>
      <c r="G1497" s="66">
        <v>2270.4171279073157</v>
      </c>
      <c r="H1497" s="67">
        <v>2</v>
      </c>
      <c r="I1497" s="68" t="s">
        <v>20</v>
      </c>
      <c r="J1497" s="69">
        <v>40</v>
      </c>
      <c r="K1497" s="70">
        <v>2</v>
      </c>
      <c r="L1497" s="68">
        <v>1</v>
      </c>
      <c r="M1497" s="68">
        <f>_xlfn.XLOOKUP(Survey!$F1497,sections[Start],sections[Test Section],,-1,1)</f>
        <v>5</v>
      </c>
      <c r="N1497" s="55">
        <f>_xlfn.XLOOKUP(Survey!$K1497,pipedata[ID],pipedata[WT])</f>
        <v>0.74</v>
      </c>
      <c r="O1497" s="56">
        <f>_xlfn.XLOOKUP(Survey!$K1497,pipedata[ID],pipedata[104%])</f>
        <v>2565.3333333333335</v>
      </c>
      <c r="P1497" s="57">
        <f t="shared" si="23"/>
        <v>1850</v>
      </c>
      <c r="Q1497" s="58">
        <f>_xlfn.MAXIFS(Survey!$G$2:$G$3647,Survey!$M$2:$M$3647,Survey!$M1497)-Survey!$G1497</f>
        <v>1464.9597114179555</v>
      </c>
      <c r="R1497" s="59">
        <f>Survey!$P1497+(Survey!$Q1497*0.433)</f>
        <v>2484.3275550439748</v>
      </c>
    </row>
    <row r="1498" spans="1:18" x14ac:dyDescent="0.25">
      <c r="A1498" s="71" t="s">
        <v>17</v>
      </c>
      <c r="B1498" s="72" t="s">
        <v>22</v>
      </c>
      <c r="C1498" s="73" t="s">
        <v>19</v>
      </c>
      <c r="D1498" s="74">
        <v>238.14277088950396</v>
      </c>
      <c r="E1498" s="81">
        <v>1286729</v>
      </c>
      <c r="F1498" s="82">
        <v>1258412.6633663364</v>
      </c>
      <c r="G1498" s="75">
        <v>2291.5323967663071</v>
      </c>
      <c r="H1498" s="76">
        <v>2</v>
      </c>
      <c r="I1498" s="54" t="s">
        <v>20</v>
      </c>
      <c r="J1498" s="77">
        <v>40</v>
      </c>
      <c r="K1498" s="78">
        <v>2</v>
      </c>
      <c r="L1498" s="54">
        <v>1</v>
      </c>
      <c r="M1498" s="54">
        <f>_xlfn.XLOOKUP(Survey!$F1498,sections[Start],sections[Test Section],,-1,1)</f>
        <v>5</v>
      </c>
      <c r="N1498" s="55">
        <f>_xlfn.XLOOKUP(Survey!$K1498,pipedata[ID],pipedata[WT])</f>
        <v>0.74</v>
      </c>
      <c r="O1498" s="56">
        <f>_xlfn.XLOOKUP(Survey!$K1498,pipedata[ID],pipedata[104%])</f>
        <v>2565.3333333333335</v>
      </c>
      <c r="P1498" s="57">
        <f t="shared" si="23"/>
        <v>1850</v>
      </c>
      <c r="Q1498" s="58">
        <f>_xlfn.MAXIFS(Survey!$G$2:$G$3647,Survey!$M$2:$M$3647,Survey!$M1498)-Survey!$G1498</f>
        <v>1443.8444425589641</v>
      </c>
      <c r="R1498" s="59">
        <f>Survey!$P1498+(Survey!$Q1498*0.433)</f>
        <v>2475.1846436280316</v>
      </c>
    </row>
    <row r="1499" spans="1:18" x14ac:dyDescent="0.25">
      <c r="A1499" s="60" t="s">
        <v>17</v>
      </c>
      <c r="B1499" s="61" t="s">
        <v>22</v>
      </c>
      <c r="C1499" s="62" t="s">
        <v>19</v>
      </c>
      <c r="D1499" s="63">
        <v>238.14862770227214</v>
      </c>
      <c r="E1499" s="79">
        <v>1286769</v>
      </c>
      <c r="F1499" s="80">
        <v>1258449.9009900987</v>
      </c>
      <c r="G1499" s="66">
        <v>2323.0289605273024</v>
      </c>
      <c r="H1499" s="67">
        <v>2</v>
      </c>
      <c r="I1499" s="68" t="s">
        <v>20</v>
      </c>
      <c r="J1499" s="69">
        <v>40</v>
      </c>
      <c r="K1499" s="70">
        <v>2</v>
      </c>
      <c r="L1499" s="68">
        <v>1</v>
      </c>
      <c r="M1499" s="68">
        <f>_xlfn.XLOOKUP(Survey!$F1499,sections[Start],sections[Test Section],,-1,1)</f>
        <v>5</v>
      </c>
      <c r="N1499" s="55">
        <f>_xlfn.XLOOKUP(Survey!$K1499,pipedata[ID],pipedata[WT])</f>
        <v>0.74</v>
      </c>
      <c r="O1499" s="56">
        <f>_xlfn.XLOOKUP(Survey!$K1499,pipedata[ID],pipedata[104%])</f>
        <v>2565.3333333333335</v>
      </c>
      <c r="P1499" s="57">
        <f t="shared" si="23"/>
        <v>1850</v>
      </c>
      <c r="Q1499" s="58">
        <f>_xlfn.MAXIFS(Survey!$G$2:$G$3647,Survey!$M$2:$M$3647,Survey!$M1499)-Survey!$G1499</f>
        <v>1412.3478787979689</v>
      </c>
      <c r="R1499" s="59">
        <f>Survey!$P1499+(Survey!$Q1499*0.433)</f>
        <v>2461.5466315195204</v>
      </c>
    </row>
    <row r="1500" spans="1:18" x14ac:dyDescent="0.25">
      <c r="A1500" s="71" t="s">
        <v>17</v>
      </c>
      <c r="B1500" s="72" t="s">
        <v>22</v>
      </c>
      <c r="C1500" s="73" t="s">
        <v>19</v>
      </c>
      <c r="D1500" s="74">
        <v>238.15485872692193</v>
      </c>
      <c r="E1500" s="81">
        <v>1286809</v>
      </c>
      <c r="F1500" s="82">
        <v>1258487.1386138611</v>
      </c>
      <c r="G1500" s="75">
        <v>2348.1524644576857</v>
      </c>
      <c r="H1500" s="76">
        <v>2</v>
      </c>
      <c r="I1500" s="54" t="s">
        <v>20</v>
      </c>
      <c r="J1500" s="77">
        <v>40</v>
      </c>
      <c r="K1500" s="78">
        <v>2</v>
      </c>
      <c r="L1500" s="54">
        <v>1</v>
      </c>
      <c r="M1500" s="54">
        <f>_xlfn.XLOOKUP(Survey!$F1500,sections[Start],sections[Test Section],,-1,1)</f>
        <v>5</v>
      </c>
      <c r="N1500" s="55">
        <f>_xlfn.XLOOKUP(Survey!$K1500,pipedata[ID],pipedata[WT])</f>
        <v>0.74</v>
      </c>
      <c r="O1500" s="56">
        <f>_xlfn.XLOOKUP(Survey!$K1500,pipedata[ID],pipedata[104%])</f>
        <v>2565.3333333333335</v>
      </c>
      <c r="P1500" s="57">
        <f t="shared" si="23"/>
        <v>1850</v>
      </c>
      <c r="Q1500" s="58">
        <f>_xlfn.MAXIFS(Survey!$G$2:$G$3647,Survey!$M$2:$M$3647,Survey!$M1500)-Survey!$G1500</f>
        <v>1387.2243748675855</v>
      </c>
      <c r="R1500" s="59">
        <f>Survey!$P1500+(Survey!$Q1500*0.433)</f>
        <v>2450.6681543176646</v>
      </c>
    </row>
    <row r="1501" spans="1:18" x14ac:dyDescent="0.25">
      <c r="A1501" s="60" t="s">
        <v>17</v>
      </c>
      <c r="B1501" s="61" t="s">
        <v>22</v>
      </c>
      <c r="C1501" s="62" t="s">
        <v>19</v>
      </c>
      <c r="D1501" s="63">
        <v>238.16108975157186</v>
      </c>
      <c r="E1501" s="79">
        <v>1286849</v>
      </c>
      <c r="F1501" s="80">
        <v>1258524.3762376234</v>
      </c>
      <c r="G1501" s="66">
        <v>2372.675712053172</v>
      </c>
      <c r="H1501" s="67">
        <v>2</v>
      </c>
      <c r="I1501" s="68" t="s">
        <v>20</v>
      </c>
      <c r="J1501" s="69">
        <v>40</v>
      </c>
      <c r="K1501" s="70">
        <v>2</v>
      </c>
      <c r="L1501" s="68">
        <v>1</v>
      </c>
      <c r="M1501" s="68">
        <f>_xlfn.XLOOKUP(Survey!$F1501,sections[Start],sections[Test Section],,-1,1)</f>
        <v>5</v>
      </c>
      <c r="N1501" s="55">
        <f>_xlfn.XLOOKUP(Survey!$K1501,pipedata[ID],pipedata[WT])</f>
        <v>0.74</v>
      </c>
      <c r="O1501" s="56">
        <f>_xlfn.XLOOKUP(Survey!$K1501,pipedata[ID],pipedata[104%])</f>
        <v>2565.3333333333335</v>
      </c>
      <c r="P1501" s="57">
        <f t="shared" si="23"/>
        <v>1850</v>
      </c>
      <c r="Q1501" s="58">
        <f>_xlfn.MAXIFS(Survey!$G$2:$G$3647,Survey!$M$2:$M$3647,Survey!$M1501)-Survey!$G1501</f>
        <v>1362.7011272720993</v>
      </c>
      <c r="R1501" s="59">
        <f>Survey!$P1501+(Survey!$Q1501*0.433)</f>
        <v>2440.0495881088191</v>
      </c>
    </row>
    <row r="1502" spans="1:18" x14ac:dyDescent="0.25">
      <c r="A1502" s="71" t="s">
        <v>17</v>
      </c>
      <c r="B1502" s="72" t="s">
        <v>22</v>
      </c>
      <c r="C1502" s="73" t="s">
        <v>19</v>
      </c>
      <c r="D1502" s="74">
        <v>238.16759671630442</v>
      </c>
      <c r="E1502" s="81">
        <v>1286889</v>
      </c>
      <c r="F1502" s="82">
        <v>1258561.6138613857</v>
      </c>
      <c r="G1502" s="75">
        <v>2396.8001980088388</v>
      </c>
      <c r="H1502" s="76">
        <v>2</v>
      </c>
      <c r="I1502" s="54" t="s">
        <v>20</v>
      </c>
      <c r="J1502" s="77">
        <v>40</v>
      </c>
      <c r="K1502" s="78">
        <v>2</v>
      </c>
      <c r="L1502" s="54">
        <v>1</v>
      </c>
      <c r="M1502" s="54">
        <f>_xlfn.XLOOKUP(Survey!$F1502,sections[Start],sections[Test Section],,-1,1)</f>
        <v>5</v>
      </c>
      <c r="N1502" s="55">
        <f>_xlfn.XLOOKUP(Survey!$K1502,pipedata[ID],pipedata[WT])</f>
        <v>0.74</v>
      </c>
      <c r="O1502" s="56">
        <f>_xlfn.XLOOKUP(Survey!$K1502,pipedata[ID],pipedata[104%])</f>
        <v>2565.3333333333335</v>
      </c>
      <c r="P1502" s="57">
        <f t="shared" si="23"/>
        <v>1850</v>
      </c>
      <c r="Q1502" s="58">
        <f>_xlfn.MAXIFS(Survey!$G$2:$G$3647,Survey!$M$2:$M$3647,Survey!$M1502)-Survey!$G1502</f>
        <v>1338.5766413164324</v>
      </c>
      <c r="R1502" s="59">
        <f>Survey!$P1502+(Survey!$Q1502*0.433)</f>
        <v>2429.6036856900155</v>
      </c>
    </row>
    <row r="1503" spans="1:18" x14ac:dyDescent="0.25">
      <c r="A1503" s="60" t="s">
        <v>17</v>
      </c>
      <c r="B1503" s="61" t="s">
        <v>22</v>
      </c>
      <c r="C1503" s="62" t="s">
        <v>19</v>
      </c>
      <c r="D1503" s="63">
        <v>238.17355180087196</v>
      </c>
      <c r="E1503" s="79">
        <v>1286929</v>
      </c>
      <c r="F1503" s="80">
        <v>1258598.8514851481</v>
      </c>
      <c r="G1503" s="66">
        <v>2426.1586200833867</v>
      </c>
      <c r="H1503" s="67">
        <v>2</v>
      </c>
      <c r="I1503" s="68" t="s">
        <v>20</v>
      </c>
      <c r="J1503" s="69">
        <v>40</v>
      </c>
      <c r="K1503" s="70">
        <v>2</v>
      </c>
      <c r="L1503" s="68">
        <v>1</v>
      </c>
      <c r="M1503" s="68">
        <f>_xlfn.XLOOKUP(Survey!$F1503,sections[Start],sections[Test Section],,-1,1)</f>
        <v>5</v>
      </c>
      <c r="N1503" s="55">
        <f>_xlfn.XLOOKUP(Survey!$K1503,pipedata[ID],pipedata[WT])</f>
        <v>0.74</v>
      </c>
      <c r="O1503" s="56">
        <f>_xlfn.XLOOKUP(Survey!$K1503,pipedata[ID],pipedata[104%])</f>
        <v>2565.3333333333335</v>
      </c>
      <c r="P1503" s="57">
        <f t="shared" si="23"/>
        <v>1850</v>
      </c>
      <c r="Q1503" s="58">
        <f>_xlfn.MAXIFS(Survey!$G$2:$G$3647,Survey!$M$2:$M$3647,Survey!$M1503)-Survey!$G1503</f>
        <v>1309.2182192418845</v>
      </c>
      <c r="R1503" s="59">
        <f>Survey!$P1503+(Survey!$Q1503*0.433)</f>
        <v>2416.8914889317361</v>
      </c>
    </row>
    <row r="1504" spans="1:18" x14ac:dyDescent="0.25">
      <c r="A1504" s="71" t="s">
        <v>17</v>
      </c>
      <c r="B1504" s="72" t="s">
        <v>22</v>
      </c>
      <c r="C1504" s="73" t="s">
        <v>19</v>
      </c>
      <c r="D1504" s="74">
        <v>238.17987736389088</v>
      </c>
      <c r="E1504" s="81">
        <v>1286969</v>
      </c>
      <c r="F1504" s="82">
        <v>1258636.0891089104</v>
      </c>
      <c r="G1504" s="75">
        <v>2451.7731575270745</v>
      </c>
      <c r="H1504" s="76">
        <v>2</v>
      </c>
      <c r="I1504" s="54" t="s">
        <v>20</v>
      </c>
      <c r="J1504" s="77">
        <v>40</v>
      </c>
      <c r="K1504" s="78">
        <v>2</v>
      </c>
      <c r="L1504" s="54">
        <v>1</v>
      </c>
      <c r="M1504" s="54">
        <f>_xlfn.XLOOKUP(Survey!$F1504,sections[Start],sections[Test Section],,-1,1)</f>
        <v>5</v>
      </c>
      <c r="N1504" s="55">
        <f>_xlfn.XLOOKUP(Survey!$K1504,pipedata[ID],pipedata[WT])</f>
        <v>0.74</v>
      </c>
      <c r="O1504" s="56">
        <f>_xlfn.XLOOKUP(Survey!$K1504,pipedata[ID],pipedata[104%])</f>
        <v>2565.3333333333335</v>
      </c>
      <c r="P1504" s="57">
        <f t="shared" si="23"/>
        <v>1850</v>
      </c>
      <c r="Q1504" s="58">
        <f>_xlfn.MAXIFS(Survey!$G$2:$G$3647,Survey!$M$2:$M$3647,Survey!$M1504)-Survey!$G1504</f>
        <v>1283.6036817981967</v>
      </c>
      <c r="R1504" s="59">
        <f>Survey!$P1504+(Survey!$Q1504*0.433)</f>
        <v>2405.8003942186192</v>
      </c>
    </row>
    <row r="1505" spans="1:18" x14ac:dyDescent="0.25">
      <c r="A1505" s="60" t="s">
        <v>17</v>
      </c>
      <c r="B1505" s="61" t="s">
        <v>22</v>
      </c>
      <c r="C1505" s="62" t="s">
        <v>19</v>
      </c>
      <c r="D1505" s="63">
        <v>238.18601385017024</v>
      </c>
      <c r="E1505" s="79">
        <v>1287009</v>
      </c>
      <c r="F1505" s="80">
        <v>1258673.3267326728</v>
      </c>
      <c r="G1505" s="66">
        <v>2475.1986454337462</v>
      </c>
      <c r="H1505" s="67">
        <v>2</v>
      </c>
      <c r="I1505" s="68" t="s">
        <v>20</v>
      </c>
      <c r="J1505" s="69">
        <v>40</v>
      </c>
      <c r="K1505" s="70">
        <v>2</v>
      </c>
      <c r="L1505" s="68">
        <v>1</v>
      </c>
      <c r="M1505" s="68">
        <f>_xlfn.XLOOKUP(Survey!$F1505,sections[Start],sections[Test Section],,-1,1)</f>
        <v>5</v>
      </c>
      <c r="N1505" s="55">
        <f>_xlfn.XLOOKUP(Survey!$K1505,pipedata[ID],pipedata[WT])</f>
        <v>0.74</v>
      </c>
      <c r="O1505" s="56">
        <f>_xlfn.XLOOKUP(Survey!$K1505,pipedata[ID],pipedata[104%])</f>
        <v>2565.3333333333335</v>
      </c>
      <c r="P1505" s="57">
        <f t="shared" si="23"/>
        <v>1850</v>
      </c>
      <c r="Q1505" s="58">
        <f>_xlfn.MAXIFS(Survey!$G$2:$G$3647,Survey!$M$2:$M$3647,Survey!$M1505)-Survey!$G1505</f>
        <v>1260.1781938915251</v>
      </c>
      <c r="R1505" s="59">
        <f>Survey!$P1505+(Survey!$Q1505*0.433)</f>
        <v>2395.6571579550305</v>
      </c>
    </row>
    <row r="1506" spans="1:18" x14ac:dyDescent="0.25">
      <c r="A1506" s="71" t="s">
        <v>17</v>
      </c>
      <c r="B1506" s="72" t="s">
        <v>22</v>
      </c>
      <c r="C1506" s="73" t="s">
        <v>19</v>
      </c>
      <c r="D1506" s="74">
        <v>238.19224487482006</v>
      </c>
      <c r="E1506" s="81">
        <v>1287049</v>
      </c>
      <c r="F1506" s="82">
        <v>1258710.5643564351</v>
      </c>
      <c r="G1506" s="75">
        <v>2511.2862575912914</v>
      </c>
      <c r="H1506" s="76">
        <v>2</v>
      </c>
      <c r="I1506" s="54" t="s">
        <v>20</v>
      </c>
      <c r="J1506" s="77">
        <v>40</v>
      </c>
      <c r="K1506" s="78">
        <v>2</v>
      </c>
      <c r="L1506" s="54">
        <v>1</v>
      </c>
      <c r="M1506" s="54">
        <f>_xlfn.XLOOKUP(Survey!$F1506,sections[Start],sections[Test Section],,-1,1)</f>
        <v>5</v>
      </c>
      <c r="N1506" s="55">
        <f>_xlfn.XLOOKUP(Survey!$K1506,pipedata[ID],pipedata[WT])</f>
        <v>0.74</v>
      </c>
      <c r="O1506" s="56">
        <f>_xlfn.XLOOKUP(Survey!$K1506,pipedata[ID],pipedata[104%])</f>
        <v>2565.3333333333335</v>
      </c>
      <c r="P1506" s="57">
        <f t="shared" si="23"/>
        <v>1850</v>
      </c>
      <c r="Q1506" s="58">
        <f>_xlfn.MAXIFS(Survey!$G$2:$G$3647,Survey!$M$2:$M$3647,Survey!$M1506)-Survey!$G1506</f>
        <v>1224.0905817339799</v>
      </c>
      <c r="R1506" s="59">
        <f>Survey!$P1506+(Survey!$Q1506*0.433)</f>
        <v>2380.0312218908134</v>
      </c>
    </row>
    <row r="1507" spans="1:18" x14ac:dyDescent="0.25">
      <c r="A1507" s="60" t="s">
        <v>17</v>
      </c>
      <c r="B1507" s="61" t="s">
        <v>22</v>
      </c>
      <c r="C1507" s="62" t="s">
        <v>19</v>
      </c>
      <c r="D1507" s="63">
        <v>238.19671913970902</v>
      </c>
      <c r="E1507" s="79">
        <v>1287089</v>
      </c>
      <c r="F1507" s="80">
        <v>1258747.8019801974</v>
      </c>
      <c r="G1507" s="66">
        <v>2534.1754484436556</v>
      </c>
      <c r="H1507" s="67">
        <v>2</v>
      </c>
      <c r="I1507" s="68" t="s">
        <v>20</v>
      </c>
      <c r="J1507" s="69">
        <v>40</v>
      </c>
      <c r="K1507" s="70">
        <v>2</v>
      </c>
      <c r="L1507" s="68">
        <v>1</v>
      </c>
      <c r="M1507" s="68">
        <f>_xlfn.XLOOKUP(Survey!$F1507,sections[Start],sections[Test Section],,-1,1)</f>
        <v>5</v>
      </c>
      <c r="N1507" s="55">
        <f>_xlfn.XLOOKUP(Survey!$K1507,pipedata[ID],pipedata[WT])</f>
        <v>0.74</v>
      </c>
      <c r="O1507" s="56">
        <f>_xlfn.XLOOKUP(Survey!$K1507,pipedata[ID],pipedata[104%])</f>
        <v>2565.3333333333335</v>
      </c>
      <c r="P1507" s="57">
        <f t="shared" si="23"/>
        <v>1850</v>
      </c>
      <c r="Q1507" s="58">
        <f>_xlfn.MAXIFS(Survey!$G$2:$G$3647,Survey!$M$2:$M$3647,Survey!$M1507)-Survey!$G1507</f>
        <v>1201.2013908816157</v>
      </c>
      <c r="R1507" s="59">
        <f>Survey!$P1507+(Survey!$Q1507*0.433)</f>
        <v>2370.1202022517396</v>
      </c>
    </row>
    <row r="1508" spans="1:18" x14ac:dyDescent="0.25">
      <c r="A1508" s="71" t="s">
        <v>17</v>
      </c>
      <c r="B1508" s="72" t="s">
        <v>22</v>
      </c>
      <c r="C1508" s="73" t="s">
        <v>19</v>
      </c>
      <c r="D1508" s="74">
        <v>238.20346267098475</v>
      </c>
      <c r="E1508" s="81">
        <v>1287129</v>
      </c>
      <c r="F1508" s="82">
        <v>1258785.0396039598</v>
      </c>
      <c r="G1508" s="75">
        <v>2558.2315048734959</v>
      </c>
      <c r="H1508" s="76">
        <v>2</v>
      </c>
      <c r="I1508" s="54" t="s">
        <v>20</v>
      </c>
      <c r="J1508" s="77">
        <v>40</v>
      </c>
      <c r="K1508" s="78">
        <v>2</v>
      </c>
      <c r="L1508" s="54">
        <v>1</v>
      </c>
      <c r="M1508" s="54">
        <f>_xlfn.XLOOKUP(Survey!$F1508,sections[Start],sections[Test Section],,-1,1)</f>
        <v>5</v>
      </c>
      <c r="N1508" s="55">
        <f>_xlfn.XLOOKUP(Survey!$K1508,pipedata[ID],pipedata[WT])</f>
        <v>0.74</v>
      </c>
      <c r="O1508" s="56">
        <f>_xlfn.XLOOKUP(Survey!$K1508,pipedata[ID],pipedata[104%])</f>
        <v>2565.3333333333335</v>
      </c>
      <c r="P1508" s="57">
        <f t="shared" si="23"/>
        <v>1850</v>
      </c>
      <c r="Q1508" s="58">
        <f>_xlfn.MAXIFS(Survey!$G$2:$G$3647,Survey!$M$2:$M$3647,Survey!$M1508)-Survey!$G1508</f>
        <v>1177.1453344517754</v>
      </c>
      <c r="R1508" s="59">
        <f>Survey!$P1508+(Survey!$Q1508*0.433)</f>
        <v>2359.7039298176187</v>
      </c>
    </row>
    <row r="1509" spans="1:18" x14ac:dyDescent="0.25">
      <c r="A1509" s="60" t="s">
        <v>17</v>
      </c>
      <c r="B1509" s="61" t="s">
        <v>22</v>
      </c>
      <c r="C1509" s="62" t="s">
        <v>19</v>
      </c>
      <c r="D1509" s="63">
        <v>238.21093794877004</v>
      </c>
      <c r="E1509" s="79">
        <v>1287169</v>
      </c>
      <c r="F1509" s="80">
        <v>1258822.2772277221</v>
      </c>
      <c r="G1509" s="66">
        <v>2574.0483572877988</v>
      </c>
      <c r="H1509" s="67">
        <v>2</v>
      </c>
      <c r="I1509" s="68" t="s">
        <v>20</v>
      </c>
      <c r="J1509" s="69">
        <v>40</v>
      </c>
      <c r="K1509" s="70">
        <v>2</v>
      </c>
      <c r="L1509" s="68">
        <v>1</v>
      </c>
      <c r="M1509" s="68">
        <f>_xlfn.XLOOKUP(Survey!$F1509,sections[Start],sections[Test Section],,-1,1)</f>
        <v>5</v>
      </c>
      <c r="N1509" s="55">
        <f>_xlfn.XLOOKUP(Survey!$K1509,pipedata[ID],pipedata[WT])</f>
        <v>0.74</v>
      </c>
      <c r="O1509" s="56">
        <f>_xlfn.XLOOKUP(Survey!$K1509,pipedata[ID],pipedata[104%])</f>
        <v>2565.3333333333335</v>
      </c>
      <c r="P1509" s="57">
        <f t="shared" si="23"/>
        <v>1850</v>
      </c>
      <c r="Q1509" s="58">
        <f>_xlfn.MAXIFS(Survey!$G$2:$G$3647,Survey!$M$2:$M$3647,Survey!$M1509)-Survey!$G1509</f>
        <v>1161.3284820374724</v>
      </c>
      <c r="R1509" s="59">
        <f>Survey!$P1509+(Survey!$Q1509*0.433)</f>
        <v>2352.8552327222255</v>
      </c>
    </row>
    <row r="1510" spans="1:18" x14ac:dyDescent="0.25">
      <c r="A1510" s="71" t="s">
        <v>17</v>
      </c>
      <c r="B1510" s="72" t="s">
        <v>22</v>
      </c>
      <c r="C1510" s="73" t="s">
        <v>19</v>
      </c>
      <c r="D1510" s="74">
        <v>238.21560484148441</v>
      </c>
      <c r="E1510" s="81">
        <v>1287209</v>
      </c>
      <c r="F1510" s="82">
        <v>1258859.5148514844</v>
      </c>
      <c r="G1510" s="75">
        <v>2600.6111794410699</v>
      </c>
      <c r="H1510" s="76">
        <v>2</v>
      </c>
      <c r="I1510" s="54" t="s">
        <v>20</v>
      </c>
      <c r="J1510" s="77">
        <v>40</v>
      </c>
      <c r="K1510" s="78">
        <v>2</v>
      </c>
      <c r="L1510" s="54">
        <v>1</v>
      </c>
      <c r="M1510" s="54">
        <f>_xlfn.XLOOKUP(Survey!$F1510,sections[Start],sections[Test Section],,-1,1)</f>
        <v>5</v>
      </c>
      <c r="N1510" s="55">
        <f>_xlfn.XLOOKUP(Survey!$K1510,pipedata[ID],pipedata[WT])</f>
        <v>0.74</v>
      </c>
      <c r="O1510" s="56">
        <f>_xlfn.XLOOKUP(Survey!$K1510,pipedata[ID],pipedata[104%])</f>
        <v>2565.3333333333335</v>
      </c>
      <c r="P1510" s="57">
        <f t="shared" si="23"/>
        <v>1850</v>
      </c>
      <c r="Q1510" s="58">
        <f>_xlfn.MAXIFS(Survey!$G$2:$G$3647,Survey!$M$2:$M$3647,Survey!$M1510)-Survey!$G1510</f>
        <v>1134.7656598842013</v>
      </c>
      <c r="R1510" s="59">
        <f>Survey!$P1510+(Survey!$Q1510*0.433)</f>
        <v>2341.3535307298594</v>
      </c>
    </row>
    <row r="1511" spans="1:18" x14ac:dyDescent="0.25">
      <c r="A1511" s="60" t="s">
        <v>17</v>
      </c>
      <c r="B1511" s="61" t="s">
        <v>22</v>
      </c>
      <c r="C1511" s="62" t="s">
        <v>19</v>
      </c>
      <c r="D1511" s="63">
        <v>238.22365479838055</v>
      </c>
      <c r="E1511" s="79">
        <v>1287249</v>
      </c>
      <c r="F1511" s="80">
        <v>1258896.7524752468</v>
      </c>
      <c r="G1511" s="66">
        <v>2624.2668116051036</v>
      </c>
      <c r="H1511" s="67">
        <v>2</v>
      </c>
      <c r="I1511" s="68" t="s">
        <v>20</v>
      </c>
      <c r="J1511" s="69">
        <v>40</v>
      </c>
      <c r="K1511" s="70">
        <v>2</v>
      </c>
      <c r="L1511" s="68">
        <v>1</v>
      </c>
      <c r="M1511" s="68">
        <f>_xlfn.XLOOKUP(Survey!$F1511,sections[Start],sections[Test Section],,-1,1)</f>
        <v>5</v>
      </c>
      <c r="N1511" s="55">
        <f>_xlfn.XLOOKUP(Survey!$K1511,pipedata[ID],pipedata[WT])</f>
        <v>0.74</v>
      </c>
      <c r="O1511" s="56">
        <f>_xlfn.XLOOKUP(Survey!$K1511,pipedata[ID],pipedata[104%])</f>
        <v>2565.3333333333335</v>
      </c>
      <c r="P1511" s="57">
        <f t="shared" si="23"/>
        <v>1850</v>
      </c>
      <c r="Q1511" s="58">
        <f>_xlfn.MAXIFS(Survey!$G$2:$G$3647,Survey!$M$2:$M$3647,Survey!$M1511)-Survey!$G1511</f>
        <v>1111.1100277201676</v>
      </c>
      <c r="R1511" s="59">
        <f>Survey!$P1511+(Survey!$Q1511*0.433)</f>
        <v>2331.1106420028327</v>
      </c>
    </row>
    <row r="1512" spans="1:18" x14ac:dyDescent="0.25">
      <c r="A1512" s="71" t="s">
        <v>17</v>
      </c>
      <c r="B1512" s="72" t="s">
        <v>22</v>
      </c>
      <c r="C1512" s="73" t="s">
        <v>19</v>
      </c>
      <c r="D1512" s="74">
        <v>238.22922849386407</v>
      </c>
      <c r="E1512" s="81">
        <v>1287289</v>
      </c>
      <c r="F1512" s="82">
        <v>1258933.9900990091</v>
      </c>
      <c r="G1512" s="75">
        <v>2646.2978937353632</v>
      </c>
      <c r="H1512" s="76">
        <v>2</v>
      </c>
      <c r="I1512" s="54" t="s">
        <v>20</v>
      </c>
      <c r="J1512" s="77">
        <v>40</v>
      </c>
      <c r="K1512" s="78">
        <v>2</v>
      </c>
      <c r="L1512" s="54">
        <v>1</v>
      </c>
      <c r="M1512" s="54">
        <f>_xlfn.XLOOKUP(Survey!$F1512,sections[Start],sections[Test Section],,-1,1)</f>
        <v>5</v>
      </c>
      <c r="N1512" s="55">
        <f>_xlfn.XLOOKUP(Survey!$K1512,pipedata[ID],pipedata[WT])</f>
        <v>0.74</v>
      </c>
      <c r="O1512" s="56">
        <f>_xlfn.XLOOKUP(Survey!$K1512,pipedata[ID],pipedata[104%])</f>
        <v>2565.3333333333335</v>
      </c>
      <c r="P1512" s="57">
        <f t="shared" si="23"/>
        <v>1850</v>
      </c>
      <c r="Q1512" s="58">
        <f>_xlfn.MAXIFS(Survey!$G$2:$G$3647,Survey!$M$2:$M$3647,Survey!$M1512)-Survey!$G1512</f>
        <v>1089.078945589908</v>
      </c>
      <c r="R1512" s="59">
        <f>Survey!$P1512+(Survey!$Q1512*0.433)</f>
        <v>2321.5711834404301</v>
      </c>
    </row>
    <row r="1513" spans="1:18" x14ac:dyDescent="0.25">
      <c r="A1513" s="60" t="s">
        <v>17</v>
      </c>
      <c r="B1513" s="61" t="s">
        <v>22</v>
      </c>
      <c r="C1513" s="62" t="s">
        <v>19</v>
      </c>
      <c r="D1513" s="63">
        <v>238.23625894831159</v>
      </c>
      <c r="E1513" s="79">
        <v>1287329</v>
      </c>
      <c r="F1513" s="80">
        <v>1258971.2277227715</v>
      </c>
      <c r="G1513" s="66">
        <v>2666.125922835527</v>
      </c>
      <c r="H1513" s="67">
        <v>2</v>
      </c>
      <c r="I1513" s="68" t="s">
        <v>20</v>
      </c>
      <c r="J1513" s="69">
        <v>40</v>
      </c>
      <c r="K1513" s="70">
        <v>2</v>
      </c>
      <c r="L1513" s="68">
        <v>1</v>
      </c>
      <c r="M1513" s="68">
        <f>_xlfn.XLOOKUP(Survey!$F1513,sections[Start],sections[Test Section],,-1,1)</f>
        <v>5</v>
      </c>
      <c r="N1513" s="55">
        <f>_xlfn.XLOOKUP(Survey!$K1513,pipedata[ID],pipedata[WT])</f>
        <v>0.74</v>
      </c>
      <c r="O1513" s="56">
        <f>_xlfn.XLOOKUP(Survey!$K1513,pipedata[ID],pipedata[104%])</f>
        <v>2565.3333333333335</v>
      </c>
      <c r="P1513" s="57">
        <f t="shared" si="23"/>
        <v>1850</v>
      </c>
      <c r="Q1513" s="58">
        <f>_xlfn.MAXIFS(Survey!$G$2:$G$3647,Survey!$M$2:$M$3647,Survey!$M1513)-Survey!$G1513</f>
        <v>1069.2509164897442</v>
      </c>
      <c r="R1513" s="59">
        <f>Survey!$P1513+(Survey!$Q1513*0.433)</f>
        <v>2312.9856468400594</v>
      </c>
    </row>
    <row r="1514" spans="1:18" x14ac:dyDescent="0.25">
      <c r="A1514" s="71" t="s">
        <v>17</v>
      </c>
      <c r="B1514" s="72" t="s">
        <v>22</v>
      </c>
      <c r="C1514" s="73" t="s">
        <v>19</v>
      </c>
      <c r="D1514" s="74">
        <v>238.2431627325733</v>
      </c>
      <c r="E1514" s="81">
        <v>1287369</v>
      </c>
      <c r="F1514" s="82">
        <v>1259008.4653465338</v>
      </c>
      <c r="G1514" s="75">
        <v>2691.7131050324406</v>
      </c>
      <c r="H1514" s="76">
        <v>2</v>
      </c>
      <c r="I1514" s="54" t="s">
        <v>20</v>
      </c>
      <c r="J1514" s="77">
        <v>40</v>
      </c>
      <c r="K1514" s="78">
        <v>2</v>
      </c>
      <c r="L1514" s="54">
        <v>1</v>
      </c>
      <c r="M1514" s="54">
        <f>_xlfn.XLOOKUP(Survey!$F1514,sections[Start],sections[Test Section],,-1,1)</f>
        <v>5</v>
      </c>
      <c r="N1514" s="55">
        <f>_xlfn.XLOOKUP(Survey!$K1514,pipedata[ID],pipedata[WT])</f>
        <v>0.74</v>
      </c>
      <c r="O1514" s="56">
        <f>_xlfn.XLOOKUP(Survey!$K1514,pipedata[ID],pipedata[104%])</f>
        <v>2565.3333333333335</v>
      </c>
      <c r="P1514" s="57">
        <f t="shared" si="23"/>
        <v>1850</v>
      </c>
      <c r="Q1514" s="58">
        <f>_xlfn.MAXIFS(Survey!$G$2:$G$3647,Survey!$M$2:$M$3647,Survey!$M1514)-Survey!$G1514</f>
        <v>1043.6637342928307</v>
      </c>
      <c r="R1514" s="59">
        <f>Survey!$P1514+(Survey!$Q1514*0.433)</f>
        <v>2301.9063969487956</v>
      </c>
    </row>
    <row r="1515" spans="1:18" x14ac:dyDescent="0.25">
      <c r="A1515" s="60" t="s">
        <v>17</v>
      </c>
      <c r="B1515" s="61" t="s">
        <v>22</v>
      </c>
      <c r="C1515" s="62" t="s">
        <v>19</v>
      </c>
      <c r="D1515" s="63">
        <v>238.24916776507854</v>
      </c>
      <c r="E1515" s="79">
        <v>1287409</v>
      </c>
      <c r="F1515" s="80">
        <v>1259045.7029702961</v>
      </c>
      <c r="G1515" s="66">
        <v>2716.7609565693979</v>
      </c>
      <c r="H1515" s="67">
        <v>2</v>
      </c>
      <c r="I1515" s="68" t="s">
        <v>20</v>
      </c>
      <c r="J1515" s="69">
        <v>40</v>
      </c>
      <c r="K1515" s="70">
        <v>2</v>
      </c>
      <c r="L1515" s="68">
        <v>1</v>
      </c>
      <c r="M1515" s="68">
        <f>_xlfn.XLOOKUP(Survey!$F1515,sections[Start],sections[Test Section],,-1,1)</f>
        <v>5</v>
      </c>
      <c r="N1515" s="55">
        <f>_xlfn.XLOOKUP(Survey!$K1515,pipedata[ID],pipedata[WT])</f>
        <v>0.74</v>
      </c>
      <c r="O1515" s="56">
        <f>_xlfn.XLOOKUP(Survey!$K1515,pipedata[ID],pipedata[104%])</f>
        <v>2565.3333333333335</v>
      </c>
      <c r="P1515" s="57">
        <f t="shared" si="23"/>
        <v>1850</v>
      </c>
      <c r="Q1515" s="58">
        <f>_xlfn.MAXIFS(Survey!$G$2:$G$3647,Survey!$M$2:$M$3647,Survey!$M1515)-Survey!$G1515</f>
        <v>1018.6158827558734</v>
      </c>
      <c r="R1515" s="59">
        <f>Survey!$P1515+(Survey!$Q1515*0.433)</f>
        <v>2291.0606772332931</v>
      </c>
    </row>
    <row r="1516" spans="1:18" x14ac:dyDescent="0.25">
      <c r="A1516" s="71" t="s">
        <v>17</v>
      </c>
      <c r="B1516" s="72" t="s">
        <v>22</v>
      </c>
      <c r="C1516" s="73" t="s">
        <v>19</v>
      </c>
      <c r="D1516" s="74">
        <v>238.25459777427605</v>
      </c>
      <c r="E1516" s="81">
        <v>1287449</v>
      </c>
      <c r="F1516" s="82">
        <v>1259082.9405940585</v>
      </c>
      <c r="G1516" s="75">
        <v>2742.3280357202102</v>
      </c>
      <c r="H1516" s="76">
        <v>2</v>
      </c>
      <c r="I1516" s="54" t="s">
        <v>20</v>
      </c>
      <c r="J1516" s="77">
        <v>40</v>
      </c>
      <c r="K1516" s="78">
        <v>2</v>
      </c>
      <c r="L1516" s="54">
        <v>1</v>
      </c>
      <c r="M1516" s="54">
        <f>_xlfn.XLOOKUP(Survey!$F1516,sections[Start],sections[Test Section],,-1,1)</f>
        <v>5</v>
      </c>
      <c r="N1516" s="55">
        <f>_xlfn.XLOOKUP(Survey!$K1516,pipedata[ID],pipedata[WT])</f>
        <v>0.74</v>
      </c>
      <c r="O1516" s="56">
        <f>_xlfn.XLOOKUP(Survey!$K1516,pipedata[ID],pipedata[104%])</f>
        <v>2565.3333333333335</v>
      </c>
      <c r="P1516" s="57">
        <f t="shared" si="23"/>
        <v>1850</v>
      </c>
      <c r="Q1516" s="58">
        <f>_xlfn.MAXIFS(Survey!$G$2:$G$3647,Survey!$M$2:$M$3647,Survey!$M1516)-Survey!$G1516</f>
        <v>993.04880360506104</v>
      </c>
      <c r="R1516" s="59">
        <f>Survey!$P1516+(Survey!$Q1516*0.433)</f>
        <v>2279.9901319609917</v>
      </c>
    </row>
    <row r="1517" spans="1:18" x14ac:dyDescent="0.25">
      <c r="A1517" s="60" t="s">
        <v>17</v>
      </c>
      <c r="B1517" s="61" t="s">
        <v>22</v>
      </c>
      <c r="C1517" s="62" t="s">
        <v>19</v>
      </c>
      <c r="D1517" s="63">
        <v>238.26267066676601</v>
      </c>
      <c r="E1517" s="79">
        <v>1287489</v>
      </c>
      <c r="F1517" s="80">
        <v>1259120.1782178208</v>
      </c>
      <c r="G1517" s="66">
        <v>2760.9297841375915</v>
      </c>
      <c r="H1517" s="67">
        <v>2</v>
      </c>
      <c r="I1517" s="68" t="s">
        <v>20</v>
      </c>
      <c r="J1517" s="69">
        <v>40</v>
      </c>
      <c r="K1517" s="70">
        <v>2</v>
      </c>
      <c r="L1517" s="68">
        <v>1</v>
      </c>
      <c r="M1517" s="68">
        <f>_xlfn.XLOOKUP(Survey!$F1517,sections[Start],sections[Test Section],,-1,1)</f>
        <v>5</v>
      </c>
      <c r="N1517" s="55">
        <f>_xlfn.XLOOKUP(Survey!$K1517,pipedata[ID],pipedata[WT])</f>
        <v>0.74</v>
      </c>
      <c r="O1517" s="56">
        <f>_xlfn.XLOOKUP(Survey!$K1517,pipedata[ID],pipedata[104%])</f>
        <v>2565.3333333333335</v>
      </c>
      <c r="P1517" s="57">
        <f t="shared" si="23"/>
        <v>1850</v>
      </c>
      <c r="Q1517" s="58">
        <f>_xlfn.MAXIFS(Survey!$G$2:$G$3647,Survey!$M$2:$M$3647,Survey!$M1517)-Survey!$G1517</f>
        <v>974.44705518767978</v>
      </c>
      <c r="R1517" s="59">
        <f>Survey!$P1517+(Survey!$Q1517*0.433)</f>
        <v>2271.9355748962653</v>
      </c>
    </row>
    <row r="1518" spans="1:18" x14ac:dyDescent="0.25">
      <c r="A1518" s="71" t="s">
        <v>17</v>
      </c>
      <c r="B1518" s="72" t="s">
        <v>22</v>
      </c>
      <c r="C1518" s="73" t="s">
        <v>19</v>
      </c>
      <c r="D1518" s="74">
        <v>238.26824436224956</v>
      </c>
      <c r="E1518" s="81">
        <v>1287529</v>
      </c>
      <c r="F1518" s="82">
        <v>1259157.4158415832</v>
      </c>
      <c r="G1518" s="75">
        <v>2780.4425731680171</v>
      </c>
      <c r="H1518" s="76">
        <v>2</v>
      </c>
      <c r="I1518" s="54" t="s">
        <v>20</v>
      </c>
      <c r="J1518" s="77">
        <v>40</v>
      </c>
      <c r="K1518" s="78">
        <v>2</v>
      </c>
      <c r="L1518" s="54">
        <v>1</v>
      </c>
      <c r="M1518" s="54">
        <f>_xlfn.XLOOKUP(Survey!$F1518,sections[Start],sections[Test Section],,-1,1)</f>
        <v>5</v>
      </c>
      <c r="N1518" s="55">
        <f>_xlfn.XLOOKUP(Survey!$K1518,pipedata[ID],pipedata[WT])</f>
        <v>0.74</v>
      </c>
      <c r="O1518" s="56">
        <f>_xlfn.XLOOKUP(Survey!$K1518,pipedata[ID],pipedata[104%])</f>
        <v>2565.3333333333335</v>
      </c>
      <c r="P1518" s="57">
        <f t="shared" si="23"/>
        <v>1850</v>
      </c>
      <c r="Q1518" s="58">
        <f>_xlfn.MAXIFS(Survey!$G$2:$G$3647,Survey!$M$2:$M$3647,Survey!$M1518)-Survey!$G1518</f>
        <v>954.93426615725411</v>
      </c>
      <c r="R1518" s="59">
        <f>Survey!$P1518+(Survey!$Q1518*0.433)</f>
        <v>2263.4865372460908</v>
      </c>
    </row>
    <row r="1519" spans="1:18" x14ac:dyDescent="0.25">
      <c r="A1519" s="60" t="s">
        <v>17</v>
      </c>
      <c r="B1519" s="61" t="s">
        <v>22</v>
      </c>
      <c r="C1519" s="62" t="s">
        <v>19</v>
      </c>
      <c r="D1519" s="63">
        <v>238.27498539861242</v>
      </c>
      <c r="E1519" s="79">
        <v>1287569</v>
      </c>
      <c r="F1519" s="80">
        <v>1259194.6534653455</v>
      </c>
      <c r="G1519" s="66">
        <v>2801.7639619071933</v>
      </c>
      <c r="H1519" s="67">
        <v>2</v>
      </c>
      <c r="I1519" s="68" t="s">
        <v>20</v>
      </c>
      <c r="J1519" s="69">
        <v>40</v>
      </c>
      <c r="K1519" s="70">
        <v>2</v>
      </c>
      <c r="L1519" s="68">
        <v>1</v>
      </c>
      <c r="M1519" s="68">
        <f>_xlfn.XLOOKUP(Survey!$F1519,sections[Start],sections[Test Section],,-1,1)</f>
        <v>5</v>
      </c>
      <c r="N1519" s="55">
        <f>_xlfn.XLOOKUP(Survey!$K1519,pipedata[ID],pipedata[WT])</f>
        <v>0.74</v>
      </c>
      <c r="O1519" s="56">
        <f>_xlfn.XLOOKUP(Survey!$K1519,pipedata[ID],pipedata[104%])</f>
        <v>2565.3333333333335</v>
      </c>
      <c r="P1519" s="57">
        <f t="shared" si="23"/>
        <v>1850</v>
      </c>
      <c r="Q1519" s="58">
        <f>_xlfn.MAXIFS(Survey!$G$2:$G$3647,Survey!$M$2:$M$3647,Survey!$M1519)-Survey!$G1519</f>
        <v>933.61287741807791</v>
      </c>
      <c r="R1519" s="59">
        <f>Survey!$P1519+(Survey!$Q1519*0.433)</f>
        <v>2254.254375922028</v>
      </c>
    </row>
    <row r="1520" spans="1:18" x14ac:dyDescent="0.25">
      <c r="A1520" s="71" t="s">
        <v>17</v>
      </c>
      <c r="B1520" s="72" t="s">
        <v>22</v>
      </c>
      <c r="C1520" s="73" t="s">
        <v>19</v>
      </c>
      <c r="D1520" s="74">
        <v>238.28014892531914</v>
      </c>
      <c r="E1520" s="81">
        <v>1287609</v>
      </c>
      <c r="F1520" s="82">
        <v>1259231.8910891078</v>
      </c>
      <c r="G1520" s="75">
        <v>2817.575838454979</v>
      </c>
      <c r="H1520" s="76">
        <v>2</v>
      </c>
      <c r="I1520" s="54" t="s">
        <v>20</v>
      </c>
      <c r="J1520" s="77">
        <v>40</v>
      </c>
      <c r="K1520" s="78">
        <v>2</v>
      </c>
      <c r="L1520" s="54">
        <v>1</v>
      </c>
      <c r="M1520" s="54">
        <f>_xlfn.XLOOKUP(Survey!$F1520,sections[Start],sections[Test Section],,-1,1)</f>
        <v>5</v>
      </c>
      <c r="N1520" s="55">
        <f>_xlfn.XLOOKUP(Survey!$K1520,pipedata[ID],pipedata[WT])</f>
        <v>0.74</v>
      </c>
      <c r="O1520" s="56">
        <f>_xlfn.XLOOKUP(Survey!$K1520,pipedata[ID],pipedata[104%])</f>
        <v>2565.3333333333335</v>
      </c>
      <c r="P1520" s="57">
        <f t="shared" si="23"/>
        <v>1850</v>
      </c>
      <c r="Q1520" s="58">
        <f>_xlfn.MAXIFS(Survey!$G$2:$G$3647,Survey!$M$2:$M$3647,Survey!$M1520)-Survey!$G1520</f>
        <v>917.80100087029223</v>
      </c>
      <c r="R1520" s="59">
        <f>Survey!$P1520+(Survey!$Q1520*0.433)</f>
        <v>2247.4078333768366</v>
      </c>
    </row>
    <row r="1521" spans="1:18" x14ac:dyDescent="0.25">
      <c r="A1521" s="60" t="s">
        <v>17</v>
      </c>
      <c r="B1521" s="61" t="s">
        <v>22</v>
      </c>
      <c r="C1521" s="62" t="s">
        <v>19</v>
      </c>
      <c r="D1521" s="63">
        <v>238.28789421537928</v>
      </c>
      <c r="E1521" s="79">
        <v>1287649</v>
      </c>
      <c r="F1521" s="80">
        <v>1259269.1287128702</v>
      </c>
      <c r="G1521" s="66">
        <v>2836.1299120001586</v>
      </c>
      <c r="H1521" s="67">
        <v>2</v>
      </c>
      <c r="I1521" s="68" t="s">
        <v>20</v>
      </c>
      <c r="J1521" s="69">
        <v>40</v>
      </c>
      <c r="K1521" s="70">
        <v>2</v>
      </c>
      <c r="L1521" s="68">
        <v>1</v>
      </c>
      <c r="M1521" s="68">
        <f>_xlfn.XLOOKUP(Survey!$F1521,sections[Start],sections[Test Section],,-1,1)</f>
        <v>5</v>
      </c>
      <c r="N1521" s="55">
        <f>_xlfn.XLOOKUP(Survey!$K1521,pipedata[ID],pipedata[WT])</f>
        <v>0.74</v>
      </c>
      <c r="O1521" s="56">
        <f>_xlfn.XLOOKUP(Survey!$K1521,pipedata[ID],pipedata[104%])</f>
        <v>2565.3333333333335</v>
      </c>
      <c r="P1521" s="57">
        <f t="shared" si="23"/>
        <v>1850</v>
      </c>
      <c r="Q1521" s="58">
        <f>_xlfn.MAXIFS(Survey!$G$2:$G$3647,Survey!$M$2:$M$3647,Survey!$M1521)-Survey!$G1521</f>
        <v>899.24692732511267</v>
      </c>
      <c r="R1521" s="59">
        <f>Survey!$P1521+(Survey!$Q1521*0.433)</f>
        <v>2239.3739195317739</v>
      </c>
    </row>
    <row r="1522" spans="1:18" x14ac:dyDescent="0.25">
      <c r="A1522" s="71" t="s">
        <v>17</v>
      </c>
      <c r="B1522" s="72" t="s">
        <v>22</v>
      </c>
      <c r="C1522" s="73" t="s">
        <v>19</v>
      </c>
      <c r="D1522" s="74">
        <v>238.29332599192588</v>
      </c>
      <c r="E1522" s="81">
        <v>1287689</v>
      </c>
      <c r="F1522" s="82">
        <v>1259306.3663366325</v>
      </c>
      <c r="G1522" s="75">
        <v>2846.4065516412461</v>
      </c>
      <c r="H1522" s="76">
        <v>2</v>
      </c>
      <c r="I1522" s="54" t="s">
        <v>20</v>
      </c>
      <c r="J1522" s="77">
        <v>40</v>
      </c>
      <c r="K1522" s="78">
        <v>2</v>
      </c>
      <c r="L1522" s="54">
        <v>1</v>
      </c>
      <c r="M1522" s="54">
        <f>_xlfn.XLOOKUP(Survey!$F1522,sections[Start],sections[Test Section],,-1,1)</f>
        <v>5</v>
      </c>
      <c r="N1522" s="55">
        <f>_xlfn.XLOOKUP(Survey!$K1522,pipedata[ID],pipedata[WT])</f>
        <v>0.74</v>
      </c>
      <c r="O1522" s="56">
        <f>_xlfn.XLOOKUP(Survey!$K1522,pipedata[ID],pipedata[104%])</f>
        <v>2565.3333333333335</v>
      </c>
      <c r="P1522" s="57">
        <f t="shared" si="23"/>
        <v>1850</v>
      </c>
      <c r="Q1522" s="58">
        <f>_xlfn.MAXIFS(Survey!$G$2:$G$3647,Survey!$M$2:$M$3647,Survey!$M1522)-Survey!$G1522</f>
        <v>888.97028768402515</v>
      </c>
      <c r="R1522" s="59">
        <f>Survey!$P1522+(Survey!$Q1522*0.433)</f>
        <v>2234.924134567183</v>
      </c>
    </row>
    <row r="1523" spans="1:18" x14ac:dyDescent="0.25">
      <c r="A1523" s="60" t="s">
        <v>17</v>
      </c>
      <c r="B1523" s="61" t="s">
        <v>22</v>
      </c>
      <c r="C1523" s="62" t="s">
        <v>19</v>
      </c>
      <c r="D1523" s="63">
        <v>238.30168653515148</v>
      </c>
      <c r="E1523" s="79">
        <v>1287729</v>
      </c>
      <c r="F1523" s="80">
        <v>1259343.6039603949</v>
      </c>
      <c r="G1523" s="66">
        <v>2856.9676769050211</v>
      </c>
      <c r="H1523" s="67">
        <v>2</v>
      </c>
      <c r="I1523" s="68" t="s">
        <v>20</v>
      </c>
      <c r="J1523" s="69">
        <v>40</v>
      </c>
      <c r="K1523" s="70">
        <v>2</v>
      </c>
      <c r="L1523" s="68">
        <v>1</v>
      </c>
      <c r="M1523" s="68">
        <f>_xlfn.XLOOKUP(Survey!$F1523,sections[Start],sections[Test Section],,-1,1)</f>
        <v>5</v>
      </c>
      <c r="N1523" s="55">
        <f>_xlfn.XLOOKUP(Survey!$K1523,pipedata[ID],pipedata[WT])</f>
        <v>0.74</v>
      </c>
      <c r="O1523" s="56">
        <f>_xlfn.XLOOKUP(Survey!$K1523,pipedata[ID],pipedata[104%])</f>
        <v>2565.3333333333335</v>
      </c>
      <c r="P1523" s="57">
        <f t="shared" si="23"/>
        <v>1850</v>
      </c>
      <c r="Q1523" s="58">
        <f>_xlfn.MAXIFS(Survey!$G$2:$G$3647,Survey!$M$2:$M$3647,Survey!$M1523)-Survey!$G1523</f>
        <v>878.40916242025014</v>
      </c>
      <c r="R1523" s="59">
        <f>Survey!$P1523+(Survey!$Q1523*0.433)</f>
        <v>2230.3511673279681</v>
      </c>
    </row>
    <row r="1524" spans="1:18" x14ac:dyDescent="0.25">
      <c r="A1524" s="71" t="s">
        <v>17</v>
      </c>
      <c r="B1524" s="72" t="s">
        <v>22</v>
      </c>
      <c r="C1524" s="73" t="s">
        <v>19</v>
      </c>
      <c r="D1524" s="74">
        <v>238.30915906752119</v>
      </c>
      <c r="E1524" s="81">
        <v>1287769</v>
      </c>
      <c r="F1524" s="82">
        <v>1259380.8415841572</v>
      </c>
      <c r="G1524" s="75">
        <v>2865.5577948747723</v>
      </c>
      <c r="H1524" s="76">
        <v>2</v>
      </c>
      <c r="I1524" s="54" t="s">
        <v>20</v>
      </c>
      <c r="J1524" s="77">
        <v>40</v>
      </c>
      <c r="K1524" s="78">
        <v>2</v>
      </c>
      <c r="L1524" s="54">
        <v>1</v>
      </c>
      <c r="M1524" s="54">
        <f>_xlfn.XLOOKUP(Survey!$F1524,sections[Start],sections[Test Section],,-1,1)</f>
        <v>5</v>
      </c>
      <c r="N1524" s="55">
        <f>_xlfn.XLOOKUP(Survey!$K1524,pipedata[ID],pipedata[WT])</f>
        <v>0.74</v>
      </c>
      <c r="O1524" s="56">
        <f>_xlfn.XLOOKUP(Survey!$K1524,pipedata[ID],pipedata[104%])</f>
        <v>2565.3333333333335</v>
      </c>
      <c r="P1524" s="57">
        <f t="shared" si="23"/>
        <v>1850</v>
      </c>
      <c r="Q1524" s="58">
        <f>_xlfn.MAXIFS(Survey!$G$2:$G$3647,Survey!$M$2:$M$3647,Survey!$M1524)-Survey!$G1524</f>
        <v>869.81904445049895</v>
      </c>
      <c r="R1524" s="59">
        <f>Survey!$P1524+(Survey!$Q1524*0.433)</f>
        <v>2226.6316462470659</v>
      </c>
    </row>
    <row r="1525" spans="1:18" x14ac:dyDescent="0.25">
      <c r="A1525" s="60" t="s">
        <v>17</v>
      </c>
      <c r="B1525" s="61" t="s">
        <v>22</v>
      </c>
      <c r="C1525" s="62" t="s">
        <v>19</v>
      </c>
      <c r="D1525" s="63">
        <v>238.31560583622172</v>
      </c>
      <c r="E1525" s="79">
        <v>1287809</v>
      </c>
      <c r="F1525" s="80">
        <v>1259418.0792079195</v>
      </c>
      <c r="G1525" s="66">
        <v>2874.0496493859164</v>
      </c>
      <c r="H1525" s="67">
        <v>2</v>
      </c>
      <c r="I1525" s="68" t="s">
        <v>20</v>
      </c>
      <c r="J1525" s="69">
        <v>40</v>
      </c>
      <c r="K1525" s="70">
        <v>2</v>
      </c>
      <c r="L1525" s="68">
        <v>1</v>
      </c>
      <c r="M1525" s="68">
        <f>_xlfn.XLOOKUP(Survey!$F1525,sections[Start],sections[Test Section],,-1,1)</f>
        <v>5</v>
      </c>
      <c r="N1525" s="55">
        <f>_xlfn.XLOOKUP(Survey!$K1525,pipedata[ID],pipedata[WT])</f>
        <v>0.74</v>
      </c>
      <c r="O1525" s="56">
        <f>_xlfn.XLOOKUP(Survey!$K1525,pipedata[ID],pipedata[104%])</f>
        <v>2565.3333333333335</v>
      </c>
      <c r="P1525" s="57">
        <f t="shared" si="23"/>
        <v>1850</v>
      </c>
      <c r="Q1525" s="58">
        <f>_xlfn.MAXIFS(Survey!$G$2:$G$3647,Survey!$M$2:$M$3647,Survey!$M1525)-Survey!$G1525</f>
        <v>861.32718993935487</v>
      </c>
      <c r="R1525" s="59">
        <f>Survey!$P1525+(Survey!$Q1525*0.433)</f>
        <v>2222.9546732437407</v>
      </c>
    </row>
    <row r="1526" spans="1:18" x14ac:dyDescent="0.25">
      <c r="A1526" s="71" t="s">
        <v>17</v>
      </c>
      <c r="B1526" s="72" t="s">
        <v>22</v>
      </c>
      <c r="C1526" s="73" t="s">
        <v>19</v>
      </c>
      <c r="D1526" s="74">
        <v>238.32338122281053</v>
      </c>
      <c r="E1526" s="81">
        <v>1287849</v>
      </c>
      <c r="F1526" s="82">
        <v>1259455.3168316819</v>
      </c>
      <c r="G1526" s="75">
        <v>2882.1306060261127</v>
      </c>
      <c r="H1526" s="76">
        <v>2</v>
      </c>
      <c r="I1526" s="54" t="s">
        <v>20</v>
      </c>
      <c r="J1526" s="77">
        <v>40</v>
      </c>
      <c r="K1526" s="78">
        <v>2</v>
      </c>
      <c r="L1526" s="54">
        <v>1</v>
      </c>
      <c r="M1526" s="54">
        <f>_xlfn.XLOOKUP(Survey!$F1526,sections[Start],sections[Test Section],,-1,1)</f>
        <v>5</v>
      </c>
      <c r="N1526" s="55">
        <f>_xlfn.XLOOKUP(Survey!$K1526,pipedata[ID],pipedata[WT])</f>
        <v>0.74</v>
      </c>
      <c r="O1526" s="56">
        <f>_xlfn.XLOOKUP(Survey!$K1526,pipedata[ID],pipedata[104%])</f>
        <v>2565.3333333333335</v>
      </c>
      <c r="P1526" s="57">
        <f t="shared" si="23"/>
        <v>1850</v>
      </c>
      <c r="Q1526" s="58">
        <f>_xlfn.MAXIFS(Survey!$G$2:$G$3647,Survey!$M$2:$M$3647,Survey!$M1526)-Survey!$G1526</f>
        <v>853.24623329915858</v>
      </c>
      <c r="R1526" s="59">
        <f>Survey!$P1526+(Survey!$Q1526*0.433)</f>
        <v>2219.4556190185358</v>
      </c>
    </row>
    <row r="1527" spans="1:18" x14ac:dyDescent="0.25">
      <c r="A1527" s="60" t="s">
        <v>17</v>
      </c>
      <c r="B1527" s="61" t="s">
        <v>22</v>
      </c>
      <c r="C1527" s="62" t="s">
        <v>19</v>
      </c>
      <c r="D1527" s="63">
        <v>238.33130142054796</v>
      </c>
      <c r="E1527" s="79">
        <v>1287889</v>
      </c>
      <c r="F1527" s="80">
        <v>1259492.5544554442</v>
      </c>
      <c r="G1527" s="66">
        <v>2890.5821858941777</v>
      </c>
      <c r="H1527" s="67">
        <v>2</v>
      </c>
      <c r="I1527" s="68" t="s">
        <v>20</v>
      </c>
      <c r="J1527" s="69">
        <v>40</v>
      </c>
      <c r="K1527" s="70">
        <v>2</v>
      </c>
      <c r="L1527" s="68">
        <v>1</v>
      </c>
      <c r="M1527" s="68">
        <f>_xlfn.XLOOKUP(Survey!$F1527,sections[Start],sections[Test Section],,-1,1)</f>
        <v>5</v>
      </c>
      <c r="N1527" s="55">
        <f>_xlfn.XLOOKUP(Survey!$K1527,pipedata[ID],pipedata[WT])</f>
        <v>0.74</v>
      </c>
      <c r="O1527" s="56">
        <f>_xlfn.XLOOKUP(Survey!$K1527,pipedata[ID],pipedata[104%])</f>
        <v>2565.3333333333335</v>
      </c>
      <c r="P1527" s="57">
        <f t="shared" si="23"/>
        <v>1850</v>
      </c>
      <c r="Q1527" s="58">
        <f>_xlfn.MAXIFS(Survey!$G$2:$G$3647,Survey!$M$2:$M$3647,Survey!$M1527)-Survey!$G1527</f>
        <v>844.79465343109359</v>
      </c>
      <c r="R1527" s="59">
        <f>Survey!$P1527+(Survey!$Q1527*0.433)</f>
        <v>2215.7960849356637</v>
      </c>
    </row>
    <row r="1528" spans="1:18" x14ac:dyDescent="0.25">
      <c r="A1528" s="71" t="s">
        <v>17</v>
      </c>
      <c r="B1528" s="72" t="s">
        <v>22</v>
      </c>
      <c r="C1528" s="73" t="s">
        <v>19</v>
      </c>
      <c r="D1528" s="74">
        <v>238.33828277447125</v>
      </c>
      <c r="E1528" s="81">
        <v>1287929</v>
      </c>
      <c r="F1528" s="82">
        <v>1259529.7920792066</v>
      </c>
      <c r="G1528" s="75">
        <v>2904.8459348419074</v>
      </c>
      <c r="H1528" s="76">
        <v>2</v>
      </c>
      <c r="I1528" s="54" t="s">
        <v>20</v>
      </c>
      <c r="J1528" s="77">
        <v>40</v>
      </c>
      <c r="K1528" s="78">
        <v>2</v>
      </c>
      <c r="L1528" s="54">
        <v>1</v>
      </c>
      <c r="M1528" s="54">
        <f>_xlfn.XLOOKUP(Survey!$F1528,sections[Start],sections[Test Section],,-1,1)</f>
        <v>5</v>
      </c>
      <c r="N1528" s="55">
        <f>_xlfn.XLOOKUP(Survey!$K1528,pipedata[ID],pipedata[WT])</f>
        <v>0.74</v>
      </c>
      <c r="O1528" s="56">
        <f>_xlfn.XLOOKUP(Survey!$K1528,pipedata[ID],pipedata[104%])</f>
        <v>2565.3333333333335</v>
      </c>
      <c r="P1528" s="57">
        <f t="shared" si="23"/>
        <v>1850</v>
      </c>
      <c r="Q1528" s="58">
        <f>_xlfn.MAXIFS(Survey!$G$2:$G$3647,Survey!$M$2:$M$3647,Survey!$M1528)-Survey!$G1528</f>
        <v>830.53090448336388</v>
      </c>
      <c r="R1528" s="59">
        <f>Survey!$P1528+(Survey!$Q1528*0.433)</f>
        <v>2209.6198816412966</v>
      </c>
    </row>
    <row r="1529" spans="1:18" x14ac:dyDescent="0.25">
      <c r="A1529" s="60" t="s">
        <v>17</v>
      </c>
      <c r="B1529" s="61" t="s">
        <v>22</v>
      </c>
      <c r="C1529" s="62" t="s">
        <v>19</v>
      </c>
      <c r="D1529" s="63">
        <v>238.34573032397972</v>
      </c>
      <c r="E1529" s="79">
        <v>1287969</v>
      </c>
      <c r="F1529" s="80">
        <v>1259567.0297029689</v>
      </c>
      <c r="G1529" s="66">
        <v>2913.4428900863791</v>
      </c>
      <c r="H1529" s="67">
        <v>2</v>
      </c>
      <c r="I1529" s="68" t="s">
        <v>20</v>
      </c>
      <c r="J1529" s="69">
        <v>40</v>
      </c>
      <c r="K1529" s="70">
        <v>2</v>
      </c>
      <c r="L1529" s="68">
        <v>1</v>
      </c>
      <c r="M1529" s="68">
        <f>_xlfn.XLOOKUP(Survey!$F1529,sections[Start],sections[Test Section],,-1,1)</f>
        <v>5</v>
      </c>
      <c r="N1529" s="55">
        <f>_xlfn.XLOOKUP(Survey!$K1529,pipedata[ID],pipedata[WT])</f>
        <v>0.74</v>
      </c>
      <c r="O1529" s="56">
        <f>_xlfn.XLOOKUP(Survey!$K1529,pipedata[ID],pipedata[104%])</f>
        <v>2565.3333333333335</v>
      </c>
      <c r="P1529" s="57">
        <f t="shared" si="23"/>
        <v>1850</v>
      </c>
      <c r="Q1529" s="58">
        <f>_xlfn.MAXIFS(Survey!$G$2:$G$3647,Survey!$M$2:$M$3647,Survey!$M1529)-Survey!$G1529</f>
        <v>821.93394923889218</v>
      </c>
      <c r="R1529" s="59">
        <f>Survey!$P1529+(Survey!$Q1529*0.433)</f>
        <v>2205.8974000204403</v>
      </c>
    </row>
    <row r="1530" spans="1:18" x14ac:dyDescent="0.25">
      <c r="A1530" s="71" t="s">
        <v>17</v>
      </c>
      <c r="B1530" s="72" t="s">
        <v>22</v>
      </c>
      <c r="C1530" s="73" t="s">
        <v>19</v>
      </c>
      <c r="D1530" s="74">
        <v>238.35222886631641</v>
      </c>
      <c r="E1530" s="81">
        <v>1288009</v>
      </c>
      <c r="F1530" s="82">
        <v>1259604.2673267312</v>
      </c>
      <c r="G1530" s="75">
        <v>2923.898624091898</v>
      </c>
      <c r="H1530" s="76">
        <v>2</v>
      </c>
      <c r="I1530" s="54" t="s">
        <v>20</v>
      </c>
      <c r="J1530" s="77">
        <v>40</v>
      </c>
      <c r="K1530" s="78">
        <v>2</v>
      </c>
      <c r="L1530" s="54">
        <v>1</v>
      </c>
      <c r="M1530" s="54">
        <f>_xlfn.XLOOKUP(Survey!$F1530,sections[Start],sections[Test Section],,-1,1)</f>
        <v>5</v>
      </c>
      <c r="N1530" s="55">
        <f>_xlfn.XLOOKUP(Survey!$K1530,pipedata[ID],pipedata[WT])</f>
        <v>0.74</v>
      </c>
      <c r="O1530" s="56">
        <f>_xlfn.XLOOKUP(Survey!$K1530,pipedata[ID],pipedata[104%])</f>
        <v>2565.3333333333335</v>
      </c>
      <c r="P1530" s="57">
        <f t="shared" si="23"/>
        <v>1850</v>
      </c>
      <c r="Q1530" s="58">
        <f>_xlfn.MAXIFS(Survey!$G$2:$G$3647,Survey!$M$2:$M$3647,Survey!$M1530)-Survey!$G1530</f>
        <v>811.47821523337325</v>
      </c>
      <c r="R1530" s="59">
        <f>Survey!$P1530+(Survey!$Q1530*0.433)</f>
        <v>2201.3700671960505</v>
      </c>
    </row>
    <row r="1531" spans="1:18" x14ac:dyDescent="0.25">
      <c r="A1531" s="60" t="s">
        <v>17</v>
      </c>
      <c r="B1531" s="61" t="s">
        <v>22</v>
      </c>
      <c r="C1531" s="62" t="s">
        <v>19</v>
      </c>
      <c r="D1531" s="63">
        <v>238.35995247926931</v>
      </c>
      <c r="E1531" s="79">
        <v>1288049</v>
      </c>
      <c r="F1531" s="80">
        <v>1259641.5049504936</v>
      </c>
      <c r="G1531" s="66">
        <v>2939.551239570827</v>
      </c>
      <c r="H1531" s="67">
        <v>2</v>
      </c>
      <c r="I1531" s="68" t="s">
        <v>20</v>
      </c>
      <c r="J1531" s="69">
        <v>40</v>
      </c>
      <c r="K1531" s="70">
        <v>2</v>
      </c>
      <c r="L1531" s="68">
        <v>1</v>
      </c>
      <c r="M1531" s="68">
        <f>_xlfn.XLOOKUP(Survey!$F1531,sections[Start],sections[Test Section],,-1,1)</f>
        <v>5</v>
      </c>
      <c r="N1531" s="55">
        <f>_xlfn.XLOOKUP(Survey!$K1531,pipedata[ID],pipedata[WT])</f>
        <v>0.74</v>
      </c>
      <c r="O1531" s="56">
        <f>_xlfn.XLOOKUP(Survey!$K1531,pipedata[ID],pipedata[104%])</f>
        <v>2565.3333333333335</v>
      </c>
      <c r="P1531" s="57">
        <f t="shared" si="23"/>
        <v>1850</v>
      </c>
      <c r="Q1531" s="58">
        <f>_xlfn.MAXIFS(Survey!$G$2:$G$3647,Survey!$M$2:$M$3647,Survey!$M1531)-Survey!$G1531</f>
        <v>795.82559975444428</v>
      </c>
      <c r="R1531" s="59">
        <f>Survey!$P1531+(Survey!$Q1531*0.433)</f>
        <v>2194.5924846936741</v>
      </c>
    </row>
    <row r="1532" spans="1:18" x14ac:dyDescent="0.25">
      <c r="A1532" s="71" t="s">
        <v>17</v>
      </c>
      <c r="B1532" s="72" t="s">
        <v>22</v>
      </c>
      <c r="C1532" s="73" t="s">
        <v>19</v>
      </c>
      <c r="D1532" s="74">
        <v>238.36792445064299</v>
      </c>
      <c r="E1532" s="81">
        <v>1288089</v>
      </c>
      <c r="F1532" s="82">
        <v>1259678.7425742559</v>
      </c>
      <c r="G1532" s="75">
        <v>2956.276748140504</v>
      </c>
      <c r="H1532" s="76">
        <v>2</v>
      </c>
      <c r="I1532" s="54" t="s">
        <v>20</v>
      </c>
      <c r="J1532" s="77">
        <v>40</v>
      </c>
      <c r="K1532" s="78">
        <v>2</v>
      </c>
      <c r="L1532" s="54">
        <v>1</v>
      </c>
      <c r="M1532" s="54">
        <f>_xlfn.XLOOKUP(Survey!$F1532,sections[Start],sections[Test Section],,-1,1)</f>
        <v>5</v>
      </c>
      <c r="N1532" s="55">
        <f>_xlfn.XLOOKUP(Survey!$K1532,pipedata[ID],pipedata[WT])</f>
        <v>0.74</v>
      </c>
      <c r="O1532" s="56">
        <f>_xlfn.XLOOKUP(Survey!$K1532,pipedata[ID],pipedata[104%])</f>
        <v>2565.3333333333335</v>
      </c>
      <c r="P1532" s="57">
        <f t="shared" si="23"/>
        <v>1850</v>
      </c>
      <c r="Q1532" s="58">
        <f>_xlfn.MAXIFS(Survey!$G$2:$G$3647,Survey!$M$2:$M$3647,Survey!$M1532)-Survey!$G1532</f>
        <v>779.10009118476728</v>
      </c>
      <c r="R1532" s="59">
        <f>Survey!$P1532+(Survey!$Q1532*0.433)</f>
        <v>2187.3503394830041</v>
      </c>
    </row>
    <row r="1533" spans="1:18" x14ac:dyDescent="0.25">
      <c r="A1533" s="60" t="s">
        <v>17</v>
      </c>
      <c r="B1533" s="61" t="s">
        <v>22</v>
      </c>
      <c r="C1533" s="62" t="s">
        <v>19</v>
      </c>
      <c r="D1533" s="63">
        <v>238.37482116021798</v>
      </c>
      <c r="E1533" s="79">
        <v>1288129</v>
      </c>
      <c r="F1533" s="80">
        <v>1259715.9801980183</v>
      </c>
      <c r="G1533" s="66">
        <v>2973.1832940296417</v>
      </c>
      <c r="H1533" s="67">
        <v>2</v>
      </c>
      <c r="I1533" s="68" t="s">
        <v>20</v>
      </c>
      <c r="J1533" s="69">
        <v>40</v>
      </c>
      <c r="K1533" s="70">
        <v>2</v>
      </c>
      <c r="L1533" s="68">
        <v>1</v>
      </c>
      <c r="M1533" s="68">
        <f>_xlfn.XLOOKUP(Survey!$F1533,sections[Start],sections[Test Section],,-1,1)</f>
        <v>5</v>
      </c>
      <c r="N1533" s="55">
        <f>_xlfn.XLOOKUP(Survey!$K1533,pipedata[ID],pipedata[WT])</f>
        <v>0.74</v>
      </c>
      <c r="O1533" s="56">
        <f>_xlfn.XLOOKUP(Survey!$K1533,pipedata[ID],pipedata[104%])</f>
        <v>2565.3333333333335</v>
      </c>
      <c r="P1533" s="57">
        <f t="shared" si="23"/>
        <v>1850</v>
      </c>
      <c r="Q1533" s="58">
        <f>_xlfn.MAXIFS(Survey!$G$2:$G$3647,Survey!$M$2:$M$3647,Survey!$M1533)-Survey!$G1533</f>
        <v>762.19354529562952</v>
      </c>
      <c r="R1533" s="59">
        <f>Survey!$P1533+(Survey!$Q1533*0.433)</f>
        <v>2180.0298051130076</v>
      </c>
    </row>
    <row r="1534" spans="1:18" x14ac:dyDescent="0.25">
      <c r="A1534" s="71" t="s">
        <v>17</v>
      </c>
      <c r="B1534" s="72" t="s">
        <v>22</v>
      </c>
      <c r="C1534" s="73" t="s">
        <v>19</v>
      </c>
      <c r="D1534" s="74">
        <v>238.38146450308111</v>
      </c>
      <c r="E1534" s="81">
        <v>1288169</v>
      </c>
      <c r="F1534" s="82">
        <v>1259753.2178217806</v>
      </c>
      <c r="G1534" s="75">
        <v>2999.243157250145</v>
      </c>
      <c r="H1534" s="76">
        <v>2</v>
      </c>
      <c r="I1534" s="54" t="s">
        <v>20</v>
      </c>
      <c r="J1534" s="77">
        <v>40</v>
      </c>
      <c r="K1534" s="78">
        <v>2</v>
      </c>
      <c r="L1534" s="54">
        <v>1</v>
      </c>
      <c r="M1534" s="54">
        <f>_xlfn.XLOOKUP(Survey!$F1534,sections[Start],sections[Test Section],,-1,1)</f>
        <v>5</v>
      </c>
      <c r="N1534" s="55">
        <f>_xlfn.XLOOKUP(Survey!$K1534,pipedata[ID],pipedata[WT])</f>
        <v>0.74</v>
      </c>
      <c r="O1534" s="56">
        <f>_xlfn.XLOOKUP(Survey!$K1534,pipedata[ID],pipedata[104%])</f>
        <v>2565.3333333333335</v>
      </c>
      <c r="P1534" s="57">
        <f t="shared" si="23"/>
        <v>1850</v>
      </c>
      <c r="Q1534" s="58">
        <f>_xlfn.MAXIFS(Survey!$G$2:$G$3647,Survey!$M$2:$M$3647,Survey!$M1534)-Survey!$G1534</f>
        <v>736.13368207512622</v>
      </c>
      <c r="R1534" s="59">
        <f>Survey!$P1534+(Survey!$Q1534*0.433)</f>
        <v>2168.7458843385298</v>
      </c>
    </row>
    <row r="1535" spans="1:18" x14ac:dyDescent="0.25">
      <c r="A1535" s="60" t="s">
        <v>17</v>
      </c>
      <c r="B1535" s="61" t="s">
        <v>22</v>
      </c>
      <c r="C1535" s="62" t="s">
        <v>19</v>
      </c>
      <c r="D1535" s="63">
        <v>238.38885189641141</v>
      </c>
      <c r="E1535" s="79">
        <v>1288209</v>
      </c>
      <c r="F1535" s="80">
        <v>1259790.4554455429</v>
      </c>
      <c r="G1535" s="66">
        <v>3016.5451065250395</v>
      </c>
      <c r="H1535" s="67">
        <v>2</v>
      </c>
      <c r="I1535" s="68" t="s">
        <v>20</v>
      </c>
      <c r="J1535" s="69">
        <v>40</v>
      </c>
      <c r="K1535" s="70">
        <v>2</v>
      </c>
      <c r="L1535" s="68">
        <v>1</v>
      </c>
      <c r="M1535" s="68">
        <f>_xlfn.XLOOKUP(Survey!$F1535,sections[Start],sections[Test Section],,-1,1)</f>
        <v>5</v>
      </c>
      <c r="N1535" s="55">
        <f>_xlfn.XLOOKUP(Survey!$K1535,pipedata[ID],pipedata[WT])</f>
        <v>0.74</v>
      </c>
      <c r="O1535" s="56">
        <f>_xlfn.XLOOKUP(Survey!$K1535,pipedata[ID],pipedata[104%])</f>
        <v>2565.3333333333335</v>
      </c>
      <c r="P1535" s="57">
        <f t="shared" si="23"/>
        <v>1850</v>
      </c>
      <c r="Q1535" s="58">
        <f>_xlfn.MAXIFS(Survey!$G$2:$G$3647,Survey!$M$2:$M$3647,Survey!$M1535)-Survey!$G1535</f>
        <v>718.83173280023175</v>
      </c>
      <c r="R1535" s="59">
        <f>Survey!$P1535+(Survey!$Q1535*0.433)</f>
        <v>2161.2541403025002</v>
      </c>
    </row>
    <row r="1536" spans="1:18" x14ac:dyDescent="0.25">
      <c r="A1536" s="71" t="s">
        <v>17</v>
      </c>
      <c r="B1536" s="72" t="s">
        <v>22</v>
      </c>
      <c r="C1536" s="73" t="s">
        <v>19</v>
      </c>
      <c r="D1536" s="74">
        <v>238.39475118880713</v>
      </c>
      <c r="E1536" s="81">
        <v>1288249</v>
      </c>
      <c r="F1536" s="82">
        <v>1259827.6930693053</v>
      </c>
      <c r="G1536" s="75">
        <v>3039.2413888299075</v>
      </c>
      <c r="H1536" s="76">
        <v>2</v>
      </c>
      <c r="I1536" s="54" t="s">
        <v>20</v>
      </c>
      <c r="J1536" s="77">
        <v>40</v>
      </c>
      <c r="K1536" s="78">
        <v>2</v>
      </c>
      <c r="L1536" s="54">
        <v>1</v>
      </c>
      <c r="M1536" s="54">
        <f>_xlfn.XLOOKUP(Survey!$F1536,sections[Start],sections[Test Section],,-1,1)</f>
        <v>5</v>
      </c>
      <c r="N1536" s="55">
        <f>_xlfn.XLOOKUP(Survey!$K1536,pipedata[ID],pipedata[WT])</f>
        <v>0.74</v>
      </c>
      <c r="O1536" s="56">
        <f>_xlfn.XLOOKUP(Survey!$K1536,pipedata[ID],pipedata[104%])</f>
        <v>2565.3333333333335</v>
      </c>
      <c r="P1536" s="57">
        <f t="shared" si="23"/>
        <v>1850</v>
      </c>
      <c r="Q1536" s="58">
        <f>_xlfn.MAXIFS(Survey!$G$2:$G$3647,Survey!$M$2:$M$3647,Survey!$M1536)-Survey!$G1536</f>
        <v>696.13545049536378</v>
      </c>
      <c r="R1536" s="59">
        <f>Survey!$P1536+(Survey!$Q1536*0.433)</f>
        <v>2151.4266500644926</v>
      </c>
    </row>
    <row r="1537" spans="1:18" x14ac:dyDescent="0.25">
      <c r="A1537" s="60" t="s">
        <v>17</v>
      </c>
      <c r="B1537" s="61" t="s">
        <v>22</v>
      </c>
      <c r="C1537" s="62" t="s">
        <v>19</v>
      </c>
      <c r="D1537" s="63">
        <v>238.40139453167049</v>
      </c>
      <c r="E1537" s="79">
        <v>1288289</v>
      </c>
      <c r="F1537" s="80">
        <v>1259864.9306930676</v>
      </c>
      <c r="G1537" s="66">
        <v>3051.5361934828961</v>
      </c>
      <c r="H1537" s="67">
        <v>2</v>
      </c>
      <c r="I1537" s="68" t="s">
        <v>20</v>
      </c>
      <c r="J1537" s="69">
        <v>40</v>
      </c>
      <c r="K1537" s="70">
        <v>2</v>
      </c>
      <c r="L1537" s="68">
        <v>1</v>
      </c>
      <c r="M1537" s="68">
        <f>_xlfn.XLOOKUP(Survey!$F1537,sections[Start],sections[Test Section],,-1,1)</f>
        <v>5</v>
      </c>
      <c r="N1537" s="55">
        <f>_xlfn.XLOOKUP(Survey!$K1537,pipedata[ID],pipedata[WT])</f>
        <v>0.74</v>
      </c>
      <c r="O1537" s="56">
        <f>_xlfn.XLOOKUP(Survey!$K1537,pipedata[ID],pipedata[104%])</f>
        <v>2565.3333333333335</v>
      </c>
      <c r="P1537" s="57">
        <f t="shared" si="23"/>
        <v>1850</v>
      </c>
      <c r="Q1537" s="58">
        <f>_xlfn.MAXIFS(Survey!$G$2:$G$3647,Survey!$M$2:$M$3647,Survey!$M1537)-Survey!$G1537</f>
        <v>683.84064584237512</v>
      </c>
      <c r="R1537" s="59">
        <f>Survey!$P1537+(Survey!$Q1537*0.433)</f>
        <v>2146.1029996497482</v>
      </c>
    </row>
    <row r="1538" spans="1:18" x14ac:dyDescent="0.25">
      <c r="A1538" s="71" t="s">
        <v>17</v>
      </c>
      <c r="B1538" s="72" t="s">
        <v>22</v>
      </c>
      <c r="C1538" s="73" t="s">
        <v>19</v>
      </c>
      <c r="D1538" s="74">
        <v>238.40803787453356</v>
      </c>
      <c r="E1538" s="81">
        <v>1288329</v>
      </c>
      <c r="F1538" s="82">
        <v>1259902.1683168299</v>
      </c>
      <c r="G1538" s="75">
        <v>3070.2794968707517</v>
      </c>
      <c r="H1538" s="76">
        <v>2</v>
      </c>
      <c r="I1538" s="54" t="s">
        <v>20</v>
      </c>
      <c r="J1538" s="77">
        <v>40</v>
      </c>
      <c r="K1538" s="78">
        <v>2</v>
      </c>
      <c r="L1538" s="54">
        <v>1</v>
      </c>
      <c r="M1538" s="54">
        <f>_xlfn.XLOOKUP(Survey!$F1538,sections[Start],sections[Test Section],,-1,1)</f>
        <v>5</v>
      </c>
      <c r="N1538" s="55">
        <f>_xlfn.XLOOKUP(Survey!$K1538,pipedata[ID],pipedata[WT])</f>
        <v>0.74</v>
      </c>
      <c r="O1538" s="56">
        <f>_xlfn.XLOOKUP(Survey!$K1538,pipedata[ID],pipedata[104%])</f>
        <v>2565.3333333333335</v>
      </c>
      <c r="P1538" s="57">
        <f t="shared" ref="P1538:P1601" si="24">IF(L1538=1,1850,IF(L1538=2,1850,2220))</f>
        <v>1850</v>
      </c>
      <c r="Q1538" s="58">
        <f>_xlfn.MAXIFS(Survey!$G$2:$G$3647,Survey!$M$2:$M$3647,Survey!$M1538)-Survey!$G1538</f>
        <v>665.09734245451955</v>
      </c>
      <c r="R1538" s="59">
        <f>Survey!$P1538+(Survey!$Q1538*0.433)</f>
        <v>2137.987149282807</v>
      </c>
    </row>
    <row r="1539" spans="1:18" x14ac:dyDescent="0.25">
      <c r="A1539" s="60" t="s">
        <v>17</v>
      </c>
      <c r="B1539" s="61" t="s">
        <v>22</v>
      </c>
      <c r="C1539" s="62" t="s">
        <v>19</v>
      </c>
      <c r="D1539" s="63">
        <v>238.41501120362241</v>
      </c>
      <c r="E1539" s="79">
        <v>1288369</v>
      </c>
      <c r="F1539" s="80">
        <v>1259939.4059405923</v>
      </c>
      <c r="G1539" s="66">
        <v>3089.6586159548301</v>
      </c>
      <c r="H1539" s="67">
        <v>2</v>
      </c>
      <c r="I1539" s="68" t="s">
        <v>20</v>
      </c>
      <c r="J1539" s="69">
        <v>40</v>
      </c>
      <c r="K1539" s="70">
        <v>2</v>
      </c>
      <c r="L1539" s="68">
        <v>1</v>
      </c>
      <c r="M1539" s="68">
        <f>_xlfn.XLOOKUP(Survey!$F1539,sections[Start],sections[Test Section],,-1,1)</f>
        <v>5</v>
      </c>
      <c r="N1539" s="55">
        <f>_xlfn.XLOOKUP(Survey!$K1539,pipedata[ID],pipedata[WT])</f>
        <v>0.74</v>
      </c>
      <c r="O1539" s="56">
        <f>_xlfn.XLOOKUP(Survey!$K1539,pipedata[ID],pipedata[104%])</f>
        <v>2565.3333333333335</v>
      </c>
      <c r="P1539" s="57">
        <f t="shared" si="24"/>
        <v>1850</v>
      </c>
      <c r="Q1539" s="58">
        <f>_xlfn.MAXIFS(Survey!$G$2:$G$3647,Survey!$M$2:$M$3647,Survey!$M1539)-Survey!$G1539</f>
        <v>645.71822337044114</v>
      </c>
      <c r="R1539" s="59">
        <f>Survey!$P1539+(Survey!$Q1539*0.433)</f>
        <v>2129.595990719401</v>
      </c>
    </row>
    <row r="1540" spans="1:18" x14ac:dyDescent="0.25">
      <c r="A1540" s="71" t="s">
        <v>17</v>
      </c>
      <c r="B1540" s="72" t="s">
        <v>22</v>
      </c>
      <c r="C1540" s="73" t="s">
        <v>19</v>
      </c>
      <c r="D1540" s="74">
        <v>238.42132456025931</v>
      </c>
      <c r="E1540" s="81">
        <v>1288409</v>
      </c>
      <c r="F1540" s="82">
        <v>1259976.6435643546</v>
      </c>
      <c r="G1540" s="75">
        <v>3110.8634604815561</v>
      </c>
      <c r="H1540" s="76">
        <v>2</v>
      </c>
      <c r="I1540" s="54" t="s">
        <v>20</v>
      </c>
      <c r="J1540" s="77">
        <v>40</v>
      </c>
      <c r="K1540" s="78">
        <v>2</v>
      </c>
      <c r="L1540" s="54">
        <v>1</v>
      </c>
      <c r="M1540" s="54">
        <f>_xlfn.XLOOKUP(Survey!$F1540,sections[Start],sections[Test Section],,-1,1)</f>
        <v>5</v>
      </c>
      <c r="N1540" s="55">
        <f>_xlfn.XLOOKUP(Survey!$K1540,pipedata[ID],pipedata[WT])</f>
        <v>0.74</v>
      </c>
      <c r="O1540" s="56">
        <f>_xlfn.XLOOKUP(Survey!$K1540,pipedata[ID],pipedata[104%])</f>
        <v>2565.3333333333335</v>
      </c>
      <c r="P1540" s="57">
        <f t="shared" si="24"/>
        <v>1850</v>
      </c>
      <c r="Q1540" s="58">
        <f>_xlfn.MAXIFS(Survey!$G$2:$G$3647,Survey!$M$2:$M$3647,Survey!$M1540)-Survey!$G1540</f>
        <v>624.51337884371515</v>
      </c>
      <c r="R1540" s="59">
        <f>Survey!$P1540+(Survey!$Q1540*0.433)</f>
        <v>2120.4142930393286</v>
      </c>
    </row>
    <row r="1541" spans="1:18" x14ac:dyDescent="0.25">
      <c r="A1541" s="60" t="s">
        <v>17</v>
      </c>
      <c r="B1541" s="61" t="s">
        <v>22</v>
      </c>
      <c r="C1541" s="62" t="s">
        <v>19</v>
      </c>
      <c r="D1541" s="63">
        <v>238.42903151924637</v>
      </c>
      <c r="E1541" s="79">
        <v>1288449</v>
      </c>
      <c r="F1541" s="80">
        <v>1260013.881188117</v>
      </c>
      <c r="G1541" s="66">
        <v>3118.5335617490559</v>
      </c>
      <c r="H1541" s="67">
        <v>2</v>
      </c>
      <c r="I1541" s="68" t="s">
        <v>20</v>
      </c>
      <c r="J1541" s="69">
        <v>40</v>
      </c>
      <c r="K1541" s="70">
        <v>2</v>
      </c>
      <c r="L1541" s="68">
        <v>1</v>
      </c>
      <c r="M1541" s="68">
        <f>_xlfn.XLOOKUP(Survey!$F1541,sections[Start],sections[Test Section],,-1,1)</f>
        <v>5</v>
      </c>
      <c r="N1541" s="55">
        <f>_xlfn.XLOOKUP(Survey!$K1541,pipedata[ID],pipedata[WT])</f>
        <v>0.74</v>
      </c>
      <c r="O1541" s="56">
        <f>_xlfn.XLOOKUP(Survey!$K1541,pipedata[ID],pipedata[104%])</f>
        <v>2565.3333333333335</v>
      </c>
      <c r="P1541" s="57">
        <f t="shared" si="24"/>
        <v>1850</v>
      </c>
      <c r="Q1541" s="58">
        <f>_xlfn.MAXIFS(Survey!$G$2:$G$3647,Survey!$M$2:$M$3647,Survey!$M1541)-Survey!$G1541</f>
        <v>616.84327757621531</v>
      </c>
      <c r="R1541" s="59">
        <f>Survey!$P1541+(Survey!$Q1541*0.433)</f>
        <v>2117.0931391905015</v>
      </c>
    </row>
    <row r="1542" spans="1:18" x14ac:dyDescent="0.25">
      <c r="A1542" s="71" t="s">
        <v>17</v>
      </c>
      <c r="B1542" s="72" t="s">
        <v>22</v>
      </c>
      <c r="C1542" s="73" t="s">
        <v>19</v>
      </c>
      <c r="D1542" s="74">
        <v>238.43512672865609</v>
      </c>
      <c r="E1542" s="81">
        <v>1288489</v>
      </c>
      <c r="F1542" s="82">
        <v>1260051.1188118793</v>
      </c>
      <c r="G1542" s="75">
        <v>3132.9408533053602</v>
      </c>
      <c r="H1542" s="76">
        <v>2</v>
      </c>
      <c r="I1542" s="54" t="s">
        <v>20</v>
      </c>
      <c r="J1542" s="77">
        <v>40</v>
      </c>
      <c r="K1542" s="78">
        <v>2</v>
      </c>
      <c r="L1542" s="54">
        <v>1</v>
      </c>
      <c r="M1542" s="54">
        <f>_xlfn.XLOOKUP(Survey!$F1542,sections[Start],sections[Test Section],,-1,1)</f>
        <v>5</v>
      </c>
      <c r="N1542" s="55">
        <f>_xlfn.XLOOKUP(Survey!$K1542,pipedata[ID],pipedata[WT])</f>
        <v>0.74</v>
      </c>
      <c r="O1542" s="56">
        <f>_xlfn.XLOOKUP(Survey!$K1542,pipedata[ID],pipedata[104%])</f>
        <v>2565.3333333333335</v>
      </c>
      <c r="P1542" s="57">
        <f t="shared" si="24"/>
        <v>1850</v>
      </c>
      <c r="Q1542" s="58">
        <f>_xlfn.MAXIFS(Survey!$G$2:$G$3647,Survey!$M$2:$M$3647,Survey!$M1542)-Survey!$G1542</f>
        <v>602.43598601991107</v>
      </c>
      <c r="R1542" s="59">
        <f>Survey!$P1542+(Survey!$Q1542*0.433)</f>
        <v>2110.8547819466216</v>
      </c>
    </row>
    <row r="1543" spans="1:18" x14ac:dyDescent="0.25">
      <c r="A1543" s="60" t="s">
        <v>17</v>
      </c>
      <c r="B1543" s="61" t="s">
        <v>22</v>
      </c>
      <c r="C1543" s="62" t="s">
        <v>19</v>
      </c>
      <c r="D1543" s="63">
        <v>238.44110176603286</v>
      </c>
      <c r="E1543" s="79">
        <v>1288529</v>
      </c>
      <c r="F1543" s="80">
        <v>1260088.3564356416</v>
      </c>
      <c r="G1543" s="66">
        <v>3147.9985879468645</v>
      </c>
      <c r="H1543" s="67">
        <v>2</v>
      </c>
      <c r="I1543" s="68" t="s">
        <v>20</v>
      </c>
      <c r="J1543" s="69">
        <v>40</v>
      </c>
      <c r="K1543" s="70">
        <v>2</v>
      </c>
      <c r="L1543" s="68">
        <v>1</v>
      </c>
      <c r="M1543" s="68">
        <f>_xlfn.XLOOKUP(Survey!$F1543,sections[Start],sections[Test Section],,-1,1)</f>
        <v>5</v>
      </c>
      <c r="N1543" s="55">
        <f>_xlfn.XLOOKUP(Survey!$K1543,pipedata[ID],pipedata[WT])</f>
        <v>0.74</v>
      </c>
      <c r="O1543" s="56">
        <f>_xlfn.XLOOKUP(Survey!$K1543,pipedata[ID],pipedata[104%])</f>
        <v>2565.3333333333335</v>
      </c>
      <c r="P1543" s="57">
        <f t="shared" si="24"/>
        <v>1850</v>
      </c>
      <c r="Q1543" s="58">
        <f>_xlfn.MAXIFS(Survey!$G$2:$G$3647,Survey!$M$2:$M$3647,Survey!$M1543)-Survey!$G1543</f>
        <v>587.37825137840673</v>
      </c>
      <c r="R1543" s="59">
        <f>Survey!$P1543+(Survey!$Q1543*0.433)</f>
        <v>2104.33478284685</v>
      </c>
    </row>
    <row r="1544" spans="1:18" x14ac:dyDescent="0.25">
      <c r="A1544" s="71" t="s">
        <v>17</v>
      </c>
      <c r="B1544" s="72" t="s">
        <v>22</v>
      </c>
      <c r="C1544" s="73" t="s">
        <v>19</v>
      </c>
      <c r="D1544" s="74">
        <v>238.44774655925346</v>
      </c>
      <c r="E1544" s="81">
        <v>1288569</v>
      </c>
      <c r="F1544" s="82">
        <v>1260125.594059404</v>
      </c>
      <c r="G1544" s="75">
        <v>3155.1440388094861</v>
      </c>
      <c r="H1544" s="76">
        <v>2</v>
      </c>
      <c r="I1544" s="54" t="s">
        <v>20</v>
      </c>
      <c r="J1544" s="77">
        <v>40</v>
      </c>
      <c r="K1544" s="78">
        <v>2</v>
      </c>
      <c r="L1544" s="54">
        <v>1</v>
      </c>
      <c r="M1544" s="54">
        <f>_xlfn.XLOOKUP(Survey!$F1544,sections[Start],sections[Test Section],,-1,1)</f>
        <v>5</v>
      </c>
      <c r="N1544" s="55">
        <f>_xlfn.XLOOKUP(Survey!$K1544,pipedata[ID],pipedata[WT])</f>
        <v>0.74</v>
      </c>
      <c r="O1544" s="56">
        <f>_xlfn.XLOOKUP(Survey!$K1544,pipedata[ID],pipedata[104%])</f>
        <v>2565.3333333333335</v>
      </c>
      <c r="P1544" s="57">
        <f t="shared" si="24"/>
        <v>1850</v>
      </c>
      <c r="Q1544" s="58">
        <f>_xlfn.MAXIFS(Survey!$G$2:$G$3647,Survey!$M$2:$M$3647,Survey!$M1544)-Survey!$G1544</f>
        <v>580.23280051578513</v>
      </c>
      <c r="R1544" s="59">
        <f>Survey!$P1544+(Survey!$Q1544*0.433)</f>
        <v>2101.2408026233352</v>
      </c>
    </row>
    <row r="1545" spans="1:18" x14ac:dyDescent="0.25">
      <c r="A1545" s="60" t="s">
        <v>17</v>
      </c>
      <c r="B1545" s="61" t="s">
        <v>22</v>
      </c>
      <c r="C1545" s="62" t="s">
        <v>19</v>
      </c>
      <c r="D1545" s="63">
        <v>238.45682069062644</v>
      </c>
      <c r="E1545" s="79">
        <v>1288609</v>
      </c>
      <c r="F1545" s="80">
        <v>1260162.8316831663</v>
      </c>
      <c r="G1545" s="66">
        <v>3148.9245592478524</v>
      </c>
      <c r="H1545" s="67">
        <v>2</v>
      </c>
      <c r="I1545" s="68" t="s">
        <v>20</v>
      </c>
      <c r="J1545" s="69">
        <v>40</v>
      </c>
      <c r="K1545" s="70">
        <v>2</v>
      </c>
      <c r="L1545" s="68">
        <v>1</v>
      </c>
      <c r="M1545" s="68">
        <f>_xlfn.XLOOKUP(Survey!$F1545,sections[Start],sections[Test Section],,-1,1)</f>
        <v>5</v>
      </c>
      <c r="N1545" s="55">
        <f>_xlfn.XLOOKUP(Survey!$K1545,pipedata[ID],pipedata[WT])</f>
        <v>0.74</v>
      </c>
      <c r="O1545" s="56">
        <f>_xlfn.XLOOKUP(Survey!$K1545,pipedata[ID],pipedata[104%])</f>
        <v>2565.3333333333335</v>
      </c>
      <c r="P1545" s="57">
        <f t="shared" si="24"/>
        <v>1850</v>
      </c>
      <c r="Q1545" s="58">
        <f>_xlfn.MAXIFS(Survey!$G$2:$G$3647,Survey!$M$2:$M$3647,Survey!$M1545)-Survey!$G1545</f>
        <v>586.45228007741889</v>
      </c>
      <c r="R1545" s="59">
        <f>Survey!$P1545+(Survey!$Q1545*0.433)</f>
        <v>2103.9338372735224</v>
      </c>
    </row>
    <row r="1546" spans="1:18" x14ac:dyDescent="0.25">
      <c r="A1546" s="71" t="s">
        <v>17</v>
      </c>
      <c r="B1546" s="72" t="s">
        <v>22</v>
      </c>
      <c r="C1546" s="73" t="s">
        <v>19</v>
      </c>
      <c r="D1546" s="74">
        <v>238.46373617189644</v>
      </c>
      <c r="E1546" s="81">
        <v>1288649</v>
      </c>
      <c r="F1546" s="82">
        <v>1260200.0693069287</v>
      </c>
      <c r="G1546" s="75">
        <v>3144.6346112425886</v>
      </c>
      <c r="H1546" s="76">
        <v>2</v>
      </c>
      <c r="I1546" s="54" t="s">
        <v>20</v>
      </c>
      <c r="J1546" s="77">
        <v>40</v>
      </c>
      <c r="K1546" s="78">
        <v>2</v>
      </c>
      <c r="L1546" s="54">
        <v>1</v>
      </c>
      <c r="M1546" s="54">
        <f>_xlfn.XLOOKUP(Survey!$F1546,sections[Start],sections[Test Section],,-1,1)</f>
        <v>5</v>
      </c>
      <c r="N1546" s="55">
        <f>_xlfn.XLOOKUP(Survey!$K1546,pipedata[ID],pipedata[WT])</f>
        <v>0.74</v>
      </c>
      <c r="O1546" s="56">
        <f>_xlfn.XLOOKUP(Survey!$K1546,pipedata[ID],pipedata[104%])</f>
        <v>2565.3333333333335</v>
      </c>
      <c r="P1546" s="57">
        <f t="shared" si="24"/>
        <v>1850</v>
      </c>
      <c r="Q1546" s="58">
        <f>_xlfn.MAXIFS(Survey!$G$2:$G$3647,Survey!$M$2:$M$3647,Survey!$M1546)-Survey!$G1546</f>
        <v>590.74222808268269</v>
      </c>
      <c r="R1546" s="59">
        <f>Survey!$P1546+(Survey!$Q1546*0.433)</f>
        <v>2105.7913847598015</v>
      </c>
    </row>
    <row r="1547" spans="1:18" x14ac:dyDescent="0.25">
      <c r="A1547" s="60" t="s">
        <v>17</v>
      </c>
      <c r="B1547" s="61" t="s">
        <v>22</v>
      </c>
      <c r="C1547" s="62" t="s">
        <v>19</v>
      </c>
      <c r="D1547" s="63">
        <v>238.47100333552714</v>
      </c>
      <c r="E1547" s="79">
        <v>1288689</v>
      </c>
      <c r="F1547" s="80">
        <v>1260237.306930691</v>
      </c>
      <c r="G1547" s="66">
        <v>3143.684717591239</v>
      </c>
      <c r="H1547" s="67">
        <v>2</v>
      </c>
      <c r="I1547" s="68" t="s">
        <v>20</v>
      </c>
      <c r="J1547" s="69">
        <v>40</v>
      </c>
      <c r="K1547" s="70">
        <v>2</v>
      </c>
      <c r="L1547" s="68">
        <v>1</v>
      </c>
      <c r="M1547" s="68">
        <f>_xlfn.XLOOKUP(Survey!$F1547,sections[Start],sections[Test Section],,-1,1)</f>
        <v>5</v>
      </c>
      <c r="N1547" s="55">
        <f>_xlfn.XLOOKUP(Survey!$K1547,pipedata[ID],pipedata[WT])</f>
        <v>0.74</v>
      </c>
      <c r="O1547" s="56">
        <f>_xlfn.XLOOKUP(Survey!$K1547,pipedata[ID],pipedata[104%])</f>
        <v>2565.3333333333335</v>
      </c>
      <c r="P1547" s="57">
        <f t="shared" si="24"/>
        <v>1850</v>
      </c>
      <c r="Q1547" s="58">
        <f>_xlfn.MAXIFS(Survey!$G$2:$G$3647,Survey!$M$2:$M$3647,Survey!$M1547)-Survey!$G1547</f>
        <v>591.6921217340323</v>
      </c>
      <c r="R1547" s="59">
        <f>Survey!$P1547+(Survey!$Q1547*0.433)</f>
        <v>2106.2026887108359</v>
      </c>
    </row>
    <row r="1548" spans="1:18" x14ac:dyDescent="0.25">
      <c r="A1548" s="71" t="s">
        <v>17</v>
      </c>
      <c r="B1548" s="72" t="s">
        <v>22</v>
      </c>
      <c r="C1548" s="73" t="s">
        <v>19</v>
      </c>
      <c r="D1548" s="74">
        <v>238.47764812874865</v>
      </c>
      <c r="E1548" s="81">
        <v>1288729</v>
      </c>
      <c r="F1548" s="82">
        <v>1260274.5445544533</v>
      </c>
      <c r="G1548" s="75">
        <v>3148.916026566194</v>
      </c>
      <c r="H1548" s="76">
        <v>2</v>
      </c>
      <c r="I1548" s="54" t="s">
        <v>20</v>
      </c>
      <c r="J1548" s="77">
        <v>40</v>
      </c>
      <c r="K1548" s="78">
        <v>2</v>
      </c>
      <c r="L1548" s="54">
        <v>1</v>
      </c>
      <c r="M1548" s="54">
        <f>_xlfn.XLOOKUP(Survey!$F1548,sections[Start],sections[Test Section],,-1,1)</f>
        <v>5</v>
      </c>
      <c r="N1548" s="55">
        <f>_xlfn.XLOOKUP(Survey!$K1548,pipedata[ID],pipedata[WT])</f>
        <v>0.74</v>
      </c>
      <c r="O1548" s="56">
        <f>_xlfn.XLOOKUP(Survey!$K1548,pipedata[ID],pipedata[104%])</f>
        <v>2565.3333333333335</v>
      </c>
      <c r="P1548" s="57">
        <f t="shared" si="24"/>
        <v>1850</v>
      </c>
      <c r="Q1548" s="58">
        <f>_xlfn.MAXIFS(Survey!$G$2:$G$3647,Survey!$M$2:$M$3647,Survey!$M1548)-Survey!$G1548</f>
        <v>586.46081275907727</v>
      </c>
      <c r="R1548" s="59">
        <f>Survey!$P1548+(Survey!$Q1548*0.433)</f>
        <v>2103.9375319246806</v>
      </c>
    </row>
    <row r="1549" spans="1:18" x14ac:dyDescent="0.25">
      <c r="A1549" s="60" t="s">
        <v>17</v>
      </c>
      <c r="B1549" s="61" t="s">
        <v>22</v>
      </c>
      <c r="C1549" s="62" t="s">
        <v>19</v>
      </c>
      <c r="D1549" s="63">
        <v>238.48491248095723</v>
      </c>
      <c r="E1549" s="79">
        <v>1288769</v>
      </c>
      <c r="F1549" s="80">
        <v>1260311.7821782157</v>
      </c>
      <c r="G1549" s="66">
        <v>3157.8064943432928</v>
      </c>
      <c r="H1549" s="67">
        <v>2</v>
      </c>
      <c r="I1549" s="68" t="s">
        <v>20</v>
      </c>
      <c r="J1549" s="69">
        <v>40</v>
      </c>
      <c r="K1549" s="70">
        <v>2</v>
      </c>
      <c r="L1549" s="68">
        <v>1</v>
      </c>
      <c r="M1549" s="68">
        <f>_xlfn.XLOOKUP(Survey!$F1549,sections[Start],sections[Test Section],,-1,1)</f>
        <v>5</v>
      </c>
      <c r="N1549" s="55">
        <f>_xlfn.XLOOKUP(Survey!$K1549,pipedata[ID],pipedata[WT])</f>
        <v>0.74</v>
      </c>
      <c r="O1549" s="56">
        <f>_xlfn.XLOOKUP(Survey!$K1549,pipedata[ID],pipedata[104%])</f>
        <v>2565.3333333333335</v>
      </c>
      <c r="P1549" s="57">
        <f t="shared" si="24"/>
        <v>1850</v>
      </c>
      <c r="Q1549" s="58">
        <f>_xlfn.MAXIFS(Survey!$G$2:$G$3647,Survey!$M$2:$M$3647,Survey!$M1549)-Survey!$G1549</f>
        <v>577.57034498197845</v>
      </c>
      <c r="R1549" s="59">
        <f>Survey!$P1549+(Survey!$Q1549*0.433)</f>
        <v>2100.0879593771965</v>
      </c>
    </row>
    <row r="1550" spans="1:18" x14ac:dyDescent="0.25">
      <c r="A1550" s="71" t="s">
        <v>17</v>
      </c>
      <c r="B1550" s="72" t="s">
        <v>22</v>
      </c>
      <c r="C1550" s="73" t="s">
        <v>19</v>
      </c>
      <c r="D1550" s="74">
        <v>238.49370325739773</v>
      </c>
      <c r="E1550" s="81">
        <v>1288809</v>
      </c>
      <c r="F1550" s="82">
        <v>1260349.019801978</v>
      </c>
      <c r="G1550" s="75">
        <v>3158.3026333703096</v>
      </c>
      <c r="H1550" s="76">
        <v>2</v>
      </c>
      <c r="I1550" s="54" t="s">
        <v>20</v>
      </c>
      <c r="J1550" s="77">
        <v>40</v>
      </c>
      <c r="K1550" s="78">
        <v>2</v>
      </c>
      <c r="L1550" s="54">
        <v>1</v>
      </c>
      <c r="M1550" s="54">
        <f>_xlfn.XLOOKUP(Survey!$F1550,sections[Start],sections[Test Section],,-1,1)</f>
        <v>5</v>
      </c>
      <c r="N1550" s="55">
        <f>_xlfn.XLOOKUP(Survey!$K1550,pipedata[ID],pipedata[WT])</f>
        <v>0.74</v>
      </c>
      <c r="O1550" s="56">
        <f>_xlfn.XLOOKUP(Survey!$K1550,pipedata[ID],pipedata[104%])</f>
        <v>2565.3333333333335</v>
      </c>
      <c r="P1550" s="57">
        <f t="shared" si="24"/>
        <v>1850</v>
      </c>
      <c r="Q1550" s="58">
        <f>_xlfn.MAXIFS(Survey!$G$2:$G$3647,Survey!$M$2:$M$3647,Survey!$M1550)-Survey!$G1550</f>
        <v>577.0742059549616</v>
      </c>
      <c r="R1550" s="59">
        <f>Survey!$P1550+(Survey!$Q1550*0.433)</f>
        <v>2099.8731311784982</v>
      </c>
    </row>
    <row r="1551" spans="1:18" x14ac:dyDescent="0.25">
      <c r="A1551" s="60" t="s">
        <v>17</v>
      </c>
      <c r="B1551" s="61" t="s">
        <v>22</v>
      </c>
      <c r="C1551" s="62" t="s">
        <v>19</v>
      </c>
      <c r="D1551" s="63">
        <v>238.50090490502322</v>
      </c>
      <c r="E1551" s="79">
        <v>1288849</v>
      </c>
      <c r="F1551" s="80">
        <v>1260386.2574257404</v>
      </c>
      <c r="G1551" s="66">
        <v>3154.9362187183615</v>
      </c>
      <c r="H1551" s="67">
        <v>2</v>
      </c>
      <c r="I1551" s="68" t="s">
        <v>20</v>
      </c>
      <c r="J1551" s="69">
        <v>40</v>
      </c>
      <c r="K1551" s="70">
        <v>2</v>
      </c>
      <c r="L1551" s="68">
        <v>1</v>
      </c>
      <c r="M1551" s="68">
        <f>_xlfn.XLOOKUP(Survey!$F1551,sections[Start],sections[Test Section],,-1,1)</f>
        <v>5</v>
      </c>
      <c r="N1551" s="55">
        <f>_xlfn.XLOOKUP(Survey!$K1551,pipedata[ID],pipedata[WT])</f>
        <v>0.74</v>
      </c>
      <c r="O1551" s="56">
        <f>_xlfn.XLOOKUP(Survey!$K1551,pipedata[ID],pipedata[104%])</f>
        <v>2565.3333333333335</v>
      </c>
      <c r="P1551" s="57">
        <f t="shared" si="24"/>
        <v>1850</v>
      </c>
      <c r="Q1551" s="58">
        <f>_xlfn.MAXIFS(Survey!$G$2:$G$3647,Survey!$M$2:$M$3647,Survey!$M1551)-Survey!$G1551</f>
        <v>580.44062060690976</v>
      </c>
      <c r="R1551" s="59">
        <f>Survey!$P1551+(Survey!$Q1551*0.433)</f>
        <v>2101.330788722792</v>
      </c>
    </row>
    <row r="1552" spans="1:18" x14ac:dyDescent="0.25">
      <c r="A1552" s="71" t="s">
        <v>17</v>
      </c>
      <c r="B1552" s="72" t="s">
        <v>22</v>
      </c>
      <c r="C1552" s="73" t="s">
        <v>19</v>
      </c>
      <c r="D1552" s="74">
        <v>238.5075496982447</v>
      </c>
      <c r="E1552" s="81">
        <v>1288889</v>
      </c>
      <c r="F1552" s="82">
        <v>1260423.4950495027</v>
      </c>
      <c r="G1552" s="75">
        <v>3156.9190646366683</v>
      </c>
      <c r="H1552" s="76">
        <v>2</v>
      </c>
      <c r="I1552" s="54" t="s">
        <v>20</v>
      </c>
      <c r="J1552" s="77">
        <v>40</v>
      </c>
      <c r="K1552" s="78">
        <v>2</v>
      </c>
      <c r="L1552" s="54">
        <v>1</v>
      </c>
      <c r="M1552" s="54">
        <f>_xlfn.XLOOKUP(Survey!$F1552,sections[Start],sections[Test Section],,-1,1)</f>
        <v>5</v>
      </c>
      <c r="N1552" s="55">
        <f>_xlfn.XLOOKUP(Survey!$K1552,pipedata[ID],pipedata[WT])</f>
        <v>0.74</v>
      </c>
      <c r="O1552" s="56">
        <f>_xlfn.XLOOKUP(Survey!$K1552,pipedata[ID],pipedata[104%])</f>
        <v>2565.3333333333335</v>
      </c>
      <c r="P1552" s="57">
        <f t="shared" si="24"/>
        <v>1850</v>
      </c>
      <c r="Q1552" s="58">
        <f>_xlfn.MAXIFS(Survey!$G$2:$G$3647,Survey!$M$2:$M$3647,Survey!$M1552)-Survey!$G1552</f>
        <v>578.45777468860297</v>
      </c>
      <c r="R1552" s="59">
        <f>Survey!$P1552+(Survey!$Q1552*0.433)</f>
        <v>2100.4722164401651</v>
      </c>
    </row>
    <row r="1553" spans="1:18" x14ac:dyDescent="0.25">
      <c r="A1553" s="60" t="s">
        <v>17</v>
      </c>
      <c r="B1553" s="61" t="s">
        <v>22</v>
      </c>
      <c r="C1553" s="62" t="s">
        <v>19</v>
      </c>
      <c r="D1553" s="63">
        <v>238.51502803237267</v>
      </c>
      <c r="E1553" s="79">
        <v>1288929</v>
      </c>
      <c r="F1553" s="80">
        <v>1260460.732673265</v>
      </c>
      <c r="G1553" s="66">
        <v>3172.4145618461225</v>
      </c>
      <c r="H1553" s="67">
        <v>2</v>
      </c>
      <c r="I1553" s="68" t="s">
        <v>20</v>
      </c>
      <c r="J1553" s="69">
        <v>40</v>
      </c>
      <c r="K1553" s="70">
        <v>2</v>
      </c>
      <c r="L1553" s="68">
        <v>1</v>
      </c>
      <c r="M1553" s="68">
        <f>_xlfn.XLOOKUP(Survey!$F1553,sections[Start],sections[Test Section],,-1,1)</f>
        <v>5</v>
      </c>
      <c r="N1553" s="55">
        <f>_xlfn.XLOOKUP(Survey!$K1553,pipedata[ID],pipedata[WT])</f>
        <v>0.74</v>
      </c>
      <c r="O1553" s="56">
        <f>_xlfn.XLOOKUP(Survey!$K1553,pipedata[ID],pipedata[104%])</f>
        <v>2565.3333333333335</v>
      </c>
      <c r="P1553" s="57">
        <f t="shared" si="24"/>
        <v>1850</v>
      </c>
      <c r="Q1553" s="58">
        <f>_xlfn.MAXIFS(Survey!$G$2:$G$3647,Survey!$M$2:$M$3647,Survey!$M1553)-Survey!$G1553</f>
        <v>562.96227747914872</v>
      </c>
      <c r="R1553" s="59">
        <f>Survey!$P1553+(Survey!$Q1553*0.433)</f>
        <v>2093.7626661484715</v>
      </c>
    </row>
    <row r="1554" spans="1:18" x14ac:dyDescent="0.25">
      <c r="A1554" s="71" t="s">
        <v>17</v>
      </c>
      <c r="B1554" s="72" t="s">
        <v>22</v>
      </c>
      <c r="C1554" s="73" t="s">
        <v>19</v>
      </c>
      <c r="D1554" s="74">
        <v>238.52367034289898</v>
      </c>
      <c r="E1554" s="81">
        <v>1288969</v>
      </c>
      <c r="F1554" s="82">
        <v>1260497.9702970274</v>
      </c>
      <c r="G1554" s="75">
        <v>3186.7086623723076</v>
      </c>
      <c r="H1554" s="76">
        <v>2</v>
      </c>
      <c r="I1554" s="54" t="s">
        <v>20</v>
      </c>
      <c r="J1554" s="77">
        <v>40</v>
      </c>
      <c r="K1554" s="78">
        <v>2</v>
      </c>
      <c r="L1554" s="54">
        <v>1</v>
      </c>
      <c r="M1554" s="54">
        <f>_xlfn.XLOOKUP(Survey!$F1554,sections[Start],sections[Test Section],,-1,1)</f>
        <v>5</v>
      </c>
      <c r="N1554" s="55">
        <f>_xlfn.XLOOKUP(Survey!$K1554,pipedata[ID],pipedata[WT])</f>
        <v>0.74</v>
      </c>
      <c r="O1554" s="56">
        <f>_xlfn.XLOOKUP(Survey!$K1554,pipedata[ID],pipedata[104%])</f>
        <v>2565.3333333333335</v>
      </c>
      <c r="P1554" s="57">
        <f t="shared" si="24"/>
        <v>1850</v>
      </c>
      <c r="Q1554" s="58">
        <f>_xlfn.MAXIFS(Survey!$G$2:$G$3647,Survey!$M$2:$M$3647,Survey!$M1554)-Survey!$G1554</f>
        <v>548.66817695296368</v>
      </c>
      <c r="R1554" s="59">
        <f>Survey!$P1554+(Survey!$Q1554*0.433)</f>
        <v>2087.5733206206332</v>
      </c>
    </row>
    <row r="1555" spans="1:18" x14ac:dyDescent="0.25">
      <c r="A1555" s="60" t="s">
        <v>17</v>
      </c>
      <c r="B1555" s="61" t="s">
        <v>22</v>
      </c>
      <c r="C1555" s="62" t="s">
        <v>19</v>
      </c>
      <c r="D1555" s="63">
        <v>238.53080647451918</v>
      </c>
      <c r="E1555" s="79">
        <v>1289009</v>
      </c>
      <c r="F1555" s="80">
        <v>1260535.2079207897</v>
      </c>
      <c r="G1555" s="66">
        <v>3204.9891388863325</v>
      </c>
      <c r="H1555" s="67">
        <v>2</v>
      </c>
      <c r="I1555" s="68" t="s">
        <v>20</v>
      </c>
      <c r="J1555" s="69">
        <v>40</v>
      </c>
      <c r="K1555" s="70">
        <v>2</v>
      </c>
      <c r="L1555" s="68">
        <v>1</v>
      </c>
      <c r="M1555" s="68">
        <f>_xlfn.XLOOKUP(Survey!$F1555,sections[Start],sections[Test Section],,-1,1)</f>
        <v>5</v>
      </c>
      <c r="N1555" s="55">
        <f>_xlfn.XLOOKUP(Survey!$K1555,pipedata[ID],pipedata[WT])</f>
        <v>0.74</v>
      </c>
      <c r="O1555" s="56">
        <f>_xlfn.XLOOKUP(Survey!$K1555,pipedata[ID],pipedata[104%])</f>
        <v>2565.3333333333335</v>
      </c>
      <c r="P1555" s="57">
        <f t="shared" si="24"/>
        <v>1850</v>
      </c>
      <c r="Q1555" s="58">
        <f>_xlfn.MAXIFS(Survey!$G$2:$G$3647,Survey!$M$2:$M$3647,Survey!$M1555)-Survey!$G1555</f>
        <v>530.38770043893874</v>
      </c>
      <c r="R1555" s="59">
        <f>Survey!$P1555+(Survey!$Q1555*0.433)</f>
        <v>2079.6578742900606</v>
      </c>
    </row>
    <row r="1556" spans="1:18" x14ac:dyDescent="0.25">
      <c r="A1556" s="71" t="s">
        <v>17</v>
      </c>
      <c r="B1556" s="72" t="s">
        <v>22</v>
      </c>
      <c r="C1556" s="73" t="s">
        <v>19</v>
      </c>
      <c r="D1556" s="74">
        <v>238.53761469593772</v>
      </c>
      <c r="E1556" s="81">
        <v>1289049</v>
      </c>
      <c r="F1556" s="82">
        <v>1260572.4455445521</v>
      </c>
      <c r="G1556" s="75">
        <v>3219.5878969213741</v>
      </c>
      <c r="H1556" s="76">
        <v>2</v>
      </c>
      <c r="I1556" s="54" t="s">
        <v>20</v>
      </c>
      <c r="J1556" s="77">
        <v>40</v>
      </c>
      <c r="K1556" s="78">
        <v>2</v>
      </c>
      <c r="L1556" s="54">
        <v>1</v>
      </c>
      <c r="M1556" s="54">
        <f>_xlfn.XLOOKUP(Survey!$F1556,sections[Start],sections[Test Section],,-1,1)</f>
        <v>5</v>
      </c>
      <c r="N1556" s="55">
        <f>_xlfn.XLOOKUP(Survey!$K1556,pipedata[ID],pipedata[WT])</f>
        <v>0.74</v>
      </c>
      <c r="O1556" s="56">
        <f>_xlfn.XLOOKUP(Survey!$K1556,pipedata[ID],pipedata[104%])</f>
        <v>2565.3333333333335</v>
      </c>
      <c r="P1556" s="57">
        <f t="shared" si="24"/>
        <v>1850</v>
      </c>
      <c r="Q1556" s="58">
        <f>_xlfn.MAXIFS(Survey!$G$2:$G$3647,Survey!$M$2:$M$3647,Survey!$M1556)-Survey!$G1556</f>
        <v>515.78894240389718</v>
      </c>
      <c r="R1556" s="59">
        <f>Survey!$P1556+(Survey!$Q1556*0.433)</f>
        <v>2073.3366120608875</v>
      </c>
    </row>
    <row r="1557" spans="1:18" x14ac:dyDescent="0.25">
      <c r="A1557" s="60" t="s">
        <v>17</v>
      </c>
      <c r="B1557" s="61" t="s">
        <v>22</v>
      </c>
      <c r="C1557" s="62" t="s">
        <v>19</v>
      </c>
      <c r="D1557" s="63">
        <v>238.54441678670761</v>
      </c>
      <c r="E1557" s="79">
        <v>1289089</v>
      </c>
      <c r="F1557" s="80">
        <v>1260609.6831683144</v>
      </c>
      <c r="G1557" s="66">
        <v>3228.0559527450155</v>
      </c>
      <c r="H1557" s="67">
        <v>2</v>
      </c>
      <c r="I1557" s="68" t="s">
        <v>20</v>
      </c>
      <c r="J1557" s="69">
        <v>40</v>
      </c>
      <c r="K1557" s="70">
        <v>2</v>
      </c>
      <c r="L1557" s="68">
        <v>1</v>
      </c>
      <c r="M1557" s="68">
        <f>_xlfn.XLOOKUP(Survey!$F1557,sections[Start],sections[Test Section],,-1,1)</f>
        <v>5</v>
      </c>
      <c r="N1557" s="55">
        <f>_xlfn.XLOOKUP(Survey!$K1557,pipedata[ID],pipedata[WT])</f>
        <v>0.74</v>
      </c>
      <c r="O1557" s="56">
        <f>_xlfn.XLOOKUP(Survey!$K1557,pipedata[ID],pipedata[104%])</f>
        <v>2565.3333333333335</v>
      </c>
      <c r="P1557" s="57">
        <f t="shared" si="24"/>
        <v>1850</v>
      </c>
      <c r="Q1557" s="58">
        <f>_xlfn.MAXIFS(Survey!$G$2:$G$3647,Survey!$M$2:$M$3647,Survey!$M1557)-Survey!$G1557</f>
        <v>507.32088658025577</v>
      </c>
      <c r="R1557" s="59">
        <f>Survey!$P1557+(Survey!$Q1557*0.433)</f>
        <v>2069.6699438892506</v>
      </c>
    </row>
    <row r="1558" spans="1:18" x14ac:dyDescent="0.25">
      <c r="A1558" s="71" t="s">
        <v>17</v>
      </c>
      <c r="B1558" s="72" t="s">
        <v>22</v>
      </c>
      <c r="C1558" s="73" t="s">
        <v>19</v>
      </c>
      <c r="D1558" s="74">
        <v>238.55133226797727</v>
      </c>
      <c r="E1558" s="81">
        <v>1289129</v>
      </c>
      <c r="F1558" s="82">
        <v>1260646.9207920767</v>
      </c>
      <c r="G1558" s="75">
        <v>3231.919069787803</v>
      </c>
      <c r="H1558" s="76">
        <v>2</v>
      </c>
      <c r="I1558" s="54" t="s">
        <v>20</v>
      </c>
      <c r="J1558" s="77">
        <v>40</v>
      </c>
      <c r="K1558" s="78">
        <v>2</v>
      </c>
      <c r="L1558" s="54">
        <v>1</v>
      </c>
      <c r="M1558" s="54">
        <f>_xlfn.XLOOKUP(Survey!$F1558,sections[Start],sections[Test Section],,-1,1)</f>
        <v>5</v>
      </c>
      <c r="N1558" s="55">
        <f>_xlfn.XLOOKUP(Survey!$K1558,pipedata[ID],pipedata[WT])</f>
        <v>0.74</v>
      </c>
      <c r="O1558" s="56">
        <f>_xlfn.XLOOKUP(Survey!$K1558,pipedata[ID],pipedata[104%])</f>
        <v>2565.3333333333335</v>
      </c>
      <c r="P1558" s="57">
        <f t="shared" si="24"/>
        <v>1850</v>
      </c>
      <c r="Q1558" s="58">
        <f>_xlfn.MAXIFS(Survey!$G$2:$G$3647,Survey!$M$2:$M$3647,Survey!$M1558)-Survey!$G1558</f>
        <v>503.45776953746827</v>
      </c>
      <c r="R1558" s="59">
        <f>Survey!$P1558+(Survey!$Q1558*0.433)</f>
        <v>2067.9972142097236</v>
      </c>
    </row>
    <row r="1559" spans="1:18" x14ac:dyDescent="0.25">
      <c r="A1559" s="60" t="s">
        <v>17</v>
      </c>
      <c r="B1559" s="61" t="s">
        <v>22</v>
      </c>
      <c r="C1559" s="62" t="s">
        <v>19</v>
      </c>
      <c r="D1559" s="63">
        <v>238.55824774924656</v>
      </c>
      <c r="E1559" s="79">
        <v>1289169</v>
      </c>
      <c r="F1559" s="80">
        <v>1260684.1584158391</v>
      </c>
      <c r="G1559" s="66">
        <v>3235.2163187485821</v>
      </c>
      <c r="H1559" s="67">
        <v>2</v>
      </c>
      <c r="I1559" s="68" t="s">
        <v>20</v>
      </c>
      <c r="J1559" s="69">
        <v>40</v>
      </c>
      <c r="K1559" s="70">
        <v>2</v>
      </c>
      <c r="L1559" s="68">
        <v>1</v>
      </c>
      <c r="M1559" s="68">
        <f>_xlfn.XLOOKUP(Survey!$F1559,sections[Start],sections[Test Section],,-1,1)</f>
        <v>5</v>
      </c>
      <c r="N1559" s="55">
        <f>_xlfn.XLOOKUP(Survey!$K1559,pipedata[ID],pipedata[WT])</f>
        <v>0.74</v>
      </c>
      <c r="O1559" s="56">
        <f>_xlfn.XLOOKUP(Survey!$K1559,pipedata[ID],pipedata[104%])</f>
        <v>2565.3333333333335</v>
      </c>
      <c r="P1559" s="57">
        <f t="shared" si="24"/>
        <v>1850</v>
      </c>
      <c r="Q1559" s="58">
        <f>_xlfn.MAXIFS(Survey!$G$2:$G$3647,Survey!$M$2:$M$3647,Survey!$M1559)-Survey!$G1559</f>
        <v>500.16052057668912</v>
      </c>
      <c r="R1559" s="59">
        <f>Survey!$P1559+(Survey!$Q1559*0.433)</f>
        <v>2066.5695054097064</v>
      </c>
    </row>
    <row r="1560" spans="1:18" x14ac:dyDescent="0.25">
      <c r="A1560" s="71" t="s">
        <v>17</v>
      </c>
      <c r="B1560" s="72" t="s">
        <v>22</v>
      </c>
      <c r="C1560" s="73" t="s">
        <v>19</v>
      </c>
      <c r="D1560" s="74">
        <v>238.56516323051602</v>
      </c>
      <c r="E1560" s="81">
        <v>1289209</v>
      </c>
      <c r="F1560" s="82">
        <v>1260721.3960396014</v>
      </c>
      <c r="G1560" s="75">
        <v>3234.2375687804688</v>
      </c>
      <c r="H1560" s="76">
        <v>2</v>
      </c>
      <c r="I1560" s="54" t="s">
        <v>20</v>
      </c>
      <c r="J1560" s="77">
        <v>40</v>
      </c>
      <c r="K1560" s="78">
        <v>2</v>
      </c>
      <c r="L1560" s="54">
        <v>1</v>
      </c>
      <c r="M1560" s="54">
        <f>_xlfn.XLOOKUP(Survey!$F1560,sections[Start],sections[Test Section],,-1,1)</f>
        <v>5</v>
      </c>
      <c r="N1560" s="55">
        <f>_xlfn.XLOOKUP(Survey!$K1560,pipedata[ID],pipedata[WT])</f>
        <v>0.74</v>
      </c>
      <c r="O1560" s="56">
        <f>_xlfn.XLOOKUP(Survey!$K1560,pipedata[ID],pipedata[104%])</f>
        <v>2565.3333333333335</v>
      </c>
      <c r="P1560" s="57">
        <f t="shared" si="24"/>
        <v>1850</v>
      </c>
      <c r="Q1560" s="58">
        <f>_xlfn.MAXIFS(Survey!$G$2:$G$3647,Survey!$M$2:$M$3647,Survey!$M1560)-Survey!$G1560</f>
        <v>501.13927054480246</v>
      </c>
      <c r="R1560" s="59">
        <f>Survey!$P1560+(Survey!$Q1560*0.433)</f>
        <v>2066.9933041458994</v>
      </c>
    </row>
    <row r="1561" spans="1:18" x14ac:dyDescent="0.25">
      <c r="A1561" s="60" t="s">
        <v>17</v>
      </c>
      <c r="B1561" s="61" t="s">
        <v>22</v>
      </c>
      <c r="C1561" s="62" t="s">
        <v>19</v>
      </c>
      <c r="D1561" s="63">
        <v>238.57399763045709</v>
      </c>
      <c r="E1561" s="79">
        <v>1289249</v>
      </c>
      <c r="F1561" s="80">
        <v>1260758.6336633638</v>
      </c>
      <c r="G1561" s="66">
        <v>3230.6877988657284</v>
      </c>
      <c r="H1561" s="67">
        <v>2</v>
      </c>
      <c r="I1561" s="68" t="s">
        <v>20</v>
      </c>
      <c r="J1561" s="69">
        <v>40</v>
      </c>
      <c r="K1561" s="70">
        <v>2</v>
      </c>
      <c r="L1561" s="68">
        <v>1</v>
      </c>
      <c r="M1561" s="68">
        <f>_xlfn.XLOOKUP(Survey!$F1561,sections[Start],sections[Test Section],,-1,1)</f>
        <v>5</v>
      </c>
      <c r="N1561" s="55">
        <f>_xlfn.XLOOKUP(Survey!$K1561,pipedata[ID],pipedata[WT])</f>
        <v>0.74</v>
      </c>
      <c r="O1561" s="56">
        <f>_xlfn.XLOOKUP(Survey!$K1561,pipedata[ID],pipedata[104%])</f>
        <v>2565.3333333333335</v>
      </c>
      <c r="P1561" s="57">
        <f t="shared" si="24"/>
        <v>1850</v>
      </c>
      <c r="Q1561" s="58">
        <f>_xlfn.MAXIFS(Survey!$G$2:$G$3647,Survey!$M$2:$M$3647,Survey!$M1561)-Survey!$G1561</f>
        <v>504.68904045954287</v>
      </c>
      <c r="R1561" s="59">
        <f>Survey!$P1561+(Survey!$Q1561*0.433)</f>
        <v>2068.5303545189822</v>
      </c>
    </row>
    <row r="1562" spans="1:18" x14ac:dyDescent="0.25">
      <c r="A1562" s="71" t="s">
        <v>17</v>
      </c>
      <c r="B1562" s="72" t="s">
        <v>22</v>
      </c>
      <c r="C1562" s="73" t="s">
        <v>19</v>
      </c>
      <c r="D1562" s="74">
        <v>238.58102397976825</v>
      </c>
      <c r="E1562" s="81">
        <v>1289289</v>
      </c>
      <c r="F1562" s="82">
        <v>1260795.8712871261</v>
      </c>
      <c r="G1562" s="75">
        <v>3224.9522694290577</v>
      </c>
      <c r="H1562" s="76">
        <v>2</v>
      </c>
      <c r="I1562" s="54" t="s">
        <v>20</v>
      </c>
      <c r="J1562" s="77">
        <v>40</v>
      </c>
      <c r="K1562" s="78">
        <v>2</v>
      </c>
      <c r="L1562" s="54">
        <v>1</v>
      </c>
      <c r="M1562" s="54">
        <f>_xlfn.XLOOKUP(Survey!$F1562,sections[Start],sections[Test Section],,-1,1)</f>
        <v>5</v>
      </c>
      <c r="N1562" s="55">
        <f>_xlfn.XLOOKUP(Survey!$K1562,pipedata[ID],pipedata[WT])</f>
        <v>0.74</v>
      </c>
      <c r="O1562" s="56">
        <f>_xlfn.XLOOKUP(Survey!$K1562,pipedata[ID],pipedata[104%])</f>
        <v>2565.3333333333335</v>
      </c>
      <c r="P1562" s="57">
        <f t="shared" si="24"/>
        <v>1850</v>
      </c>
      <c r="Q1562" s="58">
        <f>_xlfn.MAXIFS(Survey!$G$2:$G$3647,Survey!$M$2:$M$3647,Survey!$M1562)-Survey!$G1562</f>
        <v>510.4245698962136</v>
      </c>
      <c r="R1562" s="59">
        <f>Survey!$P1562+(Survey!$Q1562*0.433)</f>
        <v>2071.0138387650604</v>
      </c>
    </row>
    <row r="1563" spans="1:18" x14ac:dyDescent="0.25">
      <c r="A1563" s="60" t="s">
        <v>17</v>
      </c>
      <c r="B1563" s="61" t="s">
        <v>22</v>
      </c>
      <c r="C1563" s="62" t="s">
        <v>19</v>
      </c>
      <c r="D1563" s="63">
        <v>238.58871050936409</v>
      </c>
      <c r="E1563" s="79">
        <v>1289329</v>
      </c>
      <c r="F1563" s="80">
        <v>1260833.1089108884</v>
      </c>
      <c r="G1563" s="66">
        <v>3217.4651158247793</v>
      </c>
      <c r="H1563" s="67">
        <v>2</v>
      </c>
      <c r="I1563" s="68" t="s">
        <v>20</v>
      </c>
      <c r="J1563" s="69">
        <v>40</v>
      </c>
      <c r="K1563" s="70">
        <v>2</v>
      </c>
      <c r="L1563" s="68">
        <v>1</v>
      </c>
      <c r="M1563" s="68">
        <f>_xlfn.XLOOKUP(Survey!$F1563,sections[Start],sections[Test Section],,-1,1)</f>
        <v>5</v>
      </c>
      <c r="N1563" s="55">
        <f>_xlfn.XLOOKUP(Survey!$K1563,pipedata[ID],pipedata[WT])</f>
        <v>0.74</v>
      </c>
      <c r="O1563" s="56">
        <f>_xlfn.XLOOKUP(Survey!$K1563,pipedata[ID],pipedata[104%])</f>
        <v>2565.3333333333335</v>
      </c>
      <c r="P1563" s="57">
        <f t="shared" si="24"/>
        <v>1850</v>
      </c>
      <c r="Q1563" s="58">
        <f>_xlfn.MAXIFS(Survey!$G$2:$G$3647,Survey!$M$2:$M$3647,Survey!$M1563)-Survey!$G1563</f>
        <v>517.91172350049192</v>
      </c>
      <c r="R1563" s="59">
        <f>Survey!$P1563+(Survey!$Q1563*0.433)</f>
        <v>2074.2557762757128</v>
      </c>
    </row>
    <row r="1564" spans="1:18" x14ac:dyDescent="0.25">
      <c r="A1564" s="71" t="s">
        <v>17</v>
      </c>
      <c r="B1564" s="72" t="s">
        <v>22</v>
      </c>
      <c r="C1564" s="73" t="s">
        <v>19</v>
      </c>
      <c r="D1564" s="74">
        <v>238.59643892830704</v>
      </c>
      <c r="E1564" s="81">
        <v>1289369</v>
      </c>
      <c r="F1564" s="82">
        <v>1260870.3465346508</v>
      </c>
      <c r="G1564" s="75">
        <v>3212.3916008760407</v>
      </c>
      <c r="H1564" s="76">
        <v>2</v>
      </c>
      <c r="I1564" s="54" t="s">
        <v>20</v>
      </c>
      <c r="J1564" s="77">
        <v>40</v>
      </c>
      <c r="K1564" s="78">
        <v>2</v>
      </c>
      <c r="L1564" s="54">
        <v>1</v>
      </c>
      <c r="M1564" s="54">
        <f>_xlfn.XLOOKUP(Survey!$F1564,sections[Start],sections[Test Section],,-1,1)</f>
        <v>5</v>
      </c>
      <c r="N1564" s="55">
        <f>_xlfn.XLOOKUP(Survey!$K1564,pipedata[ID],pipedata[WT])</f>
        <v>0.74</v>
      </c>
      <c r="O1564" s="56">
        <f>_xlfn.XLOOKUP(Survey!$K1564,pipedata[ID],pipedata[104%])</f>
        <v>2565.3333333333335</v>
      </c>
      <c r="P1564" s="57">
        <f t="shared" si="24"/>
        <v>1850</v>
      </c>
      <c r="Q1564" s="58">
        <f>_xlfn.MAXIFS(Survey!$G$2:$G$3647,Survey!$M$2:$M$3647,Survey!$M1564)-Survey!$G1564</f>
        <v>522.98523844923056</v>
      </c>
      <c r="R1564" s="59">
        <f>Survey!$P1564+(Survey!$Q1564*0.433)</f>
        <v>2076.4526082485168</v>
      </c>
    </row>
    <row r="1565" spans="1:18" x14ac:dyDescent="0.25">
      <c r="A1565" s="60" t="s">
        <v>17</v>
      </c>
      <c r="B1565" s="61" t="s">
        <v>22</v>
      </c>
      <c r="C1565" s="62" t="s">
        <v>19</v>
      </c>
      <c r="D1565" s="63">
        <v>238.60400247733676</v>
      </c>
      <c r="E1565" s="79">
        <v>1289409</v>
      </c>
      <c r="F1565" s="80">
        <v>1260907.5841584131</v>
      </c>
      <c r="G1565" s="66">
        <v>3207.012547836237</v>
      </c>
      <c r="H1565" s="67">
        <v>2</v>
      </c>
      <c r="I1565" s="68" t="s">
        <v>20</v>
      </c>
      <c r="J1565" s="69">
        <v>40</v>
      </c>
      <c r="K1565" s="70">
        <v>2</v>
      </c>
      <c r="L1565" s="68">
        <v>1</v>
      </c>
      <c r="M1565" s="68">
        <f>_xlfn.XLOOKUP(Survey!$F1565,sections[Start],sections[Test Section],,-1,1)</f>
        <v>5</v>
      </c>
      <c r="N1565" s="55">
        <f>_xlfn.XLOOKUP(Survey!$K1565,pipedata[ID],pipedata[WT])</f>
        <v>0.74</v>
      </c>
      <c r="O1565" s="56">
        <f>_xlfn.XLOOKUP(Survey!$K1565,pipedata[ID],pipedata[104%])</f>
        <v>2565.3333333333335</v>
      </c>
      <c r="P1565" s="57">
        <f t="shared" si="24"/>
        <v>1850</v>
      </c>
      <c r="Q1565" s="58">
        <f>_xlfn.MAXIFS(Survey!$G$2:$G$3647,Survey!$M$2:$M$3647,Survey!$M1565)-Survey!$G1565</f>
        <v>528.36429148903426</v>
      </c>
      <c r="R1565" s="59">
        <f>Survey!$P1565+(Survey!$Q1565*0.433)</f>
        <v>2078.7817382147518</v>
      </c>
    </row>
    <row r="1566" spans="1:18" x14ac:dyDescent="0.25">
      <c r="A1566" s="71" t="s">
        <v>17</v>
      </c>
      <c r="B1566" s="72" t="s">
        <v>22</v>
      </c>
      <c r="C1566" s="73" t="s">
        <v>19</v>
      </c>
      <c r="D1566" s="74">
        <v>238.61055617789648</v>
      </c>
      <c r="E1566" s="81">
        <v>1289449</v>
      </c>
      <c r="F1566" s="82">
        <v>1260944.8217821755</v>
      </c>
      <c r="G1566" s="75">
        <v>3203.2149180174561</v>
      </c>
      <c r="H1566" s="76">
        <v>2</v>
      </c>
      <c r="I1566" s="54" t="s">
        <v>20</v>
      </c>
      <c r="J1566" s="77">
        <v>40</v>
      </c>
      <c r="K1566" s="78">
        <v>2</v>
      </c>
      <c r="L1566" s="54">
        <v>1</v>
      </c>
      <c r="M1566" s="54">
        <f>_xlfn.XLOOKUP(Survey!$F1566,sections[Start],sections[Test Section],,-1,1)</f>
        <v>5</v>
      </c>
      <c r="N1566" s="55">
        <f>_xlfn.XLOOKUP(Survey!$K1566,pipedata[ID],pipedata[WT])</f>
        <v>0.74</v>
      </c>
      <c r="O1566" s="56">
        <f>_xlfn.XLOOKUP(Survey!$K1566,pipedata[ID],pipedata[104%])</f>
        <v>2565.3333333333335</v>
      </c>
      <c r="P1566" s="57">
        <f t="shared" si="24"/>
        <v>1850</v>
      </c>
      <c r="Q1566" s="58">
        <f>_xlfn.MAXIFS(Survey!$G$2:$G$3647,Survey!$M$2:$M$3647,Survey!$M1566)-Survey!$G1566</f>
        <v>532.16192130781519</v>
      </c>
      <c r="R1566" s="59">
        <f>Survey!$P1566+(Survey!$Q1566*0.433)</f>
        <v>2080.4261119262837</v>
      </c>
    </row>
    <row r="1567" spans="1:18" x14ac:dyDescent="0.25">
      <c r="A1567" s="60" t="s">
        <v>17</v>
      </c>
      <c r="B1567" s="61" t="s">
        <v>22</v>
      </c>
      <c r="C1567" s="62" t="s">
        <v>19</v>
      </c>
      <c r="D1567" s="63">
        <v>238.617196917558</v>
      </c>
      <c r="E1567" s="79">
        <v>1289489</v>
      </c>
      <c r="F1567" s="80">
        <v>1260982.0594059378</v>
      </c>
      <c r="G1567" s="66">
        <v>3200.2022021397947</v>
      </c>
      <c r="H1567" s="67">
        <v>2</v>
      </c>
      <c r="I1567" s="68" t="s">
        <v>20</v>
      </c>
      <c r="J1567" s="69">
        <v>40</v>
      </c>
      <c r="K1567" s="70">
        <v>2</v>
      </c>
      <c r="L1567" s="68">
        <v>1</v>
      </c>
      <c r="M1567" s="68">
        <f>_xlfn.XLOOKUP(Survey!$F1567,sections[Start],sections[Test Section],,-1,1)</f>
        <v>5</v>
      </c>
      <c r="N1567" s="55">
        <f>_xlfn.XLOOKUP(Survey!$K1567,pipedata[ID],pipedata[WT])</f>
        <v>0.74</v>
      </c>
      <c r="O1567" s="56">
        <f>_xlfn.XLOOKUP(Survey!$K1567,pipedata[ID],pipedata[104%])</f>
        <v>2565.3333333333335</v>
      </c>
      <c r="P1567" s="57">
        <f t="shared" si="24"/>
        <v>1850</v>
      </c>
      <c r="Q1567" s="58">
        <f>_xlfn.MAXIFS(Survey!$G$2:$G$3647,Survey!$M$2:$M$3647,Survey!$M1567)-Survey!$G1567</f>
        <v>535.17463718547651</v>
      </c>
      <c r="R1567" s="59">
        <f>Survey!$P1567+(Survey!$Q1567*0.433)</f>
        <v>2081.7306179013112</v>
      </c>
    </row>
    <row r="1568" spans="1:18" x14ac:dyDescent="0.25">
      <c r="A1568" s="71" t="s">
        <v>17</v>
      </c>
      <c r="B1568" s="72" t="s">
        <v>22</v>
      </c>
      <c r="C1568" s="73" t="s">
        <v>19</v>
      </c>
      <c r="D1568" s="74">
        <v>238.62584814586916</v>
      </c>
      <c r="E1568" s="81">
        <v>1289529</v>
      </c>
      <c r="F1568" s="82">
        <v>1261019.2970297001</v>
      </c>
      <c r="G1568" s="75">
        <v>3198.2076790136034</v>
      </c>
      <c r="H1568" s="76">
        <v>2</v>
      </c>
      <c r="I1568" s="54" t="s">
        <v>20</v>
      </c>
      <c r="J1568" s="77">
        <v>40</v>
      </c>
      <c r="K1568" s="78">
        <v>2</v>
      </c>
      <c r="L1568" s="54">
        <v>1</v>
      </c>
      <c r="M1568" s="54">
        <f>_xlfn.XLOOKUP(Survey!$F1568,sections[Start],sections[Test Section],,-1,1)</f>
        <v>5</v>
      </c>
      <c r="N1568" s="55">
        <f>_xlfn.XLOOKUP(Survey!$K1568,pipedata[ID],pipedata[WT])</f>
        <v>0.74</v>
      </c>
      <c r="O1568" s="56">
        <f>_xlfn.XLOOKUP(Survey!$K1568,pipedata[ID],pipedata[104%])</f>
        <v>2565.3333333333335</v>
      </c>
      <c r="P1568" s="57">
        <f t="shared" si="24"/>
        <v>1850</v>
      </c>
      <c r="Q1568" s="58">
        <f>_xlfn.MAXIFS(Survey!$G$2:$G$3647,Survey!$M$2:$M$3647,Survey!$M1568)-Survey!$G1568</f>
        <v>537.16916031166784</v>
      </c>
      <c r="R1568" s="59">
        <f>Survey!$P1568+(Survey!$Q1568*0.433)</f>
        <v>2082.5942464149521</v>
      </c>
    </row>
    <row r="1569" spans="1:18" x14ac:dyDescent="0.25">
      <c r="A1569" s="60" t="s">
        <v>17</v>
      </c>
      <c r="B1569" s="61" t="s">
        <v>22</v>
      </c>
      <c r="C1569" s="62" t="s">
        <v>19</v>
      </c>
      <c r="D1569" s="63">
        <v>238.63240714156626</v>
      </c>
      <c r="E1569" s="79">
        <v>1289569</v>
      </c>
      <c r="F1569" s="80">
        <v>1261056.5346534625</v>
      </c>
      <c r="G1569" s="66">
        <v>3194.975542051252</v>
      </c>
      <c r="H1569" s="67">
        <v>2</v>
      </c>
      <c r="I1569" s="68" t="s">
        <v>20</v>
      </c>
      <c r="J1569" s="69">
        <v>40</v>
      </c>
      <c r="K1569" s="70">
        <v>2</v>
      </c>
      <c r="L1569" s="68">
        <v>1</v>
      </c>
      <c r="M1569" s="68">
        <f>_xlfn.XLOOKUP(Survey!$F1569,sections[Start],sections[Test Section],,-1,1)</f>
        <v>5</v>
      </c>
      <c r="N1569" s="55">
        <f>_xlfn.XLOOKUP(Survey!$K1569,pipedata[ID],pipedata[WT])</f>
        <v>0.74</v>
      </c>
      <c r="O1569" s="56">
        <f>_xlfn.XLOOKUP(Survey!$K1569,pipedata[ID],pipedata[104%])</f>
        <v>2565.3333333333335</v>
      </c>
      <c r="P1569" s="57">
        <f t="shared" si="24"/>
        <v>1850</v>
      </c>
      <c r="Q1569" s="58">
        <f>_xlfn.MAXIFS(Survey!$G$2:$G$3647,Survey!$M$2:$M$3647,Survey!$M1569)-Survey!$G1569</f>
        <v>540.40129727401927</v>
      </c>
      <c r="R1569" s="59">
        <f>Survey!$P1569+(Survey!$Q1569*0.433)</f>
        <v>2083.9937617196501</v>
      </c>
    </row>
    <row r="1570" spans="1:18" x14ac:dyDescent="0.25">
      <c r="A1570" s="71" t="s">
        <v>17</v>
      </c>
      <c r="B1570" s="72" t="s">
        <v>22</v>
      </c>
      <c r="C1570" s="73" t="s">
        <v>19</v>
      </c>
      <c r="D1570" s="74">
        <v>238.64114011384191</v>
      </c>
      <c r="E1570" s="81">
        <v>1289609</v>
      </c>
      <c r="F1570" s="82">
        <v>1261093.7722772248</v>
      </c>
      <c r="G1570" s="75">
        <v>3189.502899119494</v>
      </c>
      <c r="H1570" s="76">
        <v>2</v>
      </c>
      <c r="I1570" s="54" t="s">
        <v>20</v>
      </c>
      <c r="J1570" s="77">
        <v>40</v>
      </c>
      <c r="K1570" s="78">
        <v>2</v>
      </c>
      <c r="L1570" s="54">
        <v>1</v>
      </c>
      <c r="M1570" s="54">
        <f>_xlfn.XLOOKUP(Survey!$F1570,sections[Start],sections[Test Section],,-1,1)</f>
        <v>5</v>
      </c>
      <c r="N1570" s="55">
        <f>_xlfn.XLOOKUP(Survey!$K1570,pipedata[ID],pipedata[WT])</f>
        <v>0.74</v>
      </c>
      <c r="O1570" s="56">
        <f>_xlfn.XLOOKUP(Survey!$K1570,pipedata[ID],pipedata[104%])</f>
        <v>2565.3333333333335</v>
      </c>
      <c r="P1570" s="57">
        <f t="shared" si="24"/>
        <v>1850</v>
      </c>
      <c r="Q1570" s="58">
        <f>_xlfn.MAXIFS(Survey!$G$2:$G$3647,Survey!$M$2:$M$3647,Survey!$M1570)-Survey!$G1570</f>
        <v>545.87394020577722</v>
      </c>
      <c r="R1570" s="59">
        <f>Survey!$P1570+(Survey!$Q1570*0.433)</f>
        <v>2086.3634161091013</v>
      </c>
    </row>
    <row r="1571" spans="1:18" x14ac:dyDescent="0.25">
      <c r="A1571" s="60" t="s">
        <v>17</v>
      </c>
      <c r="B1571" s="61" t="s">
        <v>22</v>
      </c>
      <c r="C1571" s="62" t="s">
        <v>19</v>
      </c>
      <c r="D1571" s="63">
        <v>238.64782209010608</v>
      </c>
      <c r="E1571" s="79">
        <v>1289649</v>
      </c>
      <c r="F1571" s="80">
        <v>1261131.0099009871</v>
      </c>
      <c r="G1571" s="66">
        <v>3183.2109882898685</v>
      </c>
      <c r="H1571" s="67">
        <v>2</v>
      </c>
      <c r="I1571" s="68" t="s">
        <v>20</v>
      </c>
      <c r="J1571" s="69">
        <v>40</v>
      </c>
      <c r="K1571" s="70">
        <v>2</v>
      </c>
      <c r="L1571" s="68">
        <v>1</v>
      </c>
      <c r="M1571" s="68">
        <f>_xlfn.XLOOKUP(Survey!$F1571,sections[Start],sections[Test Section],,-1,1)</f>
        <v>5</v>
      </c>
      <c r="N1571" s="55">
        <f>_xlfn.XLOOKUP(Survey!$K1571,pipedata[ID],pipedata[WT])</f>
        <v>0.74</v>
      </c>
      <c r="O1571" s="56">
        <f>_xlfn.XLOOKUP(Survey!$K1571,pipedata[ID],pipedata[104%])</f>
        <v>2565.3333333333335</v>
      </c>
      <c r="P1571" s="57">
        <f t="shared" si="24"/>
        <v>1850</v>
      </c>
      <c r="Q1571" s="58">
        <f>_xlfn.MAXIFS(Survey!$G$2:$G$3647,Survey!$M$2:$M$3647,Survey!$M1571)-Survey!$G1571</f>
        <v>552.16585103540274</v>
      </c>
      <c r="R1571" s="59">
        <f>Survey!$P1571+(Survey!$Q1571*0.433)</f>
        <v>2089.0878134983295</v>
      </c>
    </row>
    <row r="1572" spans="1:18" x14ac:dyDescent="0.25">
      <c r="A1572" s="71" t="s">
        <v>17</v>
      </c>
      <c r="B1572" s="72" t="s">
        <v>22</v>
      </c>
      <c r="C1572" s="73" t="s">
        <v>19</v>
      </c>
      <c r="D1572" s="74">
        <v>238.65643208181467</v>
      </c>
      <c r="E1572" s="81">
        <v>1289689</v>
      </c>
      <c r="F1572" s="82">
        <v>1261168.2475247495</v>
      </c>
      <c r="G1572" s="75">
        <v>3178.7995868458488</v>
      </c>
      <c r="H1572" s="76">
        <v>2</v>
      </c>
      <c r="I1572" s="54" t="s">
        <v>20</v>
      </c>
      <c r="J1572" s="77">
        <v>40</v>
      </c>
      <c r="K1572" s="78">
        <v>2</v>
      </c>
      <c r="L1572" s="54">
        <v>1</v>
      </c>
      <c r="M1572" s="54">
        <f>_xlfn.XLOOKUP(Survey!$F1572,sections[Start],sections[Test Section],,-1,1)</f>
        <v>5</v>
      </c>
      <c r="N1572" s="55">
        <f>_xlfn.XLOOKUP(Survey!$K1572,pipedata[ID],pipedata[WT])</f>
        <v>0.74</v>
      </c>
      <c r="O1572" s="56">
        <f>_xlfn.XLOOKUP(Survey!$K1572,pipedata[ID],pipedata[104%])</f>
        <v>2565.3333333333335</v>
      </c>
      <c r="P1572" s="57">
        <f t="shared" si="24"/>
        <v>1850</v>
      </c>
      <c r="Q1572" s="58">
        <f>_xlfn.MAXIFS(Survey!$G$2:$G$3647,Survey!$M$2:$M$3647,Survey!$M1572)-Survey!$G1572</f>
        <v>556.57725247942244</v>
      </c>
      <c r="R1572" s="59">
        <f>Survey!$P1572+(Survey!$Q1572*0.433)</f>
        <v>2090.99795032359</v>
      </c>
    </row>
    <row r="1573" spans="1:18" x14ac:dyDescent="0.25">
      <c r="A1573" s="60" t="s">
        <v>17</v>
      </c>
      <c r="B1573" s="61" t="s">
        <v>22</v>
      </c>
      <c r="C1573" s="62" t="s">
        <v>19</v>
      </c>
      <c r="D1573" s="63">
        <v>238.66323703864518</v>
      </c>
      <c r="E1573" s="79">
        <v>1289729</v>
      </c>
      <c r="F1573" s="80">
        <v>1261205.4851485118</v>
      </c>
      <c r="G1573" s="66">
        <v>3186.7545099912372</v>
      </c>
      <c r="H1573" s="67">
        <v>2</v>
      </c>
      <c r="I1573" s="68" t="s">
        <v>20</v>
      </c>
      <c r="J1573" s="69">
        <v>40</v>
      </c>
      <c r="K1573" s="70">
        <v>2</v>
      </c>
      <c r="L1573" s="68">
        <v>1</v>
      </c>
      <c r="M1573" s="68">
        <f>_xlfn.XLOOKUP(Survey!$F1573,sections[Start],sections[Test Section],,-1,1)</f>
        <v>5</v>
      </c>
      <c r="N1573" s="55">
        <f>_xlfn.XLOOKUP(Survey!$K1573,pipedata[ID],pipedata[WT])</f>
        <v>0.74</v>
      </c>
      <c r="O1573" s="56">
        <f>_xlfn.XLOOKUP(Survey!$K1573,pipedata[ID],pipedata[104%])</f>
        <v>2565.3333333333335</v>
      </c>
      <c r="P1573" s="57">
        <f t="shared" si="24"/>
        <v>1850</v>
      </c>
      <c r="Q1573" s="58">
        <f>_xlfn.MAXIFS(Survey!$G$2:$G$3647,Survey!$M$2:$M$3647,Survey!$M1573)-Survey!$G1573</f>
        <v>548.62232933403402</v>
      </c>
      <c r="R1573" s="59">
        <f>Survey!$P1573+(Survey!$Q1573*0.433)</f>
        <v>2087.5534686016367</v>
      </c>
    </row>
    <row r="1574" spans="1:18" x14ac:dyDescent="0.25">
      <c r="A1574" s="71" t="s">
        <v>17</v>
      </c>
      <c r="B1574" s="72" t="s">
        <v>22</v>
      </c>
      <c r="C1574" s="73" t="s">
        <v>19</v>
      </c>
      <c r="D1574" s="74">
        <v>238.67172404978737</v>
      </c>
      <c r="E1574" s="81">
        <v>1289769</v>
      </c>
      <c r="F1574" s="82">
        <v>1261242.7227722742</v>
      </c>
      <c r="G1574" s="75">
        <v>3201.7778686232014</v>
      </c>
      <c r="H1574" s="76">
        <v>2</v>
      </c>
      <c r="I1574" s="54" t="s">
        <v>20</v>
      </c>
      <c r="J1574" s="77">
        <v>40</v>
      </c>
      <c r="K1574" s="78">
        <v>2</v>
      </c>
      <c r="L1574" s="54">
        <v>1</v>
      </c>
      <c r="M1574" s="54">
        <f>_xlfn.XLOOKUP(Survey!$F1574,sections[Start],sections[Test Section],,-1,1)</f>
        <v>5</v>
      </c>
      <c r="N1574" s="55">
        <f>_xlfn.XLOOKUP(Survey!$K1574,pipedata[ID],pipedata[WT])</f>
        <v>0.74</v>
      </c>
      <c r="O1574" s="56">
        <f>_xlfn.XLOOKUP(Survey!$K1574,pipedata[ID],pipedata[104%])</f>
        <v>2565.3333333333335</v>
      </c>
      <c r="P1574" s="57">
        <f t="shared" si="24"/>
        <v>1850</v>
      </c>
      <c r="Q1574" s="58">
        <f>_xlfn.MAXIFS(Survey!$G$2:$G$3647,Survey!$M$2:$M$3647,Survey!$M1574)-Survey!$G1574</f>
        <v>533.59897070206989</v>
      </c>
      <c r="R1574" s="59">
        <f>Survey!$P1574+(Survey!$Q1574*0.433)</f>
        <v>2081.0483543139962</v>
      </c>
    </row>
    <row r="1575" spans="1:18" x14ac:dyDescent="0.25">
      <c r="A1575" s="60" t="s">
        <v>17</v>
      </c>
      <c r="B1575" s="61" t="s">
        <v>22</v>
      </c>
      <c r="C1575" s="62" t="s">
        <v>19</v>
      </c>
      <c r="D1575" s="63">
        <v>238.67865198718306</v>
      </c>
      <c r="E1575" s="79">
        <v>1289809</v>
      </c>
      <c r="F1575" s="80">
        <v>1261279.9603960365</v>
      </c>
      <c r="G1575" s="66">
        <v>3222.0819991149024</v>
      </c>
      <c r="H1575" s="67">
        <v>2</v>
      </c>
      <c r="I1575" s="68" t="s">
        <v>20</v>
      </c>
      <c r="J1575" s="69">
        <v>40</v>
      </c>
      <c r="K1575" s="70">
        <v>2</v>
      </c>
      <c r="L1575" s="68">
        <v>1</v>
      </c>
      <c r="M1575" s="68">
        <f>_xlfn.XLOOKUP(Survey!$F1575,sections[Start],sections[Test Section],,-1,1)</f>
        <v>5</v>
      </c>
      <c r="N1575" s="55">
        <f>_xlfn.XLOOKUP(Survey!$K1575,pipedata[ID],pipedata[WT])</f>
        <v>0.74</v>
      </c>
      <c r="O1575" s="56">
        <f>_xlfn.XLOOKUP(Survey!$K1575,pipedata[ID],pipedata[104%])</f>
        <v>2565.3333333333335</v>
      </c>
      <c r="P1575" s="57">
        <f t="shared" si="24"/>
        <v>1850</v>
      </c>
      <c r="Q1575" s="58">
        <f>_xlfn.MAXIFS(Survey!$G$2:$G$3647,Survey!$M$2:$M$3647,Survey!$M1575)-Survey!$G1575</f>
        <v>513.29484021036887</v>
      </c>
      <c r="R1575" s="59">
        <f>Survey!$P1575+(Survey!$Q1575*0.433)</f>
        <v>2072.2566658110895</v>
      </c>
    </row>
    <row r="1576" spans="1:18" x14ac:dyDescent="0.25">
      <c r="A1576" s="71" t="s">
        <v>17</v>
      </c>
      <c r="B1576" s="72" t="s">
        <v>22</v>
      </c>
      <c r="C1576" s="73" t="s">
        <v>19</v>
      </c>
      <c r="D1576" s="74">
        <v>238.68483145090681</v>
      </c>
      <c r="E1576" s="81">
        <v>1289849</v>
      </c>
      <c r="F1576" s="82">
        <v>1261317.1980197988</v>
      </c>
      <c r="G1576" s="75">
        <v>3248.301625875376</v>
      </c>
      <c r="H1576" s="76">
        <v>2</v>
      </c>
      <c r="I1576" s="54" t="s">
        <v>20</v>
      </c>
      <c r="J1576" s="77">
        <v>40</v>
      </c>
      <c r="K1576" s="78">
        <v>2</v>
      </c>
      <c r="L1576" s="54">
        <v>1</v>
      </c>
      <c r="M1576" s="54">
        <f>_xlfn.XLOOKUP(Survey!$F1576,sections[Start],sections[Test Section],,-1,1)</f>
        <v>5</v>
      </c>
      <c r="N1576" s="55">
        <f>_xlfn.XLOOKUP(Survey!$K1576,pipedata[ID],pipedata[WT])</f>
        <v>0.74</v>
      </c>
      <c r="O1576" s="56">
        <f>_xlfn.XLOOKUP(Survey!$K1576,pipedata[ID],pipedata[104%])</f>
        <v>2565.3333333333335</v>
      </c>
      <c r="P1576" s="57">
        <f t="shared" si="24"/>
        <v>1850</v>
      </c>
      <c r="Q1576" s="58">
        <f>_xlfn.MAXIFS(Survey!$G$2:$G$3647,Survey!$M$2:$M$3647,Survey!$M1576)-Survey!$G1576</f>
        <v>487.07521344989527</v>
      </c>
      <c r="R1576" s="59">
        <f>Survey!$P1576+(Survey!$Q1576*0.433)</f>
        <v>2060.9035674238048</v>
      </c>
    </row>
    <row r="1577" spans="1:18" x14ac:dyDescent="0.25">
      <c r="A1577" s="60" t="s">
        <v>17</v>
      </c>
      <c r="B1577" s="61" t="s">
        <v>22</v>
      </c>
      <c r="C1577" s="62" t="s">
        <v>19</v>
      </c>
      <c r="D1577" s="63">
        <v>238.69138515146653</v>
      </c>
      <c r="E1577" s="79">
        <v>1289889</v>
      </c>
      <c r="F1577" s="80">
        <v>1261354.4356435612</v>
      </c>
      <c r="G1577" s="66">
        <v>3252.5464537881171</v>
      </c>
      <c r="H1577" s="67">
        <v>2</v>
      </c>
      <c r="I1577" s="68" t="s">
        <v>20</v>
      </c>
      <c r="J1577" s="69">
        <v>40</v>
      </c>
      <c r="K1577" s="70">
        <v>2</v>
      </c>
      <c r="L1577" s="68">
        <v>1</v>
      </c>
      <c r="M1577" s="68">
        <f>_xlfn.XLOOKUP(Survey!$F1577,sections[Start],sections[Test Section],,-1,1)</f>
        <v>5</v>
      </c>
      <c r="N1577" s="55">
        <f>_xlfn.XLOOKUP(Survey!$K1577,pipedata[ID],pipedata[WT])</f>
        <v>0.74</v>
      </c>
      <c r="O1577" s="56">
        <f>_xlfn.XLOOKUP(Survey!$K1577,pipedata[ID],pipedata[104%])</f>
        <v>2565.3333333333335</v>
      </c>
      <c r="P1577" s="57">
        <f t="shared" si="24"/>
        <v>1850</v>
      </c>
      <c r="Q1577" s="58">
        <f>_xlfn.MAXIFS(Survey!$G$2:$G$3647,Survey!$M$2:$M$3647,Survey!$M1577)-Survey!$G1577</f>
        <v>482.83038553715414</v>
      </c>
      <c r="R1577" s="59">
        <f>Survey!$P1577+(Survey!$Q1577*0.433)</f>
        <v>2059.0655569375876</v>
      </c>
    </row>
    <row r="1578" spans="1:18" x14ac:dyDescent="0.25">
      <c r="A1578" s="71" t="s">
        <v>17</v>
      </c>
      <c r="B1578" s="72" t="s">
        <v>22</v>
      </c>
      <c r="C1578" s="73" t="s">
        <v>19</v>
      </c>
      <c r="D1578" s="74">
        <v>238.69793885202625</v>
      </c>
      <c r="E1578" s="81">
        <v>1289929</v>
      </c>
      <c r="F1578" s="82">
        <v>1261391.6732673235</v>
      </c>
      <c r="G1578" s="75">
        <v>3248.9798375680548</v>
      </c>
      <c r="H1578" s="76">
        <v>2</v>
      </c>
      <c r="I1578" s="54" t="s">
        <v>20</v>
      </c>
      <c r="J1578" s="77">
        <v>40</v>
      </c>
      <c r="K1578" s="78">
        <v>2</v>
      </c>
      <c r="L1578" s="54">
        <v>1</v>
      </c>
      <c r="M1578" s="54">
        <f>_xlfn.XLOOKUP(Survey!$F1578,sections[Start],sections[Test Section],,-1,1)</f>
        <v>5</v>
      </c>
      <c r="N1578" s="55">
        <f>_xlfn.XLOOKUP(Survey!$K1578,pipedata[ID],pipedata[WT])</f>
        <v>0.74</v>
      </c>
      <c r="O1578" s="56">
        <f>_xlfn.XLOOKUP(Survey!$K1578,pipedata[ID],pipedata[104%])</f>
        <v>2565.3333333333335</v>
      </c>
      <c r="P1578" s="57">
        <f t="shared" si="24"/>
        <v>1850</v>
      </c>
      <c r="Q1578" s="58">
        <f>_xlfn.MAXIFS(Survey!$G$2:$G$3647,Survey!$M$2:$M$3647,Survey!$M1578)-Survey!$G1578</f>
        <v>486.39700175721646</v>
      </c>
      <c r="R1578" s="59">
        <f>Survey!$P1578+(Survey!$Q1578*0.433)</f>
        <v>2060.6099017608749</v>
      </c>
    </row>
    <row r="1579" spans="1:18" x14ac:dyDescent="0.25">
      <c r="A1579" s="60" t="s">
        <v>17</v>
      </c>
      <c r="B1579" s="61" t="s">
        <v>22</v>
      </c>
      <c r="C1579" s="62" t="s">
        <v>19</v>
      </c>
      <c r="D1579" s="63">
        <v>238.7046027402057</v>
      </c>
      <c r="E1579" s="79">
        <v>1289969</v>
      </c>
      <c r="F1579" s="80">
        <v>1261428.9108910859</v>
      </c>
      <c r="G1579" s="66">
        <v>3251.3307590321301</v>
      </c>
      <c r="H1579" s="67">
        <v>2</v>
      </c>
      <c r="I1579" s="68" t="s">
        <v>20</v>
      </c>
      <c r="J1579" s="69">
        <v>40</v>
      </c>
      <c r="K1579" s="70">
        <v>2</v>
      </c>
      <c r="L1579" s="68">
        <v>1</v>
      </c>
      <c r="M1579" s="68">
        <f>_xlfn.XLOOKUP(Survey!$F1579,sections[Start],sections[Test Section],,-1,1)</f>
        <v>5</v>
      </c>
      <c r="N1579" s="55">
        <f>_xlfn.XLOOKUP(Survey!$K1579,pipedata[ID],pipedata[WT])</f>
        <v>0.74</v>
      </c>
      <c r="O1579" s="56">
        <f>_xlfn.XLOOKUP(Survey!$K1579,pipedata[ID],pipedata[104%])</f>
        <v>2565.3333333333335</v>
      </c>
      <c r="P1579" s="57">
        <f t="shared" si="24"/>
        <v>1850</v>
      </c>
      <c r="Q1579" s="58">
        <f>_xlfn.MAXIFS(Survey!$G$2:$G$3647,Survey!$M$2:$M$3647,Survey!$M1579)-Survey!$G1579</f>
        <v>484.04608029314113</v>
      </c>
      <c r="R1579" s="59">
        <f>Survey!$P1579+(Survey!$Q1579*0.433)</f>
        <v>2059.5919527669303</v>
      </c>
    </row>
    <row r="1580" spans="1:18" x14ac:dyDescent="0.25">
      <c r="A1580" s="71" t="s">
        <v>17</v>
      </c>
      <c r="B1580" s="72" t="s">
        <v>22</v>
      </c>
      <c r="C1580" s="73" t="s">
        <v>19</v>
      </c>
      <c r="D1580" s="74">
        <v>238.71323081999907</v>
      </c>
      <c r="E1580" s="81">
        <v>1290009</v>
      </c>
      <c r="F1580" s="82">
        <v>1261466.1485148482</v>
      </c>
      <c r="G1580" s="75">
        <v>3262.7794936834571</v>
      </c>
      <c r="H1580" s="76">
        <v>2</v>
      </c>
      <c r="I1580" s="54" t="s">
        <v>20</v>
      </c>
      <c r="J1580" s="77">
        <v>40</v>
      </c>
      <c r="K1580" s="78">
        <v>2</v>
      </c>
      <c r="L1580" s="54">
        <v>1</v>
      </c>
      <c r="M1580" s="54">
        <f>_xlfn.XLOOKUP(Survey!$F1580,sections[Start],sections[Test Section],,-1,1)</f>
        <v>5</v>
      </c>
      <c r="N1580" s="55">
        <f>_xlfn.XLOOKUP(Survey!$K1580,pipedata[ID],pipedata[WT])</f>
        <v>0.74</v>
      </c>
      <c r="O1580" s="56">
        <f>_xlfn.XLOOKUP(Survey!$K1580,pipedata[ID],pipedata[104%])</f>
        <v>2565.3333333333335</v>
      </c>
      <c r="P1580" s="57">
        <f t="shared" si="24"/>
        <v>1850</v>
      </c>
      <c r="Q1580" s="58">
        <f>_xlfn.MAXIFS(Survey!$G$2:$G$3647,Survey!$M$2:$M$3647,Survey!$M1580)-Survey!$G1580</f>
        <v>472.59734564181417</v>
      </c>
      <c r="R1580" s="59">
        <f>Survey!$P1580+(Survey!$Q1580*0.433)</f>
        <v>2054.6346506629056</v>
      </c>
    </row>
    <row r="1581" spans="1:18" x14ac:dyDescent="0.25">
      <c r="A1581" s="60" t="s">
        <v>17</v>
      </c>
      <c r="B1581" s="61" t="s">
        <v>22</v>
      </c>
      <c r="C1581" s="62" t="s">
        <v>19</v>
      </c>
      <c r="D1581" s="63">
        <v>238.72075006872694</v>
      </c>
      <c r="E1581" s="79">
        <v>1290049</v>
      </c>
      <c r="F1581" s="80">
        <v>1261503.3861386105</v>
      </c>
      <c r="G1581" s="66">
        <v>3259.5753466590309</v>
      </c>
      <c r="H1581" s="67">
        <v>2</v>
      </c>
      <c r="I1581" s="68" t="s">
        <v>20</v>
      </c>
      <c r="J1581" s="69">
        <v>40</v>
      </c>
      <c r="K1581" s="70">
        <v>2</v>
      </c>
      <c r="L1581" s="68">
        <v>1</v>
      </c>
      <c r="M1581" s="68">
        <f>_xlfn.XLOOKUP(Survey!$F1581,sections[Start],sections[Test Section],,-1,1)</f>
        <v>5</v>
      </c>
      <c r="N1581" s="55">
        <f>_xlfn.XLOOKUP(Survey!$K1581,pipedata[ID],pipedata[WT])</f>
        <v>0.74</v>
      </c>
      <c r="O1581" s="56">
        <f>_xlfn.XLOOKUP(Survey!$K1581,pipedata[ID],pipedata[104%])</f>
        <v>2565.3333333333335</v>
      </c>
      <c r="P1581" s="57">
        <f t="shared" si="24"/>
        <v>1850</v>
      </c>
      <c r="Q1581" s="58">
        <f>_xlfn.MAXIFS(Survey!$G$2:$G$3647,Survey!$M$2:$M$3647,Survey!$M1581)-Survey!$G1581</f>
        <v>475.80149266624039</v>
      </c>
      <c r="R1581" s="59">
        <f>Survey!$P1581+(Survey!$Q1581*0.433)</f>
        <v>2056.0220463244823</v>
      </c>
    </row>
    <row r="1582" spans="1:18" x14ac:dyDescent="0.25">
      <c r="A1582" s="71" t="s">
        <v>17</v>
      </c>
      <c r="B1582" s="72" t="s">
        <v>22</v>
      </c>
      <c r="C1582" s="73" t="s">
        <v>19</v>
      </c>
      <c r="D1582" s="74">
        <v>238.72708795389511</v>
      </c>
      <c r="E1582" s="81">
        <v>1290089</v>
      </c>
      <c r="F1582" s="82">
        <v>1261540.6237623729</v>
      </c>
      <c r="G1582" s="75">
        <v>3253.4059686797596</v>
      </c>
      <c r="H1582" s="76">
        <v>2</v>
      </c>
      <c r="I1582" s="54" t="s">
        <v>20</v>
      </c>
      <c r="J1582" s="77">
        <v>40</v>
      </c>
      <c r="K1582" s="78">
        <v>2</v>
      </c>
      <c r="L1582" s="54">
        <v>1</v>
      </c>
      <c r="M1582" s="54">
        <f>_xlfn.XLOOKUP(Survey!$F1582,sections[Start],sections[Test Section],,-1,1)</f>
        <v>5</v>
      </c>
      <c r="N1582" s="55">
        <f>_xlfn.XLOOKUP(Survey!$K1582,pipedata[ID],pipedata[WT])</f>
        <v>0.74</v>
      </c>
      <c r="O1582" s="56">
        <f>_xlfn.XLOOKUP(Survey!$K1582,pipedata[ID],pipedata[104%])</f>
        <v>2565.3333333333335</v>
      </c>
      <c r="P1582" s="57">
        <f t="shared" si="24"/>
        <v>1850</v>
      </c>
      <c r="Q1582" s="58">
        <f>_xlfn.MAXIFS(Survey!$G$2:$G$3647,Survey!$M$2:$M$3647,Survey!$M1582)-Survey!$G1582</f>
        <v>481.9708706455117</v>
      </c>
      <c r="R1582" s="59">
        <f>Survey!$P1582+(Survey!$Q1582*0.433)</f>
        <v>2058.6933869895065</v>
      </c>
    </row>
    <row r="1583" spans="1:18" x14ac:dyDescent="0.25">
      <c r="A1583" s="60" t="s">
        <v>17</v>
      </c>
      <c r="B1583" s="61" t="s">
        <v>22</v>
      </c>
      <c r="C1583" s="62" t="s">
        <v>19</v>
      </c>
      <c r="D1583" s="63">
        <v>238.73437319159089</v>
      </c>
      <c r="E1583" s="79">
        <v>1290129</v>
      </c>
      <c r="F1583" s="80">
        <v>1261577.8613861352</v>
      </c>
      <c r="G1583" s="66">
        <v>3247.4057226200048</v>
      </c>
      <c r="H1583" s="67">
        <v>2</v>
      </c>
      <c r="I1583" s="68" t="s">
        <v>20</v>
      </c>
      <c r="J1583" s="69">
        <v>40</v>
      </c>
      <c r="K1583" s="70">
        <v>2</v>
      </c>
      <c r="L1583" s="68">
        <v>1</v>
      </c>
      <c r="M1583" s="68">
        <f>_xlfn.XLOOKUP(Survey!$F1583,sections[Start],sections[Test Section],,-1,1)</f>
        <v>5</v>
      </c>
      <c r="N1583" s="55">
        <f>_xlfn.XLOOKUP(Survey!$K1583,pipedata[ID],pipedata[WT])</f>
        <v>0.74</v>
      </c>
      <c r="O1583" s="56">
        <f>_xlfn.XLOOKUP(Survey!$K1583,pipedata[ID],pipedata[104%])</f>
        <v>2565.3333333333335</v>
      </c>
      <c r="P1583" s="57">
        <f t="shared" si="24"/>
        <v>1850</v>
      </c>
      <c r="Q1583" s="58">
        <f>_xlfn.MAXIFS(Survey!$G$2:$G$3647,Survey!$M$2:$M$3647,Survey!$M1583)-Survey!$G1583</f>
        <v>487.97111670526647</v>
      </c>
      <c r="R1583" s="59">
        <f>Survey!$P1583+(Survey!$Q1583*0.433)</f>
        <v>2061.2914935333802</v>
      </c>
    </row>
    <row r="1584" spans="1:18" x14ac:dyDescent="0.25">
      <c r="A1584" s="71" t="s">
        <v>17</v>
      </c>
      <c r="B1584" s="72" t="s">
        <v>22</v>
      </c>
      <c r="C1584" s="73" t="s">
        <v>19</v>
      </c>
      <c r="D1584" s="74">
        <v>238.74212095664322</v>
      </c>
      <c r="E1584" s="81">
        <v>1290169</v>
      </c>
      <c r="F1584" s="82">
        <v>1261615.0990098976</v>
      </c>
      <c r="G1584" s="75">
        <v>3240.3390102985072</v>
      </c>
      <c r="H1584" s="76">
        <v>2</v>
      </c>
      <c r="I1584" s="54" t="s">
        <v>20</v>
      </c>
      <c r="J1584" s="77">
        <v>40</v>
      </c>
      <c r="K1584" s="78">
        <v>2</v>
      </c>
      <c r="L1584" s="54">
        <v>1</v>
      </c>
      <c r="M1584" s="54">
        <f>_xlfn.XLOOKUP(Survey!$F1584,sections[Start],sections[Test Section],,-1,1)</f>
        <v>5</v>
      </c>
      <c r="N1584" s="55">
        <f>_xlfn.XLOOKUP(Survey!$K1584,pipedata[ID],pipedata[WT])</f>
        <v>0.74</v>
      </c>
      <c r="O1584" s="56">
        <f>_xlfn.XLOOKUP(Survey!$K1584,pipedata[ID],pipedata[104%])</f>
        <v>2565.3333333333335</v>
      </c>
      <c r="P1584" s="57">
        <f t="shared" si="24"/>
        <v>1850</v>
      </c>
      <c r="Q1584" s="58">
        <f>_xlfn.MAXIFS(Survey!$G$2:$G$3647,Survey!$M$2:$M$3647,Survey!$M1584)-Survey!$G1584</f>
        <v>495.03782902676403</v>
      </c>
      <c r="R1584" s="59">
        <f>Survey!$P1584+(Survey!$Q1584*0.433)</f>
        <v>2064.3513799685888</v>
      </c>
    </row>
    <row r="1585" spans="1:18" x14ac:dyDescent="0.25">
      <c r="A1585" s="60" t="s">
        <v>17</v>
      </c>
      <c r="B1585" s="61" t="s">
        <v>22</v>
      </c>
      <c r="C1585" s="62" t="s">
        <v>19</v>
      </c>
      <c r="D1585" s="63">
        <v>238.74986872169566</v>
      </c>
      <c r="E1585" s="79">
        <v>1290209</v>
      </c>
      <c r="F1585" s="80">
        <v>1261652.3366336599</v>
      </c>
      <c r="G1585" s="66">
        <v>3237.9137473605078</v>
      </c>
      <c r="H1585" s="67">
        <v>2</v>
      </c>
      <c r="I1585" s="68" t="s">
        <v>20</v>
      </c>
      <c r="J1585" s="69">
        <v>40</v>
      </c>
      <c r="K1585" s="70">
        <v>2</v>
      </c>
      <c r="L1585" s="68">
        <v>1</v>
      </c>
      <c r="M1585" s="68">
        <f>_xlfn.XLOOKUP(Survey!$F1585,sections[Start],sections[Test Section],,-1,1)</f>
        <v>5</v>
      </c>
      <c r="N1585" s="55">
        <f>_xlfn.XLOOKUP(Survey!$K1585,pipedata[ID],pipedata[WT])</f>
        <v>0.74</v>
      </c>
      <c r="O1585" s="56">
        <f>_xlfn.XLOOKUP(Survey!$K1585,pipedata[ID],pipedata[104%])</f>
        <v>2565.3333333333335</v>
      </c>
      <c r="P1585" s="57">
        <f t="shared" si="24"/>
        <v>1850</v>
      </c>
      <c r="Q1585" s="58">
        <f>_xlfn.MAXIFS(Survey!$G$2:$G$3647,Survey!$M$2:$M$3647,Survey!$M1585)-Survey!$G1585</f>
        <v>497.46309196476341</v>
      </c>
      <c r="R1585" s="59">
        <f>Survey!$P1585+(Survey!$Q1585*0.433)</f>
        <v>2065.4015188207427</v>
      </c>
    </row>
    <row r="1586" spans="1:18" x14ac:dyDescent="0.25">
      <c r="A1586" s="71" t="s">
        <v>17</v>
      </c>
      <c r="B1586" s="72" t="s">
        <v>22</v>
      </c>
      <c r="C1586" s="73" t="s">
        <v>19</v>
      </c>
      <c r="D1586" s="74">
        <v>238.75761648674808</v>
      </c>
      <c r="E1586" s="64">
        <v>1290249</v>
      </c>
      <c r="F1586" s="65">
        <v>1261689.5742574222</v>
      </c>
      <c r="G1586" s="75">
        <v>3237.4616398635062</v>
      </c>
      <c r="H1586" s="76">
        <v>2</v>
      </c>
      <c r="I1586" s="54" t="s">
        <v>20</v>
      </c>
      <c r="J1586" s="77">
        <v>40</v>
      </c>
      <c r="K1586" s="78">
        <v>2</v>
      </c>
      <c r="L1586" s="54">
        <v>1</v>
      </c>
      <c r="M1586" s="54">
        <f>_xlfn.XLOOKUP(Survey!$F1586,sections[Start],sections[Test Section],,-1,1)</f>
        <v>5</v>
      </c>
      <c r="N1586" s="55">
        <f>_xlfn.XLOOKUP(Survey!$K1586,pipedata[ID],pipedata[WT])</f>
        <v>0.74</v>
      </c>
      <c r="O1586" s="56">
        <f>_xlfn.XLOOKUP(Survey!$K1586,pipedata[ID],pipedata[104%])</f>
        <v>2565.3333333333335</v>
      </c>
      <c r="P1586" s="57">
        <f t="shared" si="24"/>
        <v>1850</v>
      </c>
      <c r="Q1586" s="58">
        <f>_xlfn.MAXIFS(Survey!$G$2:$G$3647,Survey!$M$2:$M$3647,Survey!$M1586)-Survey!$G1586</f>
        <v>497.91519946176504</v>
      </c>
      <c r="R1586" s="59">
        <f>Survey!$P1586+(Survey!$Q1586*0.433)</f>
        <v>2065.5972813669441</v>
      </c>
    </row>
    <row r="1587" spans="1:18" x14ac:dyDescent="0.25">
      <c r="A1587" s="60" t="s">
        <v>17</v>
      </c>
      <c r="B1587" s="61" t="s">
        <v>22</v>
      </c>
      <c r="C1587" s="62" t="s">
        <v>19</v>
      </c>
      <c r="D1587" s="63">
        <v>238.76594327212459</v>
      </c>
      <c r="E1587" s="64">
        <v>1290289</v>
      </c>
      <c r="F1587" s="65">
        <v>1261726.8118811846</v>
      </c>
      <c r="G1587" s="66">
        <v>3241.2244575943087</v>
      </c>
      <c r="H1587" s="67">
        <v>2</v>
      </c>
      <c r="I1587" s="68" t="s">
        <v>20</v>
      </c>
      <c r="J1587" s="69">
        <v>40</v>
      </c>
      <c r="K1587" s="70">
        <v>2</v>
      </c>
      <c r="L1587" s="68">
        <v>1</v>
      </c>
      <c r="M1587" s="68">
        <f>_xlfn.XLOOKUP(Survey!$F1587,sections[Start],sections[Test Section],,-1,1)</f>
        <v>5</v>
      </c>
      <c r="N1587" s="55">
        <f>_xlfn.XLOOKUP(Survey!$K1587,pipedata[ID],pipedata[WT])</f>
        <v>0.74</v>
      </c>
      <c r="O1587" s="56">
        <f>_xlfn.XLOOKUP(Survey!$K1587,pipedata[ID],pipedata[104%])</f>
        <v>2565.3333333333335</v>
      </c>
      <c r="P1587" s="57">
        <f t="shared" si="24"/>
        <v>1850</v>
      </c>
      <c r="Q1587" s="58">
        <f>_xlfn.MAXIFS(Survey!$G$2:$G$3647,Survey!$M$2:$M$3647,Survey!$M1587)-Survey!$G1587</f>
        <v>494.15238173096259</v>
      </c>
      <c r="R1587" s="59">
        <f>Survey!$P1587+(Survey!$Q1587*0.433)</f>
        <v>2063.967981289507</v>
      </c>
    </row>
    <row r="1588" spans="1:18" x14ac:dyDescent="0.25">
      <c r="A1588" s="71" t="s">
        <v>17</v>
      </c>
      <c r="B1588" s="72" t="s">
        <v>22</v>
      </c>
      <c r="C1588" s="73" t="s">
        <v>19</v>
      </c>
      <c r="D1588" s="74">
        <v>238.77333902247346</v>
      </c>
      <c r="E1588" s="81">
        <v>1290329</v>
      </c>
      <c r="F1588" s="82">
        <v>1261764.0495049469</v>
      </c>
      <c r="G1588" s="75">
        <v>3245.8323244123062</v>
      </c>
      <c r="H1588" s="76">
        <v>2</v>
      </c>
      <c r="I1588" s="54" t="s">
        <v>20</v>
      </c>
      <c r="J1588" s="77">
        <v>40</v>
      </c>
      <c r="K1588" s="78">
        <v>2</v>
      </c>
      <c r="L1588" s="54">
        <v>1</v>
      </c>
      <c r="M1588" s="54">
        <f>_xlfn.XLOOKUP(Survey!$F1588,sections[Start],sections[Test Section],,-1,1)</f>
        <v>5</v>
      </c>
      <c r="N1588" s="55">
        <f>_xlfn.XLOOKUP(Survey!$K1588,pipedata[ID],pipedata[WT])</f>
        <v>0.74</v>
      </c>
      <c r="O1588" s="56">
        <f>_xlfn.XLOOKUP(Survey!$K1588,pipedata[ID],pipedata[104%])</f>
        <v>2565.3333333333335</v>
      </c>
      <c r="P1588" s="57">
        <f t="shared" si="24"/>
        <v>1850</v>
      </c>
      <c r="Q1588" s="58">
        <f>_xlfn.MAXIFS(Survey!$G$2:$G$3647,Survey!$M$2:$M$3647,Survey!$M1588)-Survey!$G1588</f>
        <v>489.54451491296504</v>
      </c>
      <c r="R1588" s="59">
        <f>Survey!$P1588+(Survey!$Q1588*0.433)</f>
        <v>2061.972774957314</v>
      </c>
    </row>
    <row r="1589" spans="1:18" x14ac:dyDescent="0.25">
      <c r="A1589" s="60" t="s">
        <v>17</v>
      </c>
      <c r="B1589" s="61" t="s">
        <v>22</v>
      </c>
      <c r="C1589" s="62" t="s">
        <v>19</v>
      </c>
      <c r="D1589" s="63">
        <v>238.77925164328605</v>
      </c>
      <c r="E1589" s="79">
        <v>1290369</v>
      </c>
      <c r="F1589" s="80">
        <v>1261801.2871287093</v>
      </c>
      <c r="G1589" s="66">
        <v>3248.586252907065</v>
      </c>
      <c r="H1589" s="67">
        <v>2</v>
      </c>
      <c r="I1589" s="68" t="s">
        <v>20</v>
      </c>
      <c r="J1589" s="69">
        <v>40</v>
      </c>
      <c r="K1589" s="70">
        <v>2</v>
      </c>
      <c r="L1589" s="68">
        <v>1</v>
      </c>
      <c r="M1589" s="68">
        <f>_xlfn.XLOOKUP(Survey!$F1589,sections[Start],sections[Test Section],,-1,1)</f>
        <v>5</v>
      </c>
      <c r="N1589" s="55">
        <f>_xlfn.XLOOKUP(Survey!$K1589,pipedata[ID],pipedata[WT])</f>
        <v>0.74</v>
      </c>
      <c r="O1589" s="56">
        <f>_xlfn.XLOOKUP(Survey!$K1589,pipedata[ID],pipedata[104%])</f>
        <v>2565.3333333333335</v>
      </c>
      <c r="P1589" s="57">
        <f t="shared" si="24"/>
        <v>1850</v>
      </c>
      <c r="Q1589" s="58">
        <f>_xlfn.MAXIFS(Survey!$G$2:$G$3647,Survey!$M$2:$M$3647,Survey!$M1589)-Survey!$G1589</f>
        <v>486.7905864182062</v>
      </c>
      <c r="R1589" s="59">
        <f>Survey!$P1589+(Survey!$Q1589*0.433)</f>
        <v>2060.7803239190835</v>
      </c>
    </row>
    <row r="1590" spans="1:18" x14ac:dyDescent="0.25">
      <c r="A1590" s="71" t="s">
        <v>17</v>
      </c>
      <c r="B1590" s="72" t="s">
        <v>22</v>
      </c>
      <c r="C1590" s="73" t="s">
        <v>19</v>
      </c>
      <c r="D1590" s="74">
        <v>238.78821280399512</v>
      </c>
      <c r="E1590" s="64">
        <v>1290409</v>
      </c>
      <c r="F1590" s="65">
        <v>1261838.5247524716</v>
      </c>
      <c r="G1590" s="75">
        <v>3253.1558100886382</v>
      </c>
      <c r="H1590" s="76">
        <v>2</v>
      </c>
      <c r="I1590" s="54" t="s">
        <v>20</v>
      </c>
      <c r="J1590" s="77">
        <v>40</v>
      </c>
      <c r="K1590" s="78">
        <v>2</v>
      </c>
      <c r="L1590" s="54">
        <v>1</v>
      </c>
      <c r="M1590" s="54">
        <f>_xlfn.XLOOKUP(Survey!$F1590,sections[Start],sections[Test Section],,-1,1)</f>
        <v>5</v>
      </c>
      <c r="N1590" s="55">
        <f>_xlfn.XLOOKUP(Survey!$K1590,pipedata[ID],pipedata[WT])</f>
        <v>0.74</v>
      </c>
      <c r="O1590" s="56">
        <f>_xlfn.XLOOKUP(Survey!$K1590,pipedata[ID],pipedata[104%])</f>
        <v>2565.3333333333335</v>
      </c>
      <c r="P1590" s="57">
        <f t="shared" si="24"/>
        <v>1850</v>
      </c>
      <c r="Q1590" s="58">
        <f>_xlfn.MAXIFS(Survey!$G$2:$G$3647,Survey!$M$2:$M$3647,Survey!$M1590)-Survey!$G1590</f>
        <v>482.22102923663306</v>
      </c>
      <c r="R1590" s="59">
        <f>Survey!$P1590+(Survey!$Q1590*0.433)</f>
        <v>2058.8017056594622</v>
      </c>
    </row>
    <row r="1591" spans="1:18" x14ac:dyDescent="0.25">
      <c r="A1591" s="60" t="s">
        <v>17</v>
      </c>
      <c r="B1591" s="61" t="s">
        <v>22</v>
      </c>
      <c r="C1591" s="62" t="s">
        <v>19</v>
      </c>
      <c r="D1591" s="63">
        <v>238.79496122671293</v>
      </c>
      <c r="E1591" s="79">
        <v>1290449</v>
      </c>
      <c r="F1591" s="80">
        <v>1261875.7623762339</v>
      </c>
      <c r="G1591" s="66">
        <v>3258.9632617264792</v>
      </c>
      <c r="H1591" s="67">
        <v>2</v>
      </c>
      <c r="I1591" s="68" t="s">
        <v>20</v>
      </c>
      <c r="J1591" s="69">
        <v>40</v>
      </c>
      <c r="K1591" s="70">
        <v>2</v>
      </c>
      <c r="L1591" s="68">
        <v>1</v>
      </c>
      <c r="M1591" s="68">
        <f>_xlfn.XLOOKUP(Survey!$F1591,sections[Start],sections[Test Section],,-1,1)</f>
        <v>5</v>
      </c>
      <c r="N1591" s="55">
        <f>_xlfn.XLOOKUP(Survey!$K1591,pipedata[ID],pipedata[WT])</f>
        <v>0.74</v>
      </c>
      <c r="O1591" s="56">
        <f>_xlfn.XLOOKUP(Survey!$K1591,pipedata[ID],pipedata[104%])</f>
        <v>2565.3333333333335</v>
      </c>
      <c r="P1591" s="57">
        <f t="shared" si="24"/>
        <v>1850</v>
      </c>
      <c r="Q1591" s="58">
        <f>_xlfn.MAXIFS(Survey!$G$2:$G$3647,Survey!$M$2:$M$3647,Survey!$M1591)-Survey!$G1591</f>
        <v>476.41357759879202</v>
      </c>
      <c r="R1591" s="59">
        <f>Survey!$P1591+(Survey!$Q1591*0.433)</f>
        <v>2056.287079100277</v>
      </c>
    </row>
    <row r="1592" spans="1:18" x14ac:dyDescent="0.25">
      <c r="A1592" s="71" t="s">
        <v>17</v>
      </c>
      <c r="B1592" s="72" t="s">
        <v>22</v>
      </c>
      <c r="C1592" s="73" t="s">
        <v>19</v>
      </c>
      <c r="D1592" s="74">
        <v>238.8017096494309</v>
      </c>
      <c r="E1592" s="64">
        <v>1290489</v>
      </c>
      <c r="F1592" s="65">
        <v>1261912.9999999963</v>
      </c>
      <c r="G1592" s="75">
        <v>3263.14984890395</v>
      </c>
      <c r="H1592" s="76">
        <v>2</v>
      </c>
      <c r="I1592" s="54" t="s">
        <v>20</v>
      </c>
      <c r="J1592" s="77">
        <v>40</v>
      </c>
      <c r="K1592" s="78">
        <v>2</v>
      </c>
      <c r="L1592" s="54">
        <v>1</v>
      </c>
      <c r="M1592" s="54">
        <f>_xlfn.XLOOKUP(Survey!$F1592,sections[Start],sections[Test Section],,-1,1)</f>
        <v>5</v>
      </c>
      <c r="N1592" s="55">
        <f>_xlfn.XLOOKUP(Survey!$K1592,pipedata[ID],pipedata[WT])</f>
        <v>0.74</v>
      </c>
      <c r="O1592" s="56">
        <f>_xlfn.XLOOKUP(Survey!$K1592,pipedata[ID],pipedata[104%])</f>
        <v>2565.3333333333335</v>
      </c>
      <c r="P1592" s="57">
        <f t="shared" si="24"/>
        <v>1850</v>
      </c>
      <c r="Q1592" s="58">
        <f>_xlfn.MAXIFS(Survey!$G$2:$G$3647,Survey!$M$2:$M$3647,Survey!$M1592)-Survey!$G1592</f>
        <v>472.22699042132126</v>
      </c>
      <c r="R1592" s="59">
        <f>Survey!$P1592+(Survey!$Q1592*0.433)</f>
        <v>2054.4742868524322</v>
      </c>
    </row>
    <row r="1593" spans="1:18" x14ac:dyDescent="0.25">
      <c r="A1593" s="60" t="s">
        <v>17</v>
      </c>
      <c r="B1593" s="61" t="s">
        <v>22</v>
      </c>
      <c r="C1593" s="62" t="s">
        <v>19</v>
      </c>
      <c r="D1593" s="63">
        <v>238.81084308018885</v>
      </c>
      <c r="E1593" s="79">
        <v>1290529</v>
      </c>
      <c r="F1593" s="80">
        <v>1261950.2376237586</v>
      </c>
      <c r="G1593" s="66">
        <v>3266.479652565472</v>
      </c>
      <c r="H1593" s="67">
        <v>2</v>
      </c>
      <c r="I1593" s="68" t="s">
        <v>20</v>
      </c>
      <c r="J1593" s="69">
        <v>40</v>
      </c>
      <c r="K1593" s="70">
        <v>2</v>
      </c>
      <c r="L1593" s="68">
        <v>1</v>
      </c>
      <c r="M1593" s="68">
        <f>_xlfn.XLOOKUP(Survey!$F1593,sections[Start],sections[Test Section],,-1,1)</f>
        <v>5</v>
      </c>
      <c r="N1593" s="55">
        <f>_xlfn.XLOOKUP(Survey!$K1593,pipedata[ID],pipedata[WT])</f>
        <v>0.74</v>
      </c>
      <c r="O1593" s="56">
        <f>_xlfn.XLOOKUP(Survey!$K1593,pipedata[ID],pipedata[104%])</f>
        <v>2565.3333333333335</v>
      </c>
      <c r="P1593" s="57">
        <f t="shared" si="24"/>
        <v>1850</v>
      </c>
      <c r="Q1593" s="58">
        <f>_xlfn.MAXIFS(Survey!$G$2:$G$3647,Survey!$M$2:$M$3647,Survey!$M1593)-Survey!$G1593</f>
        <v>468.8971867597993</v>
      </c>
      <c r="R1593" s="59">
        <f>Survey!$P1593+(Survey!$Q1593*0.433)</f>
        <v>2053.0324818669933</v>
      </c>
    </row>
    <row r="1594" spans="1:18" x14ac:dyDescent="0.25">
      <c r="A1594" s="71" t="s">
        <v>17</v>
      </c>
      <c r="B1594" s="72" t="s">
        <v>22</v>
      </c>
      <c r="C1594" s="73" t="s">
        <v>19</v>
      </c>
      <c r="D1594" s="74">
        <v>238.81786339950079</v>
      </c>
      <c r="E1594" s="81">
        <v>1290569</v>
      </c>
      <c r="F1594" s="82">
        <v>1261987.475247521</v>
      </c>
      <c r="G1594" s="75">
        <v>3268.7326854219809</v>
      </c>
      <c r="H1594" s="76">
        <v>2</v>
      </c>
      <c r="I1594" s="54" t="s">
        <v>20</v>
      </c>
      <c r="J1594" s="77">
        <v>40</v>
      </c>
      <c r="K1594" s="78">
        <v>2</v>
      </c>
      <c r="L1594" s="54">
        <v>1</v>
      </c>
      <c r="M1594" s="54">
        <f>_xlfn.XLOOKUP(Survey!$F1594,sections[Start],sections[Test Section],,-1,1)</f>
        <v>5</v>
      </c>
      <c r="N1594" s="55">
        <f>_xlfn.XLOOKUP(Survey!$K1594,pipedata[ID],pipedata[WT])</f>
        <v>0.74</v>
      </c>
      <c r="O1594" s="56">
        <f>_xlfn.XLOOKUP(Survey!$K1594,pipedata[ID],pipedata[104%])</f>
        <v>2565.3333333333335</v>
      </c>
      <c r="P1594" s="57">
        <f t="shared" si="24"/>
        <v>1850</v>
      </c>
      <c r="Q1594" s="58">
        <f>_xlfn.MAXIFS(Survey!$G$2:$G$3647,Survey!$M$2:$M$3647,Survey!$M1594)-Survey!$G1594</f>
        <v>466.64415390329032</v>
      </c>
      <c r="R1594" s="59">
        <f>Survey!$P1594+(Survey!$Q1594*0.433)</f>
        <v>2052.0569186401249</v>
      </c>
    </row>
    <row r="1595" spans="1:18" x14ac:dyDescent="0.25">
      <c r="A1595" s="60" t="s">
        <v>17</v>
      </c>
      <c r="B1595" s="61" t="s">
        <v>22</v>
      </c>
      <c r="C1595" s="62" t="s">
        <v>19</v>
      </c>
      <c r="D1595" s="63">
        <v>238.82488371881274</v>
      </c>
      <c r="E1595" s="79">
        <v>1290609</v>
      </c>
      <c r="F1595" s="80">
        <v>1262024.7128712833</v>
      </c>
      <c r="G1595" s="66">
        <v>3271.1408066072468</v>
      </c>
      <c r="H1595" s="67">
        <v>2</v>
      </c>
      <c r="I1595" s="68" t="s">
        <v>20</v>
      </c>
      <c r="J1595" s="69">
        <v>40</v>
      </c>
      <c r="K1595" s="70">
        <v>2</v>
      </c>
      <c r="L1595" s="68">
        <v>1</v>
      </c>
      <c r="M1595" s="68">
        <f>_xlfn.XLOOKUP(Survey!$F1595,sections[Start],sections[Test Section],,-1,1)</f>
        <v>5</v>
      </c>
      <c r="N1595" s="55">
        <f>_xlfn.XLOOKUP(Survey!$K1595,pipedata[ID],pipedata[WT])</f>
        <v>0.74</v>
      </c>
      <c r="O1595" s="56">
        <f>_xlfn.XLOOKUP(Survey!$K1595,pipedata[ID],pipedata[104%])</f>
        <v>2565.3333333333335</v>
      </c>
      <c r="P1595" s="57">
        <f t="shared" si="24"/>
        <v>1850</v>
      </c>
      <c r="Q1595" s="58">
        <f>_xlfn.MAXIFS(Survey!$G$2:$G$3647,Survey!$M$2:$M$3647,Survey!$M1595)-Survey!$G1595</f>
        <v>464.23603271802449</v>
      </c>
      <c r="R1595" s="59">
        <f>Survey!$P1595+(Survey!$Q1595*0.433)</f>
        <v>2051.0142021669044</v>
      </c>
    </row>
    <row r="1596" spans="1:18" x14ac:dyDescent="0.25">
      <c r="A1596" s="71" t="s">
        <v>17</v>
      </c>
      <c r="B1596" s="72" t="s">
        <v>22</v>
      </c>
      <c r="C1596" s="73" t="s">
        <v>19</v>
      </c>
      <c r="D1596" s="74">
        <v>238.83320228878159</v>
      </c>
      <c r="E1596" s="81">
        <v>1290649</v>
      </c>
      <c r="F1596" s="82">
        <v>1262061.9504950456</v>
      </c>
      <c r="G1596" s="75">
        <v>3270.8821215159578</v>
      </c>
      <c r="H1596" s="76">
        <v>2</v>
      </c>
      <c r="I1596" s="54" t="s">
        <v>20</v>
      </c>
      <c r="J1596" s="77">
        <v>40</v>
      </c>
      <c r="K1596" s="78">
        <v>2</v>
      </c>
      <c r="L1596" s="54">
        <v>1</v>
      </c>
      <c r="M1596" s="54">
        <f>_xlfn.XLOOKUP(Survey!$F1596,sections[Start],sections[Test Section],,-1,1)</f>
        <v>5</v>
      </c>
      <c r="N1596" s="55">
        <f>_xlfn.XLOOKUP(Survey!$K1596,pipedata[ID],pipedata[WT])</f>
        <v>0.74</v>
      </c>
      <c r="O1596" s="56">
        <f>_xlfn.XLOOKUP(Survey!$K1596,pipedata[ID],pipedata[104%])</f>
        <v>2565.3333333333335</v>
      </c>
      <c r="P1596" s="57">
        <f t="shared" si="24"/>
        <v>1850</v>
      </c>
      <c r="Q1596" s="58">
        <f>_xlfn.MAXIFS(Survey!$G$2:$G$3647,Survey!$M$2:$M$3647,Survey!$M1596)-Survey!$G1596</f>
        <v>464.49471780931344</v>
      </c>
      <c r="R1596" s="59">
        <f>Survey!$P1596+(Survey!$Q1596*0.433)</f>
        <v>2051.1262128114327</v>
      </c>
    </row>
    <row r="1597" spans="1:18" x14ac:dyDescent="0.25">
      <c r="A1597" s="60" t="s">
        <v>17</v>
      </c>
      <c r="B1597" s="61" t="s">
        <v>22</v>
      </c>
      <c r="C1597" s="62" t="s">
        <v>19</v>
      </c>
      <c r="D1597" s="63">
        <v>238.83995071149974</v>
      </c>
      <c r="E1597" s="79">
        <v>1290689</v>
      </c>
      <c r="F1597" s="80">
        <v>1262099.188118808</v>
      </c>
      <c r="G1597" s="66">
        <v>3269.5564576907432</v>
      </c>
      <c r="H1597" s="67">
        <v>2</v>
      </c>
      <c r="I1597" s="68" t="s">
        <v>20</v>
      </c>
      <c r="J1597" s="69">
        <v>40</v>
      </c>
      <c r="K1597" s="70">
        <v>2</v>
      </c>
      <c r="L1597" s="68">
        <v>1</v>
      </c>
      <c r="M1597" s="68">
        <f>_xlfn.XLOOKUP(Survey!$F1597,sections[Start],sections[Test Section],,-1,1)</f>
        <v>5</v>
      </c>
      <c r="N1597" s="55">
        <f>_xlfn.XLOOKUP(Survey!$K1597,pipedata[ID],pipedata[WT])</f>
        <v>0.74</v>
      </c>
      <c r="O1597" s="56">
        <f>_xlfn.XLOOKUP(Survey!$K1597,pipedata[ID],pipedata[104%])</f>
        <v>2565.3333333333335</v>
      </c>
      <c r="P1597" s="57">
        <f t="shared" si="24"/>
        <v>1850</v>
      </c>
      <c r="Q1597" s="58">
        <f>_xlfn.MAXIFS(Survey!$G$2:$G$3647,Survey!$M$2:$M$3647,Survey!$M1597)-Survey!$G1597</f>
        <v>465.82038163452808</v>
      </c>
      <c r="R1597" s="59">
        <f>Survey!$P1597+(Survey!$Q1597*0.433)</f>
        <v>2051.7002252477505</v>
      </c>
    </row>
    <row r="1598" spans="1:18" x14ac:dyDescent="0.25">
      <c r="A1598" s="71" t="s">
        <v>17</v>
      </c>
      <c r="B1598" s="72" t="s">
        <v>22</v>
      </c>
      <c r="C1598" s="73" t="s">
        <v>19</v>
      </c>
      <c r="D1598" s="74">
        <v>238.84894860845728</v>
      </c>
      <c r="E1598" s="81">
        <v>1290729</v>
      </c>
      <c r="F1598" s="82">
        <v>1262136.4257425703</v>
      </c>
      <c r="G1598" s="75">
        <v>3268.3897461493998</v>
      </c>
      <c r="H1598" s="76">
        <v>2</v>
      </c>
      <c r="I1598" s="54" t="s">
        <v>20</v>
      </c>
      <c r="J1598" s="77">
        <v>40</v>
      </c>
      <c r="K1598" s="78">
        <v>2</v>
      </c>
      <c r="L1598" s="54">
        <v>1</v>
      </c>
      <c r="M1598" s="54">
        <f>_xlfn.XLOOKUP(Survey!$F1598,sections[Start],sections[Test Section],,-1,1)</f>
        <v>5</v>
      </c>
      <c r="N1598" s="55">
        <f>_xlfn.XLOOKUP(Survey!$K1598,pipedata[ID],pipedata[WT])</f>
        <v>0.74</v>
      </c>
      <c r="O1598" s="56">
        <f>_xlfn.XLOOKUP(Survey!$K1598,pipedata[ID],pipedata[104%])</f>
        <v>2565.3333333333335</v>
      </c>
      <c r="P1598" s="57">
        <f t="shared" si="24"/>
        <v>1850</v>
      </c>
      <c r="Q1598" s="58">
        <f>_xlfn.MAXIFS(Survey!$G$2:$G$3647,Survey!$M$2:$M$3647,Survey!$M1598)-Survey!$G1598</f>
        <v>466.98709317587145</v>
      </c>
      <c r="R1598" s="59">
        <f>Survey!$P1598+(Survey!$Q1598*0.433)</f>
        <v>2052.2054113451522</v>
      </c>
    </row>
    <row r="1599" spans="1:18" x14ac:dyDescent="0.25">
      <c r="A1599" s="60" t="s">
        <v>17</v>
      </c>
      <c r="B1599" s="61" t="s">
        <v>22</v>
      </c>
      <c r="C1599" s="62" t="s">
        <v>19</v>
      </c>
      <c r="D1599" s="63">
        <v>238.85647515571509</v>
      </c>
      <c r="E1599" s="79">
        <v>1290769</v>
      </c>
      <c r="F1599" s="80">
        <v>1262173.6633663327</v>
      </c>
      <c r="G1599" s="66">
        <v>3267.0603150480806</v>
      </c>
      <c r="H1599" s="67">
        <v>2</v>
      </c>
      <c r="I1599" s="68" t="s">
        <v>20</v>
      </c>
      <c r="J1599" s="69">
        <v>40</v>
      </c>
      <c r="K1599" s="70">
        <v>2</v>
      </c>
      <c r="L1599" s="68">
        <v>1</v>
      </c>
      <c r="M1599" s="68">
        <f>_xlfn.XLOOKUP(Survey!$F1599,sections[Start],sections[Test Section],,-1,1)</f>
        <v>5</v>
      </c>
      <c r="N1599" s="55">
        <f>_xlfn.XLOOKUP(Survey!$K1599,pipedata[ID],pipedata[WT])</f>
        <v>0.74</v>
      </c>
      <c r="O1599" s="56">
        <f>_xlfn.XLOOKUP(Survey!$K1599,pipedata[ID],pipedata[104%])</f>
        <v>2565.3333333333335</v>
      </c>
      <c r="P1599" s="57">
        <f t="shared" si="24"/>
        <v>1850</v>
      </c>
      <c r="Q1599" s="58">
        <f>_xlfn.MAXIFS(Survey!$G$2:$G$3647,Survey!$M$2:$M$3647,Survey!$M1599)-Survey!$G1599</f>
        <v>468.31652427719064</v>
      </c>
      <c r="R1599" s="59">
        <f>Survey!$P1599+(Survey!$Q1599*0.433)</f>
        <v>2052.7810550120234</v>
      </c>
    </row>
    <row r="1600" spans="1:18" x14ac:dyDescent="0.25">
      <c r="A1600" s="71" t="s">
        <v>17</v>
      </c>
      <c r="B1600" s="72" t="s">
        <v>22</v>
      </c>
      <c r="C1600" s="73" t="s">
        <v>19</v>
      </c>
      <c r="D1600" s="74">
        <v>238.86292053968208</v>
      </c>
      <c r="E1600" s="81">
        <v>1290809</v>
      </c>
      <c r="F1600" s="82">
        <v>1262210.900990095</v>
      </c>
      <c r="G1600" s="75">
        <v>3265.7720533813163</v>
      </c>
      <c r="H1600" s="76">
        <v>2</v>
      </c>
      <c r="I1600" s="54" t="s">
        <v>20</v>
      </c>
      <c r="J1600" s="77">
        <v>40</v>
      </c>
      <c r="K1600" s="78">
        <v>2</v>
      </c>
      <c r="L1600" s="54">
        <v>1</v>
      </c>
      <c r="M1600" s="54">
        <f>_xlfn.XLOOKUP(Survey!$F1600,sections[Start],sections[Test Section],,-1,1)</f>
        <v>5</v>
      </c>
      <c r="N1600" s="55">
        <f>_xlfn.XLOOKUP(Survey!$K1600,pipedata[ID],pipedata[WT])</f>
        <v>0.74</v>
      </c>
      <c r="O1600" s="56">
        <f>_xlfn.XLOOKUP(Survey!$K1600,pipedata[ID],pipedata[104%])</f>
        <v>2565.3333333333335</v>
      </c>
      <c r="P1600" s="57">
        <f t="shared" si="24"/>
        <v>1850</v>
      </c>
      <c r="Q1600" s="58">
        <f>_xlfn.MAXIFS(Survey!$G$2:$G$3647,Survey!$M$2:$M$3647,Survey!$M1600)-Survey!$G1600</f>
        <v>469.60478594395499</v>
      </c>
      <c r="R1600" s="59">
        <f>Survey!$P1600+(Survey!$Q1600*0.433)</f>
        <v>2053.3388723137323</v>
      </c>
    </row>
    <row r="1601" spans="1:18" x14ac:dyDescent="0.25">
      <c r="A1601" s="60" t="s">
        <v>17</v>
      </c>
      <c r="B1601" s="61" t="s">
        <v>22</v>
      </c>
      <c r="C1601" s="62" t="s">
        <v>19</v>
      </c>
      <c r="D1601" s="63">
        <v>238.87101838236245</v>
      </c>
      <c r="E1601" s="79">
        <v>1290849</v>
      </c>
      <c r="F1601" s="80">
        <v>1262248.1386138573</v>
      </c>
      <c r="G1601" s="66">
        <v>3263.0854390964564</v>
      </c>
      <c r="H1601" s="67">
        <v>2</v>
      </c>
      <c r="I1601" s="68" t="s">
        <v>20</v>
      </c>
      <c r="J1601" s="69">
        <v>40</v>
      </c>
      <c r="K1601" s="70">
        <v>2</v>
      </c>
      <c r="L1601" s="68">
        <v>1</v>
      </c>
      <c r="M1601" s="68">
        <f>_xlfn.XLOOKUP(Survey!$F1601,sections[Start],sections[Test Section],,-1,1)</f>
        <v>5</v>
      </c>
      <c r="N1601" s="55">
        <f>_xlfn.XLOOKUP(Survey!$K1601,pipedata[ID],pipedata[WT])</f>
        <v>0.74</v>
      </c>
      <c r="O1601" s="56">
        <f>_xlfn.XLOOKUP(Survey!$K1601,pipedata[ID],pipedata[104%])</f>
        <v>2565.3333333333335</v>
      </c>
      <c r="P1601" s="57">
        <f t="shared" si="24"/>
        <v>1850</v>
      </c>
      <c r="Q1601" s="58">
        <f>_xlfn.MAXIFS(Survey!$G$2:$G$3647,Survey!$M$2:$M$3647,Survey!$M1601)-Survey!$G1601</f>
        <v>472.29140022881484</v>
      </c>
      <c r="R1601" s="59">
        <f>Survey!$P1601+(Survey!$Q1601*0.433)</f>
        <v>2054.5021762990768</v>
      </c>
    </row>
    <row r="1602" spans="1:18" x14ac:dyDescent="0.25">
      <c r="A1602" s="71" t="s">
        <v>17</v>
      </c>
      <c r="B1602" s="72" t="s">
        <v>22</v>
      </c>
      <c r="C1602" s="73" t="s">
        <v>19</v>
      </c>
      <c r="D1602" s="74">
        <v>238.87911622504299</v>
      </c>
      <c r="E1602" s="81">
        <v>1290889</v>
      </c>
      <c r="F1602" s="82">
        <v>1262285.3762376197</v>
      </c>
      <c r="G1602" s="75">
        <v>3261.5485702840087</v>
      </c>
      <c r="H1602" s="76">
        <v>2</v>
      </c>
      <c r="I1602" s="54" t="s">
        <v>20</v>
      </c>
      <c r="J1602" s="77">
        <v>40</v>
      </c>
      <c r="K1602" s="78">
        <v>2</v>
      </c>
      <c r="L1602" s="54">
        <v>1</v>
      </c>
      <c r="M1602" s="54">
        <f>_xlfn.XLOOKUP(Survey!$F1602,sections[Start],sections[Test Section],,-1,1)</f>
        <v>5</v>
      </c>
      <c r="N1602" s="55">
        <f>_xlfn.XLOOKUP(Survey!$K1602,pipedata[ID],pipedata[WT])</f>
        <v>0.74</v>
      </c>
      <c r="O1602" s="56">
        <f>_xlfn.XLOOKUP(Survey!$K1602,pipedata[ID],pipedata[104%])</f>
        <v>2565.3333333333335</v>
      </c>
      <c r="P1602" s="57">
        <f t="shared" ref="P1602:P1665" si="25">IF(L1602=1,1850,IF(L1602=2,1850,2220))</f>
        <v>1850</v>
      </c>
      <c r="Q1602" s="58">
        <f>_xlfn.MAXIFS(Survey!$G$2:$G$3647,Survey!$M$2:$M$3647,Survey!$M1602)-Survey!$G1602</f>
        <v>473.8282690412625</v>
      </c>
      <c r="R1602" s="59">
        <f>Survey!$P1602+(Survey!$Q1602*0.433)</f>
        <v>2055.1676404948666</v>
      </c>
    </row>
    <row r="1603" spans="1:18" x14ac:dyDescent="0.25">
      <c r="A1603" s="60" t="s">
        <v>17</v>
      </c>
      <c r="B1603" s="61" t="s">
        <v>22</v>
      </c>
      <c r="C1603" s="62" t="s">
        <v>19</v>
      </c>
      <c r="D1603" s="63">
        <v>238.88658640858779</v>
      </c>
      <c r="E1603" s="79">
        <v>1290929</v>
      </c>
      <c r="F1603" s="80">
        <v>1262322.613861382</v>
      </c>
      <c r="G1603" s="66">
        <v>3260.0503138356471</v>
      </c>
      <c r="H1603" s="67">
        <v>2</v>
      </c>
      <c r="I1603" s="68" t="s">
        <v>20</v>
      </c>
      <c r="J1603" s="69">
        <v>40</v>
      </c>
      <c r="K1603" s="70">
        <v>2</v>
      </c>
      <c r="L1603" s="68">
        <v>1</v>
      </c>
      <c r="M1603" s="68">
        <f>_xlfn.XLOOKUP(Survey!$F1603,sections[Start],sections[Test Section],,-1,1)</f>
        <v>5</v>
      </c>
      <c r="N1603" s="55">
        <f>_xlfn.XLOOKUP(Survey!$K1603,pipedata[ID],pipedata[WT])</f>
        <v>0.74</v>
      </c>
      <c r="O1603" s="56">
        <f>_xlfn.XLOOKUP(Survey!$K1603,pipedata[ID],pipedata[104%])</f>
        <v>2565.3333333333335</v>
      </c>
      <c r="P1603" s="57">
        <f t="shared" si="25"/>
        <v>1850</v>
      </c>
      <c r="Q1603" s="58">
        <f>_xlfn.MAXIFS(Survey!$G$2:$G$3647,Survey!$M$2:$M$3647,Survey!$M1603)-Survey!$G1603</f>
        <v>475.32652548962415</v>
      </c>
      <c r="R1603" s="59">
        <f>Survey!$P1603+(Survey!$Q1603*0.433)</f>
        <v>2055.8163855370071</v>
      </c>
    </row>
    <row r="1604" spans="1:18" x14ac:dyDescent="0.25">
      <c r="A1604" s="71" t="s">
        <v>17</v>
      </c>
      <c r="B1604" s="72" t="s">
        <v>22</v>
      </c>
      <c r="C1604" s="73" t="s">
        <v>19</v>
      </c>
      <c r="D1604" s="74">
        <v>238.89261262951044</v>
      </c>
      <c r="E1604" s="81">
        <v>1290969</v>
      </c>
      <c r="F1604" s="82">
        <v>1262359.8514851443</v>
      </c>
      <c r="G1604" s="75">
        <v>3259.5873176466098</v>
      </c>
      <c r="H1604" s="76">
        <v>2</v>
      </c>
      <c r="I1604" s="54" t="s">
        <v>20</v>
      </c>
      <c r="J1604" s="77">
        <v>40</v>
      </c>
      <c r="K1604" s="78">
        <v>2</v>
      </c>
      <c r="L1604" s="54">
        <v>1</v>
      </c>
      <c r="M1604" s="54">
        <f>_xlfn.XLOOKUP(Survey!$F1604,sections[Start],sections[Test Section],,-1,1)</f>
        <v>5</v>
      </c>
      <c r="N1604" s="55">
        <f>_xlfn.XLOOKUP(Survey!$K1604,pipedata[ID],pipedata[WT])</f>
        <v>0.74</v>
      </c>
      <c r="O1604" s="56">
        <f>_xlfn.XLOOKUP(Survey!$K1604,pipedata[ID],pipedata[104%])</f>
        <v>2565.3333333333335</v>
      </c>
      <c r="P1604" s="57">
        <f t="shared" si="25"/>
        <v>1850</v>
      </c>
      <c r="Q1604" s="58">
        <f>_xlfn.MAXIFS(Survey!$G$2:$G$3647,Survey!$M$2:$M$3647,Survey!$M1604)-Survey!$G1604</f>
        <v>475.78952167866146</v>
      </c>
      <c r="R1604" s="59">
        <f>Survey!$P1604+(Survey!$Q1604*0.433)</f>
        <v>2056.0168628868605</v>
      </c>
    </row>
    <row r="1605" spans="1:18" x14ac:dyDescent="0.25">
      <c r="A1605" s="60" t="s">
        <v>17</v>
      </c>
      <c r="B1605" s="61" t="s">
        <v>22</v>
      </c>
      <c r="C1605" s="62" t="s">
        <v>19</v>
      </c>
      <c r="D1605" s="63">
        <v>238.90071047219089</v>
      </c>
      <c r="E1605" s="79">
        <v>1291009</v>
      </c>
      <c r="F1605" s="80">
        <v>1262397.0891089067</v>
      </c>
      <c r="G1605" s="66">
        <v>3260.555127891369</v>
      </c>
      <c r="H1605" s="67">
        <v>2</v>
      </c>
      <c r="I1605" s="68" t="s">
        <v>20</v>
      </c>
      <c r="J1605" s="69">
        <v>40</v>
      </c>
      <c r="K1605" s="70">
        <v>2</v>
      </c>
      <c r="L1605" s="68">
        <v>1</v>
      </c>
      <c r="M1605" s="68">
        <f>_xlfn.XLOOKUP(Survey!$F1605,sections[Start],sections[Test Section],,-1,1)</f>
        <v>5</v>
      </c>
      <c r="N1605" s="55">
        <f>_xlfn.XLOOKUP(Survey!$K1605,pipedata[ID],pipedata[WT])</f>
        <v>0.74</v>
      </c>
      <c r="O1605" s="56">
        <f>_xlfn.XLOOKUP(Survey!$K1605,pipedata[ID],pipedata[104%])</f>
        <v>2565.3333333333335</v>
      </c>
      <c r="P1605" s="57">
        <f t="shared" si="25"/>
        <v>1850</v>
      </c>
      <c r="Q1605" s="58">
        <f>_xlfn.MAXIFS(Survey!$G$2:$G$3647,Survey!$M$2:$M$3647,Survey!$M1605)-Survey!$G1605</f>
        <v>474.82171143390224</v>
      </c>
      <c r="R1605" s="59">
        <f>Survey!$P1605+(Survey!$Q1605*0.433)</f>
        <v>2055.5978010508798</v>
      </c>
    </row>
    <row r="1606" spans="1:18" x14ac:dyDescent="0.25">
      <c r="A1606" s="71" t="s">
        <v>17</v>
      </c>
      <c r="B1606" s="72" t="s">
        <v>22</v>
      </c>
      <c r="C1606" s="73" t="s">
        <v>19</v>
      </c>
      <c r="D1606" s="74">
        <v>238.90880831487135</v>
      </c>
      <c r="E1606" s="81">
        <v>1291049</v>
      </c>
      <c r="F1606" s="82">
        <v>1262434.326732669</v>
      </c>
      <c r="G1606" s="75">
        <v>3259.1249310080984</v>
      </c>
      <c r="H1606" s="76">
        <v>2</v>
      </c>
      <c r="I1606" s="54" t="s">
        <v>20</v>
      </c>
      <c r="J1606" s="77">
        <v>40</v>
      </c>
      <c r="K1606" s="78">
        <v>2</v>
      </c>
      <c r="L1606" s="54">
        <v>1</v>
      </c>
      <c r="M1606" s="54">
        <f>_xlfn.XLOOKUP(Survey!$F1606,sections[Start],sections[Test Section],,-1,1)</f>
        <v>5</v>
      </c>
      <c r="N1606" s="55">
        <f>_xlfn.XLOOKUP(Survey!$K1606,pipedata[ID],pipedata[WT])</f>
        <v>0.74</v>
      </c>
      <c r="O1606" s="56">
        <f>_xlfn.XLOOKUP(Survey!$K1606,pipedata[ID],pipedata[104%])</f>
        <v>2565.3333333333335</v>
      </c>
      <c r="P1606" s="57">
        <f t="shared" si="25"/>
        <v>1850</v>
      </c>
      <c r="Q1606" s="58">
        <f>_xlfn.MAXIFS(Survey!$G$2:$G$3647,Survey!$M$2:$M$3647,Survey!$M1606)-Survey!$G1606</f>
        <v>476.25190831717282</v>
      </c>
      <c r="R1606" s="59">
        <f>Survey!$P1606+(Survey!$Q1606*0.433)</f>
        <v>2056.217076301336</v>
      </c>
    </row>
    <row r="1607" spans="1:18" x14ac:dyDescent="0.25">
      <c r="A1607" s="60" t="s">
        <v>17</v>
      </c>
      <c r="B1607" s="61" t="s">
        <v>22</v>
      </c>
      <c r="C1607" s="62" t="s">
        <v>19</v>
      </c>
      <c r="D1607" s="63">
        <v>238.91690615755181</v>
      </c>
      <c r="E1607" s="79">
        <v>1291089</v>
      </c>
      <c r="F1607" s="80">
        <v>1262471.5643564314</v>
      </c>
      <c r="G1607" s="66">
        <v>3258.2365658995318</v>
      </c>
      <c r="H1607" s="67">
        <v>2</v>
      </c>
      <c r="I1607" s="68" t="s">
        <v>20</v>
      </c>
      <c r="J1607" s="69">
        <v>40</v>
      </c>
      <c r="K1607" s="70">
        <v>2</v>
      </c>
      <c r="L1607" s="68">
        <v>1</v>
      </c>
      <c r="M1607" s="68">
        <f>_xlfn.XLOOKUP(Survey!$F1607,sections[Start],sections[Test Section],,-1,1)</f>
        <v>5</v>
      </c>
      <c r="N1607" s="55">
        <f>_xlfn.XLOOKUP(Survey!$K1607,pipedata[ID],pipedata[WT])</f>
        <v>0.74</v>
      </c>
      <c r="O1607" s="56">
        <f>_xlfn.XLOOKUP(Survey!$K1607,pipedata[ID],pipedata[104%])</f>
        <v>2565.3333333333335</v>
      </c>
      <c r="P1607" s="57">
        <f t="shared" si="25"/>
        <v>1850</v>
      </c>
      <c r="Q1607" s="58">
        <f>_xlfn.MAXIFS(Survey!$G$2:$G$3647,Survey!$M$2:$M$3647,Survey!$M1607)-Survey!$G1607</f>
        <v>477.14027342573945</v>
      </c>
      <c r="R1607" s="59">
        <f>Survey!$P1607+(Survey!$Q1607*0.433)</f>
        <v>2056.6017383933454</v>
      </c>
    </row>
    <row r="1608" spans="1:18" x14ac:dyDescent="0.25">
      <c r="A1608" s="71" t="s">
        <v>17</v>
      </c>
      <c r="B1608" s="72" t="s">
        <v>22</v>
      </c>
      <c r="C1608" s="73" t="s">
        <v>19</v>
      </c>
      <c r="D1608" s="74">
        <v>238.92379930868765</v>
      </c>
      <c r="E1608" s="81">
        <v>1291129</v>
      </c>
      <c r="F1608" s="82">
        <v>1262508.8019801937</v>
      </c>
      <c r="G1608" s="75">
        <v>3258.113057601629</v>
      </c>
      <c r="H1608" s="76">
        <v>2</v>
      </c>
      <c r="I1608" s="54" t="s">
        <v>20</v>
      </c>
      <c r="J1608" s="77">
        <v>40</v>
      </c>
      <c r="K1608" s="78">
        <v>2</v>
      </c>
      <c r="L1608" s="54">
        <v>1</v>
      </c>
      <c r="M1608" s="54">
        <f>_xlfn.XLOOKUP(Survey!$F1608,sections[Start],sections[Test Section],,-1,1)</f>
        <v>5</v>
      </c>
      <c r="N1608" s="55">
        <f>_xlfn.XLOOKUP(Survey!$K1608,pipedata[ID],pipedata[WT])</f>
        <v>0.74</v>
      </c>
      <c r="O1608" s="56">
        <f>_xlfn.XLOOKUP(Survey!$K1608,pipedata[ID],pipedata[104%])</f>
        <v>2565.3333333333335</v>
      </c>
      <c r="P1608" s="57">
        <f t="shared" si="25"/>
        <v>1850</v>
      </c>
      <c r="Q1608" s="58">
        <f>_xlfn.MAXIFS(Survey!$G$2:$G$3647,Survey!$M$2:$M$3647,Survey!$M1608)-Survey!$G1608</f>
        <v>477.2637817236423</v>
      </c>
      <c r="R1608" s="59">
        <f>Survey!$P1608+(Survey!$Q1608*0.433)</f>
        <v>2056.6552174863373</v>
      </c>
    </row>
    <row r="1609" spans="1:18" x14ac:dyDescent="0.25">
      <c r="A1609" s="60" t="s">
        <v>17</v>
      </c>
      <c r="B1609" s="61" t="s">
        <v>22</v>
      </c>
      <c r="C1609" s="62" t="s">
        <v>19</v>
      </c>
      <c r="D1609" s="63">
        <v>238.93177350156625</v>
      </c>
      <c r="E1609" s="79">
        <v>1291169</v>
      </c>
      <c r="F1609" s="80">
        <v>1262546.039603956</v>
      </c>
      <c r="G1609" s="66">
        <v>3261.9764490246266</v>
      </c>
      <c r="H1609" s="67">
        <v>2</v>
      </c>
      <c r="I1609" s="68" t="s">
        <v>20</v>
      </c>
      <c r="J1609" s="69">
        <v>40</v>
      </c>
      <c r="K1609" s="70">
        <v>2</v>
      </c>
      <c r="L1609" s="68">
        <v>1</v>
      </c>
      <c r="M1609" s="68">
        <f>_xlfn.XLOOKUP(Survey!$F1609,sections[Start],sections[Test Section],,-1,1)</f>
        <v>5</v>
      </c>
      <c r="N1609" s="55">
        <f>_xlfn.XLOOKUP(Survey!$K1609,pipedata[ID],pipedata[WT])</f>
        <v>0.74</v>
      </c>
      <c r="O1609" s="56">
        <f>_xlfn.XLOOKUP(Survey!$K1609,pipedata[ID],pipedata[104%])</f>
        <v>2565.3333333333335</v>
      </c>
      <c r="P1609" s="57">
        <f t="shared" si="25"/>
        <v>1850</v>
      </c>
      <c r="Q1609" s="58">
        <f>_xlfn.MAXIFS(Survey!$G$2:$G$3647,Survey!$M$2:$M$3647,Survey!$M1609)-Survey!$G1609</f>
        <v>473.40039030064463</v>
      </c>
      <c r="R1609" s="59">
        <f>Survey!$P1609+(Survey!$Q1609*0.433)</f>
        <v>2054.982369000179</v>
      </c>
    </row>
    <row r="1610" spans="1:18" x14ac:dyDescent="0.25">
      <c r="A1610" s="71" t="s">
        <v>17</v>
      </c>
      <c r="B1610" s="72" t="s">
        <v>22</v>
      </c>
      <c r="C1610" s="73" t="s">
        <v>19</v>
      </c>
      <c r="D1610" s="74">
        <v>238.93850040469965</v>
      </c>
      <c r="E1610" s="81">
        <v>1291209</v>
      </c>
      <c r="F1610" s="82">
        <v>1262583.2772277184</v>
      </c>
      <c r="G1610" s="75">
        <v>3266.3549404023274</v>
      </c>
      <c r="H1610" s="76">
        <v>2</v>
      </c>
      <c r="I1610" s="54" t="s">
        <v>20</v>
      </c>
      <c r="J1610" s="77">
        <v>40</v>
      </c>
      <c r="K1610" s="78">
        <v>2</v>
      </c>
      <c r="L1610" s="54">
        <v>1</v>
      </c>
      <c r="M1610" s="54">
        <f>_xlfn.XLOOKUP(Survey!$F1610,sections[Start],sections[Test Section],,-1,1)</f>
        <v>5</v>
      </c>
      <c r="N1610" s="55">
        <f>_xlfn.XLOOKUP(Survey!$K1610,pipedata[ID],pipedata[WT])</f>
        <v>0.74</v>
      </c>
      <c r="O1610" s="56">
        <f>_xlfn.XLOOKUP(Survey!$K1610,pipedata[ID],pipedata[104%])</f>
        <v>2565.3333333333335</v>
      </c>
      <c r="P1610" s="57">
        <f t="shared" si="25"/>
        <v>1850</v>
      </c>
      <c r="Q1610" s="58">
        <f>_xlfn.MAXIFS(Survey!$G$2:$G$3647,Survey!$M$2:$M$3647,Survey!$M1610)-Survey!$G1610</f>
        <v>469.02189892294382</v>
      </c>
      <c r="R1610" s="59">
        <f>Survey!$P1610+(Survey!$Q1610*0.433)</f>
        <v>2053.0864822336348</v>
      </c>
    </row>
    <row r="1611" spans="1:18" x14ac:dyDescent="0.25">
      <c r="A1611" s="60" t="s">
        <v>17</v>
      </c>
      <c r="B1611" s="61" t="s">
        <v>22</v>
      </c>
      <c r="C1611" s="62" t="s">
        <v>19</v>
      </c>
      <c r="D1611" s="63">
        <v>238.94659824738017</v>
      </c>
      <c r="E1611" s="79">
        <v>1291249</v>
      </c>
      <c r="F1611" s="80">
        <v>1262620.5148514807</v>
      </c>
      <c r="G1611" s="66">
        <v>3270.7056547226071</v>
      </c>
      <c r="H1611" s="67">
        <v>2</v>
      </c>
      <c r="I1611" s="68" t="s">
        <v>20</v>
      </c>
      <c r="J1611" s="69">
        <v>40</v>
      </c>
      <c r="K1611" s="70">
        <v>2</v>
      </c>
      <c r="L1611" s="68">
        <v>1</v>
      </c>
      <c r="M1611" s="68">
        <f>_xlfn.XLOOKUP(Survey!$F1611,sections[Start],sections[Test Section],,-1,1)</f>
        <v>5</v>
      </c>
      <c r="N1611" s="55">
        <f>_xlfn.XLOOKUP(Survey!$K1611,pipedata[ID],pipedata[WT])</f>
        <v>0.74</v>
      </c>
      <c r="O1611" s="56">
        <f>_xlfn.XLOOKUP(Survey!$K1611,pipedata[ID],pipedata[104%])</f>
        <v>2565.3333333333335</v>
      </c>
      <c r="P1611" s="57">
        <f t="shared" si="25"/>
        <v>1850</v>
      </c>
      <c r="Q1611" s="58">
        <f>_xlfn.MAXIFS(Survey!$G$2:$G$3647,Survey!$M$2:$M$3647,Survey!$M1611)-Survey!$G1611</f>
        <v>464.6711846026642</v>
      </c>
      <c r="R1611" s="59">
        <f>Survey!$P1611+(Survey!$Q1611*0.433)</f>
        <v>2051.2026229329535</v>
      </c>
    </row>
    <row r="1612" spans="1:18" x14ac:dyDescent="0.25">
      <c r="A1612" s="71" t="s">
        <v>17</v>
      </c>
      <c r="B1612" s="72" t="s">
        <v>22</v>
      </c>
      <c r="C1612" s="73" t="s">
        <v>19</v>
      </c>
      <c r="D1612" s="74">
        <v>238.95303801590913</v>
      </c>
      <c r="E1612" s="81">
        <v>1291289</v>
      </c>
      <c r="F1612" s="82">
        <v>1262657.7524752431</v>
      </c>
      <c r="G1612" s="75">
        <v>3275.9643390451074</v>
      </c>
      <c r="H1612" s="76">
        <v>2</v>
      </c>
      <c r="I1612" s="54" t="s">
        <v>20</v>
      </c>
      <c r="J1612" s="77">
        <v>40</v>
      </c>
      <c r="K1612" s="78">
        <v>2</v>
      </c>
      <c r="L1612" s="54">
        <v>1</v>
      </c>
      <c r="M1612" s="54">
        <f>_xlfn.XLOOKUP(Survey!$F1612,sections[Start],sections[Test Section],,-1,1)</f>
        <v>5</v>
      </c>
      <c r="N1612" s="55">
        <f>_xlfn.XLOOKUP(Survey!$K1612,pipedata[ID],pipedata[WT])</f>
        <v>0.74</v>
      </c>
      <c r="O1612" s="56">
        <f>_xlfn.XLOOKUP(Survey!$K1612,pipedata[ID],pipedata[104%])</f>
        <v>2565.3333333333335</v>
      </c>
      <c r="P1612" s="57">
        <f t="shared" si="25"/>
        <v>1850</v>
      </c>
      <c r="Q1612" s="58">
        <f>_xlfn.MAXIFS(Survey!$G$2:$G$3647,Survey!$M$2:$M$3647,Survey!$M1612)-Survey!$G1612</f>
        <v>459.41250028016384</v>
      </c>
      <c r="R1612" s="59">
        <f>Survey!$P1612+(Survey!$Q1612*0.433)</f>
        <v>2048.9256126213108</v>
      </c>
    </row>
    <row r="1613" spans="1:18" x14ac:dyDescent="0.25">
      <c r="A1613" s="60" t="s">
        <v>17</v>
      </c>
      <c r="B1613" s="61" t="s">
        <v>22</v>
      </c>
      <c r="C1613" s="62" t="s">
        <v>19</v>
      </c>
      <c r="D1613" s="63">
        <v>238.96101220878774</v>
      </c>
      <c r="E1613" s="79">
        <v>1291329</v>
      </c>
      <c r="F1613" s="80">
        <v>1262694.9900990054</v>
      </c>
      <c r="G1613" s="66">
        <v>3283.6102601508815</v>
      </c>
      <c r="H1613" s="67">
        <v>2</v>
      </c>
      <c r="I1613" s="68" t="s">
        <v>20</v>
      </c>
      <c r="J1613" s="69">
        <v>40</v>
      </c>
      <c r="K1613" s="70">
        <v>2</v>
      </c>
      <c r="L1613" s="68">
        <v>1</v>
      </c>
      <c r="M1613" s="68">
        <f>_xlfn.XLOOKUP(Survey!$F1613,sections[Start],sections[Test Section],,-1,1)</f>
        <v>5</v>
      </c>
      <c r="N1613" s="55">
        <f>_xlfn.XLOOKUP(Survey!$K1613,pipedata[ID],pipedata[WT])</f>
        <v>0.74</v>
      </c>
      <c r="O1613" s="56">
        <f>_xlfn.XLOOKUP(Survey!$K1613,pipedata[ID],pipedata[104%])</f>
        <v>2565.3333333333335</v>
      </c>
      <c r="P1613" s="57">
        <f t="shared" si="25"/>
        <v>1850</v>
      </c>
      <c r="Q1613" s="58">
        <f>_xlfn.MAXIFS(Survey!$G$2:$G$3647,Survey!$M$2:$M$3647,Survey!$M1613)-Survey!$G1613</f>
        <v>451.76657917438979</v>
      </c>
      <c r="R1613" s="59">
        <f>Survey!$P1613+(Survey!$Q1613*0.433)</f>
        <v>2045.6149287825108</v>
      </c>
    </row>
    <row r="1614" spans="1:18" x14ac:dyDescent="0.25">
      <c r="A1614" s="71" t="s">
        <v>17</v>
      </c>
      <c r="B1614" s="72" t="s">
        <v>22</v>
      </c>
      <c r="C1614" s="73" t="s">
        <v>19</v>
      </c>
      <c r="D1614" s="74">
        <v>238.9689864016662</v>
      </c>
      <c r="E1614" s="81">
        <v>1291369</v>
      </c>
      <c r="F1614" s="82">
        <v>1262732.2277227677</v>
      </c>
      <c r="G1614" s="75">
        <v>3294.2362614795084</v>
      </c>
      <c r="H1614" s="76">
        <v>2</v>
      </c>
      <c r="I1614" s="54" t="s">
        <v>20</v>
      </c>
      <c r="J1614" s="77">
        <v>40</v>
      </c>
      <c r="K1614" s="78">
        <v>2</v>
      </c>
      <c r="L1614" s="54">
        <v>1</v>
      </c>
      <c r="M1614" s="54">
        <f>_xlfn.XLOOKUP(Survey!$F1614,sections[Start],sections[Test Section],,-1,1)</f>
        <v>5</v>
      </c>
      <c r="N1614" s="55">
        <f>_xlfn.XLOOKUP(Survey!$K1614,pipedata[ID],pipedata[WT])</f>
        <v>0.74</v>
      </c>
      <c r="O1614" s="56">
        <f>_xlfn.XLOOKUP(Survey!$K1614,pipedata[ID],pipedata[104%])</f>
        <v>2565.3333333333335</v>
      </c>
      <c r="P1614" s="57">
        <f t="shared" si="25"/>
        <v>1850</v>
      </c>
      <c r="Q1614" s="58">
        <f>_xlfn.MAXIFS(Survey!$G$2:$G$3647,Survey!$M$2:$M$3647,Survey!$M1614)-Survey!$G1614</f>
        <v>441.14057784576289</v>
      </c>
      <c r="R1614" s="59">
        <f>Survey!$P1614+(Survey!$Q1614*0.433)</f>
        <v>2041.0138702072154</v>
      </c>
    </row>
    <row r="1615" spans="1:18" x14ac:dyDescent="0.25">
      <c r="A1615" s="60" t="s">
        <v>17</v>
      </c>
      <c r="B1615" s="61" t="s">
        <v>22</v>
      </c>
      <c r="C1615" s="62" t="s">
        <v>19</v>
      </c>
      <c r="D1615" s="63">
        <v>238.97629033720887</v>
      </c>
      <c r="E1615" s="79">
        <v>1291409</v>
      </c>
      <c r="F1615" s="80">
        <v>1262769.4653465301</v>
      </c>
      <c r="G1615" s="66">
        <v>3304.7310964894768</v>
      </c>
      <c r="H1615" s="67">
        <v>2</v>
      </c>
      <c r="I1615" s="68" t="s">
        <v>20</v>
      </c>
      <c r="J1615" s="69">
        <v>40</v>
      </c>
      <c r="K1615" s="70">
        <v>2</v>
      </c>
      <c r="L1615" s="68">
        <v>1</v>
      </c>
      <c r="M1615" s="68">
        <f>_xlfn.XLOOKUP(Survey!$F1615,sections[Start],sections[Test Section],,-1,1)</f>
        <v>5</v>
      </c>
      <c r="N1615" s="55">
        <f>_xlfn.XLOOKUP(Survey!$K1615,pipedata[ID],pipedata[WT])</f>
        <v>0.74</v>
      </c>
      <c r="O1615" s="56">
        <f>_xlfn.XLOOKUP(Survey!$K1615,pipedata[ID],pipedata[104%])</f>
        <v>2565.3333333333335</v>
      </c>
      <c r="P1615" s="57">
        <f t="shared" si="25"/>
        <v>1850</v>
      </c>
      <c r="Q1615" s="58">
        <f>_xlfn.MAXIFS(Survey!$G$2:$G$3647,Survey!$M$2:$M$3647,Survey!$M1615)-Survey!$G1615</f>
        <v>430.64574283579441</v>
      </c>
      <c r="R1615" s="59">
        <f>Survey!$P1615+(Survey!$Q1615*0.433)</f>
        <v>2036.4696066478989</v>
      </c>
    </row>
    <row r="1616" spans="1:18" x14ac:dyDescent="0.25">
      <c r="A1616" s="71" t="s">
        <v>17</v>
      </c>
      <c r="B1616" s="72" t="s">
        <v>22</v>
      </c>
      <c r="C1616" s="73" t="s">
        <v>19</v>
      </c>
      <c r="D1616" s="74">
        <v>238.98227672313033</v>
      </c>
      <c r="E1616" s="81">
        <v>1291449</v>
      </c>
      <c r="F1616" s="82">
        <v>1262806.7029702924</v>
      </c>
      <c r="G1616" s="75">
        <v>3316.9539706554915</v>
      </c>
      <c r="H1616" s="76">
        <v>2</v>
      </c>
      <c r="I1616" s="54" t="s">
        <v>20</v>
      </c>
      <c r="J1616" s="77">
        <v>40</v>
      </c>
      <c r="K1616" s="78">
        <v>2</v>
      </c>
      <c r="L1616" s="54">
        <v>1</v>
      </c>
      <c r="M1616" s="54">
        <f>_xlfn.XLOOKUP(Survey!$F1616,sections[Start],sections[Test Section],,-1,1)</f>
        <v>5</v>
      </c>
      <c r="N1616" s="55">
        <f>_xlfn.XLOOKUP(Survey!$K1616,pipedata[ID],pipedata[WT])</f>
        <v>0.74</v>
      </c>
      <c r="O1616" s="56">
        <f>_xlfn.XLOOKUP(Survey!$K1616,pipedata[ID],pipedata[104%])</f>
        <v>2565.3333333333335</v>
      </c>
      <c r="P1616" s="57">
        <f t="shared" si="25"/>
        <v>1850</v>
      </c>
      <c r="Q1616" s="58">
        <f>_xlfn.MAXIFS(Survey!$G$2:$G$3647,Survey!$M$2:$M$3647,Survey!$M1616)-Survey!$G1616</f>
        <v>418.42286866977975</v>
      </c>
      <c r="R1616" s="59">
        <f>Survey!$P1616+(Survey!$Q1616*0.433)</f>
        <v>2031.1771021340146</v>
      </c>
    </row>
    <row r="1617" spans="1:18" x14ac:dyDescent="0.25">
      <c r="A1617" s="60" t="s">
        <v>17</v>
      </c>
      <c r="B1617" s="61" t="s">
        <v>22</v>
      </c>
      <c r="C1617" s="62" t="s">
        <v>19</v>
      </c>
      <c r="D1617" s="63">
        <v>238.99025091600893</v>
      </c>
      <c r="E1617" s="79">
        <v>1291489</v>
      </c>
      <c r="F1617" s="80">
        <v>1262843.9405940548</v>
      </c>
      <c r="G1617" s="66">
        <v>3324.6961324771009</v>
      </c>
      <c r="H1617" s="67">
        <v>2</v>
      </c>
      <c r="I1617" s="68" t="s">
        <v>20</v>
      </c>
      <c r="J1617" s="69">
        <v>40</v>
      </c>
      <c r="K1617" s="70">
        <v>2</v>
      </c>
      <c r="L1617" s="68">
        <v>1</v>
      </c>
      <c r="M1617" s="68">
        <f>_xlfn.XLOOKUP(Survey!$F1617,sections[Start],sections[Test Section],,-1,1)</f>
        <v>5</v>
      </c>
      <c r="N1617" s="55">
        <f>_xlfn.XLOOKUP(Survey!$K1617,pipedata[ID],pipedata[WT])</f>
        <v>0.74</v>
      </c>
      <c r="O1617" s="56">
        <f>_xlfn.XLOOKUP(Survey!$K1617,pipedata[ID],pipedata[104%])</f>
        <v>2565.3333333333335</v>
      </c>
      <c r="P1617" s="57">
        <f t="shared" si="25"/>
        <v>1850</v>
      </c>
      <c r="Q1617" s="58">
        <f>_xlfn.MAXIFS(Survey!$G$2:$G$3647,Survey!$M$2:$M$3647,Survey!$M1617)-Survey!$G1617</f>
        <v>410.6807068481703</v>
      </c>
      <c r="R1617" s="59">
        <f>Survey!$P1617+(Survey!$Q1617*0.433)</f>
        <v>2027.8247460652578</v>
      </c>
    </row>
    <row r="1618" spans="1:18" x14ac:dyDescent="0.25">
      <c r="A1618" s="71" t="s">
        <v>17</v>
      </c>
      <c r="B1618" s="72" t="s">
        <v>22</v>
      </c>
      <c r="C1618" s="73" t="s">
        <v>19</v>
      </c>
      <c r="D1618" s="74">
        <v>238.9982251088874</v>
      </c>
      <c r="E1618" s="81">
        <v>1291529</v>
      </c>
      <c r="F1618" s="82">
        <v>1262881.1782178171</v>
      </c>
      <c r="G1618" s="75">
        <v>3333.2533641081932</v>
      </c>
      <c r="H1618" s="76">
        <v>2</v>
      </c>
      <c r="I1618" s="54" t="s">
        <v>20</v>
      </c>
      <c r="J1618" s="77">
        <v>40</v>
      </c>
      <c r="K1618" s="78">
        <v>2</v>
      </c>
      <c r="L1618" s="54">
        <v>1</v>
      </c>
      <c r="M1618" s="54">
        <f>_xlfn.XLOOKUP(Survey!$F1618,sections[Start],sections[Test Section],,-1,1)</f>
        <v>5</v>
      </c>
      <c r="N1618" s="55">
        <f>_xlfn.XLOOKUP(Survey!$K1618,pipedata[ID],pipedata[WT])</f>
        <v>0.74</v>
      </c>
      <c r="O1618" s="56">
        <f>_xlfn.XLOOKUP(Survey!$K1618,pipedata[ID],pipedata[104%])</f>
        <v>2565.3333333333335</v>
      </c>
      <c r="P1618" s="57">
        <f t="shared" si="25"/>
        <v>1850</v>
      </c>
      <c r="Q1618" s="58">
        <f>_xlfn.MAXIFS(Survey!$G$2:$G$3647,Survey!$M$2:$M$3647,Survey!$M1618)-Survey!$G1618</f>
        <v>402.12347521707807</v>
      </c>
      <c r="R1618" s="59">
        <f>Survey!$P1618+(Survey!$Q1618*0.433)</f>
        <v>2024.1194647689947</v>
      </c>
    </row>
    <row r="1619" spans="1:18" x14ac:dyDescent="0.25">
      <c r="A1619" s="60" t="s">
        <v>17</v>
      </c>
      <c r="B1619" s="61" t="s">
        <v>22</v>
      </c>
      <c r="C1619" s="62" t="s">
        <v>19</v>
      </c>
      <c r="D1619" s="63">
        <v>239.003541237473</v>
      </c>
      <c r="E1619" s="79">
        <v>1291569</v>
      </c>
      <c r="F1619" s="80">
        <v>1262918.4158415794</v>
      </c>
      <c r="G1619" s="66">
        <v>3346.8845537565544</v>
      </c>
      <c r="H1619" s="67">
        <v>2</v>
      </c>
      <c r="I1619" s="68" t="s">
        <v>20</v>
      </c>
      <c r="J1619" s="69">
        <v>40</v>
      </c>
      <c r="K1619" s="70">
        <v>2</v>
      </c>
      <c r="L1619" s="68">
        <v>1</v>
      </c>
      <c r="M1619" s="68">
        <f>_xlfn.XLOOKUP(Survey!$F1619,sections[Start],sections[Test Section],,-1,1)</f>
        <v>5</v>
      </c>
      <c r="N1619" s="55">
        <f>_xlfn.XLOOKUP(Survey!$K1619,pipedata[ID],pipedata[WT])</f>
        <v>0.74</v>
      </c>
      <c r="O1619" s="56">
        <f>_xlfn.XLOOKUP(Survey!$K1619,pipedata[ID],pipedata[104%])</f>
        <v>2565.3333333333335</v>
      </c>
      <c r="P1619" s="57">
        <f t="shared" si="25"/>
        <v>1850</v>
      </c>
      <c r="Q1619" s="58">
        <f>_xlfn.MAXIFS(Survey!$G$2:$G$3647,Survey!$M$2:$M$3647,Survey!$M1619)-Survey!$G1619</f>
        <v>388.49228556871685</v>
      </c>
      <c r="R1619" s="59">
        <f>Survey!$P1619+(Survey!$Q1619*0.433)</f>
        <v>2018.2171596512544</v>
      </c>
    </row>
    <row r="1620" spans="1:18" x14ac:dyDescent="0.25">
      <c r="A1620" s="71" t="s">
        <v>17</v>
      </c>
      <c r="B1620" s="72" t="s">
        <v>22</v>
      </c>
      <c r="C1620" s="73" t="s">
        <v>19</v>
      </c>
      <c r="D1620" s="74">
        <v>239.01151543035138</v>
      </c>
      <c r="E1620" s="81">
        <v>1291609</v>
      </c>
      <c r="F1620" s="82">
        <v>1262955.6534653418</v>
      </c>
      <c r="G1620" s="75">
        <v>3354.9343784185912</v>
      </c>
      <c r="H1620" s="76">
        <v>2</v>
      </c>
      <c r="I1620" s="54" t="s">
        <v>20</v>
      </c>
      <c r="J1620" s="77">
        <v>40</v>
      </c>
      <c r="K1620" s="78">
        <v>2</v>
      </c>
      <c r="L1620" s="54">
        <v>1</v>
      </c>
      <c r="M1620" s="54">
        <f>_xlfn.XLOOKUP(Survey!$F1620,sections[Start],sections[Test Section],,-1,1)</f>
        <v>5</v>
      </c>
      <c r="N1620" s="55">
        <f>_xlfn.XLOOKUP(Survey!$K1620,pipedata[ID],pipedata[WT])</f>
        <v>0.74</v>
      </c>
      <c r="O1620" s="56">
        <f>_xlfn.XLOOKUP(Survey!$K1620,pipedata[ID],pipedata[104%])</f>
        <v>2565.3333333333335</v>
      </c>
      <c r="P1620" s="57">
        <f t="shared" si="25"/>
        <v>1850</v>
      </c>
      <c r="Q1620" s="58">
        <f>_xlfn.MAXIFS(Survey!$G$2:$G$3647,Survey!$M$2:$M$3647,Survey!$M1620)-Survey!$G1620</f>
        <v>380.44246090668003</v>
      </c>
      <c r="R1620" s="59">
        <f>Survey!$P1620+(Survey!$Q1620*0.433)</f>
        <v>2014.7315855725924</v>
      </c>
    </row>
    <row r="1621" spans="1:18" x14ac:dyDescent="0.25">
      <c r="A1621" s="60" t="s">
        <v>17</v>
      </c>
      <c r="B1621" s="61" t="s">
        <v>22</v>
      </c>
      <c r="C1621" s="62" t="s">
        <v>19</v>
      </c>
      <c r="D1621" s="63">
        <v>239.01948962322962</v>
      </c>
      <c r="E1621" s="79">
        <v>1291649</v>
      </c>
      <c r="F1621" s="80">
        <v>1262992.8910891041</v>
      </c>
      <c r="G1621" s="66">
        <v>3367.218616717948</v>
      </c>
      <c r="H1621" s="67">
        <v>2</v>
      </c>
      <c r="I1621" s="68" t="s">
        <v>20</v>
      </c>
      <c r="J1621" s="69">
        <v>40</v>
      </c>
      <c r="K1621" s="70">
        <v>2</v>
      </c>
      <c r="L1621" s="68">
        <v>1</v>
      </c>
      <c r="M1621" s="68">
        <f>_xlfn.XLOOKUP(Survey!$F1621,sections[Start],sections[Test Section],,-1,1)</f>
        <v>5</v>
      </c>
      <c r="N1621" s="55">
        <f>_xlfn.XLOOKUP(Survey!$K1621,pipedata[ID],pipedata[WT])</f>
        <v>0.74</v>
      </c>
      <c r="O1621" s="56">
        <f>_xlfn.XLOOKUP(Survey!$K1621,pipedata[ID],pipedata[104%])</f>
        <v>2565.3333333333335</v>
      </c>
      <c r="P1621" s="57">
        <f t="shared" si="25"/>
        <v>1850</v>
      </c>
      <c r="Q1621" s="58">
        <f>_xlfn.MAXIFS(Survey!$G$2:$G$3647,Survey!$M$2:$M$3647,Survey!$M1621)-Survey!$G1621</f>
        <v>368.1582226073233</v>
      </c>
      <c r="R1621" s="59">
        <f>Survey!$P1621+(Survey!$Q1621*0.433)</f>
        <v>2009.412510388971</v>
      </c>
    </row>
    <row r="1622" spans="1:18" x14ac:dyDescent="0.25">
      <c r="A1622" s="71" t="s">
        <v>17</v>
      </c>
      <c r="B1622" s="72" t="s">
        <v>22</v>
      </c>
      <c r="C1622" s="73" t="s">
        <v>19</v>
      </c>
      <c r="D1622" s="74">
        <v>239.02487739329266</v>
      </c>
      <c r="E1622" s="81">
        <v>1291689</v>
      </c>
      <c r="F1622" s="82">
        <v>1263030.1287128665</v>
      </c>
      <c r="G1622" s="75">
        <v>3379.4663967994975</v>
      </c>
      <c r="H1622" s="76">
        <v>2</v>
      </c>
      <c r="I1622" s="54" t="s">
        <v>20</v>
      </c>
      <c r="J1622" s="77">
        <v>40</v>
      </c>
      <c r="K1622" s="78">
        <v>2</v>
      </c>
      <c r="L1622" s="54">
        <v>1</v>
      </c>
      <c r="M1622" s="54">
        <f>_xlfn.XLOOKUP(Survey!$F1622,sections[Start],sections[Test Section],,-1,1)</f>
        <v>5</v>
      </c>
      <c r="N1622" s="55">
        <f>_xlfn.XLOOKUP(Survey!$K1622,pipedata[ID],pipedata[WT])</f>
        <v>0.74</v>
      </c>
      <c r="O1622" s="56">
        <f>_xlfn.XLOOKUP(Survey!$K1622,pipedata[ID],pipedata[104%])</f>
        <v>2565.3333333333335</v>
      </c>
      <c r="P1622" s="57">
        <f t="shared" si="25"/>
        <v>1850</v>
      </c>
      <c r="Q1622" s="58">
        <f>_xlfn.MAXIFS(Survey!$G$2:$G$3647,Survey!$M$2:$M$3647,Survey!$M1622)-Survey!$G1622</f>
        <v>355.91044252577376</v>
      </c>
      <c r="R1622" s="59">
        <f>Survey!$P1622+(Survey!$Q1622*0.433)</f>
        <v>2004.1092216136601</v>
      </c>
    </row>
    <row r="1623" spans="1:18" x14ac:dyDescent="0.25">
      <c r="A1623" s="60" t="s">
        <v>17</v>
      </c>
      <c r="B1623" s="61" t="s">
        <v>22</v>
      </c>
      <c r="C1623" s="62" t="s">
        <v>19</v>
      </c>
      <c r="D1623" s="63">
        <v>239.03297523597334</v>
      </c>
      <c r="E1623" s="79">
        <v>1291729</v>
      </c>
      <c r="F1623" s="80">
        <v>1263067.3663366288</v>
      </c>
      <c r="G1623" s="66">
        <v>3388.527920299739</v>
      </c>
      <c r="H1623" s="67">
        <v>2</v>
      </c>
      <c r="I1623" s="68" t="s">
        <v>20</v>
      </c>
      <c r="J1623" s="69">
        <v>40</v>
      </c>
      <c r="K1623" s="70">
        <v>2</v>
      </c>
      <c r="L1623" s="68">
        <v>1</v>
      </c>
      <c r="M1623" s="68">
        <f>_xlfn.XLOOKUP(Survey!$F1623,sections[Start],sections[Test Section],,-1,1)</f>
        <v>5</v>
      </c>
      <c r="N1623" s="55">
        <f>_xlfn.XLOOKUP(Survey!$K1623,pipedata[ID],pipedata[WT])</f>
        <v>0.74</v>
      </c>
      <c r="O1623" s="56">
        <f>_xlfn.XLOOKUP(Survey!$K1623,pipedata[ID],pipedata[104%])</f>
        <v>2565.3333333333335</v>
      </c>
      <c r="P1623" s="57">
        <f t="shared" si="25"/>
        <v>1850</v>
      </c>
      <c r="Q1623" s="58">
        <f>_xlfn.MAXIFS(Survey!$G$2:$G$3647,Survey!$M$2:$M$3647,Survey!$M1623)-Survey!$G1623</f>
        <v>346.84891902553227</v>
      </c>
      <c r="R1623" s="59">
        <f>Survey!$P1623+(Survey!$Q1623*0.433)</f>
        <v>2000.1855819380555</v>
      </c>
    </row>
    <row r="1624" spans="1:18" x14ac:dyDescent="0.25">
      <c r="A1624" s="71" t="s">
        <v>17</v>
      </c>
      <c r="B1624" s="72" t="s">
        <v>22</v>
      </c>
      <c r="C1624" s="73" t="s">
        <v>19</v>
      </c>
      <c r="D1624" s="74">
        <v>239.04107307865439</v>
      </c>
      <c r="E1624" s="81">
        <v>1291769</v>
      </c>
      <c r="F1624" s="82">
        <v>1263104.6039603911</v>
      </c>
      <c r="G1624" s="75">
        <v>3401.4728201794919</v>
      </c>
      <c r="H1624" s="76">
        <v>2</v>
      </c>
      <c r="I1624" s="54" t="s">
        <v>20</v>
      </c>
      <c r="J1624" s="77">
        <v>40</v>
      </c>
      <c r="K1624" s="78">
        <v>2</v>
      </c>
      <c r="L1624" s="54">
        <v>1</v>
      </c>
      <c r="M1624" s="54">
        <f>_xlfn.XLOOKUP(Survey!$F1624,sections[Start],sections[Test Section],,-1,1)</f>
        <v>5</v>
      </c>
      <c r="N1624" s="55">
        <f>_xlfn.XLOOKUP(Survey!$K1624,pipedata[ID],pipedata[WT])</f>
        <v>0.74</v>
      </c>
      <c r="O1624" s="56">
        <f>_xlfn.XLOOKUP(Survey!$K1624,pipedata[ID],pipedata[104%])</f>
        <v>2565.3333333333335</v>
      </c>
      <c r="P1624" s="57">
        <f t="shared" si="25"/>
        <v>1850</v>
      </c>
      <c r="Q1624" s="58">
        <f>_xlfn.MAXIFS(Survey!$G$2:$G$3647,Survey!$M$2:$M$3647,Survey!$M1624)-Survey!$G1624</f>
        <v>333.90401914577933</v>
      </c>
      <c r="R1624" s="59">
        <f>Survey!$P1624+(Survey!$Q1624*0.433)</f>
        <v>1994.5804402901224</v>
      </c>
    </row>
    <row r="1625" spans="1:18" x14ac:dyDescent="0.25">
      <c r="A1625" s="60" t="s">
        <v>17</v>
      </c>
      <c r="B1625" s="61" t="s">
        <v>22</v>
      </c>
      <c r="C1625" s="62" t="s">
        <v>19</v>
      </c>
      <c r="D1625" s="63">
        <v>239.04872833044976</v>
      </c>
      <c r="E1625" s="79">
        <v>1291809</v>
      </c>
      <c r="F1625" s="80">
        <v>1263141.8415841535</v>
      </c>
      <c r="G1625" s="66">
        <v>3409.6274742566907</v>
      </c>
      <c r="H1625" s="67">
        <v>2</v>
      </c>
      <c r="I1625" s="68" t="s">
        <v>20</v>
      </c>
      <c r="J1625" s="69">
        <v>40</v>
      </c>
      <c r="K1625" s="70">
        <v>2</v>
      </c>
      <c r="L1625" s="68">
        <v>1</v>
      </c>
      <c r="M1625" s="68">
        <f>_xlfn.XLOOKUP(Survey!$F1625,sections[Start],sections[Test Section],,-1,1)</f>
        <v>5</v>
      </c>
      <c r="N1625" s="55">
        <f>_xlfn.XLOOKUP(Survey!$K1625,pipedata[ID],pipedata[WT])</f>
        <v>0.74</v>
      </c>
      <c r="O1625" s="56">
        <f>_xlfn.XLOOKUP(Survey!$K1625,pipedata[ID],pipedata[104%])</f>
        <v>2565.3333333333335</v>
      </c>
      <c r="P1625" s="57">
        <f t="shared" si="25"/>
        <v>1850</v>
      </c>
      <c r="Q1625" s="58">
        <f>_xlfn.MAXIFS(Survey!$G$2:$G$3647,Survey!$M$2:$M$3647,Survey!$M1625)-Survey!$G1625</f>
        <v>325.74936506858057</v>
      </c>
      <c r="R1625" s="59">
        <f>Survey!$P1625+(Survey!$Q1625*0.433)</f>
        <v>1991.0494750746955</v>
      </c>
    </row>
    <row r="1626" spans="1:18" x14ac:dyDescent="0.25">
      <c r="A1626" s="71" t="s">
        <v>17</v>
      </c>
      <c r="B1626" s="72" t="s">
        <v>22</v>
      </c>
      <c r="C1626" s="73" t="s">
        <v>19</v>
      </c>
      <c r="D1626" s="74">
        <v>239.05456948312235</v>
      </c>
      <c r="E1626" s="81">
        <v>1291849</v>
      </c>
      <c r="F1626" s="82">
        <v>1263179.0792079158</v>
      </c>
      <c r="G1626" s="75">
        <v>3421.8624059379099</v>
      </c>
      <c r="H1626" s="76">
        <v>2</v>
      </c>
      <c r="I1626" s="54" t="s">
        <v>20</v>
      </c>
      <c r="J1626" s="77">
        <v>40</v>
      </c>
      <c r="K1626" s="78">
        <v>2</v>
      </c>
      <c r="L1626" s="54">
        <v>1</v>
      </c>
      <c r="M1626" s="54">
        <f>_xlfn.XLOOKUP(Survey!$F1626,sections[Start],sections[Test Section],,-1,1)</f>
        <v>5</v>
      </c>
      <c r="N1626" s="55">
        <f>_xlfn.XLOOKUP(Survey!$K1626,pipedata[ID],pipedata[WT])</f>
        <v>0.74</v>
      </c>
      <c r="O1626" s="56">
        <f>_xlfn.XLOOKUP(Survey!$K1626,pipedata[ID],pipedata[104%])</f>
        <v>2565.3333333333335</v>
      </c>
      <c r="P1626" s="57">
        <f t="shared" si="25"/>
        <v>1850</v>
      </c>
      <c r="Q1626" s="58">
        <f>_xlfn.MAXIFS(Survey!$G$2:$G$3647,Survey!$M$2:$M$3647,Survey!$M1626)-Survey!$G1626</f>
        <v>313.51443338736135</v>
      </c>
      <c r="R1626" s="59">
        <f>Survey!$P1626+(Survey!$Q1626*0.433)</f>
        <v>1985.7517496567275</v>
      </c>
    </row>
    <row r="1627" spans="1:18" x14ac:dyDescent="0.25">
      <c r="A1627" s="60" t="s">
        <v>17</v>
      </c>
      <c r="B1627" s="61" t="s">
        <v>22</v>
      </c>
      <c r="C1627" s="62" t="s">
        <v>19</v>
      </c>
      <c r="D1627" s="63">
        <v>239.06266732580289</v>
      </c>
      <c r="E1627" s="79">
        <v>1291889</v>
      </c>
      <c r="F1627" s="80">
        <v>1263216.3168316782</v>
      </c>
      <c r="G1627" s="66">
        <v>3436.2579935224262</v>
      </c>
      <c r="H1627" s="67">
        <v>2</v>
      </c>
      <c r="I1627" s="68" t="s">
        <v>20</v>
      </c>
      <c r="J1627" s="69">
        <v>40</v>
      </c>
      <c r="K1627" s="70">
        <v>2</v>
      </c>
      <c r="L1627" s="68">
        <v>1</v>
      </c>
      <c r="M1627" s="68">
        <f>_xlfn.XLOOKUP(Survey!$F1627,sections[Start],sections[Test Section],,-1,1)</f>
        <v>5</v>
      </c>
      <c r="N1627" s="55">
        <f>_xlfn.XLOOKUP(Survey!$K1627,pipedata[ID],pipedata[WT])</f>
        <v>0.74</v>
      </c>
      <c r="O1627" s="56">
        <f>_xlfn.XLOOKUP(Survey!$K1627,pipedata[ID],pipedata[104%])</f>
        <v>2565.3333333333335</v>
      </c>
      <c r="P1627" s="57">
        <f t="shared" si="25"/>
        <v>1850</v>
      </c>
      <c r="Q1627" s="58">
        <f>_xlfn.MAXIFS(Survey!$G$2:$G$3647,Survey!$M$2:$M$3647,Survey!$M1627)-Survey!$G1627</f>
        <v>299.11884580284504</v>
      </c>
      <c r="R1627" s="59">
        <f>Survey!$P1627+(Survey!$Q1627*0.433)</f>
        <v>1979.5184602326319</v>
      </c>
    </row>
    <row r="1628" spans="1:18" x14ac:dyDescent="0.25">
      <c r="A1628" s="71" t="s">
        <v>17</v>
      </c>
      <c r="B1628" s="72" t="s">
        <v>22</v>
      </c>
      <c r="C1628" s="73" t="s">
        <v>19</v>
      </c>
      <c r="D1628" s="74">
        <v>239.0699928447915</v>
      </c>
      <c r="E1628" s="81">
        <v>1291929</v>
      </c>
      <c r="F1628" s="82">
        <v>1263253.5544554405</v>
      </c>
      <c r="G1628" s="75">
        <v>3447.4927213485539</v>
      </c>
      <c r="H1628" s="76">
        <v>2</v>
      </c>
      <c r="I1628" s="54" t="s">
        <v>20</v>
      </c>
      <c r="J1628" s="77">
        <v>40</v>
      </c>
      <c r="K1628" s="78">
        <v>2</v>
      </c>
      <c r="L1628" s="54">
        <v>1</v>
      </c>
      <c r="M1628" s="54">
        <f>_xlfn.XLOOKUP(Survey!$F1628,sections[Start],sections[Test Section],,-1,1)</f>
        <v>5</v>
      </c>
      <c r="N1628" s="55">
        <f>_xlfn.XLOOKUP(Survey!$K1628,pipedata[ID],pipedata[WT])</f>
        <v>0.74</v>
      </c>
      <c r="O1628" s="56">
        <f>_xlfn.XLOOKUP(Survey!$K1628,pipedata[ID],pipedata[104%])</f>
        <v>2565.3333333333335</v>
      </c>
      <c r="P1628" s="57">
        <f t="shared" si="25"/>
        <v>1850</v>
      </c>
      <c r="Q1628" s="58">
        <f>_xlfn.MAXIFS(Survey!$G$2:$G$3647,Survey!$M$2:$M$3647,Survey!$M1628)-Survey!$G1628</f>
        <v>287.88411797671733</v>
      </c>
      <c r="R1628" s="59">
        <f>Survey!$P1628+(Survey!$Q1628*0.433)</f>
        <v>1974.6538230839187</v>
      </c>
    </row>
    <row r="1629" spans="1:18" x14ac:dyDescent="0.25">
      <c r="A1629" s="60" t="s">
        <v>17</v>
      </c>
      <c r="B1629" s="61" t="s">
        <v>22</v>
      </c>
      <c r="C1629" s="62" t="s">
        <v>19</v>
      </c>
      <c r="D1629" s="63">
        <v>239.07616373027139</v>
      </c>
      <c r="E1629" s="79">
        <v>1291969</v>
      </c>
      <c r="F1629" s="80">
        <v>1263290.7920792028</v>
      </c>
      <c r="G1629" s="66">
        <v>3464.7188430122878</v>
      </c>
      <c r="H1629" s="67">
        <v>2</v>
      </c>
      <c r="I1629" s="68" t="s">
        <v>20</v>
      </c>
      <c r="J1629" s="69">
        <v>40</v>
      </c>
      <c r="K1629" s="70">
        <v>2</v>
      </c>
      <c r="L1629" s="68">
        <v>1</v>
      </c>
      <c r="M1629" s="68">
        <f>_xlfn.XLOOKUP(Survey!$F1629,sections[Start],sections[Test Section],,-1,1)</f>
        <v>5</v>
      </c>
      <c r="N1629" s="55">
        <f>_xlfn.XLOOKUP(Survey!$K1629,pipedata[ID],pipedata[WT])</f>
        <v>0.74</v>
      </c>
      <c r="O1629" s="56">
        <f>_xlfn.XLOOKUP(Survey!$K1629,pipedata[ID],pipedata[104%])</f>
        <v>2565.3333333333335</v>
      </c>
      <c r="P1629" s="57">
        <f t="shared" si="25"/>
        <v>1850</v>
      </c>
      <c r="Q1629" s="58">
        <f>_xlfn.MAXIFS(Survey!$G$2:$G$3647,Survey!$M$2:$M$3647,Survey!$M1629)-Survey!$G1629</f>
        <v>270.65799631298341</v>
      </c>
      <c r="R1629" s="59">
        <f>Survey!$P1629+(Survey!$Q1629*0.433)</f>
        <v>1967.1949124035218</v>
      </c>
    </row>
    <row r="1630" spans="1:18" x14ac:dyDescent="0.25">
      <c r="A1630" s="71" t="s">
        <v>17</v>
      </c>
      <c r="B1630" s="72" t="s">
        <v>22</v>
      </c>
      <c r="C1630" s="73" t="s">
        <v>19</v>
      </c>
      <c r="D1630" s="74">
        <v>239.0842615729521</v>
      </c>
      <c r="E1630" s="81">
        <v>1292009</v>
      </c>
      <c r="F1630" s="82">
        <v>1263328.0297029652</v>
      </c>
      <c r="G1630" s="75">
        <v>3470.0654847782316</v>
      </c>
      <c r="H1630" s="76">
        <v>2</v>
      </c>
      <c r="I1630" s="54" t="s">
        <v>20</v>
      </c>
      <c r="J1630" s="77">
        <v>40</v>
      </c>
      <c r="K1630" s="78">
        <v>2</v>
      </c>
      <c r="L1630" s="54">
        <v>1</v>
      </c>
      <c r="M1630" s="54">
        <f>_xlfn.XLOOKUP(Survey!$F1630,sections[Start],sections[Test Section],,-1,1)</f>
        <v>5</v>
      </c>
      <c r="N1630" s="55">
        <f>_xlfn.XLOOKUP(Survey!$K1630,pipedata[ID],pipedata[WT])</f>
        <v>0.74</v>
      </c>
      <c r="O1630" s="56">
        <f>_xlfn.XLOOKUP(Survey!$K1630,pipedata[ID],pipedata[104%])</f>
        <v>2565.3333333333335</v>
      </c>
      <c r="P1630" s="57">
        <f t="shared" si="25"/>
        <v>1850</v>
      </c>
      <c r="Q1630" s="58">
        <f>_xlfn.MAXIFS(Survey!$G$2:$G$3647,Survey!$M$2:$M$3647,Survey!$M1630)-Survey!$G1630</f>
        <v>265.31135454703963</v>
      </c>
      <c r="R1630" s="59">
        <f>Survey!$P1630+(Survey!$Q1630*0.433)</f>
        <v>1964.8798165188682</v>
      </c>
    </row>
    <row r="1631" spans="1:18" x14ac:dyDescent="0.25">
      <c r="A1631" s="60" t="s">
        <v>17</v>
      </c>
      <c r="B1631" s="61" t="s">
        <v>22</v>
      </c>
      <c r="C1631" s="62" t="s">
        <v>19</v>
      </c>
      <c r="D1631" s="63">
        <v>239.09235941563279</v>
      </c>
      <c r="E1631" s="79">
        <v>1292049</v>
      </c>
      <c r="F1631" s="80">
        <v>1263365.2673267275</v>
      </c>
      <c r="G1631" s="66">
        <v>3474.2064744774998</v>
      </c>
      <c r="H1631" s="67">
        <v>2</v>
      </c>
      <c r="I1631" s="68" t="s">
        <v>20</v>
      </c>
      <c r="J1631" s="69">
        <v>40</v>
      </c>
      <c r="K1631" s="70">
        <v>2</v>
      </c>
      <c r="L1631" s="68">
        <v>1</v>
      </c>
      <c r="M1631" s="68">
        <f>_xlfn.XLOOKUP(Survey!$F1631,sections[Start],sections[Test Section],,-1,1)</f>
        <v>5</v>
      </c>
      <c r="N1631" s="55">
        <f>_xlfn.XLOOKUP(Survey!$K1631,pipedata[ID],pipedata[WT])</f>
        <v>0.74</v>
      </c>
      <c r="O1631" s="56">
        <f>_xlfn.XLOOKUP(Survey!$K1631,pipedata[ID],pipedata[104%])</f>
        <v>2565.3333333333335</v>
      </c>
      <c r="P1631" s="57">
        <f t="shared" si="25"/>
        <v>1850</v>
      </c>
      <c r="Q1631" s="58">
        <f>_xlfn.MAXIFS(Survey!$G$2:$G$3647,Survey!$M$2:$M$3647,Survey!$M1631)-Survey!$G1631</f>
        <v>261.17036484777145</v>
      </c>
      <c r="R1631" s="59">
        <f>Survey!$P1631+(Survey!$Q1631*0.433)</f>
        <v>1963.0867679790849</v>
      </c>
    </row>
    <row r="1632" spans="1:18" x14ac:dyDescent="0.25">
      <c r="A1632" s="71" t="s">
        <v>17</v>
      </c>
      <c r="B1632" s="72" t="s">
        <v>22</v>
      </c>
      <c r="C1632" s="73" t="s">
        <v>19</v>
      </c>
      <c r="D1632" s="74">
        <v>239.10004079626665</v>
      </c>
      <c r="E1632" s="81">
        <v>1292089</v>
      </c>
      <c r="F1632" s="82">
        <v>1263402.5049504898</v>
      </c>
      <c r="G1632" s="75">
        <v>3482.2740791843535</v>
      </c>
      <c r="H1632" s="76">
        <v>2</v>
      </c>
      <c r="I1632" s="54" t="s">
        <v>20</v>
      </c>
      <c r="J1632" s="77">
        <v>40</v>
      </c>
      <c r="K1632" s="78">
        <v>2</v>
      </c>
      <c r="L1632" s="54">
        <v>1</v>
      </c>
      <c r="M1632" s="54">
        <f>_xlfn.XLOOKUP(Survey!$F1632,sections[Start],sections[Test Section],,-1,1)</f>
        <v>5</v>
      </c>
      <c r="N1632" s="55">
        <f>_xlfn.XLOOKUP(Survey!$K1632,pipedata[ID],pipedata[WT])</f>
        <v>0.74</v>
      </c>
      <c r="O1632" s="56">
        <f>_xlfn.XLOOKUP(Survey!$K1632,pipedata[ID],pipedata[104%])</f>
        <v>2565.3333333333335</v>
      </c>
      <c r="P1632" s="57">
        <f t="shared" si="25"/>
        <v>1850</v>
      </c>
      <c r="Q1632" s="58">
        <f>_xlfn.MAXIFS(Survey!$G$2:$G$3647,Survey!$M$2:$M$3647,Survey!$M1632)-Survey!$G1632</f>
        <v>253.10276014091778</v>
      </c>
      <c r="R1632" s="59">
        <f>Survey!$P1632+(Survey!$Q1632*0.433)</f>
        <v>1959.5934951410175</v>
      </c>
    </row>
    <row r="1633" spans="1:18" x14ac:dyDescent="0.25">
      <c r="A1633" s="60" t="s">
        <v>17</v>
      </c>
      <c r="B1633" s="61" t="s">
        <v>22</v>
      </c>
      <c r="C1633" s="62" t="s">
        <v>19</v>
      </c>
      <c r="D1633" s="63">
        <v>239.10637518783525</v>
      </c>
      <c r="E1633" s="79">
        <v>1292129</v>
      </c>
      <c r="F1633" s="80">
        <v>1263439.7425742522</v>
      </c>
      <c r="G1633" s="66">
        <v>3489.4296233371097</v>
      </c>
      <c r="H1633" s="67">
        <v>2</v>
      </c>
      <c r="I1633" s="68" t="s">
        <v>20</v>
      </c>
      <c r="J1633" s="69">
        <v>40</v>
      </c>
      <c r="K1633" s="70">
        <v>2</v>
      </c>
      <c r="L1633" s="68">
        <v>1</v>
      </c>
      <c r="M1633" s="68">
        <f>_xlfn.XLOOKUP(Survey!$F1633,sections[Start],sections[Test Section],,-1,1)</f>
        <v>5</v>
      </c>
      <c r="N1633" s="55">
        <f>_xlfn.XLOOKUP(Survey!$K1633,pipedata[ID],pipedata[WT])</f>
        <v>0.74</v>
      </c>
      <c r="O1633" s="56">
        <f>_xlfn.XLOOKUP(Survey!$K1633,pipedata[ID],pipedata[104%])</f>
        <v>2565.3333333333335</v>
      </c>
      <c r="P1633" s="57">
        <f t="shared" si="25"/>
        <v>1850</v>
      </c>
      <c r="Q1633" s="58">
        <f>_xlfn.MAXIFS(Survey!$G$2:$G$3647,Survey!$M$2:$M$3647,Survey!$M1633)-Survey!$G1633</f>
        <v>245.94721598816159</v>
      </c>
      <c r="R1633" s="59">
        <f>Survey!$P1633+(Survey!$Q1633*0.433)</f>
        <v>1956.4951445228739</v>
      </c>
    </row>
    <row r="1634" spans="1:18" x14ac:dyDescent="0.25">
      <c r="A1634" s="71" t="s">
        <v>17</v>
      </c>
      <c r="B1634" s="72" t="s">
        <v>22</v>
      </c>
      <c r="C1634" s="73" t="s">
        <v>19</v>
      </c>
      <c r="D1634" s="74">
        <v>239.11504458084266</v>
      </c>
      <c r="E1634" s="81">
        <v>1292169</v>
      </c>
      <c r="F1634" s="82">
        <v>1263476.9801980145</v>
      </c>
      <c r="G1634" s="75">
        <v>3495.9858870911876</v>
      </c>
      <c r="H1634" s="76">
        <v>2</v>
      </c>
      <c r="I1634" s="54" t="s">
        <v>20</v>
      </c>
      <c r="J1634" s="77">
        <v>40</v>
      </c>
      <c r="K1634" s="78">
        <v>2</v>
      </c>
      <c r="L1634" s="54">
        <v>1</v>
      </c>
      <c r="M1634" s="54">
        <f>_xlfn.XLOOKUP(Survey!$F1634,sections[Start],sections[Test Section],,-1,1)</f>
        <v>5</v>
      </c>
      <c r="N1634" s="55">
        <f>_xlfn.XLOOKUP(Survey!$K1634,pipedata[ID],pipedata[WT])</f>
        <v>0.74</v>
      </c>
      <c r="O1634" s="56">
        <f>_xlfn.XLOOKUP(Survey!$K1634,pipedata[ID],pipedata[104%])</f>
        <v>2565.3333333333335</v>
      </c>
      <c r="P1634" s="57">
        <f t="shared" si="25"/>
        <v>1850</v>
      </c>
      <c r="Q1634" s="58">
        <f>_xlfn.MAXIFS(Survey!$G$2:$G$3647,Survey!$M$2:$M$3647,Survey!$M1634)-Survey!$G1634</f>
        <v>239.39095223408367</v>
      </c>
      <c r="R1634" s="59">
        <f>Survey!$P1634+(Survey!$Q1634*0.433)</f>
        <v>1953.6562823173583</v>
      </c>
    </row>
    <row r="1635" spans="1:18" x14ac:dyDescent="0.25">
      <c r="A1635" s="60" t="s">
        <v>17</v>
      </c>
      <c r="B1635" s="61" t="s">
        <v>22</v>
      </c>
      <c r="C1635" s="62" t="s">
        <v>19</v>
      </c>
      <c r="D1635" s="63">
        <v>239.12200718710187</v>
      </c>
      <c r="E1635" s="79">
        <v>1292209</v>
      </c>
      <c r="F1635" s="80">
        <v>1263514.2178217769</v>
      </c>
      <c r="G1635" s="66">
        <v>3503.7434598198474</v>
      </c>
      <c r="H1635" s="67">
        <v>2</v>
      </c>
      <c r="I1635" s="68" t="s">
        <v>20</v>
      </c>
      <c r="J1635" s="69">
        <v>40</v>
      </c>
      <c r="K1635" s="70">
        <v>2</v>
      </c>
      <c r="L1635" s="68">
        <v>1</v>
      </c>
      <c r="M1635" s="68">
        <f>_xlfn.XLOOKUP(Survey!$F1635,sections[Start],sections[Test Section],,-1,1)</f>
        <v>5</v>
      </c>
      <c r="N1635" s="55">
        <f>_xlfn.XLOOKUP(Survey!$K1635,pipedata[ID],pipedata[WT])</f>
        <v>0.74</v>
      </c>
      <c r="O1635" s="56">
        <f>_xlfn.XLOOKUP(Survey!$K1635,pipedata[ID],pipedata[104%])</f>
        <v>2565.3333333333335</v>
      </c>
      <c r="P1635" s="57">
        <f t="shared" si="25"/>
        <v>1850</v>
      </c>
      <c r="Q1635" s="58">
        <f>_xlfn.MAXIFS(Survey!$G$2:$G$3647,Survey!$M$2:$M$3647,Survey!$M1635)-Survey!$G1635</f>
        <v>231.63337950542382</v>
      </c>
      <c r="R1635" s="59">
        <f>Survey!$P1635+(Survey!$Q1635*0.433)</f>
        <v>1950.2972533258485</v>
      </c>
    </row>
    <row r="1636" spans="1:18" x14ac:dyDescent="0.25">
      <c r="A1636" s="71" t="s">
        <v>17</v>
      </c>
      <c r="B1636" s="72" t="s">
        <v>22</v>
      </c>
      <c r="C1636" s="73" t="s">
        <v>19</v>
      </c>
      <c r="D1636" s="74">
        <v>239.1297712776971</v>
      </c>
      <c r="E1636" s="81">
        <v>1292249</v>
      </c>
      <c r="F1636" s="82">
        <v>1263551.4554455392</v>
      </c>
      <c r="G1636" s="75">
        <v>3510.3795328647288</v>
      </c>
      <c r="H1636" s="76">
        <v>2</v>
      </c>
      <c r="I1636" s="54" t="s">
        <v>20</v>
      </c>
      <c r="J1636" s="77">
        <v>40</v>
      </c>
      <c r="K1636" s="78">
        <v>2</v>
      </c>
      <c r="L1636" s="54">
        <v>1</v>
      </c>
      <c r="M1636" s="54">
        <f>_xlfn.XLOOKUP(Survey!$F1636,sections[Start],sections[Test Section],,-1,1)</f>
        <v>5</v>
      </c>
      <c r="N1636" s="55">
        <f>_xlfn.XLOOKUP(Survey!$K1636,pipedata[ID],pipedata[WT])</f>
        <v>0.74</v>
      </c>
      <c r="O1636" s="56">
        <f>_xlfn.XLOOKUP(Survey!$K1636,pipedata[ID],pipedata[104%])</f>
        <v>2565.3333333333335</v>
      </c>
      <c r="P1636" s="57">
        <f t="shared" si="25"/>
        <v>1850</v>
      </c>
      <c r="Q1636" s="58">
        <f>_xlfn.MAXIFS(Survey!$G$2:$G$3647,Survey!$M$2:$M$3647,Survey!$M1636)-Survey!$G1636</f>
        <v>224.9973064605424</v>
      </c>
      <c r="R1636" s="59">
        <f>Survey!$P1636+(Survey!$Q1636*0.433)</f>
        <v>1947.4238336974149</v>
      </c>
    </row>
    <row r="1637" spans="1:18" x14ac:dyDescent="0.25">
      <c r="A1637" s="60" t="s">
        <v>17</v>
      </c>
      <c r="B1637" s="61" t="s">
        <v>22</v>
      </c>
      <c r="C1637" s="62" t="s">
        <v>19</v>
      </c>
      <c r="D1637" s="63">
        <v>239.13692514353593</v>
      </c>
      <c r="E1637" s="79">
        <v>1292289</v>
      </c>
      <c r="F1637" s="80">
        <v>1263588.6930693015</v>
      </c>
      <c r="G1637" s="66">
        <v>3511.3432886953378</v>
      </c>
      <c r="H1637" s="67">
        <v>2</v>
      </c>
      <c r="I1637" s="68" t="s">
        <v>20</v>
      </c>
      <c r="J1637" s="69">
        <v>40</v>
      </c>
      <c r="K1637" s="70">
        <v>2</v>
      </c>
      <c r="L1637" s="68">
        <v>1</v>
      </c>
      <c r="M1637" s="68">
        <f>_xlfn.XLOOKUP(Survey!$F1637,sections[Start],sections[Test Section],,-1,1)</f>
        <v>5</v>
      </c>
      <c r="N1637" s="55">
        <f>_xlfn.XLOOKUP(Survey!$K1637,pipedata[ID],pipedata[WT])</f>
        <v>0.74</v>
      </c>
      <c r="O1637" s="56">
        <f>_xlfn.XLOOKUP(Survey!$K1637,pipedata[ID],pipedata[104%])</f>
        <v>2565.3333333333335</v>
      </c>
      <c r="P1637" s="57">
        <f t="shared" si="25"/>
        <v>1850</v>
      </c>
      <c r="Q1637" s="58">
        <f>_xlfn.MAXIFS(Survey!$G$2:$G$3647,Survey!$M$2:$M$3647,Survey!$M1637)-Survey!$G1637</f>
        <v>224.03355062993342</v>
      </c>
      <c r="R1637" s="59">
        <f>Survey!$P1637+(Survey!$Q1637*0.433)</f>
        <v>1947.0065274227611</v>
      </c>
    </row>
    <row r="1638" spans="1:18" x14ac:dyDescent="0.25">
      <c r="A1638" s="71" t="s">
        <v>17</v>
      </c>
      <c r="B1638" s="72" t="s">
        <v>22</v>
      </c>
      <c r="C1638" s="73" t="s">
        <v>19</v>
      </c>
      <c r="D1638" s="74">
        <v>239.14407900937496</v>
      </c>
      <c r="E1638" s="81">
        <v>1292329</v>
      </c>
      <c r="F1638" s="82">
        <v>1263625.9306930639</v>
      </c>
      <c r="G1638" s="75">
        <v>3497.7617752759979</v>
      </c>
      <c r="H1638" s="76">
        <v>2</v>
      </c>
      <c r="I1638" s="54" t="s">
        <v>20</v>
      </c>
      <c r="J1638" s="77">
        <v>40</v>
      </c>
      <c r="K1638" s="78">
        <v>2</v>
      </c>
      <c r="L1638" s="54">
        <v>1</v>
      </c>
      <c r="M1638" s="54">
        <f>_xlfn.XLOOKUP(Survey!$F1638,sections[Start],sections[Test Section],,-1,1)</f>
        <v>5</v>
      </c>
      <c r="N1638" s="55">
        <f>_xlfn.XLOOKUP(Survey!$K1638,pipedata[ID],pipedata[WT])</f>
        <v>0.74</v>
      </c>
      <c r="O1638" s="56">
        <f>_xlfn.XLOOKUP(Survey!$K1638,pipedata[ID],pipedata[104%])</f>
        <v>2565.3333333333335</v>
      </c>
      <c r="P1638" s="57">
        <f t="shared" si="25"/>
        <v>1850</v>
      </c>
      <c r="Q1638" s="58">
        <f>_xlfn.MAXIFS(Survey!$G$2:$G$3647,Survey!$M$2:$M$3647,Survey!$M1638)-Survey!$G1638</f>
        <v>237.61506404927331</v>
      </c>
      <c r="R1638" s="59">
        <f>Survey!$P1638+(Survey!$Q1638*0.433)</f>
        <v>1952.8873227333354</v>
      </c>
    </row>
    <row r="1639" spans="1:18" x14ac:dyDescent="0.25">
      <c r="A1639" s="60" t="s">
        <v>17</v>
      </c>
      <c r="B1639" s="61" t="s">
        <v>22</v>
      </c>
      <c r="C1639" s="62" t="s">
        <v>19</v>
      </c>
      <c r="D1639" s="63">
        <v>239.15155143635192</v>
      </c>
      <c r="E1639" s="79">
        <v>1292369</v>
      </c>
      <c r="F1639" s="80">
        <v>1263663.1683168262</v>
      </c>
      <c r="G1639" s="66">
        <v>3487.0819947498298</v>
      </c>
      <c r="H1639" s="67">
        <v>2</v>
      </c>
      <c r="I1639" s="68" t="s">
        <v>20</v>
      </c>
      <c r="J1639" s="69">
        <v>40</v>
      </c>
      <c r="K1639" s="70">
        <v>2</v>
      </c>
      <c r="L1639" s="68">
        <v>1</v>
      </c>
      <c r="M1639" s="68">
        <f>_xlfn.XLOOKUP(Survey!$F1639,sections[Start],sections[Test Section],,-1,1)</f>
        <v>5</v>
      </c>
      <c r="N1639" s="55">
        <f>_xlfn.XLOOKUP(Survey!$K1639,pipedata[ID],pipedata[WT])</f>
        <v>0.74</v>
      </c>
      <c r="O1639" s="56">
        <f>_xlfn.XLOOKUP(Survey!$K1639,pipedata[ID],pipedata[104%])</f>
        <v>2565.3333333333335</v>
      </c>
      <c r="P1639" s="57">
        <f t="shared" si="25"/>
        <v>1850</v>
      </c>
      <c r="Q1639" s="58">
        <f>_xlfn.MAXIFS(Survey!$G$2:$G$3647,Survey!$M$2:$M$3647,Survey!$M1639)-Survey!$G1639</f>
        <v>248.2948445754414</v>
      </c>
      <c r="R1639" s="59">
        <f>Survey!$P1639+(Survey!$Q1639*0.433)</f>
        <v>1957.5116677011661</v>
      </c>
    </row>
    <row r="1640" spans="1:18" x14ac:dyDescent="0.25">
      <c r="A1640" s="71" t="s">
        <v>17</v>
      </c>
      <c r="B1640" s="72" t="s">
        <v>22</v>
      </c>
      <c r="C1640" s="73" t="s">
        <v>19</v>
      </c>
      <c r="D1640" s="74">
        <v>239.15804075841305</v>
      </c>
      <c r="E1640" s="81">
        <v>1292409</v>
      </c>
      <c r="F1640" s="82">
        <v>1263700.4059405886</v>
      </c>
      <c r="G1640" s="75">
        <v>3476.7117747215116</v>
      </c>
      <c r="H1640" s="76">
        <v>2</v>
      </c>
      <c r="I1640" s="54" t="s">
        <v>20</v>
      </c>
      <c r="J1640" s="77">
        <v>40</v>
      </c>
      <c r="K1640" s="78">
        <v>2</v>
      </c>
      <c r="L1640" s="54">
        <v>1</v>
      </c>
      <c r="M1640" s="54">
        <f>_xlfn.XLOOKUP(Survey!$F1640,sections[Start],sections[Test Section],,-1,1)</f>
        <v>5</v>
      </c>
      <c r="N1640" s="55">
        <f>_xlfn.XLOOKUP(Survey!$K1640,pipedata[ID],pipedata[WT])</f>
        <v>0.74</v>
      </c>
      <c r="O1640" s="56">
        <f>_xlfn.XLOOKUP(Survey!$K1640,pipedata[ID],pipedata[104%])</f>
        <v>2565.3333333333335</v>
      </c>
      <c r="P1640" s="57">
        <f t="shared" si="25"/>
        <v>1850</v>
      </c>
      <c r="Q1640" s="58">
        <f>_xlfn.MAXIFS(Survey!$G$2:$G$3647,Survey!$M$2:$M$3647,Survey!$M1640)-Survey!$G1640</f>
        <v>258.66506460375967</v>
      </c>
      <c r="R1640" s="59">
        <f>Survey!$P1640+(Survey!$Q1640*0.433)</f>
        <v>1962.0019729734279</v>
      </c>
    </row>
    <row r="1641" spans="1:18" x14ac:dyDescent="0.25">
      <c r="A1641" s="60" t="s">
        <v>17</v>
      </c>
      <c r="B1641" s="61" t="s">
        <v>22</v>
      </c>
      <c r="C1641" s="62" t="s">
        <v>19</v>
      </c>
      <c r="D1641" s="63">
        <v>239.16598804597422</v>
      </c>
      <c r="E1641" s="79">
        <v>1292449</v>
      </c>
      <c r="F1641" s="80">
        <v>1263737.6435643509</v>
      </c>
      <c r="G1641" s="66">
        <v>3465.6611648750973</v>
      </c>
      <c r="H1641" s="67">
        <v>2</v>
      </c>
      <c r="I1641" s="68" t="s">
        <v>20</v>
      </c>
      <c r="J1641" s="69">
        <v>40</v>
      </c>
      <c r="K1641" s="70">
        <v>2</v>
      </c>
      <c r="L1641" s="68">
        <v>1</v>
      </c>
      <c r="M1641" s="68">
        <f>_xlfn.XLOOKUP(Survey!$F1641,sections[Start],sections[Test Section],,-1,1)</f>
        <v>5</v>
      </c>
      <c r="N1641" s="55">
        <f>_xlfn.XLOOKUP(Survey!$K1641,pipedata[ID],pipedata[WT])</f>
        <v>0.74</v>
      </c>
      <c r="O1641" s="56">
        <f>_xlfn.XLOOKUP(Survey!$K1641,pipedata[ID],pipedata[104%])</f>
        <v>2565.3333333333335</v>
      </c>
      <c r="P1641" s="57">
        <f t="shared" si="25"/>
        <v>1850</v>
      </c>
      <c r="Q1641" s="58">
        <f>_xlfn.MAXIFS(Survey!$G$2:$G$3647,Survey!$M$2:$M$3647,Survey!$M1641)-Survey!$G1641</f>
        <v>269.71567445017399</v>
      </c>
      <c r="R1641" s="59">
        <f>Survey!$P1641+(Survey!$Q1641*0.433)</f>
        <v>1966.7868870369252</v>
      </c>
    </row>
    <row r="1642" spans="1:18" x14ac:dyDescent="0.25">
      <c r="A1642" s="71" t="s">
        <v>17</v>
      </c>
      <c r="B1642" s="72" t="s">
        <v>22</v>
      </c>
      <c r="C1642" s="73" t="s">
        <v>19</v>
      </c>
      <c r="D1642" s="74">
        <v>239.17308147157874</v>
      </c>
      <c r="E1642" s="81">
        <v>1292489</v>
      </c>
      <c r="F1642" s="82">
        <v>1263774.8811881132</v>
      </c>
      <c r="G1642" s="75">
        <v>3456.9511696924533</v>
      </c>
      <c r="H1642" s="76">
        <v>2</v>
      </c>
      <c r="I1642" s="54" t="s">
        <v>20</v>
      </c>
      <c r="J1642" s="77">
        <v>40</v>
      </c>
      <c r="K1642" s="78">
        <v>2</v>
      </c>
      <c r="L1642" s="54">
        <v>1</v>
      </c>
      <c r="M1642" s="54">
        <f>_xlfn.XLOOKUP(Survey!$F1642,sections[Start],sections[Test Section],,-1,1)</f>
        <v>5</v>
      </c>
      <c r="N1642" s="55">
        <f>_xlfn.XLOOKUP(Survey!$K1642,pipedata[ID],pipedata[WT])</f>
        <v>0.74</v>
      </c>
      <c r="O1642" s="56">
        <f>_xlfn.XLOOKUP(Survey!$K1642,pipedata[ID],pipedata[104%])</f>
        <v>2565.3333333333335</v>
      </c>
      <c r="P1642" s="57">
        <f t="shared" si="25"/>
        <v>1850</v>
      </c>
      <c r="Q1642" s="58">
        <f>_xlfn.MAXIFS(Survey!$G$2:$G$3647,Survey!$M$2:$M$3647,Survey!$M1642)-Survey!$G1642</f>
        <v>278.42566963281797</v>
      </c>
      <c r="R1642" s="59">
        <f>Survey!$P1642+(Survey!$Q1642*0.433)</f>
        <v>1970.5583149510103</v>
      </c>
    </row>
    <row r="1643" spans="1:18" x14ac:dyDescent="0.25">
      <c r="A1643" s="60" t="s">
        <v>17</v>
      </c>
      <c r="B1643" s="61" t="s">
        <v>22</v>
      </c>
      <c r="C1643" s="62" t="s">
        <v>19</v>
      </c>
      <c r="D1643" s="63">
        <v>239.18082981379504</v>
      </c>
      <c r="E1643" s="79">
        <v>1292529</v>
      </c>
      <c r="F1643" s="80">
        <v>1263812.1188118756</v>
      </c>
      <c r="G1643" s="66">
        <v>3448.9712427003624</v>
      </c>
      <c r="H1643" s="67">
        <v>2</v>
      </c>
      <c r="I1643" s="68" t="s">
        <v>20</v>
      </c>
      <c r="J1643" s="69">
        <v>40</v>
      </c>
      <c r="K1643" s="70">
        <v>2</v>
      </c>
      <c r="L1643" s="68">
        <v>1</v>
      </c>
      <c r="M1643" s="68">
        <f>_xlfn.XLOOKUP(Survey!$F1643,sections[Start],sections[Test Section],,-1,1)</f>
        <v>5</v>
      </c>
      <c r="N1643" s="55">
        <f>_xlfn.XLOOKUP(Survey!$K1643,pipedata[ID],pipedata[WT])</f>
        <v>0.74</v>
      </c>
      <c r="O1643" s="56">
        <f>_xlfn.XLOOKUP(Survey!$K1643,pipedata[ID],pipedata[104%])</f>
        <v>2565.3333333333335</v>
      </c>
      <c r="P1643" s="57">
        <f t="shared" si="25"/>
        <v>1850</v>
      </c>
      <c r="Q1643" s="58">
        <f>_xlfn.MAXIFS(Survey!$G$2:$G$3647,Survey!$M$2:$M$3647,Survey!$M1643)-Survey!$G1643</f>
        <v>286.40559662490887</v>
      </c>
      <c r="R1643" s="59">
        <f>Survey!$P1643+(Survey!$Q1643*0.433)</f>
        <v>1974.0136233385856</v>
      </c>
    </row>
    <row r="1644" spans="1:18" x14ac:dyDescent="0.25">
      <c r="A1644" s="71" t="s">
        <v>17</v>
      </c>
      <c r="B1644" s="72" t="s">
        <v>22</v>
      </c>
      <c r="C1644" s="73" t="s">
        <v>19</v>
      </c>
      <c r="D1644" s="74">
        <v>239.18846006816946</v>
      </c>
      <c r="E1644" s="64">
        <v>1292569</v>
      </c>
      <c r="F1644" s="65">
        <v>1263849.3564356379</v>
      </c>
      <c r="G1644" s="75">
        <v>3442.9017445126251</v>
      </c>
      <c r="H1644" s="76">
        <v>2</v>
      </c>
      <c r="I1644" s="54" t="s">
        <v>20</v>
      </c>
      <c r="J1644" s="77">
        <v>40</v>
      </c>
      <c r="K1644" s="78">
        <v>2</v>
      </c>
      <c r="L1644" s="54">
        <v>1</v>
      </c>
      <c r="M1644" s="54">
        <f>_xlfn.XLOOKUP(Survey!$F1644,sections[Start],sections[Test Section],,-1,1)</f>
        <v>5</v>
      </c>
      <c r="N1644" s="55">
        <f>_xlfn.XLOOKUP(Survey!$K1644,pipedata[ID],pipedata[WT])</f>
        <v>0.74</v>
      </c>
      <c r="O1644" s="56">
        <f>_xlfn.XLOOKUP(Survey!$K1644,pipedata[ID],pipedata[104%])</f>
        <v>2565.3333333333335</v>
      </c>
      <c r="P1644" s="57">
        <f t="shared" si="25"/>
        <v>1850</v>
      </c>
      <c r="Q1644" s="58">
        <f>_xlfn.MAXIFS(Survey!$G$2:$G$3647,Survey!$M$2:$M$3647,Survey!$M1644)-Survey!$G1644</f>
        <v>292.47509481264615</v>
      </c>
      <c r="R1644" s="59">
        <f>Survey!$P1644+(Survey!$Q1644*0.433)</f>
        <v>1976.6417160538758</v>
      </c>
    </row>
    <row r="1645" spans="1:18" x14ac:dyDescent="0.25">
      <c r="A1645" s="60" t="s">
        <v>17</v>
      </c>
      <c r="B1645" s="61" t="s">
        <v>22</v>
      </c>
      <c r="C1645" s="62" t="s">
        <v>19</v>
      </c>
      <c r="D1645" s="63">
        <v>239.19461150680516</v>
      </c>
      <c r="E1645" s="79">
        <v>1292609</v>
      </c>
      <c r="F1645" s="80">
        <v>1263886.5940594003</v>
      </c>
      <c r="G1645" s="66">
        <v>3437.0334730932514</v>
      </c>
      <c r="H1645" s="67">
        <v>2</v>
      </c>
      <c r="I1645" s="68" t="s">
        <v>20</v>
      </c>
      <c r="J1645" s="69">
        <v>40</v>
      </c>
      <c r="K1645" s="70">
        <v>2</v>
      </c>
      <c r="L1645" s="68">
        <v>1</v>
      </c>
      <c r="M1645" s="68">
        <f>_xlfn.XLOOKUP(Survey!$F1645,sections[Start],sections[Test Section],,-1,1)</f>
        <v>5</v>
      </c>
      <c r="N1645" s="55">
        <f>_xlfn.XLOOKUP(Survey!$K1645,pipedata[ID],pipedata[WT])</f>
        <v>0.74</v>
      </c>
      <c r="O1645" s="56">
        <f>_xlfn.XLOOKUP(Survey!$K1645,pipedata[ID],pipedata[104%])</f>
        <v>2565.3333333333335</v>
      </c>
      <c r="P1645" s="57">
        <f t="shared" si="25"/>
        <v>1850</v>
      </c>
      <c r="Q1645" s="58">
        <f>_xlfn.MAXIFS(Survey!$G$2:$G$3647,Survey!$M$2:$M$3647,Survey!$M1645)-Survey!$G1645</f>
        <v>298.34336623201989</v>
      </c>
      <c r="R1645" s="59">
        <f>Survey!$P1645+(Survey!$Q1645*0.433)</f>
        <v>1979.1826775784646</v>
      </c>
    </row>
    <row r="1646" spans="1:18" x14ac:dyDescent="0.25">
      <c r="A1646" s="71" t="s">
        <v>17</v>
      </c>
      <c r="B1646" s="72" t="s">
        <v>22</v>
      </c>
      <c r="C1646" s="73" t="s">
        <v>19</v>
      </c>
      <c r="D1646" s="74">
        <v>239.20241783971605</v>
      </c>
      <c r="E1646" s="81">
        <v>1292649</v>
      </c>
      <c r="F1646" s="82">
        <v>1263923.8316831626</v>
      </c>
      <c r="G1646" s="75">
        <v>3430.3593096913596</v>
      </c>
      <c r="H1646" s="76">
        <v>2</v>
      </c>
      <c r="I1646" s="54" t="s">
        <v>20</v>
      </c>
      <c r="J1646" s="77">
        <v>40</v>
      </c>
      <c r="K1646" s="78">
        <v>2</v>
      </c>
      <c r="L1646" s="54">
        <v>1</v>
      </c>
      <c r="M1646" s="54">
        <f>_xlfn.XLOOKUP(Survey!$F1646,sections[Start],sections[Test Section],,-1,1)</f>
        <v>5</v>
      </c>
      <c r="N1646" s="55">
        <f>_xlfn.XLOOKUP(Survey!$K1646,pipedata[ID],pipedata[WT])</f>
        <v>0.74</v>
      </c>
      <c r="O1646" s="56">
        <f>_xlfn.XLOOKUP(Survey!$K1646,pipedata[ID],pipedata[104%])</f>
        <v>2565.3333333333335</v>
      </c>
      <c r="P1646" s="57">
        <f t="shared" si="25"/>
        <v>1850</v>
      </c>
      <c r="Q1646" s="58">
        <f>_xlfn.MAXIFS(Survey!$G$2:$G$3647,Survey!$M$2:$M$3647,Survey!$M1646)-Survey!$G1646</f>
        <v>305.01752963391164</v>
      </c>
      <c r="R1646" s="59">
        <f>Survey!$P1646+(Survey!$Q1646*0.433)</f>
        <v>1982.0725903314838</v>
      </c>
    </row>
    <row r="1647" spans="1:18" x14ac:dyDescent="0.25">
      <c r="A1647" s="60" t="s">
        <v>17</v>
      </c>
      <c r="B1647" s="61" t="s">
        <v>22</v>
      </c>
      <c r="C1647" s="62" t="s">
        <v>19</v>
      </c>
      <c r="D1647" s="63">
        <v>239.21092227140355</v>
      </c>
      <c r="E1647" s="79">
        <v>1292689</v>
      </c>
      <c r="F1647" s="80">
        <v>1263961.0693069249</v>
      </c>
      <c r="G1647" s="66">
        <v>3424.8492624480068</v>
      </c>
      <c r="H1647" s="67">
        <v>2</v>
      </c>
      <c r="I1647" s="68" t="s">
        <v>20</v>
      </c>
      <c r="J1647" s="69">
        <v>40</v>
      </c>
      <c r="K1647" s="70">
        <v>2</v>
      </c>
      <c r="L1647" s="68">
        <v>1</v>
      </c>
      <c r="M1647" s="68">
        <f>_xlfn.XLOOKUP(Survey!$F1647,sections[Start],sections[Test Section],,-1,1)</f>
        <v>5</v>
      </c>
      <c r="N1647" s="55">
        <f>_xlfn.XLOOKUP(Survey!$K1647,pipedata[ID],pipedata[WT])</f>
        <v>0.74</v>
      </c>
      <c r="O1647" s="56">
        <f>_xlfn.XLOOKUP(Survey!$K1647,pipedata[ID],pipedata[104%])</f>
        <v>2565.3333333333335</v>
      </c>
      <c r="P1647" s="57">
        <f t="shared" si="25"/>
        <v>1850</v>
      </c>
      <c r="Q1647" s="58">
        <f>_xlfn.MAXIFS(Survey!$G$2:$G$3647,Survey!$M$2:$M$3647,Survey!$M1647)-Survey!$G1647</f>
        <v>310.52757687726444</v>
      </c>
      <c r="R1647" s="59">
        <f>Survey!$P1647+(Survey!$Q1647*0.433)</f>
        <v>1984.4584407878556</v>
      </c>
    </row>
    <row r="1648" spans="1:18" x14ac:dyDescent="0.25">
      <c r="A1648" s="71" t="s">
        <v>17</v>
      </c>
      <c r="B1648" s="72" t="s">
        <v>22</v>
      </c>
      <c r="C1648" s="73" t="s">
        <v>19</v>
      </c>
      <c r="D1648" s="74">
        <v>239.2181333868117</v>
      </c>
      <c r="E1648" s="81">
        <v>1292729</v>
      </c>
      <c r="F1648" s="82">
        <v>1263998.3069306873</v>
      </c>
      <c r="G1648" s="75">
        <v>3417.983577613596</v>
      </c>
      <c r="H1648" s="76">
        <v>2</v>
      </c>
      <c r="I1648" s="54" t="s">
        <v>20</v>
      </c>
      <c r="J1648" s="77">
        <v>40</v>
      </c>
      <c r="K1648" s="78">
        <v>2</v>
      </c>
      <c r="L1648" s="54">
        <v>1</v>
      </c>
      <c r="M1648" s="54">
        <f>_xlfn.XLOOKUP(Survey!$F1648,sections[Start],sections[Test Section],,-1,1)</f>
        <v>5</v>
      </c>
      <c r="N1648" s="55">
        <f>_xlfn.XLOOKUP(Survey!$K1648,pipedata[ID],pipedata[WT])</f>
        <v>0.74</v>
      </c>
      <c r="O1648" s="56">
        <f>_xlfn.XLOOKUP(Survey!$K1648,pipedata[ID],pipedata[104%])</f>
        <v>2565.3333333333335</v>
      </c>
      <c r="P1648" s="57">
        <f t="shared" si="25"/>
        <v>1850</v>
      </c>
      <c r="Q1648" s="58">
        <f>_xlfn.MAXIFS(Survey!$G$2:$G$3647,Survey!$M$2:$M$3647,Survey!$M1648)-Survey!$G1648</f>
        <v>317.39326171167522</v>
      </c>
      <c r="R1648" s="59">
        <f>Survey!$P1648+(Survey!$Q1648*0.433)</f>
        <v>1987.4312823211553</v>
      </c>
    </row>
    <row r="1649" spans="1:18" x14ac:dyDescent="0.25">
      <c r="A1649" s="60" t="s">
        <v>17</v>
      </c>
      <c r="B1649" s="61" t="s">
        <v>22</v>
      </c>
      <c r="C1649" s="62" t="s">
        <v>19</v>
      </c>
      <c r="D1649" s="63">
        <v>239.22536869998638</v>
      </c>
      <c r="E1649" s="79">
        <v>1292769</v>
      </c>
      <c r="F1649" s="80">
        <v>1264035.5445544496</v>
      </c>
      <c r="G1649" s="66">
        <v>3409.0192162960288</v>
      </c>
      <c r="H1649" s="67">
        <v>2</v>
      </c>
      <c r="I1649" s="68" t="s">
        <v>20</v>
      </c>
      <c r="J1649" s="69">
        <v>40</v>
      </c>
      <c r="K1649" s="70">
        <v>2</v>
      </c>
      <c r="L1649" s="68">
        <v>1</v>
      </c>
      <c r="M1649" s="68">
        <f>_xlfn.XLOOKUP(Survey!$F1649,sections[Start],sections[Test Section],,-1,1)</f>
        <v>5</v>
      </c>
      <c r="N1649" s="55">
        <f>_xlfn.XLOOKUP(Survey!$K1649,pipedata[ID],pipedata[WT])</f>
        <v>0.74</v>
      </c>
      <c r="O1649" s="56">
        <f>_xlfn.XLOOKUP(Survey!$K1649,pipedata[ID],pipedata[104%])</f>
        <v>2565.3333333333335</v>
      </c>
      <c r="P1649" s="57">
        <f t="shared" si="25"/>
        <v>1850</v>
      </c>
      <c r="Q1649" s="58">
        <f>_xlfn.MAXIFS(Survey!$G$2:$G$3647,Survey!$M$2:$M$3647,Survey!$M1649)-Survey!$G1649</f>
        <v>326.3576230292424</v>
      </c>
      <c r="R1649" s="59">
        <f>Survey!$P1649+(Survey!$Q1649*0.433)</f>
        <v>1991.3128507716619</v>
      </c>
    </row>
    <row r="1650" spans="1:18" x14ac:dyDescent="0.25">
      <c r="A1650" s="71" t="s">
        <v>17</v>
      </c>
      <c r="B1650" s="72" t="s">
        <v>22</v>
      </c>
      <c r="C1650" s="73" t="s">
        <v>19</v>
      </c>
      <c r="D1650" s="74">
        <v>239.23255561762716</v>
      </c>
      <c r="E1650" s="81">
        <v>1292809</v>
      </c>
      <c r="F1650" s="82">
        <v>1264072.782178212</v>
      </c>
      <c r="G1650" s="75">
        <v>3398.5379621965635</v>
      </c>
      <c r="H1650" s="76">
        <v>2</v>
      </c>
      <c r="I1650" s="54" t="s">
        <v>20</v>
      </c>
      <c r="J1650" s="77">
        <v>40</v>
      </c>
      <c r="K1650" s="78">
        <v>2</v>
      </c>
      <c r="L1650" s="54">
        <v>1</v>
      </c>
      <c r="M1650" s="54">
        <f>_xlfn.XLOOKUP(Survey!$F1650,sections[Start],sections[Test Section],,-1,1)</f>
        <v>5</v>
      </c>
      <c r="N1650" s="55">
        <f>_xlfn.XLOOKUP(Survey!$K1650,pipedata[ID],pipedata[WT])</f>
        <v>0.74</v>
      </c>
      <c r="O1650" s="56">
        <f>_xlfn.XLOOKUP(Survey!$K1650,pipedata[ID],pipedata[104%])</f>
        <v>2565.3333333333335</v>
      </c>
      <c r="P1650" s="57">
        <f t="shared" si="25"/>
        <v>1850</v>
      </c>
      <c r="Q1650" s="58">
        <f>_xlfn.MAXIFS(Survey!$G$2:$G$3647,Survey!$M$2:$M$3647,Survey!$M1650)-Survey!$G1650</f>
        <v>336.83887712870774</v>
      </c>
      <c r="R1650" s="59">
        <f>Survey!$P1650+(Survey!$Q1650*0.433)</f>
        <v>1995.8512337967304</v>
      </c>
    </row>
    <row r="1651" spans="1:18" x14ac:dyDescent="0.25">
      <c r="A1651" s="60" t="s">
        <v>17</v>
      </c>
      <c r="B1651" s="61" t="s">
        <v>22</v>
      </c>
      <c r="C1651" s="62" t="s">
        <v>19</v>
      </c>
      <c r="D1651" s="63">
        <v>239.23976673303514</v>
      </c>
      <c r="E1651" s="64">
        <v>1292849</v>
      </c>
      <c r="F1651" s="65">
        <v>1264110.0198019743</v>
      </c>
      <c r="G1651" s="66">
        <v>3387.647269970138</v>
      </c>
      <c r="H1651" s="67">
        <v>2</v>
      </c>
      <c r="I1651" s="68" t="s">
        <v>20</v>
      </c>
      <c r="J1651" s="69">
        <v>40</v>
      </c>
      <c r="K1651" s="70">
        <v>2</v>
      </c>
      <c r="L1651" s="68">
        <v>1</v>
      </c>
      <c r="M1651" s="68">
        <f>_xlfn.XLOOKUP(Survey!$F1651,sections[Start],sections[Test Section],,-1,1)</f>
        <v>5</v>
      </c>
      <c r="N1651" s="55">
        <f>_xlfn.XLOOKUP(Survey!$K1651,pipedata[ID],pipedata[WT])</f>
        <v>0.74</v>
      </c>
      <c r="O1651" s="56">
        <f>_xlfn.XLOOKUP(Survey!$K1651,pipedata[ID],pipedata[104%])</f>
        <v>2565.3333333333335</v>
      </c>
      <c r="P1651" s="57">
        <f t="shared" si="25"/>
        <v>1850</v>
      </c>
      <c r="Q1651" s="58">
        <f>_xlfn.MAXIFS(Survey!$G$2:$G$3647,Survey!$M$2:$M$3647,Survey!$M1651)-Survey!$G1651</f>
        <v>347.72956935513321</v>
      </c>
      <c r="R1651" s="59">
        <f>Survey!$P1651+(Survey!$Q1651*0.433)</f>
        <v>2000.5669035307726</v>
      </c>
    </row>
    <row r="1652" spans="1:18" x14ac:dyDescent="0.25">
      <c r="A1652" s="71" t="s">
        <v>17</v>
      </c>
      <c r="B1652" s="72" t="s">
        <v>22</v>
      </c>
      <c r="C1652" s="73" t="s">
        <v>19</v>
      </c>
      <c r="D1652" s="74">
        <v>239.24697784844244</v>
      </c>
      <c r="E1652" s="81">
        <v>1292889</v>
      </c>
      <c r="F1652" s="82">
        <v>1264147.2574257366</v>
      </c>
      <c r="G1652" s="75">
        <v>3378.1629015887506</v>
      </c>
      <c r="H1652" s="76">
        <v>2</v>
      </c>
      <c r="I1652" s="54" t="s">
        <v>20</v>
      </c>
      <c r="J1652" s="77">
        <v>40</v>
      </c>
      <c r="K1652" s="78">
        <v>2</v>
      </c>
      <c r="L1652" s="54">
        <v>1</v>
      </c>
      <c r="M1652" s="54">
        <f>_xlfn.XLOOKUP(Survey!$F1652,sections[Start],sections[Test Section],,-1,1)</f>
        <v>5</v>
      </c>
      <c r="N1652" s="55">
        <f>_xlfn.XLOOKUP(Survey!$K1652,pipedata[ID],pipedata[WT])</f>
        <v>0.74</v>
      </c>
      <c r="O1652" s="56">
        <f>_xlfn.XLOOKUP(Survey!$K1652,pipedata[ID],pipedata[104%])</f>
        <v>2565.3333333333335</v>
      </c>
      <c r="P1652" s="57">
        <f t="shared" si="25"/>
        <v>1850</v>
      </c>
      <c r="Q1652" s="58">
        <f>_xlfn.MAXIFS(Survey!$G$2:$G$3647,Survey!$M$2:$M$3647,Survey!$M1652)-Survey!$G1652</f>
        <v>357.21393773652062</v>
      </c>
      <c r="R1652" s="59">
        <f>Survey!$P1652+(Survey!$Q1652*0.433)</f>
        <v>2004.6736350399135</v>
      </c>
    </row>
    <row r="1653" spans="1:18" x14ac:dyDescent="0.25">
      <c r="A1653" s="60" t="s">
        <v>17</v>
      </c>
      <c r="B1653" s="61" t="s">
        <v>22</v>
      </c>
      <c r="C1653" s="62" t="s">
        <v>19</v>
      </c>
      <c r="D1653" s="63">
        <v>239.25418896385037</v>
      </c>
      <c r="E1653" s="79">
        <v>1292929</v>
      </c>
      <c r="F1653" s="80">
        <v>1264184.495049499</v>
      </c>
      <c r="G1653" s="66">
        <v>3368.0292969800043</v>
      </c>
      <c r="H1653" s="67">
        <v>2</v>
      </c>
      <c r="I1653" s="68" t="s">
        <v>20</v>
      </c>
      <c r="J1653" s="69">
        <v>40</v>
      </c>
      <c r="K1653" s="70">
        <v>2</v>
      </c>
      <c r="L1653" s="68">
        <v>1</v>
      </c>
      <c r="M1653" s="68">
        <f>_xlfn.XLOOKUP(Survey!$F1653,sections[Start],sections[Test Section],,-1,1)</f>
        <v>5</v>
      </c>
      <c r="N1653" s="55">
        <f>_xlfn.XLOOKUP(Survey!$K1653,pipedata[ID],pipedata[WT])</f>
        <v>0.74</v>
      </c>
      <c r="O1653" s="56">
        <f>_xlfn.XLOOKUP(Survey!$K1653,pipedata[ID],pipedata[104%])</f>
        <v>2565.3333333333335</v>
      </c>
      <c r="P1653" s="57">
        <f t="shared" si="25"/>
        <v>1850</v>
      </c>
      <c r="Q1653" s="58">
        <f>_xlfn.MAXIFS(Survey!$G$2:$G$3647,Survey!$M$2:$M$3647,Survey!$M1653)-Survey!$G1653</f>
        <v>367.3475423452669</v>
      </c>
      <c r="R1653" s="59">
        <f>Survey!$P1653+(Survey!$Q1653*0.433)</f>
        <v>2009.0614858355007</v>
      </c>
    </row>
    <row r="1654" spans="1:18" x14ac:dyDescent="0.25">
      <c r="A1654" s="71" t="s">
        <v>17</v>
      </c>
      <c r="B1654" s="72" t="s">
        <v>22</v>
      </c>
      <c r="C1654" s="73" t="s">
        <v>19</v>
      </c>
      <c r="D1654" s="74">
        <v>239.26178491099907</v>
      </c>
      <c r="E1654" s="81">
        <v>1292969</v>
      </c>
      <c r="F1654" s="82">
        <v>1264221.7326732613</v>
      </c>
      <c r="G1654" s="75">
        <v>3358.0509038114142</v>
      </c>
      <c r="H1654" s="76">
        <v>2</v>
      </c>
      <c r="I1654" s="54" t="s">
        <v>20</v>
      </c>
      <c r="J1654" s="77">
        <v>40</v>
      </c>
      <c r="K1654" s="78">
        <v>2</v>
      </c>
      <c r="L1654" s="54">
        <v>1</v>
      </c>
      <c r="M1654" s="54">
        <f>_xlfn.XLOOKUP(Survey!$F1654,sections[Start],sections[Test Section],,-1,1)</f>
        <v>5</v>
      </c>
      <c r="N1654" s="55">
        <f>_xlfn.XLOOKUP(Survey!$K1654,pipedata[ID],pipedata[WT])</f>
        <v>0.74</v>
      </c>
      <c r="O1654" s="56">
        <f>_xlfn.XLOOKUP(Survey!$K1654,pipedata[ID],pipedata[104%])</f>
        <v>2565.3333333333335</v>
      </c>
      <c r="P1654" s="57">
        <f t="shared" si="25"/>
        <v>1850</v>
      </c>
      <c r="Q1654" s="58">
        <f>_xlfn.MAXIFS(Survey!$G$2:$G$3647,Survey!$M$2:$M$3647,Survey!$M1654)-Survey!$G1654</f>
        <v>377.32593551385708</v>
      </c>
      <c r="R1654" s="59">
        <f>Survey!$P1654+(Survey!$Q1654*0.433)</f>
        <v>2013.3821300775001</v>
      </c>
    </row>
    <row r="1655" spans="1:18" x14ac:dyDescent="0.25">
      <c r="A1655" s="60" t="s">
        <v>17</v>
      </c>
      <c r="B1655" s="61" t="s">
        <v>22</v>
      </c>
      <c r="C1655" s="62" t="s">
        <v>19</v>
      </c>
      <c r="D1655" s="63">
        <v>239.26861119466577</v>
      </c>
      <c r="E1655" s="79">
        <v>1293009</v>
      </c>
      <c r="F1655" s="80">
        <v>1264258.9702970237</v>
      </c>
      <c r="G1655" s="66">
        <v>3347.8166689004825</v>
      </c>
      <c r="H1655" s="67">
        <v>2</v>
      </c>
      <c r="I1655" s="68" t="s">
        <v>20</v>
      </c>
      <c r="J1655" s="69">
        <v>40</v>
      </c>
      <c r="K1655" s="70">
        <v>2</v>
      </c>
      <c r="L1655" s="68">
        <v>1</v>
      </c>
      <c r="M1655" s="68">
        <f>_xlfn.XLOOKUP(Survey!$F1655,sections[Start],sections[Test Section],,-1,1)</f>
        <v>5</v>
      </c>
      <c r="N1655" s="55">
        <f>_xlfn.XLOOKUP(Survey!$K1655,pipedata[ID],pipedata[WT])</f>
        <v>0.74</v>
      </c>
      <c r="O1655" s="56">
        <f>_xlfn.XLOOKUP(Survey!$K1655,pipedata[ID],pipedata[104%])</f>
        <v>2565.3333333333335</v>
      </c>
      <c r="P1655" s="57">
        <f t="shared" si="25"/>
        <v>1850</v>
      </c>
      <c r="Q1655" s="58">
        <f>_xlfn.MAXIFS(Survey!$G$2:$G$3647,Survey!$M$2:$M$3647,Survey!$M1655)-Survey!$G1655</f>
        <v>387.56017042478879</v>
      </c>
      <c r="R1655" s="59">
        <f>Survey!$P1655+(Survey!$Q1655*0.433)</f>
        <v>2017.8135537939336</v>
      </c>
    </row>
    <row r="1656" spans="1:18" x14ac:dyDescent="0.25">
      <c r="A1656" s="71" t="s">
        <v>17</v>
      </c>
      <c r="B1656" s="72" t="s">
        <v>22</v>
      </c>
      <c r="C1656" s="73" t="s">
        <v>19</v>
      </c>
      <c r="D1656" s="74">
        <v>239.27576098173023</v>
      </c>
      <c r="E1656" s="81">
        <v>1293049</v>
      </c>
      <c r="F1656" s="82">
        <v>1264296.207920786</v>
      </c>
      <c r="G1656" s="75">
        <v>3336.6011554100901</v>
      </c>
      <c r="H1656" s="76">
        <v>2</v>
      </c>
      <c r="I1656" s="54" t="s">
        <v>20</v>
      </c>
      <c r="J1656" s="77">
        <v>40</v>
      </c>
      <c r="K1656" s="78">
        <v>2</v>
      </c>
      <c r="L1656" s="54">
        <v>1</v>
      </c>
      <c r="M1656" s="54">
        <f>_xlfn.XLOOKUP(Survey!$F1656,sections[Start],sections[Test Section],,-1,1)</f>
        <v>5</v>
      </c>
      <c r="N1656" s="55">
        <f>_xlfn.XLOOKUP(Survey!$K1656,pipedata[ID],pipedata[WT])</f>
        <v>0.74</v>
      </c>
      <c r="O1656" s="56">
        <f>_xlfn.XLOOKUP(Survey!$K1656,pipedata[ID],pipedata[104%])</f>
        <v>2565.3333333333335</v>
      </c>
      <c r="P1656" s="57">
        <f t="shared" si="25"/>
        <v>1850</v>
      </c>
      <c r="Q1656" s="58">
        <f>_xlfn.MAXIFS(Survey!$G$2:$G$3647,Survey!$M$2:$M$3647,Survey!$M1656)-Survey!$G1656</f>
        <v>398.77568391518116</v>
      </c>
      <c r="R1656" s="59">
        <f>Survey!$P1656+(Survey!$Q1656*0.433)</f>
        <v>2022.6698711352735</v>
      </c>
    </row>
    <row r="1657" spans="1:18" x14ac:dyDescent="0.25">
      <c r="A1657" s="60" t="s">
        <v>17</v>
      </c>
      <c r="B1657" s="61" t="s">
        <v>22</v>
      </c>
      <c r="C1657" s="62" t="s">
        <v>19</v>
      </c>
      <c r="D1657" s="63">
        <v>239.28244420853284</v>
      </c>
      <c r="E1657" s="79">
        <v>1293089</v>
      </c>
      <c r="F1657" s="80">
        <v>1264333.4455445483</v>
      </c>
      <c r="G1657" s="66">
        <v>3323.3488626964686</v>
      </c>
      <c r="H1657" s="67">
        <v>2</v>
      </c>
      <c r="I1657" s="68" t="s">
        <v>20</v>
      </c>
      <c r="J1657" s="69">
        <v>40</v>
      </c>
      <c r="K1657" s="70">
        <v>2</v>
      </c>
      <c r="L1657" s="68">
        <v>1</v>
      </c>
      <c r="M1657" s="68">
        <f>_xlfn.XLOOKUP(Survey!$F1657,sections[Start],sections[Test Section],,-1,1)</f>
        <v>5</v>
      </c>
      <c r="N1657" s="55">
        <f>_xlfn.XLOOKUP(Survey!$K1657,pipedata[ID],pipedata[WT])</f>
        <v>0.74</v>
      </c>
      <c r="O1657" s="56">
        <f>_xlfn.XLOOKUP(Survey!$K1657,pipedata[ID],pipedata[104%])</f>
        <v>2565.3333333333335</v>
      </c>
      <c r="P1657" s="57">
        <f t="shared" si="25"/>
        <v>1850</v>
      </c>
      <c r="Q1657" s="58">
        <f>_xlfn.MAXIFS(Survey!$G$2:$G$3647,Survey!$M$2:$M$3647,Survey!$M1657)-Survey!$G1657</f>
        <v>412.02797662880266</v>
      </c>
      <c r="R1657" s="59">
        <f>Survey!$P1657+(Survey!$Q1657*0.433)</f>
        <v>2028.4081138802715</v>
      </c>
    </row>
    <row r="1658" spans="1:18" x14ac:dyDescent="0.25">
      <c r="A1658" s="71" t="s">
        <v>17</v>
      </c>
      <c r="B1658" s="72" t="s">
        <v>22</v>
      </c>
      <c r="C1658" s="73" t="s">
        <v>19</v>
      </c>
      <c r="D1658" s="74">
        <v>239.28912743533579</v>
      </c>
      <c r="E1658" s="81">
        <v>1293129</v>
      </c>
      <c r="F1658" s="82">
        <v>1264370.6831683107</v>
      </c>
      <c r="G1658" s="75">
        <v>3307.9237060000542</v>
      </c>
      <c r="H1658" s="76">
        <v>2</v>
      </c>
      <c r="I1658" s="54" t="s">
        <v>20</v>
      </c>
      <c r="J1658" s="77">
        <v>40</v>
      </c>
      <c r="K1658" s="78">
        <v>2</v>
      </c>
      <c r="L1658" s="54">
        <v>1</v>
      </c>
      <c r="M1658" s="54">
        <f>_xlfn.XLOOKUP(Survey!$F1658,sections[Start],sections[Test Section],,-1,1)</f>
        <v>5</v>
      </c>
      <c r="N1658" s="55">
        <f>_xlfn.XLOOKUP(Survey!$K1658,pipedata[ID],pipedata[WT])</f>
        <v>0.74</v>
      </c>
      <c r="O1658" s="56">
        <f>_xlfn.XLOOKUP(Survey!$K1658,pipedata[ID],pipedata[104%])</f>
        <v>2565.3333333333335</v>
      </c>
      <c r="P1658" s="57">
        <f t="shared" si="25"/>
        <v>1850</v>
      </c>
      <c r="Q1658" s="58">
        <f>_xlfn.MAXIFS(Survey!$G$2:$G$3647,Survey!$M$2:$M$3647,Survey!$M1658)-Survey!$G1658</f>
        <v>427.4531333252171</v>
      </c>
      <c r="R1658" s="59">
        <f>Survey!$P1658+(Survey!$Q1658*0.433)</f>
        <v>2035.0872067298189</v>
      </c>
    </row>
    <row r="1659" spans="1:18" x14ac:dyDescent="0.25">
      <c r="A1659" s="60" t="s">
        <v>17</v>
      </c>
      <c r="B1659" s="61" t="s">
        <v>22</v>
      </c>
      <c r="C1659" s="62" t="s">
        <v>19</v>
      </c>
      <c r="D1659" s="63">
        <v>239.29581066213865</v>
      </c>
      <c r="E1659" s="79">
        <v>1293169</v>
      </c>
      <c r="F1659" s="80">
        <v>1264407.920792073</v>
      </c>
      <c r="G1659" s="66">
        <v>3294.1305180903955</v>
      </c>
      <c r="H1659" s="67">
        <v>2</v>
      </c>
      <c r="I1659" s="68" t="s">
        <v>20</v>
      </c>
      <c r="J1659" s="69">
        <v>40</v>
      </c>
      <c r="K1659" s="70">
        <v>2</v>
      </c>
      <c r="L1659" s="68">
        <v>1</v>
      </c>
      <c r="M1659" s="68">
        <f>_xlfn.XLOOKUP(Survey!$F1659,sections[Start],sections[Test Section],,-1,1)</f>
        <v>5</v>
      </c>
      <c r="N1659" s="55">
        <f>_xlfn.XLOOKUP(Survey!$K1659,pipedata[ID],pipedata[WT])</f>
        <v>0.74</v>
      </c>
      <c r="O1659" s="56">
        <f>_xlfn.XLOOKUP(Survey!$K1659,pipedata[ID],pipedata[104%])</f>
        <v>2565.3333333333335</v>
      </c>
      <c r="P1659" s="57">
        <f t="shared" si="25"/>
        <v>1850</v>
      </c>
      <c r="Q1659" s="58">
        <f>_xlfn.MAXIFS(Survey!$G$2:$G$3647,Survey!$M$2:$M$3647,Survey!$M1659)-Survey!$G1659</f>
        <v>441.24632123487572</v>
      </c>
      <c r="R1659" s="59">
        <f>Survey!$P1659+(Survey!$Q1659*0.433)</f>
        <v>2041.0596570947012</v>
      </c>
    </row>
    <row r="1660" spans="1:18" x14ac:dyDescent="0.25">
      <c r="A1660" s="71" t="s">
        <v>17</v>
      </c>
      <c r="B1660" s="72" t="s">
        <v>22</v>
      </c>
      <c r="C1660" s="73" t="s">
        <v>19</v>
      </c>
      <c r="D1660" s="74">
        <v>239.30249388894148</v>
      </c>
      <c r="E1660" s="81">
        <v>1293209</v>
      </c>
      <c r="F1660" s="82">
        <v>1264445.1584158354</v>
      </c>
      <c r="G1660" s="75">
        <v>3270.8556798313944</v>
      </c>
      <c r="H1660" s="76">
        <v>2</v>
      </c>
      <c r="I1660" s="54" t="s">
        <v>20</v>
      </c>
      <c r="J1660" s="77">
        <v>40</v>
      </c>
      <c r="K1660" s="78">
        <v>2</v>
      </c>
      <c r="L1660" s="54">
        <v>1</v>
      </c>
      <c r="M1660" s="54">
        <f>_xlfn.XLOOKUP(Survey!$F1660,sections[Start],sections[Test Section],,-1,1)</f>
        <v>5</v>
      </c>
      <c r="N1660" s="55">
        <f>_xlfn.XLOOKUP(Survey!$K1660,pipedata[ID],pipedata[WT])</f>
        <v>0.74</v>
      </c>
      <c r="O1660" s="56">
        <f>_xlfn.XLOOKUP(Survey!$K1660,pipedata[ID],pipedata[104%])</f>
        <v>2565.3333333333335</v>
      </c>
      <c r="P1660" s="57">
        <f t="shared" si="25"/>
        <v>1850</v>
      </c>
      <c r="Q1660" s="58">
        <f>_xlfn.MAXIFS(Survey!$G$2:$G$3647,Survey!$M$2:$M$3647,Survey!$M1660)-Survey!$G1660</f>
        <v>464.52115949387689</v>
      </c>
      <c r="R1660" s="59">
        <f>Survey!$P1660+(Survey!$Q1660*0.433)</f>
        <v>2051.1376620608489</v>
      </c>
    </row>
    <row r="1661" spans="1:18" x14ac:dyDescent="0.25">
      <c r="A1661" s="60" t="s">
        <v>17</v>
      </c>
      <c r="B1661" s="61" t="s">
        <v>22</v>
      </c>
      <c r="C1661" s="62" t="s">
        <v>19</v>
      </c>
      <c r="D1661" s="63">
        <v>239.30917711574412</v>
      </c>
      <c r="E1661" s="79">
        <v>1293249</v>
      </c>
      <c r="F1661" s="80">
        <v>1264482.3960395977</v>
      </c>
      <c r="G1661" s="66">
        <v>3249.4445685252454</v>
      </c>
      <c r="H1661" s="67">
        <v>2</v>
      </c>
      <c r="I1661" s="68" t="s">
        <v>20</v>
      </c>
      <c r="J1661" s="69">
        <v>40</v>
      </c>
      <c r="K1661" s="70">
        <v>2</v>
      </c>
      <c r="L1661" s="68">
        <v>1</v>
      </c>
      <c r="M1661" s="68">
        <f>_xlfn.XLOOKUP(Survey!$F1661,sections[Start],sections[Test Section],,-1,1)</f>
        <v>5</v>
      </c>
      <c r="N1661" s="55">
        <f>_xlfn.XLOOKUP(Survey!$K1661,pipedata[ID],pipedata[WT])</f>
        <v>0.74</v>
      </c>
      <c r="O1661" s="56">
        <f>_xlfn.XLOOKUP(Survey!$K1661,pipedata[ID],pipedata[104%])</f>
        <v>2565.3333333333335</v>
      </c>
      <c r="P1661" s="57">
        <f t="shared" si="25"/>
        <v>1850</v>
      </c>
      <c r="Q1661" s="58">
        <f>_xlfn.MAXIFS(Survey!$G$2:$G$3647,Survey!$M$2:$M$3647,Survey!$M1661)-Survey!$G1661</f>
        <v>485.93227080002589</v>
      </c>
      <c r="R1661" s="59">
        <f>Survey!$P1661+(Survey!$Q1661*0.433)</f>
        <v>2060.408673256411</v>
      </c>
    </row>
    <row r="1662" spans="1:18" x14ac:dyDescent="0.25">
      <c r="A1662" s="71" t="s">
        <v>17</v>
      </c>
      <c r="B1662" s="72" t="s">
        <v>22</v>
      </c>
      <c r="C1662" s="73" t="s">
        <v>19</v>
      </c>
      <c r="D1662" s="74">
        <v>239.31548921250416</v>
      </c>
      <c r="E1662" s="81">
        <v>1293289</v>
      </c>
      <c r="F1662" s="82">
        <v>1264519.63366336</v>
      </c>
      <c r="G1662" s="75">
        <v>3230.4358944782689</v>
      </c>
      <c r="H1662" s="76">
        <v>2</v>
      </c>
      <c r="I1662" s="54" t="s">
        <v>20</v>
      </c>
      <c r="J1662" s="77">
        <v>40</v>
      </c>
      <c r="K1662" s="78">
        <v>2</v>
      </c>
      <c r="L1662" s="54">
        <v>1</v>
      </c>
      <c r="M1662" s="54">
        <f>_xlfn.XLOOKUP(Survey!$F1662,sections[Start],sections[Test Section],,-1,1)</f>
        <v>5</v>
      </c>
      <c r="N1662" s="55">
        <f>_xlfn.XLOOKUP(Survey!$K1662,pipedata[ID],pipedata[WT])</f>
        <v>0.74</v>
      </c>
      <c r="O1662" s="56">
        <f>_xlfn.XLOOKUP(Survey!$K1662,pipedata[ID],pipedata[104%])</f>
        <v>2565.3333333333335</v>
      </c>
      <c r="P1662" s="57">
        <f t="shared" si="25"/>
        <v>1850</v>
      </c>
      <c r="Q1662" s="58">
        <f>_xlfn.MAXIFS(Survey!$G$2:$G$3647,Survey!$M$2:$M$3647,Survey!$M1662)-Survey!$G1662</f>
        <v>504.94094484700236</v>
      </c>
      <c r="R1662" s="59">
        <f>Survey!$P1662+(Survey!$Q1662*0.433)</f>
        <v>2068.6394291187521</v>
      </c>
    </row>
    <row r="1663" spans="1:18" x14ac:dyDescent="0.25">
      <c r="A1663" s="60" t="s">
        <v>17</v>
      </c>
      <c r="B1663" s="61" t="s">
        <v>22</v>
      </c>
      <c r="C1663" s="62" t="s">
        <v>19</v>
      </c>
      <c r="D1663" s="63">
        <v>239.32171084770098</v>
      </c>
      <c r="E1663" s="79">
        <v>1293329</v>
      </c>
      <c r="F1663" s="80">
        <v>1264556.8712871224</v>
      </c>
      <c r="G1663" s="66">
        <v>3209.3618868024946</v>
      </c>
      <c r="H1663" s="67">
        <v>2</v>
      </c>
      <c r="I1663" s="68" t="s">
        <v>20</v>
      </c>
      <c r="J1663" s="69">
        <v>40</v>
      </c>
      <c r="K1663" s="70">
        <v>2</v>
      </c>
      <c r="L1663" s="68">
        <v>1</v>
      </c>
      <c r="M1663" s="68">
        <f>_xlfn.XLOOKUP(Survey!$F1663,sections[Start],sections[Test Section],,-1,1)</f>
        <v>5</v>
      </c>
      <c r="N1663" s="55">
        <f>_xlfn.XLOOKUP(Survey!$K1663,pipedata[ID],pipedata[WT])</f>
        <v>0.74</v>
      </c>
      <c r="O1663" s="56">
        <f>_xlfn.XLOOKUP(Survey!$K1663,pipedata[ID],pipedata[104%])</f>
        <v>2565.3333333333335</v>
      </c>
      <c r="P1663" s="57">
        <f t="shared" si="25"/>
        <v>1850</v>
      </c>
      <c r="Q1663" s="58">
        <f>_xlfn.MAXIFS(Survey!$G$2:$G$3647,Survey!$M$2:$M$3647,Survey!$M1663)-Survey!$G1663</f>
        <v>526.01495252277664</v>
      </c>
      <c r="R1663" s="59">
        <f>Survey!$P1663+(Survey!$Q1663*0.433)</f>
        <v>2077.7644744423624</v>
      </c>
    </row>
    <row r="1664" spans="1:18" x14ac:dyDescent="0.25">
      <c r="A1664" s="71" t="s">
        <v>17</v>
      </c>
      <c r="B1664" s="72" t="s">
        <v>22</v>
      </c>
      <c r="C1664" s="73" t="s">
        <v>19</v>
      </c>
      <c r="D1664" s="74">
        <v>239.32727869298185</v>
      </c>
      <c r="E1664" s="81">
        <v>1293369</v>
      </c>
      <c r="F1664" s="82">
        <v>1264594.1089108847</v>
      </c>
      <c r="G1664" s="75">
        <v>3186.8943475218753</v>
      </c>
      <c r="H1664" s="76">
        <v>2</v>
      </c>
      <c r="I1664" s="54" t="s">
        <v>20</v>
      </c>
      <c r="J1664" s="77">
        <v>40</v>
      </c>
      <c r="K1664" s="78">
        <v>2</v>
      </c>
      <c r="L1664" s="54">
        <v>1</v>
      </c>
      <c r="M1664" s="54">
        <f>_xlfn.XLOOKUP(Survey!$F1664,sections[Start],sections[Test Section],,-1,1)</f>
        <v>5</v>
      </c>
      <c r="N1664" s="55">
        <f>_xlfn.XLOOKUP(Survey!$K1664,pipedata[ID],pipedata[WT])</f>
        <v>0.74</v>
      </c>
      <c r="O1664" s="56">
        <f>_xlfn.XLOOKUP(Survey!$K1664,pipedata[ID],pipedata[104%])</f>
        <v>2565.3333333333335</v>
      </c>
      <c r="P1664" s="57">
        <f t="shared" si="25"/>
        <v>1850</v>
      </c>
      <c r="Q1664" s="58">
        <f>_xlfn.MAXIFS(Survey!$G$2:$G$3647,Survey!$M$2:$M$3647,Survey!$M1664)-Survey!$G1664</f>
        <v>548.48249180339599</v>
      </c>
      <c r="R1664" s="59">
        <f>Survey!$P1664+(Survey!$Q1664*0.433)</f>
        <v>2087.4929189508703</v>
      </c>
    </row>
    <row r="1665" spans="1:18" x14ac:dyDescent="0.25">
      <c r="A1665" s="60" t="s">
        <v>17</v>
      </c>
      <c r="B1665" s="61" t="s">
        <v>22</v>
      </c>
      <c r="C1665" s="62" t="s">
        <v>19</v>
      </c>
      <c r="D1665" s="63">
        <v>239.33493419978552</v>
      </c>
      <c r="E1665" s="79">
        <v>1293409</v>
      </c>
      <c r="F1665" s="80">
        <v>1264631.346534647</v>
      </c>
      <c r="G1665" s="66">
        <v>3168.9649922933881</v>
      </c>
      <c r="H1665" s="67">
        <v>2</v>
      </c>
      <c r="I1665" s="68" t="s">
        <v>20</v>
      </c>
      <c r="J1665" s="69">
        <v>40</v>
      </c>
      <c r="K1665" s="70">
        <v>2</v>
      </c>
      <c r="L1665" s="68">
        <v>1</v>
      </c>
      <c r="M1665" s="68">
        <f>_xlfn.XLOOKUP(Survey!$F1665,sections[Start],sections[Test Section],,-1,1)</f>
        <v>5</v>
      </c>
      <c r="N1665" s="55">
        <f>_xlfn.XLOOKUP(Survey!$K1665,pipedata[ID],pipedata[WT])</f>
        <v>0.74</v>
      </c>
      <c r="O1665" s="56">
        <f>_xlfn.XLOOKUP(Survey!$K1665,pipedata[ID],pipedata[104%])</f>
        <v>2565.3333333333335</v>
      </c>
      <c r="P1665" s="57">
        <f t="shared" si="25"/>
        <v>1850</v>
      </c>
      <c r="Q1665" s="58">
        <f>_xlfn.MAXIFS(Survey!$G$2:$G$3647,Survey!$M$2:$M$3647,Survey!$M1665)-Survey!$G1665</f>
        <v>566.4118470318831</v>
      </c>
      <c r="R1665" s="59">
        <f>Survey!$P1665+(Survey!$Q1665*0.433)</f>
        <v>2095.2563297648053</v>
      </c>
    </row>
    <row r="1666" spans="1:18" x14ac:dyDescent="0.25">
      <c r="A1666" s="71" t="s">
        <v>17</v>
      </c>
      <c r="B1666" s="72" t="s">
        <v>22</v>
      </c>
      <c r="C1666" s="73" t="s">
        <v>19</v>
      </c>
      <c r="D1666" s="74">
        <v>239.34095752999798</v>
      </c>
      <c r="E1666" s="81">
        <v>1293449</v>
      </c>
      <c r="F1666" s="82">
        <v>1264668.5841584094</v>
      </c>
      <c r="G1666" s="75">
        <v>3144.9421408237645</v>
      </c>
      <c r="H1666" s="76">
        <v>2</v>
      </c>
      <c r="I1666" s="54" t="s">
        <v>20</v>
      </c>
      <c r="J1666" s="77">
        <v>40</v>
      </c>
      <c r="K1666" s="78">
        <v>2</v>
      </c>
      <c r="L1666" s="54">
        <v>1</v>
      </c>
      <c r="M1666" s="54">
        <f>_xlfn.XLOOKUP(Survey!$F1666,sections[Start],sections[Test Section],,-1,1)</f>
        <v>5</v>
      </c>
      <c r="N1666" s="55">
        <f>_xlfn.XLOOKUP(Survey!$K1666,pipedata[ID],pipedata[WT])</f>
        <v>0.74</v>
      </c>
      <c r="O1666" s="56">
        <f>_xlfn.XLOOKUP(Survey!$K1666,pipedata[ID],pipedata[104%])</f>
        <v>2565.3333333333335</v>
      </c>
      <c r="P1666" s="57">
        <f t="shared" ref="P1666:P1729" si="26">IF(L1666=1,1850,IF(L1666=2,1850,2220))</f>
        <v>1850</v>
      </c>
      <c r="Q1666" s="58">
        <f>_xlfn.MAXIFS(Survey!$G$2:$G$3647,Survey!$M$2:$M$3647,Survey!$M1666)-Survey!$G1666</f>
        <v>590.43469850150677</v>
      </c>
      <c r="R1666" s="59">
        <f>Survey!$P1666+(Survey!$Q1666*0.433)</f>
        <v>2105.6582244511524</v>
      </c>
    </row>
    <row r="1667" spans="1:18" x14ac:dyDescent="0.25">
      <c r="A1667" s="60" t="s">
        <v>17</v>
      </c>
      <c r="B1667" s="61" t="s">
        <v>22</v>
      </c>
      <c r="C1667" s="62" t="s">
        <v>19</v>
      </c>
      <c r="D1667" s="63">
        <v>239.34833133669198</v>
      </c>
      <c r="E1667" s="79">
        <v>1293489</v>
      </c>
      <c r="F1667" s="80">
        <v>1264705.8217821717</v>
      </c>
      <c r="G1667" s="66">
        <v>3124.4262893775181</v>
      </c>
      <c r="H1667" s="67">
        <v>2</v>
      </c>
      <c r="I1667" s="68" t="s">
        <v>20</v>
      </c>
      <c r="J1667" s="69">
        <v>40</v>
      </c>
      <c r="K1667" s="70">
        <v>2</v>
      </c>
      <c r="L1667" s="68">
        <v>1</v>
      </c>
      <c r="M1667" s="68">
        <f>_xlfn.XLOOKUP(Survey!$F1667,sections[Start],sections[Test Section],,-1,1)</f>
        <v>5</v>
      </c>
      <c r="N1667" s="55">
        <f>_xlfn.XLOOKUP(Survey!$K1667,pipedata[ID],pipedata[WT])</f>
        <v>0.74</v>
      </c>
      <c r="O1667" s="56">
        <f>_xlfn.XLOOKUP(Survey!$K1667,pipedata[ID],pipedata[104%])</f>
        <v>2565.3333333333335</v>
      </c>
      <c r="P1667" s="57">
        <f t="shared" si="26"/>
        <v>1850</v>
      </c>
      <c r="Q1667" s="58">
        <f>_xlfn.MAXIFS(Survey!$G$2:$G$3647,Survey!$M$2:$M$3647,Survey!$M1667)-Survey!$G1667</f>
        <v>610.95054994775319</v>
      </c>
      <c r="R1667" s="59">
        <f>Survey!$P1667+(Survey!$Q1667*0.433)</f>
        <v>2114.5415881273771</v>
      </c>
    </row>
    <row r="1668" spans="1:18" x14ac:dyDescent="0.25">
      <c r="A1668" s="71" t="s">
        <v>17</v>
      </c>
      <c r="B1668" s="72" t="s">
        <v>22</v>
      </c>
      <c r="C1668" s="73" t="s">
        <v>19</v>
      </c>
      <c r="D1668" s="74">
        <v>239.35432398360325</v>
      </c>
      <c r="E1668" s="81">
        <v>1293529</v>
      </c>
      <c r="F1668" s="82">
        <v>1264743.0594059341</v>
      </c>
      <c r="G1668" s="75">
        <v>3106.8537307556126</v>
      </c>
      <c r="H1668" s="76">
        <v>2</v>
      </c>
      <c r="I1668" s="54" t="s">
        <v>20</v>
      </c>
      <c r="J1668" s="77">
        <v>40</v>
      </c>
      <c r="K1668" s="78">
        <v>2</v>
      </c>
      <c r="L1668" s="54">
        <v>1</v>
      </c>
      <c r="M1668" s="54">
        <f>_xlfn.XLOOKUP(Survey!$F1668,sections[Start],sections[Test Section],,-1,1)</f>
        <v>5</v>
      </c>
      <c r="N1668" s="55">
        <f>_xlfn.XLOOKUP(Survey!$K1668,pipedata[ID],pipedata[WT])</f>
        <v>0.74</v>
      </c>
      <c r="O1668" s="56">
        <f>_xlfn.XLOOKUP(Survey!$K1668,pipedata[ID],pipedata[104%])</f>
        <v>2565.3333333333335</v>
      </c>
      <c r="P1668" s="57">
        <f t="shared" si="26"/>
        <v>1850</v>
      </c>
      <c r="Q1668" s="58">
        <f>_xlfn.MAXIFS(Survey!$G$2:$G$3647,Survey!$M$2:$M$3647,Survey!$M1668)-Survey!$G1668</f>
        <v>628.52310856965869</v>
      </c>
      <c r="R1668" s="59">
        <f>Survey!$P1668+(Survey!$Q1668*0.433)</f>
        <v>2122.150506010662</v>
      </c>
    </row>
    <row r="1669" spans="1:18" x14ac:dyDescent="0.25">
      <c r="A1669" s="60" t="s">
        <v>17</v>
      </c>
      <c r="B1669" s="61" t="s">
        <v>22</v>
      </c>
      <c r="C1669" s="62" t="s">
        <v>19</v>
      </c>
      <c r="D1669" s="63">
        <v>239.36172847359862</v>
      </c>
      <c r="E1669" s="79">
        <v>1293569</v>
      </c>
      <c r="F1669" s="80">
        <v>1264780.2970296964</v>
      </c>
      <c r="G1669" s="66">
        <v>3081.5292004616185</v>
      </c>
      <c r="H1669" s="67">
        <v>2</v>
      </c>
      <c r="I1669" s="68" t="s">
        <v>20</v>
      </c>
      <c r="J1669" s="69">
        <v>40</v>
      </c>
      <c r="K1669" s="70">
        <v>2</v>
      </c>
      <c r="L1669" s="68">
        <v>1</v>
      </c>
      <c r="M1669" s="68">
        <f>_xlfn.XLOOKUP(Survey!$F1669,sections[Start],sections[Test Section],,-1,1)</f>
        <v>5</v>
      </c>
      <c r="N1669" s="55">
        <f>_xlfn.XLOOKUP(Survey!$K1669,pipedata[ID],pipedata[WT])</f>
        <v>0.74</v>
      </c>
      <c r="O1669" s="56">
        <f>_xlfn.XLOOKUP(Survey!$K1669,pipedata[ID],pipedata[104%])</f>
        <v>2565.3333333333335</v>
      </c>
      <c r="P1669" s="57">
        <f t="shared" si="26"/>
        <v>1850</v>
      </c>
      <c r="Q1669" s="58">
        <f>_xlfn.MAXIFS(Survey!$G$2:$G$3647,Survey!$M$2:$M$3647,Survey!$M1669)-Survey!$G1669</f>
        <v>653.84763886365272</v>
      </c>
      <c r="R1669" s="59">
        <f>Survey!$P1669+(Survey!$Q1669*0.433)</f>
        <v>2133.1160276279616</v>
      </c>
    </row>
    <row r="1670" spans="1:18" x14ac:dyDescent="0.25">
      <c r="A1670" s="71" t="s">
        <v>17</v>
      </c>
      <c r="B1670" s="72" t="s">
        <v>22</v>
      </c>
      <c r="C1670" s="73" t="s">
        <v>19</v>
      </c>
      <c r="D1670" s="74">
        <v>239.36769043720861</v>
      </c>
      <c r="E1670" s="81">
        <v>1293609</v>
      </c>
      <c r="F1670" s="82">
        <v>1264817.5346534587</v>
      </c>
      <c r="G1670" s="75">
        <v>3059.8153525070679</v>
      </c>
      <c r="H1670" s="76">
        <v>2</v>
      </c>
      <c r="I1670" s="54" t="s">
        <v>20</v>
      </c>
      <c r="J1670" s="77">
        <v>40</v>
      </c>
      <c r="K1670" s="78">
        <v>2</v>
      </c>
      <c r="L1670" s="54">
        <v>1</v>
      </c>
      <c r="M1670" s="54">
        <f>_xlfn.XLOOKUP(Survey!$F1670,sections[Start],sections[Test Section],,-1,1)</f>
        <v>5</v>
      </c>
      <c r="N1670" s="55">
        <f>_xlfn.XLOOKUP(Survey!$K1670,pipedata[ID],pipedata[WT])</f>
        <v>0.74</v>
      </c>
      <c r="O1670" s="56">
        <f>_xlfn.XLOOKUP(Survey!$K1670,pipedata[ID],pipedata[104%])</f>
        <v>2565.3333333333335</v>
      </c>
      <c r="P1670" s="57">
        <f t="shared" si="26"/>
        <v>1850</v>
      </c>
      <c r="Q1670" s="58">
        <f>_xlfn.MAXIFS(Survey!$G$2:$G$3647,Survey!$M$2:$M$3647,Survey!$M1670)-Survey!$G1670</f>
        <v>675.56148681820332</v>
      </c>
      <c r="R1670" s="59">
        <f>Survey!$P1670+(Survey!$Q1670*0.433)</f>
        <v>2142.518123792282</v>
      </c>
    </row>
    <row r="1671" spans="1:18" x14ac:dyDescent="0.25">
      <c r="A1671" s="60" t="s">
        <v>17</v>
      </c>
      <c r="B1671" s="61" t="s">
        <v>22</v>
      </c>
      <c r="C1671" s="62" t="s">
        <v>19</v>
      </c>
      <c r="D1671" s="63">
        <v>239.37437366401127</v>
      </c>
      <c r="E1671" s="79">
        <v>1293649</v>
      </c>
      <c r="F1671" s="80">
        <v>1264854.7722772211</v>
      </c>
      <c r="G1671" s="66">
        <v>3040.2978311557554</v>
      </c>
      <c r="H1671" s="67">
        <v>2</v>
      </c>
      <c r="I1671" s="68" t="s">
        <v>20</v>
      </c>
      <c r="J1671" s="69">
        <v>40</v>
      </c>
      <c r="K1671" s="70">
        <v>2</v>
      </c>
      <c r="L1671" s="68">
        <v>1</v>
      </c>
      <c r="M1671" s="68">
        <f>_xlfn.XLOOKUP(Survey!$F1671,sections[Start],sections[Test Section],,-1,1)</f>
        <v>5</v>
      </c>
      <c r="N1671" s="55">
        <f>_xlfn.XLOOKUP(Survey!$K1671,pipedata[ID],pipedata[WT])</f>
        <v>0.74</v>
      </c>
      <c r="O1671" s="56">
        <f>_xlfn.XLOOKUP(Survey!$K1671,pipedata[ID],pipedata[104%])</f>
        <v>2565.3333333333335</v>
      </c>
      <c r="P1671" s="57">
        <f t="shared" si="26"/>
        <v>1850</v>
      </c>
      <c r="Q1671" s="58">
        <f>_xlfn.MAXIFS(Survey!$G$2:$G$3647,Survey!$M$2:$M$3647,Survey!$M1671)-Survey!$G1671</f>
        <v>695.07900816951587</v>
      </c>
      <c r="R1671" s="59">
        <f>Survey!$P1671+(Survey!$Q1671*0.433)</f>
        <v>2150.9692105374006</v>
      </c>
    </row>
    <row r="1672" spans="1:18" x14ac:dyDescent="0.25">
      <c r="A1672" s="71" t="s">
        <v>17</v>
      </c>
      <c r="B1672" s="72" t="s">
        <v>22</v>
      </c>
      <c r="C1672" s="73" t="s">
        <v>19</v>
      </c>
      <c r="D1672" s="74">
        <v>239.38105689081416</v>
      </c>
      <c r="E1672" s="81">
        <v>1293689</v>
      </c>
      <c r="F1672" s="82">
        <v>1264892.0099009834</v>
      </c>
      <c r="G1672" s="75">
        <v>3019.3281841864141</v>
      </c>
      <c r="H1672" s="76">
        <v>2</v>
      </c>
      <c r="I1672" s="54" t="s">
        <v>20</v>
      </c>
      <c r="J1672" s="77">
        <v>40</v>
      </c>
      <c r="K1672" s="78">
        <v>2</v>
      </c>
      <c r="L1672" s="54">
        <v>1</v>
      </c>
      <c r="M1672" s="54">
        <f>_xlfn.XLOOKUP(Survey!$F1672,sections[Start],sections[Test Section],,-1,1)</f>
        <v>5</v>
      </c>
      <c r="N1672" s="55">
        <f>_xlfn.XLOOKUP(Survey!$K1672,pipedata[ID],pipedata[WT])</f>
        <v>0.74</v>
      </c>
      <c r="O1672" s="56">
        <f>_xlfn.XLOOKUP(Survey!$K1672,pipedata[ID],pipedata[104%])</f>
        <v>2565.3333333333335</v>
      </c>
      <c r="P1672" s="57">
        <f t="shared" si="26"/>
        <v>1850</v>
      </c>
      <c r="Q1672" s="58">
        <f>_xlfn.MAXIFS(Survey!$G$2:$G$3647,Survey!$M$2:$M$3647,Survey!$M1672)-Survey!$G1672</f>
        <v>716.04865513885716</v>
      </c>
      <c r="R1672" s="59">
        <f>Survey!$P1672+(Survey!$Q1672*0.433)</f>
        <v>2160.0490676751251</v>
      </c>
    </row>
    <row r="1673" spans="1:18" x14ac:dyDescent="0.25">
      <c r="A1673" s="60" t="s">
        <v>17</v>
      </c>
      <c r="B1673" s="61" t="s">
        <v>22</v>
      </c>
      <c r="C1673" s="62" t="s">
        <v>19</v>
      </c>
      <c r="D1673" s="63">
        <v>239.38774011761711</v>
      </c>
      <c r="E1673" s="79">
        <v>1293729</v>
      </c>
      <c r="F1673" s="80">
        <v>1264929.2475247458</v>
      </c>
      <c r="G1673" s="66">
        <v>2996.0166854277627</v>
      </c>
      <c r="H1673" s="67">
        <v>2</v>
      </c>
      <c r="I1673" s="68" t="s">
        <v>20</v>
      </c>
      <c r="J1673" s="69">
        <v>40</v>
      </c>
      <c r="K1673" s="70">
        <v>2</v>
      </c>
      <c r="L1673" s="68">
        <v>1</v>
      </c>
      <c r="M1673" s="68">
        <f>_xlfn.XLOOKUP(Survey!$F1673,sections[Start],sections[Test Section],,-1,1)</f>
        <v>5</v>
      </c>
      <c r="N1673" s="55">
        <f>_xlfn.XLOOKUP(Survey!$K1673,pipedata[ID],pipedata[WT])</f>
        <v>0.74</v>
      </c>
      <c r="O1673" s="56">
        <f>_xlfn.XLOOKUP(Survey!$K1673,pipedata[ID],pipedata[104%])</f>
        <v>2565.3333333333335</v>
      </c>
      <c r="P1673" s="57">
        <f t="shared" si="26"/>
        <v>1850</v>
      </c>
      <c r="Q1673" s="58">
        <f>_xlfn.MAXIFS(Survey!$G$2:$G$3647,Survey!$M$2:$M$3647,Survey!$M1673)-Survey!$G1673</f>
        <v>739.36015389750855</v>
      </c>
      <c r="R1673" s="59">
        <f>Survey!$P1673+(Survey!$Q1673*0.433)</f>
        <v>2170.1429466376212</v>
      </c>
    </row>
    <row r="1674" spans="1:18" x14ac:dyDescent="0.25">
      <c r="A1674" s="71" t="s">
        <v>17</v>
      </c>
      <c r="B1674" s="72" t="s">
        <v>22</v>
      </c>
      <c r="C1674" s="73" t="s">
        <v>19</v>
      </c>
      <c r="D1674" s="74">
        <v>239.39442334441998</v>
      </c>
      <c r="E1674" s="81">
        <v>1293769</v>
      </c>
      <c r="F1674" s="82">
        <v>1264966.4851485081</v>
      </c>
      <c r="G1674" s="75">
        <v>2974.4004472518973</v>
      </c>
      <c r="H1674" s="76">
        <v>2</v>
      </c>
      <c r="I1674" s="54" t="s">
        <v>20</v>
      </c>
      <c r="J1674" s="77">
        <v>40</v>
      </c>
      <c r="K1674" s="78">
        <v>2</v>
      </c>
      <c r="L1674" s="54">
        <v>1</v>
      </c>
      <c r="M1674" s="54">
        <f>_xlfn.XLOOKUP(Survey!$F1674,sections[Start],sections[Test Section],,-1,1)</f>
        <v>5</v>
      </c>
      <c r="N1674" s="55">
        <f>_xlfn.XLOOKUP(Survey!$K1674,pipedata[ID],pipedata[WT])</f>
        <v>0.74</v>
      </c>
      <c r="O1674" s="56">
        <f>_xlfn.XLOOKUP(Survey!$K1674,pipedata[ID],pipedata[104%])</f>
        <v>2565.3333333333335</v>
      </c>
      <c r="P1674" s="57">
        <f t="shared" si="26"/>
        <v>1850</v>
      </c>
      <c r="Q1674" s="58">
        <f>_xlfn.MAXIFS(Survey!$G$2:$G$3647,Survey!$M$2:$M$3647,Survey!$M1674)-Survey!$G1674</f>
        <v>760.97639207337397</v>
      </c>
      <c r="R1674" s="59">
        <f>Survey!$P1674+(Survey!$Q1674*0.433)</f>
        <v>2179.502777767771</v>
      </c>
    </row>
    <row r="1675" spans="1:18" x14ac:dyDescent="0.25">
      <c r="A1675" s="60" t="s">
        <v>17</v>
      </c>
      <c r="B1675" s="61" t="s">
        <v>22</v>
      </c>
      <c r="C1675" s="62" t="s">
        <v>19</v>
      </c>
      <c r="D1675" s="63">
        <v>239.40110657122256</v>
      </c>
      <c r="E1675" s="79">
        <v>1293809</v>
      </c>
      <c r="F1675" s="80">
        <v>1265003.7227722704</v>
      </c>
      <c r="G1675" s="66">
        <v>2954.1700067780948</v>
      </c>
      <c r="H1675" s="67">
        <v>2</v>
      </c>
      <c r="I1675" s="68" t="s">
        <v>20</v>
      </c>
      <c r="J1675" s="69">
        <v>40</v>
      </c>
      <c r="K1675" s="70">
        <v>2</v>
      </c>
      <c r="L1675" s="68">
        <v>1</v>
      </c>
      <c r="M1675" s="68">
        <f>_xlfn.XLOOKUP(Survey!$F1675,sections[Start],sections[Test Section],,-1,1)</f>
        <v>5</v>
      </c>
      <c r="N1675" s="55">
        <f>_xlfn.XLOOKUP(Survey!$K1675,pipedata[ID],pipedata[WT])</f>
        <v>0.74</v>
      </c>
      <c r="O1675" s="56">
        <f>_xlfn.XLOOKUP(Survey!$K1675,pipedata[ID],pipedata[104%])</f>
        <v>2565.3333333333335</v>
      </c>
      <c r="P1675" s="57">
        <f t="shared" si="26"/>
        <v>1850</v>
      </c>
      <c r="Q1675" s="58">
        <f>_xlfn.MAXIFS(Survey!$G$2:$G$3647,Survey!$M$2:$M$3647,Survey!$M1675)-Survey!$G1675</f>
        <v>781.20683254717642</v>
      </c>
      <c r="R1675" s="59">
        <f>Survey!$P1675+(Survey!$Q1675*0.433)</f>
        <v>2188.2625584929274</v>
      </c>
    </row>
    <row r="1676" spans="1:18" x14ac:dyDescent="0.25">
      <c r="A1676" s="71" t="s">
        <v>17</v>
      </c>
      <c r="B1676" s="72" t="s">
        <v>22</v>
      </c>
      <c r="C1676" s="73" t="s">
        <v>19</v>
      </c>
      <c r="D1676" s="74">
        <v>239.40778979802511</v>
      </c>
      <c r="E1676" s="81">
        <v>1293849</v>
      </c>
      <c r="F1676" s="82">
        <v>1265040.9603960328</v>
      </c>
      <c r="G1676" s="75">
        <v>2933.3779173153189</v>
      </c>
      <c r="H1676" s="76">
        <v>2</v>
      </c>
      <c r="I1676" s="54" t="s">
        <v>20</v>
      </c>
      <c r="J1676" s="77">
        <v>40</v>
      </c>
      <c r="K1676" s="78">
        <v>2</v>
      </c>
      <c r="L1676" s="54">
        <v>1</v>
      </c>
      <c r="M1676" s="54">
        <f>_xlfn.XLOOKUP(Survey!$F1676,sections[Start],sections[Test Section],,-1,1)</f>
        <v>5</v>
      </c>
      <c r="N1676" s="55">
        <f>_xlfn.XLOOKUP(Survey!$K1676,pipedata[ID],pipedata[WT])</f>
        <v>0.74</v>
      </c>
      <c r="O1676" s="56">
        <f>_xlfn.XLOOKUP(Survey!$K1676,pipedata[ID],pipedata[104%])</f>
        <v>2565.3333333333335</v>
      </c>
      <c r="P1676" s="57">
        <f t="shared" si="26"/>
        <v>1850</v>
      </c>
      <c r="Q1676" s="58">
        <f>_xlfn.MAXIFS(Survey!$G$2:$G$3647,Survey!$M$2:$M$3647,Survey!$M1676)-Survey!$G1676</f>
        <v>801.99892200995237</v>
      </c>
      <c r="R1676" s="59">
        <f>Survey!$P1676+(Survey!$Q1676*0.433)</f>
        <v>2197.2655332303093</v>
      </c>
    </row>
    <row r="1677" spans="1:18" x14ac:dyDescent="0.25">
      <c r="A1677" s="60" t="s">
        <v>17</v>
      </c>
      <c r="B1677" s="61" t="s">
        <v>22</v>
      </c>
      <c r="C1677" s="62" t="s">
        <v>19</v>
      </c>
      <c r="D1677" s="63">
        <v>239.41447302482811</v>
      </c>
      <c r="E1677" s="79">
        <v>1293889</v>
      </c>
      <c r="F1677" s="80">
        <v>1265078.1980197951</v>
      </c>
      <c r="G1677" s="66">
        <v>2917.4252134114136</v>
      </c>
      <c r="H1677" s="67">
        <v>2</v>
      </c>
      <c r="I1677" s="68" t="s">
        <v>20</v>
      </c>
      <c r="J1677" s="69">
        <v>40</v>
      </c>
      <c r="K1677" s="70">
        <v>2</v>
      </c>
      <c r="L1677" s="68">
        <v>1</v>
      </c>
      <c r="M1677" s="68">
        <f>_xlfn.XLOOKUP(Survey!$F1677,sections[Start],sections[Test Section],,-1,1)</f>
        <v>5</v>
      </c>
      <c r="N1677" s="55">
        <f>_xlfn.XLOOKUP(Survey!$K1677,pipedata[ID],pipedata[WT])</f>
        <v>0.74</v>
      </c>
      <c r="O1677" s="56">
        <f>_xlfn.XLOOKUP(Survey!$K1677,pipedata[ID],pipedata[104%])</f>
        <v>2565.3333333333335</v>
      </c>
      <c r="P1677" s="57">
        <f t="shared" si="26"/>
        <v>1850</v>
      </c>
      <c r="Q1677" s="58">
        <f>_xlfn.MAXIFS(Survey!$G$2:$G$3647,Survey!$M$2:$M$3647,Survey!$M1677)-Survey!$G1677</f>
        <v>817.9516259138577</v>
      </c>
      <c r="R1677" s="59">
        <f>Survey!$P1677+(Survey!$Q1677*0.433)</f>
        <v>2204.1730540207004</v>
      </c>
    </row>
    <row r="1678" spans="1:18" x14ac:dyDescent="0.25">
      <c r="A1678" s="71" t="s">
        <v>17</v>
      </c>
      <c r="B1678" s="72" t="s">
        <v>22</v>
      </c>
      <c r="C1678" s="73" t="s">
        <v>19</v>
      </c>
      <c r="D1678" s="74">
        <v>239.42182713344118</v>
      </c>
      <c r="E1678" s="81">
        <v>1293929</v>
      </c>
      <c r="F1678" s="82">
        <v>1265115.4356435575</v>
      </c>
      <c r="G1678" s="75">
        <v>2896.7530181742959</v>
      </c>
      <c r="H1678" s="76">
        <v>2</v>
      </c>
      <c r="I1678" s="54" t="s">
        <v>20</v>
      </c>
      <c r="J1678" s="77">
        <v>40</v>
      </c>
      <c r="K1678" s="78">
        <v>2</v>
      </c>
      <c r="L1678" s="54">
        <v>1</v>
      </c>
      <c r="M1678" s="54">
        <f>_xlfn.XLOOKUP(Survey!$F1678,sections[Start],sections[Test Section],,-1,1)</f>
        <v>5</v>
      </c>
      <c r="N1678" s="55">
        <f>_xlfn.XLOOKUP(Survey!$K1678,pipedata[ID],pipedata[WT])</f>
        <v>0.74</v>
      </c>
      <c r="O1678" s="56">
        <f>_xlfn.XLOOKUP(Survey!$K1678,pipedata[ID],pipedata[104%])</f>
        <v>2565.3333333333335</v>
      </c>
      <c r="P1678" s="57">
        <f t="shared" si="26"/>
        <v>1850</v>
      </c>
      <c r="Q1678" s="58">
        <f>_xlfn.MAXIFS(Survey!$G$2:$G$3647,Survey!$M$2:$M$3647,Survey!$M1678)-Survey!$G1678</f>
        <v>838.62382115097535</v>
      </c>
      <c r="R1678" s="59">
        <f>Survey!$P1678+(Survey!$Q1678*0.433)</f>
        <v>2213.1241145583722</v>
      </c>
    </row>
    <row r="1679" spans="1:18" x14ac:dyDescent="0.25">
      <c r="A1679" s="60" t="s">
        <v>17</v>
      </c>
      <c r="B1679" s="61" t="s">
        <v>22</v>
      </c>
      <c r="C1679" s="62" t="s">
        <v>19</v>
      </c>
      <c r="D1679" s="63">
        <v>239.42783947843387</v>
      </c>
      <c r="E1679" s="79">
        <v>1293969</v>
      </c>
      <c r="F1679" s="80">
        <v>1265152.6732673198</v>
      </c>
      <c r="G1679" s="66">
        <v>2880.2747086172576</v>
      </c>
      <c r="H1679" s="67">
        <v>2</v>
      </c>
      <c r="I1679" s="68" t="s">
        <v>20</v>
      </c>
      <c r="J1679" s="69">
        <v>40</v>
      </c>
      <c r="K1679" s="70">
        <v>2</v>
      </c>
      <c r="L1679" s="68">
        <v>1</v>
      </c>
      <c r="M1679" s="68">
        <f>_xlfn.XLOOKUP(Survey!$F1679,sections[Start],sections[Test Section],,-1,1)</f>
        <v>5</v>
      </c>
      <c r="N1679" s="55">
        <f>_xlfn.XLOOKUP(Survey!$K1679,pipedata[ID],pipedata[WT])</f>
        <v>0.74</v>
      </c>
      <c r="O1679" s="56">
        <f>_xlfn.XLOOKUP(Survey!$K1679,pipedata[ID],pipedata[104%])</f>
        <v>2565.3333333333335</v>
      </c>
      <c r="P1679" s="57">
        <f t="shared" si="26"/>
        <v>1850</v>
      </c>
      <c r="Q1679" s="58">
        <f>_xlfn.MAXIFS(Survey!$G$2:$G$3647,Survey!$M$2:$M$3647,Survey!$M1679)-Survey!$G1679</f>
        <v>855.10213070801365</v>
      </c>
      <c r="R1679" s="59">
        <f>Survey!$P1679+(Survey!$Q1679*0.433)</f>
        <v>2220.25922259657</v>
      </c>
    </row>
    <row r="1680" spans="1:18" x14ac:dyDescent="0.25">
      <c r="A1680" s="71" t="s">
        <v>17</v>
      </c>
      <c r="B1680" s="72" t="s">
        <v>22</v>
      </c>
      <c r="C1680" s="73" t="s">
        <v>19</v>
      </c>
      <c r="D1680" s="74">
        <v>239.43498267716527</v>
      </c>
      <c r="E1680" s="81">
        <v>1294009</v>
      </c>
      <c r="F1680" s="82">
        <v>1265189.9108910821</v>
      </c>
      <c r="G1680" s="75">
        <v>2862.8202139631094</v>
      </c>
      <c r="H1680" s="76">
        <v>2</v>
      </c>
      <c r="I1680" s="54" t="s">
        <v>20</v>
      </c>
      <c r="J1680" s="77">
        <v>40</v>
      </c>
      <c r="K1680" s="78">
        <v>2</v>
      </c>
      <c r="L1680" s="54">
        <v>1</v>
      </c>
      <c r="M1680" s="54">
        <f>_xlfn.XLOOKUP(Survey!$F1680,sections[Start],sections[Test Section],,-1,1)</f>
        <v>5</v>
      </c>
      <c r="N1680" s="55">
        <f>_xlfn.XLOOKUP(Survey!$K1680,pipedata[ID],pipedata[WT])</f>
        <v>0.74</v>
      </c>
      <c r="O1680" s="56">
        <f>_xlfn.XLOOKUP(Survey!$K1680,pipedata[ID],pipedata[104%])</f>
        <v>2565.3333333333335</v>
      </c>
      <c r="P1680" s="57">
        <f t="shared" si="26"/>
        <v>1850</v>
      </c>
      <c r="Q1680" s="58">
        <f>_xlfn.MAXIFS(Survey!$G$2:$G$3647,Survey!$M$2:$M$3647,Survey!$M1680)-Survey!$G1680</f>
        <v>872.55662536216187</v>
      </c>
      <c r="R1680" s="59">
        <f>Survey!$P1680+(Survey!$Q1680*0.433)</f>
        <v>2227.8170187818159</v>
      </c>
    </row>
    <row r="1681" spans="1:18" x14ac:dyDescent="0.25">
      <c r="A1681" s="60" t="s">
        <v>17</v>
      </c>
      <c r="B1681" s="61" t="s">
        <v>22</v>
      </c>
      <c r="C1681" s="62" t="s">
        <v>19</v>
      </c>
      <c r="D1681" s="63">
        <v>239.44120593203905</v>
      </c>
      <c r="E1681" s="79">
        <v>1294049</v>
      </c>
      <c r="F1681" s="80">
        <v>1265227.1485148445</v>
      </c>
      <c r="G1681" s="66">
        <v>2843.0242325072259</v>
      </c>
      <c r="H1681" s="67">
        <v>2</v>
      </c>
      <c r="I1681" s="68" t="s">
        <v>20</v>
      </c>
      <c r="J1681" s="69">
        <v>40</v>
      </c>
      <c r="K1681" s="70">
        <v>2</v>
      </c>
      <c r="L1681" s="68">
        <v>1</v>
      </c>
      <c r="M1681" s="68">
        <f>_xlfn.XLOOKUP(Survey!$F1681,sections[Start],sections[Test Section],,-1,1)</f>
        <v>5</v>
      </c>
      <c r="N1681" s="55">
        <f>_xlfn.XLOOKUP(Survey!$K1681,pipedata[ID],pipedata[WT])</f>
        <v>0.74</v>
      </c>
      <c r="O1681" s="56">
        <f>_xlfn.XLOOKUP(Survey!$K1681,pipedata[ID],pipedata[104%])</f>
        <v>2565.3333333333335</v>
      </c>
      <c r="P1681" s="57">
        <f t="shared" si="26"/>
        <v>1850</v>
      </c>
      <c r="Q1681" s="58">
        <f>_xlfn.MAXIFS(Survey!$G$2:$G$3647,Survey!$M$2:$M$3647,Survey!$M1681)-Survey!$G1681</f>
        <v>892.35260681804539</v>
      </c>
      <c r="R1681" s="59">
        <f>Survey!$P1681+(Survey!$Q1681*0.433)</f>
        <v>2236.3886787522138</v>
      </c>
    </row>
    <row r="1682" spans="1:18" x14ac:dyDescent="0.25">
      <c r="A1682" s="71" t="s">
        <v>17</v>
      </c>
      <c r="B1682" s="72" t="s">
        <v>22</v>
      </c>
      <c r="C1682" s="73" t="s">
        <v>19</v>
      </c>
      <c r="D1682" s="74">
        <v>239.44813822088676</v>
      </c>
      <c r="E1682" s="81">
        <v>1294089</v>
      </c>
      <c r="F1682" s="82">
        <v>1265264.3861386068</v>
      </c>
      <c r="G1682" s="75">
        <v>2823.9156159150075</v>
      </c>
      <c r="H1682" s="76">
        <v>2</v>
      </c>
      <c r="I1682" s="54" t="s">
        <v>20</v>
      </c>
      <c r="J1682" s="77">
        <v>40</v>
      </c>
      <c r="K1682" s="78">
        <v>2</v>
      </c>
      <c r="L1682" s="54">
        <v>1</v>
      </c>
      <c r="M1682" s="54">
        <f>_xlfn.XLOOKUP(Survey!$F1682,sections[Start],sections[Test Section],,-1,1)</f>
        <v>5</v>
      </c>
      <c r="N1682" s="55">
        <f>_xlfn.XLOOKUP(Survey!$K1682,pipedata[ID],pipedata[WT])</f>
        <v>0.74</v>
      </c>
      <c r="O1682" s="56">
        <f>_xlfn.XLOOKUP(Survey!$K1682,pipedata[ID],pipedata[104%])</f>
        <v>2565.3333333333335</v>
      </c>
      <c r="P1682" s="57">
        <f t="shared" si="26"/>
        <v>1850</v>
      </c>
      <c r="Q1682" s="58">
        <f>_xlfn.MAXIFS(Survey!$G$2:$G$3647,Survey!$M$2:$M$3647,Survey!$M1682)-Survey!$G1682</f>
        <v>911.46122341026376</v>
      </c>
      <c r="R1682" s="59">
        <f>Survey!$P1682+(Survey!$Q1682*0.433)</f>
        <v>2244.662709736644</v>
      </c>
    </row>
    <row r="1683" spans="1:18" x14ac:dyDescent="0.25">
      <c r="A1683" s="60" t="s">
        <v>17</v>
      </c>
      <c r="B1683" s="61" t="s">
        <v>22</v>
      </c>
      <c r="C1683" s="62" t="s">
        <v>19</v>
      </c>
      <c r="D1683" s="63">
        <v>239.45550843194354</v>
      </c>
      <c r="E1683" s="79">
        <v>1294129</v>
      </c>
      <c r="F1683" s="80">
        <v>1265301.6237623692</v>
      </c>
      <c r="G1683" s="66">
        <v>2803.6828882549239</v>
      </c>
      <c r="H1683" s="67">
        <v>2</v>
      </c>
      <c r="I1683" s="68" t="s">
        <v>20</v>
      </c>
      <c r="J1683" s="69">
        <v>40</v>
      </c>
      <c r="K1683" s="70">
        <v>2</v>
      </c>
      <c r="L1683" s="68">
        <v>1</v>
      </c>
      <c r="M1683" s="68">
        <f>_xlfn.XLOOKUP(Survey!$F1683,sections[Start],sections[Test Section],,-1,1)</f>
        <v>5</v>
      </c>
      <c r="N1683" s="55">
        <f>_xlfn.XLOOKUP(Survey!$K1683,pipedata[ID],pipedata[WT])</f>
        <v>0.74</v>
      </c>
      <c r="O1683" s="56">
        <f>_xlfn.XLOOKUP(Survey!$K1683,pipedata[ID],pipedata[104%])</f>
        <v>2565.3333333333335</v>
      </c>
      <c r="P1683" s="57">
        <f t="shared" si="26"/>
        <v>1850</v>
      </c>
      <c r="Q1683" s="58">
        <f>_xlfn.MAXIFS(Survey!$G$2:$G$3647,Survey!$M$2:$M$3647,Survey!$M1683)-Survey!$G1683</f>
        <v>931.69395107034734</v>
      </c>
      <c r="R1683" s="59">
        <f>Survey!$P1683+(Survey!$Q1683*0.433)</f>
        <v>2253.4234808134606</v>
      </c>
    </row>
    <row r="1684" spans="1:18" x14ac:dyDescent="0.25">
      <c r="A1684" s="71" t="s">
        <v>17</v>
      </c>
      <c r="B1684" s="72" t="s">
        <v>22</v>
      </c>
      <c r="C1684" s="73" t="s">
        <v>19</v>
      </c>
      <c r="D1684" s="74">
        <v>239.46129376461343</v>
      </c>
      <c r="E1684" s="81">
        <v>1294169</v>
      </c>
      <c r="F1684" s="82">
        <v>1265338.8613861315</v>
      </c>
      <c r="G1684" s="75">
        <v>2789.012687471889</v>
      </c>
      <c r="H1684" s="76">
        <v>2</v>
      </c>
      <c r="I1684" s="54" t="s">
        <v>20</v>
      </c>
      <c r="J1684" s="77">
        <v>40</v>
      </c>
      <c r="K1684" s="78">
        <v>2</v>
      </c>
      <c r="L1684" s="54">
        <v>1</v>
      </c>
      <c r="M1684" s="54">
        <f>_xlfn.XLOOKUP(Survey!$F1684,sections[Start],sections[Test Section],,-1,1)</f>
        <v>5</v>
      </c>
      <c r="N1684" s="55">
        <f>_xlfn.XLOOKUP(Survey!$K1684,pipedata[ID],pipedata[WT])</f>
        <v>0.74</v>
      </c>
      <c r="O1684" s="56">
        <f>_xlfn.XLOOKUP(Survey!$K1684,pipedata[ID],pipedata[104%])</f>
        <v>2565.3333333333335</v>
      </c>
      <c r="P1684" s="57">
        <f t="shared" si="26"/>
        <v>1850</v>
      </c>
      <c r="Q1684" s="58">
        <f>_xlfn.MAXIFS(Survey!$G$2:$G$3647,Survey!$M$2:$M$3647,Survey!$M1684)-Survey!$G1684</f>
        <v>946.36415185338228</v>
      </c>
      <c r="R1684" s="59">
        <f>Survey!$P1684+(Survey!$Q1684*0.433)</f>
        <v>2259.7756777525146</v>
      </c>
    </row>
    <row r="1685" spans="1:18" x14ac:dyDescent="0.25">
      <c r="A1685" s="60" t="s">
        <v>17</v>
      </c>
      <c r="B1685" s="61" t="s">
        <v>22</v>
      </c>
      <c r="C1685" s="62" t="s">
        <v>19</v>
      </c>
      <c r="D1685" s="63">
        <v>239.46890556885006</v>
      </c>
      <c r="E1685" s="79">
        <v>1294209</v>
      </c>
      <c r="F1685" s="80">
        <v>1265376.0990098938</v>
      </c>
      <c r="G1685" s="66">
        <v>2770.4135693772546</v>
      </c>
      <c r="H1685" s="67">
        <v>2</v>
      </c>
      <c r="I1685" s="68" t="s">
        <v>20</v>
      </c>
      <c r="J1685" s="69">
        <v>40</v>
      </c>
      <c r="K1685" s="70">
        <v>2</v>
      </c>
      <c r="L1685" s="68">
        <v>1</v>
      </c>
      <c r="M1685" s="68">
        <f>_xlfn.XLOOKUP(Survey!$F1685,sections[Start],sections[Test Section],,-1,1)</f>
        <v>5</v>
      </c>
      <c r="N1685" s="55">
        <f>_xlfn.XLOOKUP(Survey!$K1685,pipedata[ID],pipedata[WT])</f>
        <v>0.74</v>
      </c>
      <c r="O1685" s="56">
        <f>_xlfn.XLOOKUP(Survey!$K1685,pipedata[ID],pipedata[104%])</f>
        <v>2565.3333333333335</v>
      </c>
      <c r="P1685" s="57">
        <f t="shared" si="26"/>
        <v>1850</v>
      </c>
      <c r="Q1685" s="58">
        <f>_xlfn.MAXIFS(Survey!$G$2:$G$3647,Survey!$M$2:$M$3647,Survey!$M1685)-Survey!$G1685</f>
        <v>964.96326994801666</v>
      </c>
      <c r="R1685" s="59">
        <f>Survey!$P1685+(Survey!$Q1685*0.433)</f>
        <v>2267.8290958874913</v>
      </c>
    </row>
    <row r="1686" spans="1:18" x14ac:dyDescent="0.25">
      <c r="A1686" s="71" t="s">
        <v>17</v>
      </c>
      <c r="B1686" s="72" t="s">
        <v>22</v>
      </c>
      <c r="C1686" s="73" t="s">
        <v>19</v>
      </c>
      <c r="D1686" s="74">
        <v>239.47464719895282</v>
      </c>
      <c r="E1686" s="81">
        <v>1294249</v>
      </c>
      <c r="F1686" s="82">
        <v>1265413.3366336562</v>
      </c>
      <c r="G1686" s="75">
        <v>2747.2963852589646</v>
      </c>
      <c r="H1686" s="76">
        <v>2</v>
      </c>
      <c r="I1686" s="54" t="s">
        <v>20</v>
      </c>
      <c r="J1686" s="77">
        <v>40</v>
      </c>
      <c r="K1686" s="78">
        <v>2</v>
      </c>
      <c r="L1686" s="54">
        <v>1</v>
      </c>
      <c r="M1686" s="54">
        <f>_xlfn.XLOOKUP(Survey!$F1686,sections[Start],sections[Test Section],,-1,1)</f>
        <v>5</v>
      </c>
      <c r="N1686" s="55">
        <f>_xlfn.XLOOKUP(Survey!$K1686,pipedata[ID],pipedata[WT])</f>
        <v>0.74</v>
      </c>
      <c r="O1686" s="56">
        <f>_xlfn.XLOOKUP(Survey!$K1686,pipedata[ID],pipedata[104%])</f>
        <v>2565.3333333333335</v>
      </c>
      <c r="P1686" s="57">
        <f t="shared" si="26"/>
        <v>1850</v>
      </c>
      <c r="Q1686" s="58">
        <f>_xlfn.MAXIFS(Survey!$G$2:$G$3647,Survey!$M$2:$M$3647,Survey!$M1686)-Survey!$G1686</f>
        <v>988.08045406630663</v>
      </c>
      <c r="R1686" s="59">
        <f>Survey!$P1686+(Survey!$Q1686*0.433)</f>
        <v>2277.8388366107106</v>
      </c>
    </row>
    <row r="1687" spans="1:18" x14ac:dyDescent="0.25">
      <c r="A1687" s="60" t="s">
        <v>17</v>
      </c>
      <c r="B1687" s="61" t="s">
        <v>22</v>
      </c>
      <c r="C1687" s="62" t="s">
        <v>19</v>
      </c>
      <c r="D1687" s="63">
        <v>239.48230270575652</v>
      </c>
      <c r="E1687" s="79">
        <v>1294289</v>
      </c>
      <c r="F1687" s="80">
        <v>1265450.5742574185</v>
      </c>
      <c r="G1687" s="66">
        <v>2729.4035081955531</v>
      </c>
      <c r="H1687" s="67">
        <v>2</v>
      </c>
      <c r="I1687" s="68" t="s">
        <v>20</v>
      </c>
      <c r="J1687" s="69">
        <v>40</v>
      </c>
      <c r="K1687" s="70">
        <v>2</v>
      </c>
      <c r="L1687" s="68">
        <v>1</v>
      </c>
      <c r="M1687" s="68">
        <f>_xlfn.XLOOKUP(Survey!$F1687,sections[Start],sections[Test Section],,-1,1)</f>
        <v>5</v>
      </c>
      <c r="N1687" s="55">
        <f>_xlfn.XLOOKUP(Survey!$K1687,pipedata[ID],pipedata[WT])</f>
        <v>0.74</v>
      </c>
      <c r="O1687" s="56">
        <f>_xlfn.XLOOKUP(Survey!$K1687,pipedata[ID],pipedata[104%])</f>
        <v>2565.3333333333335</v>
      </c>
      <c r="P1687" s="57">
        <f t="shared" si="26"/>
        <v>1850</v>
      </c>
      <c r="Q1687" s="58">
        <f>_xlfn.MAXIFS(Survey!$G$2:$G$3647,Survey!$M$2:$M$3647,Survey!$M1687)-Survey!$G1687</f>
        <v>1005.9733311297182</v>
      </c>
      <c r="R1687" s="59">
        <f>Survey!$P1687+(Survey!$Q1687*0.433)</f>
        <v>2285.5864523791679</v>
      </c>
    </row>
    <row r="1688" spans="1:18" x14ac:dyDescent="0.25">
      <c r="A1688" s="71" t="s">
        <v>17</v>
      </c>
      <c r="B1688" s="72" t="s">
        <v>22</v>
      </c>
      <c r="C1688" s="73" t="s">
        <v>19</v>
      </c>
      <c r="D1688" s="74">
        <v>239.48804433585929</v>
      </c>
      <c r="E1688" s="81">
        <v>1294329</v>
      </c>
      <c r="F1688" s="82">
        <v>1265487.8118811809</v>
      </c>
      <c r="G1688" s="75">
        <v>2710.1494792382064</v>
      </c>
      <c r="H1688" s="76">
        <v>2</v>
      </c>
      <c r="I1688" s="54" t="s">
        <v>20</v>
      </c>
      <c r="J1688" s="77">
        <v>40</v>
      </c>
      <c r="K1688" s="78">
        <v>2</v>
      </c>
      <c r="L1688" s="54">
        <v>1</v>
      </c>
      <c r="M1688" s="54">
        <f>_xlfn.XLOOKUP(Survey!$F1688,sections[Start],sections[Test Section],,-1,1)</f>
        <v>5</v>
      </c>
      <c r="N1688" s="55">
        <f>_xlfn.XLOOKUP(Survey!$K1688,pipedata[ID],pipedata[WT])</f>
        <v>0.74</v>
      </c>
      <c r="O1688" s="56">
        <f>_xlfn.XLOOKUP(Survey!$K1688,pipedata[ID],pipedata[104%])</f>
        <v>2565.3333333333335</v>
      </c>
      <c r="P1688" s="57">
        <f t="shared" si="26"/>
        <v>1850</v>
      </c>
      <c r="Q1688" s="58">
        <f>_xlfn.MAXIFS(Survey!$G$2:$G$3647,Survey!$M$2:$M$3647,Survey!$M1688)-Survey!$G1688</f>
        <v>1025.2273600870649</v>
      </c>
      <c r="R1688" s="59">
        <f>Survey!$P1688+(Survey!$Q1688*0.433)</f>
        <v>2293.923446917699</v>
      </c>
    </row>
    <row r="1689" spans="1:18" x14ac:dyDescent="0.25">
      <c r="A1689" s="60" t="s">
        <v>17</v>
      </c>
      <c r="B1689" s="61" t="s">
        <v>22</v>
      </c>
      <c r="C1689" s="62" t="s">
        <v>19</v>
      </c>
      <c r="D1689" s="63">
        <v>239.49569984266296</v>
      </c>
      <c r="E1689" s="79">
        <v>1294369</v>
      </c>
      <c r="F1689" s="80">
        <v>1265525.0495049432</v>
      </c>
      <c r="G1689" s="66">
        <v>2692.4350456327757</v>
      </c>
      <c r="H1689" s="67">
        <v>2</v>
      </c>
      <c r="I1689" s="68" t="s">
        <v>20</v>
      </c>
      <c r="J1689" s="69">
        <v>40</v>
      </c>
      <c r="K1689" s="70">
        <v>2</v>
      </c>
      <c r="L1689" s="68">
        <v>1</v>
      </c>
      <c r="M1689" s="68">
        <f>_xlfn.XLOOKUP(Survey!$F1689,sections[Start],sections[Test Section],,-1,1)</f>
        <v>5</v>
      </c>
      <c r="N1689" s="55">
        <f>_xlfn.XLOOKUP(Survey!$K1689,pipedata[ID],pipedata[WT])</f>
        <v>0.74</v>
      </c>
      <c r="O1689" s="56">
        <f>_xlfn.XLOOKUP(Survey!$K1689,pipedata[ID],pipedata[104%])</f>
        <v>2565.3333333333335</v>
      </c>
      <c r="P1689" s="57">
        <f t="shared" si="26"/>
        <v>1850</v>
      </c>
      <c r="Q1689" s="58">
        <f>_xlfn.MAXIFS(Survey!$G$2:$G$3647,Survey!$M$2:$M$3647,Survey!$M1689)-Survey!$G1689</f>
        <v>1042.9417936924956</v>
      </c>
      <c r="R1689" s="59">
        <f>Survey!$P1689+(Survey!$Q1689*0.433)</f>
        <v>2301.5937966688507</v>
      </c>
    </row>
    <row r="1690" spans="1:18" x14ac:dyDescent="0.25">
      <c r="A1690" s="71" t="s">
        <v>17</v>
      </c>
      <c r="B1690" s="72" t="s">
        <v>22</v>
      </c>
      <c r="C1690" s="73" t="s">
        <v>19</v>
      </c>
      <c r="D1690" s="74">
        <v>239.50302577996473</v>
      </c>
      <c r="E1690" s="81">
        <v>1294409</v>
      </c>
      <c r="F1690" s="82">
        <v>1265562.2871287055</v>
      </c>
      <c r="G1690" s="75">
        <v>2677.6933720128791</v>
      </c>
      <c r="H1690" s="76">
        <v>2</v>
      </c>
      <c r="I1690" s="54" t="s">
        <v>20</v>
      </c>
      <c r="J1690" s="77">
        <v>40</v>
      </c>
      <c r="K1690" s="78">
        <v>2</v>
      </c>
      <c r="L1690" s="54">
        <v>1</v>
      </c>
      <c r="M1690" s="54">
        <f>_xlfn.XLOOKUP(Survey!$F1690,sections[Start],sections[Test Section],,-1,1)</f>
        <v>5</v>
      </c>
      <c r="N1690" s="55">
        <f>_xlfn.XLOOKUP(Survey!$K1690,pipedata[ID],pipedata[WT])</f>
        <v>0.74</v>
      </c>
      <c r="O1690" s="56">
        <f>_xlfn.XLOOKUP(Survey!$K1690,pipedata[ID],pipedata[104%])</f>
        <v>2565.3333333333335</v>
      </c>
      <c r="P1690" s="57">
        <f t="shared" si="26"/>
        <v>1850</v>
      </c>
      <c r="Q1690" s="58">
        <f>_xlfn.MAXIFS(Survey!$G$2:$G$3647,Survey!$M$2:$M$3647,Survey!$M1690)-Survey!$G1690</f>
        <v>1057.6834673123922</v>
      </c>
      <c r="R1690" s="59">
        <f>Survey!$P1690+(Survey!$Q1690*0.433)</f>
        <v>2307.9769413462659</v>
      </c>
    </row>
    <row r="1691" spans="1:18" x14ac:dyDescent="0.25">
      <c r="A1691" s="60" t="s">
        <v>17</v>
      </c>
      <c r="B1691" s="61" t="s">
        <v>22</v>
      </c>
      <c r="C1691" s="62" t="s">
        <v>19</v>
      </c>
      <c r="D1691" s="63">
        <v>239.51035370156146</v>
      </c>
      <c r="E1691" s="79">
        <v>1294449</v>
      </c>
      <c r="F1691" s="80">
        <v>1265599.5247524679</v>
      </c>
      <c r="G1691" s="66">
        <v>2664.3751866034563</v>
      </c>
      <c r="H1691" s="67">
        <v>2</v>
      </c>
      <c r="I1691" s="68" t="s">
        <v>20</v>
      </c>
      <c r="J1691" s="69">
        <v>40</v>
      </c>
      <c r="K1691" s="70">
        <v>2</v>
      </c>
      <c r="L1691" s="68">
        <v>1</v>
      </c>
      <c r="M1691" s="68">
        <f>_xlfn.XLOOKUP(Survey!$F1691,sections[Start],sections[Test Section],,-1,1)</f>
        <v>5</v>
      </c>
      <c r="N1691" s="55">
        <f>_xlfn.XLOOKUP(Survey!$K1691,pipedata[ID],pipedata[WT])</f>
        <v>0.74</v>
      </c>
      <c r="O1691" s="56">
        <f>_xlfn.XLOOKUP(Survey!$K1691,pipedata[ID],pipedata[104%])</f>
        <v>2565.3333333333335</v>
      </c>
      <c r="P1691" s="57">
        <f t="shared" si="26"/>
        <v>1850</v>
      </c>
      <c r="Q1691" s="58">
        <f>_xlfn.MAXIFS(Survey!$G$2:$G$3647,Survey!$M$2:$M$3647,Survey!$M1691)-Survey!$G1691</f>
        <v>1071.0016527218149</v>
      </c>
      <c r="R1691" s="59">
        <f>Survey!$P1691+(Survey!$Q1691*0.433)</f>
        <v>2313.7437156285459</v>
      </c>
    </row>
    <row r="1692" spans="1:18" x14ac:dyDescent="0.25">
      <c r="A1692" s="71" t="s">
        <v>17</v>
      </c>
      <c r="B1692" s="72" t="s">
        <v>22</v>
      </c>
      <c r="C1692" s="73" t="s">
        <v>19</v>
      </c>
      <c r="D1692" s="74">
        <v>239.51670681512087</v>
      </c>
      <c r="E1692" s="81">
        <v>1294489</v>
      </c>
      <c r="F1692" s="82">
        <v>1265636.7623762302</v>
      </c>
      <c r="G1692" s="75">
        <v>2648.0581263299023</v>
      </c>
      <c r="H1692" s="76">
        <v>2</v>
      </c>
      <c r="I1692" s="54" t="s">
        <v>20</v>
      </c>
      <c r="J1692" s="77">
        <v>28</v>
      </c>
      <c r="K1692" s="78">
        <v>2</v>
      </c>
      <c r="L1692" s="54">
        <v>1</v>
      </c>
      <c r="M1692" s="54">
        <f>_xlfn.XLOOKUP(Survey!$F1692,sections[Start],sections[Test Section],,-1,1)</f>
        <v>5</v>
      </c>
      <c r="N1692" s="55">
        <f>_xlfn.XLOOKUP(Survey!$K1692,pipedata[ID],pipedata[WT])</f>
        <v>0.74</v>
      </c>
      <c r="O1692" s="56">
        <f>_xlfn.XLOOKUP(Survey!$K1692,pipedata[ID],pipedata[104%])</f>
        <v>2565.3333333333335</v>
      </c>
      <c r="P1692" s="57">
        <f t="shared" si="26"/>
        <v>1850</v>
      </c>
      <c r="Q1692" s="58">
        <f>_xlfn.MAXIFS(Survey!$G$2:$G$3647,Survey!$M$2:$M$3647,Survey!$M1692)-Survey!$G1692</f>
        <v>1087.318712995369</v>
      </c>
      <c r="R1692" s="59">
        <f>Survey!$P1692+(Survey!$Q1692*0.433)</f>
        <v>2320.8090027269945</v>
      </c>
    </row>
    <row r="1693" spans="1:18" x14ac:dyDescent="0.25">
      <c r="A1693" s="60" t="s">
        <v>17</v>
      </c>
      <c r="B1693" s="61" t="s">
        <v>22</v>
      </c>
      <c r="C1693" s="62" t="s">
        <v>19</v>
      </c>
      <c r="D1693" s="63">
        <v>239.52305992868108</v>
      </c>
      <c r="E1693" s="79">
        <v>1294517</v>
      </c>
      <c r="F1693" s="80">
        <v>1265674</v>
      </c>
      <c r="G1693" s="66">
        <v>2628.8787123736415</v>
      </c>
      <c r="H1693" s="67">
        <v>2</v>
      </c>
      <c r="I1693" s="68" t="s">
        <v>21</v>
      </c>
      <c r="J1693" s="69">
        <v>40</v>
      </c>
      <c r="K1693" s="70">
        <v>4</v>
      </c>
      <c r="L1693" s="68">
        <v>1</v>
      </c>
      <c r="M1693" s="68">
        <f>_xlfn.XLOOKUP(Survey!$F1693,sections[Start],sections[Test Section],,-1,1)</f>
        <v>5</v>
      </c>
      <c r="N1693" s="55">
        <f>_xlfn.XLOOKUP(Survey!$K1693,pipedata[ID],pipedata[WT])</f>
        <v>0.74</v>
      </c>
      <c r="O1693" s="56">
        <f>_xlfn.XLOOKUP(Survey!$K1693,pipedata[ID],pipedata[104%])</f>
        <v>2565.3333333333335</v>
      </c>
      <c r="P1693" s="57">
        <f t="shared" si="26"/>
        <v>1850</v>
      </c>
      <c r="Q1693" s="58">
        <f>_xlfn.MAXIFS(Survey!$G$2:$G$3647,Survey!$M$2:$M$3647,Survey!$M1693)-Survey!$G1693</f>
        <v>1106.4981269516297</v>
      </c>
      <c r="R1693" s="59">
        <f>Survey!$P1693+(Survey!$Q1693*0.433)</f>
        <v>2329.1136889700556</v>
      </c>
    </row>
    <row r="1694" spans="1:18" x14ac:dyDescent="0.25">
      <c r="A1694" s="71" t="s">
        <v>17</v>
      </c>
      <c r="B1694" s="72" t="s">
        <v>22</v>
      </c>
      <c r="C1694" s="73" t="s">
        <v>19</v>
      </c>
      <c r="D1694" s="74">
        <v>239.529413042241</v>
      </c>
      <c r="E1694" s="81">
        <v>1294557</v>
      </c>
      <c r="F1694" s="82">
        <v>1265714</v>
      </c>
      <c r="G1694" s="75">
        <v>2648.2454264847115</v>
      </c>
      <c r="H1694" s="76">
        <v>2</v>
      </c>
      <c r="I1694" s="54" t="s">
        <v>20</v>
      </c>
      <c r="J1694" s="77">
        <v>52</v>
      </c>
      <c r="K1694" s="78">
        <v>2</v>
      </c>
      <c r="L1694" s="54">
        <v>1</v>
      </c>
      <c r="M1694" s="54">
        <f>_xlfn.XLOOKUP(Survey!$F1694,sections[Start],sections[Test Section],,-1,1)</f>
        <v>5</v>
      </c>
      <c r="N1694" s="55">
        <f>_xlfn.XLOOKUP(Survey!$K1694,pipedata[ID],pipedata[WT])</f>
        <v>0.74</v>
      </c>
      <c r="O1694" s="56">
        <f>_xlfn.XLOOKUP(Survey!$K1694,pipedata[ID],pipedata[104%])</f>
        <v>2565.3333333333335</v>
      </c>
      <c r="P1694" s="57">
        <f t="shared" si="26"/>
        <v>1850</v>
      </c>
      <c r="Q1694" s="58">
        <f>_xlfn.MAXIFS(Survey!$G$2:$G$3647,Survey!$M$2:$M$3647,Survey!$M1694)-Survey!$G1694</f>
        <v>1087.1314128405597</v>
      </c>
      <c r="R1694" s="59">
        <f>Survey!$P1694+(Survey!$Q1694*0.433)</f>
        <v>2320.7279017599622</v>
      </c>
    </row>
    <row r="1695" spans="1:18" x14ac:dyDescent="0.25">
      <c r="A1695" s="60" t="s">
        <v>17</v>
      </c>
      <c r="B1695" s="61" t="s">
        <v>22</v>
      </c>
      <c r="C1695" s="62" t="s">
        <v>19</v>
      </c>
      <c r="D1695" s="63">
        <v>239.53576615580087</v>
      </c>
      <c r="E1695" s="79">
        <v>1294609</v>
      </c>
      <c r="F1695" s="80">
        <v>1265751.1797752809</v>
      </c>
      <c r="G1695" s="66">
        <v>2672.0401756903307</v>
      </c>
      <c r="H1695" s="67">
        <v>2</v>
      </c>
      <c r="I1695" s="68" t="s">
        <v>20</v>
      </c>
      <c r="J1695" s="69">
        <v>40</v>
      </c>
      <c r="K1695" s="70">
        <v>2</v>
      </c>
      <c r="L1695" s="68">
        <v>1</v>
      </c>
      <c r="M1695" s="68">
        <f>_xlfn.XLOOKUP(Survey!$F1695,sections[Start],sections[Test Section],,-1,1)</f>
        <v>5</v>
      </c>
      <c r="N1695" s="55">
        <f>_xlfn.XLOOKUP(Survey!$K1695,pipedata[ID],pipedata[WT])</f>
        <v>0.74</v>
      </c>
      <c r="O1695" s="56">
        <f>_xlfn.XLOOKUP(Survey!$K1695,pipedata[ID],pipedata[104%])</f>
        <v>2565.3333333333335</v>
      </c>
      <c r="P1695" s="57">
        <f t="shared" si="26"/>
        <v>1850</v>
      </c>
      <c r="Q1695" s="58">
        <f>_xlfn.MAXIFS(Survey!$G$2:$G$3647,Survey!$M$2:$M$3647,Survey!$M1695)-Survey!$G1695</f>
        <v>1063.3366636349406</v>
      </c>
      <c r="R1695" s="59">
        <f>Survey!$P1695+(Survey!$Q1695*0.433)</f>
        <v>2310.4247753539294</v>
      </c>
    </row>
    <row r="1696" spans="1:18" x14ac:dyDescent="0.25">
      <c r="A1696" s="71" t="s">
        <v>17</v>
      </c>
      <c r="B1696" s="72" t="s">
        <v>22</v>
      </c>
      <c r="C1696" s="73" t="s">
        <v>19</v>
      </c>
      <c r="D1696" s="74">
        <v>239.54211926936097</v>
      </c>
      <c r="E1696" s="81">
        <v>1294649</v>
      </c>
      <c r="F1696" s="82">
        <v>1265788.3595505618</v>
      </c>
      <c r="G1696" s="75">
        <v>2698.3847893229422</v>
      </c>
      <c r="H1696" s="76">
        <v>2</v>
      </c>
      <c r="I1696" s="54" t="s">
        <v>20</v>
      </c>
      <c r="J1696" s="77">
        <v>40</v>
      </c>
      <c r="K1696" s="78">
        <v>2</v>
      </c>
      <c r="L1696" s="54">
        <v>1</v>
      </c>
      <c r="M1696" s="54">
        <f>_xlfn.XLOOKUP(Survey!$F1696,sections[Start],sections[Test Section],,-1,1)</f>
        <v>5</v>
      </c>
      <c r="N1696" s="55">
        <f>_xlfn.XLOOKUP(Survey!$K1696,pipedata[ID],pipedata[WT])</f>
        <v>0.74</v>
      </c>
      <c r="O1696" s="56">
        <f>_xlfn.XLOOKUP(Survey!$K1696,pipedata[ID],pipedata[104%])</f>
        <v>2565.3333333333335</v>
      </c>
      <c r="P1696" s="57">
        <f t="shared" si="26"/>
        <v>1850</v>
      </c>
      <c r="Q1696" s="58">
        <f>_xlfn.MAXIFS(Survey!$G$2:$G$3647,Survey!$M$2:$M$3647,Survey!$M1696)-Survey!$G1696</f>
        <v>1036.9920500023291</v>
      </c>
      <c r="R1696" s="59">
        <f>Survey!$P1696+(Survey!$Q1696*0.433)</f>
        <v>2299.0175576510082</v>
      </c>
    </row>
    <row r="1697" spans="1:18" x14ac:dyDescent="0.25">
      <c r="A1697" s="60" t="s">
        <v>17</v>
      </c>
      <c r="B1697" s="61" t="s">
        <v>22</v>
      </c>
      <c r="C1697" s="62" t="s">
        <v>19</v>
      </c>
      <c r="D1697" s="63">
        <v>239.54847238292137</v>
      </c>
      <c r="E1697" s="79">
        <v>1294689</v>
      </c>
      <c r="F1697" s="80">
        <v>1265825.5393258426</v>
      </c>
      <c r="G1697" s="66">
        <v>2722.7086843920365</v>
      </c>
      <c r="H1697" s="67">
        <v>2</v>
      </c>
      <c r="I1697" s="68" t="s">
        <v>20</v>
      </c>
      <c r="J1697" s="69">
        <v>40</v>
      </c>
      <c r="K1697" s="70">
        <v>2</v>
      </c>
      <c r="L1697" s="68">
        <v>1</v>
      </c>
      <c r="M1697" s="68">
        <f>_xlfn.XLOOKUP(Survey!$F1697,sections[Start],sections[Test Section],,-1,1)</f>
        <v>5</v>
      </c>
      <c r="N1697" s="55">
        <f>_xlfn.XLOOKUP(Survey!$K1697,pipedata[ID],pipedata[WT])</f>
        <v>0.74</v>
      </c>
      <c r="O1697" s="56">
        <f>_xlfn.XLOOKUP(Survey!$K1697,pipedata[ID],pipedata[104%])</f>
        <v>2565.3333333333335</v>
      </c>
      <c r="P1697" s="57">
        <f t="shared" si="26"/>
        <v>1850</v>
      </c>
      <c r="Q1697" s="58">
        <f>_xlfn.MAXIFS(Survey!$G$2:$G$3647,Survey!$M$2:$M$3647,Survey!$M1697)-Survey!$G1697</f>
        <v>1012.6681549332347</v>
      </c>
      <c r="R1697" s="59">
        <f>Survey!$P1697+(Survey!$Q1697*0.433)</f>
        <v>2288.4853110860904</v>
      </c>
    </row>
    <row r="1698" spans="1:18" x14ac:dyDescent="0.25">
      <c r="A1698" s="71" t="s">
        <v>17</v>
      </c>
      <c r="B1698" s="72" t="s">
        <v>22</v>
      </c>
      <c r="C1698" s="73" t="s">
        <v>19</v>
      </c>
      <c r="D1698" s="74">
        <v>239.55482549648144</v>
      </c>
      <c r="E1698" s="81">
        <v>1294729</v>
      </c>
      <c r="F1698" s="82">
        <v>1265862.7191011235</v>
      </c>
      <c r="G1698" s="75">
        <v>2743.4436698597465</v>
      </c>
      <c r="H1698" s="76">
        <v>2</v>
      </c>
      <c r="I1698" s="54" t="s">
        <v>20</v>
      </c>
      <c r="J1698" s="77">
        <v>40</v>
      </c>
      <c r="K1698" s="78">
        <v>2</v>
      </c>
      <c r="L1698" s="54">
        <v>1</v>
      </c>
      <c r="M1698" s="54">
        <f>_xlfn.XLOOKUP(Survey!$F1698,sections[Start],sections[Test Section],,-1,1)</f>
        <v>5</v>
      </c>
      <c r="N1698" s="55">
        <f>_xlfn.XLOOKUP(Survey!$K1698,pipedata[ID],pipedata[WT])</f>
        <v>0.74</v>
      </c>
      <c r="O1698" s="56">
        <f>_xlfn.XLOOKUP(Survey!$K1698,pipedata[ID],pipedata[104%])</f>
        <v>2565.3333333333335</v>
      </c>
      <c r="P1698" s="57">
        <f t="shared" si="26"/>
        <v>1850</v>
      </c>
      <c r="Q1698" s="58">
        <f>_xlfn.MAXIFS(Survey!$G$2:$G$3647,Survey!$M$2:$M$3647,Survey!$M1698)-Survey!$G1698</f>
        <v>991.93316946552477</v>
      </c>
      <c r="R1698" s="59">
        <f>Survey!$P1698+(Survey!$Q1698*0.433)</f>
        <v>2279.5070623785723</v>
      </c>
    </row>
    <row r="1699" spans="1:18" x14ac:dyDescent="0.25">
      <c r="A1699" s="60" t="s">
        <v>17</v>
      </c>
      <c r="B1699" s="61" t="s">
        <v>22</v>
      </c>
      <c r="C1699" s="62" t="s">
        <v>19</v>
      </c>
      <c r="D1699" s="63">
        <v>239.56060644278085</v>
      </c>
      <c r="E1699" s="79">
        <v>1294769</v>
      </c>
      <c r="F1699" s="80">
        <v>1265899.8988764044</v>
      </c>
      <c r="G1699" s="66">
        <v>2770.774821651733</v>
      </c>
      <c r="H1699" s="67">
        <v>2</v>
      </c>
      <c r="I1699" s="68" t="s">
        <v>20</v>
      </c>
      <c r="J1699" s="69">
        <v>40</v>
      </c>
      <c r="K1699" s="70">
        <v>2</v>
      </c>
      <c r="L1699" s="68">
        <v>1</v>
      </c>
      <c r="M1699" s="68">
        <f>_xlfn.XLOOKUP(Survey!$F1699,sections[Start],sections[Test Section],,-1,1)</f>
        <v>5</v>
      </c>
      <c r="N1699" s="55">
        <f>_xlfn.XLOOKUP(Survey!$K1699,pipedata[ID],pipedata[WT])</f>
        <v>0.74</v>
      </c>
      <c r="O1699" s="56">
        <f>_xlfn.XLOOKUP(Survey!$K1699,pipedata[ID],pipedata[104%])</f>
        <v>2565.3333333333335</v>
      </c>
      <c r="P1699" s="57">
        <f t="shared" si="26"/>
        <v>1850</v>
      </c>
      <c r="Q1699" s="58">
        <f>_xlfn.MAXIFS(Survey!$G$2:$G$3647,Survey!$M$2:$M$3647,Survey!$M1699)-Survey!$G1699</f>
        <v>964.60201767353828</v>
      </c>
      <c r="R1699" s="59">
        <f>Survey!$P1699+(Survey!$Q1699*0.433)</f>
        <v>2267.6726736526421</v>
      </c>
    </row>
    <row r="1700" spans="1:18" x14ac:dyDescent="0.25">
      <c r="A1700" s="71" t="s">
        <v>17</v>
      </c>
      <c r="B1700" s="72" t="s">
        <v>22</v>
      </c>
      <c r="C1700" s="73" t="s">
        <v>19</v>
      </c>
      <c r="D1700" s="74">
        <v>239.56617731466187</v>
      </c>
      <c r="E1700" s="81">
        <v>1294809</v>
      </c>
      <c r="F1700" s="82">
        <v>1265937.0786516853</v>
      </c>
      <c r="G1700" s="75">
        <v>2798.1135930043088</v>
      </c>
      <c r="H1700" s="76">
        <v>2</v>
      </c>
      <c r="I1700" s="54" t="s">
        <v>20</v>
      </c>
      <c r="J1700" s="77">
        <v>40</v>
      </c>
      <c r="K1700" s="78">
        <v>2</v>
      </c>
      <c r="L1700" s="54">
        <v>1</v>
      </c>
      <c r="M1700" s="54">
        <f>_xlfn.XLOOKUP(Survey!$F1700,sections[Start],sections[Test Section],,-1,1)</f>
        <v>5</v>
      </c>
      <c r="N1700" s="55">
        <f>_xlfn.XLOOKUP(Survey!$K1700,pipedata[ID],pipedata[WT])</f>
        <v>0.74</v>
      </c>
      <c r="O1700" s="56">
        <f>_xlfn.XLOOKUP(Survey!$K1700,pipedata[ID],pipedata[104%])</f>
        <v>2565.3333333333335</v>
      </c>
      <c r="P1700" s="57">
        <f t="shared" si="26"/>
        <v>1850</v>
      </c>
      <c r="Q1700" s="58">
        <f>_xlfn.MAXIFS(Survey!$G$2:$G$3647,Survey!$M$2:$M$3647,Survey!$M1700)-Survey!$G1700</f>
        <v>937.26324632096248</v>
      </c>
      <c r="R1700" s="59">
        <f>Survey!$P1700+(Survey!$Q1700*0.433)</f>
        <v>2255.8349856569766</v>
      </c>
    </row>
    <row r="1701" spans="1:18" x14ac:dyDescent="0.25">
      <c r="A1701" s="60" t="s">
        <v>17</v>
      </c>
      <c r="B1701" s="61" t="s">
        <v>22</v>
      </c>
      <c r="C1701" s="62" t="s">
        <v>19</v>
      </c>
      <c r="D1701" s="63">
        <v>239.57377558602872</v>
      </c>
      <c r="E1701" s="79">
        <v>1294849</v>
      </c>
      <c r="F1701" s="80">
        <v>1265974.2584269661</v>
      </c>
      <c r="G1701" s="66">
        <v>2819.8179460207302</v>
      </c>
      <c r="H1701" s="67">
        <v>2</v>
      </c>
      <c r="I1701" s="68" t="s">
        <v>20</v>
      </c>
      <c r="J1701" s="69">
        <v>40</v>
      </c>
      <c r="K1701" s="70">
        <v>2</v>
      </c>
      <c r="L1701" s="68">
        <v>1</v>
      </c>
      <c r="M1701" s="68">
        <f>_xlfn.XLOOKUP(Survey!$F1701,sections[Start],sections[Test Section],,-1,1)</f>
        <v>5</v>
      </c>
      <c r="N1701" s="55">
        <f>_xlfn.XLOOKUP(Survey!$K1701,pipedata[ID],pipedata[WT])</f>
        <v>0.74</v>
      </c>
      <c r="O1701" s="56">
        <f>_xlfn.XLOOKUP(Survey!$K1701,pipedata[ID],pipedata[104%])</f>
        <v>2565.3333333333335</v>
      </c>
      <c r="P1701" s="57">
        <f t="shared" si="26"/>
        <v>1850</v>
      </c>
      <c r="Q1701" s="58">
        <f>_xlfn.MAXIFS(Survey!$G$2:$G$3647,Survey!$M$2:$M$3647,Survey!$M1701)-Survey!$G1701</f>
        <v>915.55889330454102</v>
      </c>
      <c r="R1701" s="59">
        <f>Survey!$P1701+(Survey!$Q1701*0.433)</f>
        <v>2246.4370008008664</v>
      </c>
    </row>
    <row r="1702" spans="1:18" x14ac:dyDescent="0.25">
      <c r="A1702" s="71" t="s">
        <v>17</v>
      </c>
      <c r="B1702" s="72" t="s">
        <v>22</v>
      </c>
      <c r="C1702" s="73" t="s">
        <v>19</v>
      </c>
      <c r="D1702" s="74">
        <v>239.58000504302194</v>
      </c>
      <c r="E1702" s="81">
        <v>1294889</v>
      </c>
      <c r="F1702" s="82">
        <v>1266011.438202247</v>
      </c>
      <c r="G1702" s="75">
        <v>2837.2715555326863</v>
      </c>
      <c r="H1702" s="76">
        <v>2</v>
      </c>
      <c r="I1702" s="54" t="s">
        <v>20</v>
      </c>
      <c r="J1702" s="77">
        <v>40</v>
      </c>
      <c r="K1702" s="78">
        <v>2</v>
      </c>
      <c r="L1702" s="54">
        <v>1</v>
      </c>
      <c r="M1702" s="54">
        <f>_xlfn.XLOOKUP(Survey!$F1702,sections[Start],sections[Test Section],,-1,1)</f>
        <v>5</v>
      </c>
      <c r="N1702" s="55">
        <f>_xlfn.XLOOKUP(Survey!$K1702,pipedata[ID],pipedata[WT])</f>
        <v>0.74</v>
      </c>
      <c r="O1702" s="56">
        <f>_xlfn.XLOOKUP(Survey!$K1702,pipedata[ID],pipedata[104%])</f>
        <v>2565.3333333333335</v>
      </c>
      <c r="P1702" s="57">
        <f t="shared" si="26"/>
        <v>1850</v>
      </c>
      <c r="Q1702" s="58">
        <f>_xlfn.MAXIFS(Survey!$G$2:$G$3647,Survey!$M$2:$M$3647,Survey!$M1702)-Survey!$G1702</f>
        <v>898.10528379258494</v>
      </c>
      <c r="R1702" s="59">
        <f>Survey!$P1702+(Survey!$Q1702*0.433)</f>
        <v>2238.8795878821893</v>
      </c>
    </row>
    <row r="1703" spans="1:18" x14ac:dyDescent="0.25">
      <c r="A1703" s="60" t="s">
        <v>17</v>
      </c>
      <c r="B1703" s="61" t="s">
        <v>22</v>
      </c>
      <c r="C1703" s="62" t="s">
        <v>19</v>
      </c>
      <c r="D1703" s="63">
        <v>239.58726078298596</v>
      </c>
      <c r="E1703" s="79">
        <v>1294929</v>
      </c>
      <c r="F1703" s="80">
        <v>1266048.6179775279</v>
      </c>
      <c r="G1703" s="66">
        <v>2852.415790331544</v>
      </c>
      <c r="H1703" s="67">
        <v>2</v>
      </c>
      <c r="I1703" s="68" t="s">
        <v>20</v>
      </c>
      <c r="J1703" s="69">
        <v>40</v>
      </c>
      <c r="K1703" s="70">
        <v>2</v>
      </c>
      <c r="L1703" s="68">
        <v>1</v>
      </c>
      <c r="M1703" s="68">
        <f>_xlfn.XLOOKUP(Survey!$F1703,sections[Start],sections[Test Section],,-1,1)</f>
        <v>5</v>
      </c>
      <c r="N1703" s="55">
        <f>_xlfn.XLOOKUP(Survey!$K1703,pipedata[ID],pipedata[WT])</f>
        <v>0.74</v>
      </c>
      <c r="O1703" s="56">
        <f>_xlfn.XLOOKUP(Survey!$K1703,pipedata[ID],pipedata[104%])</f>
        <v>2565.3333333333335</v>
      </c>
      <c r="P1703" s="57">
        <f t="shared" si="26"/>
        <v>1850</v>
      </c>
      <c r="Q1703" s="58">
        <f>_xlfn.MAXIFS(Survey!$G$2:$G$3647,Survey!$M$2:$M$3647,Survey!$M1703)-Survey!$G1703</f>
        <v>882.96104899372722</v>
      </c>
      <c r="R1703" s="59">
        <f>Survey!$P1703+(Survey!$Q1703*0.433)</f>
        <v>2232.3221342142838</v>
      </c>
    </row>
    <row r="1704" spans="1:18" x14ac:dyDescent="0.25">
      <c r="A1704" s="71" t="s">
        <v>17</v>
      </c>
      <c r="B1704" s="72" t="s">
        <v>22</v>
      </c>
      <c r="C1704" s="73" t="s">
        <v>19</v>
      </c>
      <c r="D1704" s="74">
        <v>239.5938702534994</v>
      </c>
      <c r="E1704" s="81">
        <v>1294969</v>
      </c>
      <c r="F1704" s="82">
        <v>1266085.7977528088</v>
      </c>
      <c r="G1704" s="75">
        <v>2864.9685287322663</v>
      </c>
      <c r="H1704" s="76">
        <v>2</v>
      </c>
      <c r="I1704" s="54" t="s">
        <v>20</v>
      </c>
      <c r="J1704" s="77">
        <v>40</v>
      </c>
      <c r="K1704" s="78">
        <v>2</v>
      </c>
      <c r="L1704" s="54">
        <v>1</v>
      </c>
      <c r="M1704" s="54">
        <f>_xlfn.XLOOKUP(Survey!$F1704,sections[Start],sections[Test Section],,-1,1)</f>
        <v>5</v>
      </c>
      <c r="N1704" s="55">
        <f>_xlfn.XLOOKUP(Survey!$K1704,pipedata[ID],pipedata[WT])</f>
        <v>0.74</v>
      </c>
      <c r="O1704" s="56">
        <f>_xlfn.XLOOKUP(Survey!$K1704,pipedata[ID],pipedata[104%])</f>
        <v>2565.3333333333335</v>
      </c>
      <c r="P1704" s="57">
        <f t="shared" si="26"/>
        <v>1850</v>
      </c>
      <c r="Q1704" s="58">
        <f>_xlfn.MAXIFS(Survey!$G$2:$G$3647,Survey!$M$2:$M$3647,Survey!$M1704)-Survey!$G1704</f>
        <v>870.4083105930049</v>
      </c>
      <c r="R1704" s="59">
        <f>Survey!$P1704+(Survey!$Q1704*0.433)</f>
        <v>2226.8867984867711</v>
      </c>
    </row>
    <row r="1705" spans="1:18" x14ac:dyDescent="0.25">
      <c r="A1705" s="60" t="s">
        <v>17</v>
      </c>
      <c r="B1705" s="61" t="s">
        <v>22</v>
      </c>
      <c r="C1705" s="62" t="s">
        <v>19</v>
      </c>
      <c r="D1705" s="63">
        <v>239.60167899664378</v>
      </c>
      <c r="E1705" s="79">
        <v>1295009</v>
      </c>
      <c r="F1705" s="80">
        <v>1266122.9775280897</v>
      </c>
      <c r="G1705" s="66">
        <v>2875.8559095551227</v>
      </c>
      <c r="H1705" s="67">
        <v>2</v>
      </c>
      <c r="I1705" s="68" t="s">
        <v>20</v>
      </c>
      <c r="J1705" s="69">
        <v>40</v>
      </c>
      <c r="K1705" s="70">
        <v>2</v>
      </c>
      <c r="L1705" s="68">
        <v>1</v>
      </c>
      <c r="M1705" s="68">
        <f>_xlfn.XLOOKUP(Survey!$F1705,sections[Start],sections[Test Section],,-1,1)</f>
        <v>5</v>
      </c>
      <c r="N1705" s="55">
        <f>_xlfn.XLOOKUP(Survey!$K1705,pipedata[ID],pipedata[WT])</f>
        <v>0.74</v>
      </c>
      <c r="O1705" s="56">
        <f>_xlfn.XLOOKUP(Survey!$K1705,pipedata[ID],pipedata[104%])</f>
        <v>2565.3333333333335</v>
      </c>
      <c r="P1705" s="57">
        <f t="shared" si="26"/>
        <v>1850</v>
      </c>
      <c r="Q1705" s="58">
        <f>_xlfn.MAXIFS(Survey!$G$2:$G$3647,Survey!$M$2:$M$3647,Survey!$M1705)-Survey!$G1705</f>
        <v>859.52092977014854</v>
      </c>
      <c r="R1705" s="59">
        <f>Survey!$P1705+(Survey!$Q1705*0.433)</f>
        <v>2222.1725625904742</v>
      </c>
    </row>
    <row r="1706" spans="1:18" x14ac:dyDescent="0.25">
      <c r="A1706" s="71" t="s">
        <v>17</v>
      </c>
      <c r="B1706" s="72" t="s">
        <v>22</v>
      </c>
      <c r="C1706" s="73" t="s">
        <v>19</v>
      </c>
      <c r="D1706" s="74">
        <v>239.60829930737765</v>
      </c>
      <c r="E1706" s="81">
        <v>1295049</v>
      </c>
      <c r="F1706" s="82">
        <v>1266160.1573033705</v>
      </c>
      <c r="G1706" s="75">
        <v>2886.7425650503933</v>
      </c>
      <c r="H1706" s="76">
        <v>2</v>
      </c>
      <c r="I1706" s="54" t="s">
        <v>20</v>
      </c>
      <c r="J1706" s="77">
        <v>40</v>
      </c>
      <c r="K1706" s="78">
        <v>2</v>
      </c>
      <c r="L1706" s="54">
        <v>1</v>
      </c>
      <c r="M1706" s="54">
        <f>_xlfn.XLOOKUP(Survey!$F1706,sections[Start],sections[Test Section],,-1,1)</f>
        <v>5</v>
      </c>
      <c r="N1706" s="55">
        <f>_xlfn.XLOOKUP(Survey!$K1706,pipedata[ID],pipedata[WT])</f>
        <v>0.74</v>
      </c>
      <c r="O1706" s="56">
        <f>_xlfn.XLOOKUP(Survey!$K1706,pipedata[ID],pipedata[104%])</f>
        <v>2565.3333333333335</v>
      </c>
      <c r="P1706" s="57">
        <f t="shared" si="26"/>
        <v>1850</v>
      </c>
      <c r="Q1706" s="58">
        <f>_xlfn.MAXIFS(Survey!$G$2:$G$3647,Survey!$M$2:$M$3647,Survey!$M1706)-Survey!$G1706</f>
        <v>848.63427427487795</v>
      </c>
      <c r="R1706" s="59">
        <f>Survey!$P1706+(Survey!$Q1706*0.433)</f>
        <v>2217.4586407610223</v>
      </c>
    </row>
    <row r="1707" spans="1:18" x14ac:dyDescent="0.25">
      <c r="A1707" s="60" t="s">
        <v>17</v>
      </c>
      <c r="B1707" s="61" t="s">
        <v>22</v>
      </c>
      <c r="C1707" s="62" t="s">
        <v>19</v>
      </c>
      <c r="D1707" s="63">
        <v>239.61609721030192</v>
      </c>
      <c r="E1707" s="79">
        <v>1295089</v>
      </c>
      <c r="F1707" s="80">
        <v>1266197.3370786514</v>
      </c>
      <c r="G1707" s="66">
        <v>2897.1142577213009</v>
      </c>
      <c r="H1707" s="67">
        <v>2</v>
      </c>
      <c r="I1707" s="68" t="s">
        <v>20</v>
      </c>
      <c r="J1707" s="69">
        <v>40</v>
      </c>
      <c r="K1707" s="70">
        <v>2</v>
      </c>
      <c r="L1707" s="68">
        <v>1</v>
      </c>
      <c r="M1707" s="68">
        <f>_xlfn.XLOOKUP(Survey!$F1707,sections[Start],sections[Test Section],,-1,1)</f>
        <v>5</v>
      </c>
      <c r="N1707" s="55">
        <f>_xlfn.XLOOKUP(Survey!$K1707,pipedata[ID],pipedata[WT])</f>
        <v>0.74</v>
      </c>
      <c r="O1707" s="56">
        <f>_xlfn.XLOOKUP(Survey!$K1707,pipedata[ID],pipedata[104%])</f>
        <v>2565.3333333333335</v>
      </c>
      <c r="P1707" s="57">
        <f t="shared" si="26"/>
        <v>1850</v>
      </c>
      <c r="Q1707" s="58">
        <f>_xlfn.MAXIFS(Survey!$G$2:$G$3647,Survey!$M$2:$M$3647,Survey!$M1707)-Survey!$G1707</f>
        <v>838.26258160397037</v>
      </c>
      <c r="R1707" s="59">
        <f>Survey!$P1707+(Survey!$Q1707*0.433)</f>
        <v>2212.9676978345192</v>
      </c>
    </row>
    <row r="1708" spans="1:18" x14ac:dyDescent="0.25">
      <c r="A1708" s="71" t="s">
        <v>17</v>
      </c>
      <c r="B1708" s="72" t="s">
        <v>22</v>
      </c>
      <c r="C1708" s="73" t="s">
        <v>19</v>
      </c>
      <c r="D1708" s="74">
        <v>239.62272836125609</v>
      </c>
      <c r="E1708" s="81">
        <v>1295129</v>
      </c>
      <c r="F1708" s="82">
        <v>1266234.5168539323</v>
      </c>
      <c r="G1708" s="75">
        <v>2909.7517659841401</v>
      </c>
      <c r="H1708" s="76">
        <v>2</v>
      </c>
      <c r="I1708" s="54" t="s">
        <v>20</v>
      </c>
      <c r="J1708" s="77">
        <v>40</v>
      </c>
      <c r="K1708" s="78">
        <v>2</v>
      </c>
      <c r="L1708" s="54">
        <v>1</v>
      </c>
      <c r="M1708" s="54">
        <f>_xlfn.XLOOKUP(Survey!$F1708,sections[Start],sections[Test Section],,-1,1)</f>
        <v>5</v>
      </c>
      <c r="N1708" s="55">
        <f>_xlfn.XLOOKUP(Survey!$K1708,pipedata[ID],pipedata[WT])</f>
        <v>0.74</v>
      </c>
      <c r="O1708" s="56">
        <f>_xlfn.XLOOKUP(Survey!$K1708,pipedata[ID],pipedata[104%])</f>
        <v>2565.3333333333335</v>
      </c>
      <c r="P1708" s="57">
        <f t="shared" si="26"/>
        <v>1850</v>
      </c>
      <c r="Q1708" s="58">
        <f>_xlfn.MAXIFS(Survey!$G$2:$G$3647,Survey!$M$2:$M$3647,Survey!$M1708)-Survey!$G1708</f>
        <v>825.62507334113116</v>
      </c>
      <c r="R1708" s="59">
        <f>Survey!$P1708+(Survey!$Q1708*0.433)</f>
        <v>2207.4956567567096</v>
      </c>
    </row>
    <row r="1709" spans="1:18" x14ac:dyDescent="0.25">
      <c r="A1709" s="60" t="s">
        <v>17</v>
      </c>
      <c r="B1709" s="61" t="s">
        <v>22</v>
      </c>
      <c r="C1709" s="62" t="s">
        <v>19</v>
      </c>
      <c r="D1709" s="63">
        <v>239.63017433021952</v>
      </c>
      <c r="E1709" s="79">
        <v>1295169</v>
      </c>
      <c r="F1709" s="80">
        <v>1266271.6966292132</v>
      </c>
      <c r="G1709" s="66">
        <v>2920.2339817496168</v>
      </c>
      <c r="H1709" s="67">
        <v>2</v>
      </c>
      <c r="I1709" s="68" t="s">
        <v>20</v>
      </c>
      <c r="J1709" s="69">
        <v>40</v>
      </c>
      <c r="K1709" s="70">
        <v>2</v>
      </c>
      <c r="L1709" s="68">
        <v>1</v>
      </c>
      <c r="M1709" s="68">
        <f>_xlfn.XLOOKUP(Survey!$F1709,sections[Start],sections[Test Section],,-1,1)</f>
        <v>5</v>
      </c>
      <c r="N1709" s="55">
        <f>_xlfn.XLOOKUP(Survey!$K1709,pipedata[ID],pipedata[WT])</f>
        <v>0.74</v>
      </c>
      <c r="O1709" s="56">
        <f>_xlfn.XLOOKUP(Survey!$K1709,pipedata[ID],pipedata[104%])</f>
        <v>2565.3333333333335</v>
      </c>
      <c r="P1709" s="57">
        <f t="shared" si="26"/>
        <v>1850</v>
      </c>
      <c r="Q1709" s="58">
        <f>_xlfn.MAXIFS(Survey!$G$2:$G$3647,Survey!$M$2:$M$3647,Survey!$M1709)-Survey!$G1709</f>
        <v>815.14285757565449</v>
      </c>
      <c r="R1709" s="59">
        <f>Survey!$P1709+(Survey!$Q1709*0.433)</f>
        <v>2202.9568573302586</v>
      </c>
    </row>
    <row r="1710" spans="1:18" x14ac:dyDescent="0.25">
      <c r="A1710" s="71" t="s">
        <v>17</v>
      </c>
      <c r="B1710" s="72" t="s">
        <v>22</v>
      </c>
      <c r="C1710" s="73" t="s">
        <v>19</v>
      </c>
      <c r="D1710" s="74">
        <v>239.63784403379148</v>
      </c>
      <c r="E1710" s="81">
        <v>1295209</v>
      </c>
      <c r="F1710" s="82">
        <v>1266308.876404494</v>
      </c>
      <c r="G1710" s="75">
        <v>2936.0222359885929</v>
      </c>
      <c r="H1710" s="76">
        <v>2</v>
      </c>
      <c r="I1710" s="54" t="s">
        <v>20</v>
      </c>
      <c r="J1710" s="77">
        <v>40</v>
      </c>
      <c r="K1710" s="78">
        <v>2</v>
      </c>
      <c r="L1710" s="54">
        <v>1</v>
      </c>
      <c r="M1710" s="54">
        <f>_xlfn.XLOOKUP(Survey!$F1710,sections[Start],sections[Test Section],,-1,1)</f>
        <v>5</v>
      </c>
      <c r="N1710" s="55">
        <f>_xlfn.XLOOKUP(Survey!$K1710,pipedata[ID],pipedata[WT])</f>
        <v>0.74</v>
      </c>
      <c r="O1710" s="56">
        <f>_xlfn.XLOOKUP(Survey!$K1710,pipedata[ID],pipedata[104%])</f>
        <v>2565.3333333333335</v>
      </c>
      <c r="P1710" s="57">
        <f t="shared" si="26"/>
        <v>1850</v>
      </c>
      <c r="Q1710" s="58">
        <f>_xlfn.MAXIFS(Survey!$G$2:$G$3647,Survey!$M$2:$M$3647,Survey!$M1710)-Survey!$G1710</f>
        <v>799.35460333667834</v>
      </c>
      <c r="R1710" s="59">
        <f>Survey!$P1710+(Survey!$Q1710*0.433)</f>
        <v>2196.1205432447819</v>
      </c>
    </row>
    <row r="1711" spans="1:18" x14ac:dyDescent="0.25">
      <c r="A1711" s="60" t="s">
        <v>17</v>
      </c>
      <c r="B1711" s="61" t="s">
        <v>22</v>
      </c>
      <c r="C1711" s="62" t="s">
        <v>19</v>
      </c>
      <c r="D1711" s="63">
        <v>239.64383661393438</v>
      </c>
      <c r="E1711" s="79">
        <v>1295249</v>
      </c>
      <c r="F1711" s="80">
        <v>1266346.0561797749</v>
      </c>
      <c r="G1711" s="66">
        <v>2951.1531141688674</v>
      </c>
      <c r="H1711" s="67">
        <v>2</v>
      </c>
      <c r="I1711" s="68" t="s">
        <v>20</v>
      </c>
      <c r="J1711" s="69">
        <v>40</v>
      </c>
      <c r="K1711" s="70">
        <v>2</v>
      </c>
      <c r="L1711" s="68">
        <v>1</v>
      </c>
      <c r="M1711" s="68">
        <f>_xlfn.XLOOKUP(Survey!$F1711,sections[Start],sections[Test Section],,-1,1)</f>
        <v>5</v>
      </c>
      <c r="N1711" s="55">
        <f>_xlfn.XLOOKUP(Survey!$K1711,pipedata[ID],pipedata[WT])</f>
        <v>0.74</v>
      </c>
      <c r="O1711" s="56">
        <f>_xlfn.XLOOKUP(Survey!$K1711,pipedata[ID],pipedata[104%])</f>
        <v>2565.3333333333335</v>
      </c>
      <c r="P1711" s="57">
        <f t="shared" si="26"/>
        <v>1850</v>
      </c>
      <c r="Q1711" s="58">
        <f>_xlfn.MAXIFS(Survey!$G$2:$G$3647,Survey!$M$2:$M$3647,Survey!$M1711)-Survey!$G1711</f>
        <v>784.22372515640382</v>
      </c>
      <c r="R1711" s="59">
        <f>Survey!$P1711+(Survey!$Q1711*0.433)</f>
        <v>2189.5688729927228</v>
      </c>
    </row>
    <row r="1712" spans="1:18" x14ac:dyDescent="0.25">
      <c r="A1712" s="71" t="s">
        <v>17</v>
      </c>
      <c r="B1712" s="72" t="s">
        <v>22</v>
      </c>
      <c r="C1712" s="73" t="s">
        <v>19</v>
      </c>
      <c r="D1712" s="74">
        <v>239.65134840021602</v>
      </c>
      <c r="E1712" s="81">
        <v>1295289</v>
      </c>
      <c r="F1712" s="82">
        <v>1266383.2359550558</v>
      </c>
      <c r="G1712" s="75">
        <v>2973.7731768644821</v>
      </c>
      <c r="H1712" s="76">
        <v>2</v>
      </c>
      <c r="I1712" s="54" t="s">
        <v>20</v>
      </c>
      <c r="J1712" s="77">
        <v>40</v>
      </c>
      <c r="K1712" s="78">
        <v>2</v>
      </c>
      <c r="L1712" s="54">
        <v>1</v>
      </c>
      <c r="M1712" s="54">
        <f>_xlfn.XLOOKUP(Survey!$F1712,sections[Start],sections[Test Section],,-1,1)</f>
        <v>5</v>
      </c>
      <c r="N1712" s="55">
        <f>_xlfn.XLOOKUP(Survey!$K1712,pipedata[ID],pipedata[WT])</f>
        <v>0.74</v>
      </c>
      <c r="O1712" s="56">
        <f>_xlfn.XLOOKUP(Survey!$K1712,pipedata[ID],pipedata[104%])</f>
        <v>2565.3333333333335</v>
      </c>
      <c r="P1712" s="57">
        <f t="shared" si="26"/>
        <v>1850</v>
      </c>
      <c r="Q1712" s="58">
        <f>_xlfn.MAXIFS(Survey!$G$2:$G$3647,Survey!$M$2:$M$3647,Survey!$M1712)-Survey!$G1712</f>
        <v>761.60366246078911</v>
      </c>
      <c r="R1712" s="59">
        <f>Survey!$P1712+(Survey!$Q1712*0.433)</f>
        <v>2179.7743858455215</v>
      </c>
    </row>
    <row r="1713" spans="1:18" x14ac:dyDescent="0.25">
      <c r="A1713" s="60" t="s">
        <v>17</v>
      </c>
      <c r="B1713" s="61" t="s">
        <v>22</v>
      </c>
      <c r="C1713" s="62" t="s">
        <v>19</v>
      </c>
      <c r="D1713" s="63">
        <v>239.65781930093388</v>
      </c>
      <c r="E1713" s="79">
        <v>1295329</v>
      </c>
      <c r="F1713" s="80">
        <v>1266420.4157303367</v>
      </c>
      <c r="G1713" s="66">
        <v>2992.0031675086079</v>
      </c>
      <c r="H1713" s="67">
        <v>2</v>
      </c>
      <c r="I1713" s="68" t="s">
        <v>20</v>
      </c>
      <c r="J1713" s="69">
        <v>40</v>
      </c>
      <c r="K1713" s="70">
        <v>2</v>
      </c>
      <c r="L1713" s="68">
        <v>1</v>
      </c>
      <c r="M1713" s="68">
        <f>_xlfn.XLOOKUP(Survey!$F1713,sections[Start],sections[Test Section],,-1,1)</f>
        <v>5</v>
      </c>
      <c r="N1713" s="55">
        <f>_xlfn.XLOOKUP(Survey!$K1713,pipedata[ID],pipedata[WT])</f>
        <v>0.74</v>
      </c>
      <c r="O1713" s="56">
        <f>_xlfn.XLOOKUP(Survey!$K1713,pipedata[ID],pipedata[104%])</f>
        <v>2565.3333333333335</v>
      </c>
      <c r="P1713" s="57">
        <f t="shared" si="26"/>
        <v>1850</v>
      </c>
      <c r="Q1713" s="58">
        <f>_xlfn.MAXIFS(Survey!$G$2:$G$3647,Survey!$M$2:$M$3647,Survey!$M1713)-Survey!$G1713</f>
        <v>743.37367181666332</v>
      </c>
      <c r="R1713" s="59">
        <f>Survey!$P1713+(Survey!$Q1713*0.433)</f>
        <v>2171.8807998966154</v>
      </c>
    </row>
    <row r="1714" spans="1:18" x14ac:dyDescent="0.25">
      <c r="A1714" s="71" t="s">
        <v>17</v>
      </c>
      <c r="B1714" s="72" t="s">
        <v>22</v>
      </c>
      <c r="C1714" s="73" t="s">
        <v>19</v>
      </c>
      <c r="D1714" s="74">
        <v>239.66462296584393</v>
      </c>
      <c r="E1714" s="81">
        <v>1295369</v>
      </c>
      <c r="F1714" s="82">
        <v>1266457.5955056176</v>
      </c>
      <c r="G1714" s="75">
        <v>3005.9829530055222</v>
      </c>
      <c r="H1714" s="76">
        <v>2</v>
      </c>
      <c r="I1714" s="54" t="s">
        <v>20</v>
      </c>
      <c r="J1714" s="77">
        <v>40</v>
      </c>
      <c r="K1714" s="78">
        <v>2</v>
      </c>
      <c r="L1714" s="54">
        <v>1</v>
      </c>
      <c r="M1714" s="54">
        <f>_xlfn.XLOOKUP(Survey!$F1714,sections[Start],sections[Test Section],,-1,1)</f>
        <v>5</v>
      </c>
      <c r="N1714" s="55">
        <f>_xlfn.XLOOKUP(Survey!$K1714,pipedata[ID],pipedata[WT])</f>
        <v>0.74</v>
      </c>
      <c r="O1714" s="56">
        <f>_xlfn.XLOOKUP(Survey!$K1714,pipedata[ID],pipedata[104%])</f>
        <v>2565.3333333333335</v>
      </c>
      <c r="P1714" s="57">
        <f t="shared" si="26"/>
        <v>1850</v>
      </c>
      <c r="Q1714" s="58">
        <f>_xlfn.MAXIFS(Survey!$G$2:$G$3647,Survey!$M$2:$M$3647,Survey!$M1714)-Survey!$G1714</f>
        <v>729.39388631974907</v>
      </c>
      <c r="R1714" s="59">
        <f>Survey!$P1714+(Survey!$Q1714*0.433)</f>
        <v>2165.8275527764513</v>
      </c>
    </row>
    <row r="1715" spans="1:18" x14ac:dyDescent="0.25">
      <c r="A1715" s="60" t="s">
        <v>17</v>
      </c>
      <c r="B1715" s="61" t="s">
        <v>22</v>
      </c>
      <c r="C1715" s="62" t="s">
        <v>19</v>
      </c>
      <c r="D1715" s="63">
        <v>239.672208431917</v>
      </c>
      <c r="E1715" s="79">
        <v>1295409</v>
      </c>
      <c r="F1715" s="80">
        <v>1266494.7752808984</v>
      </c>
      <c r="G1715" s="66">
        <v>3017.3498493274701</v>
      </c>
      <c r="H1715" s="67">
        <v>2</v>
      </c>
      <c r="I1715" s="68" t="s">
        <v>20</v>
      </c>
      <c r="J1715" s="69">
        <v>40</v>
      </c>
      <c r="K1715" s="70">
        <v>2</v>
      </c>
      <c r="L1715" s="68">
        <v>1</v>
      </c>
      <c r="M1715" s="68">
        <f>_xlfn.XLOOKUP(Survey!$F1715,sections[Start],sections[Test Section],,-1,1)</f>
        <v>5</v>
      </c>
      <c r="N1715" s="55">
        <f>_xlfn.XLOOKUP(Survey!$K1715,pipedata[ID],pipedata[WT])</f>
        <v>0.74</v>
      </c>
      <c r="O1715" s="56">
        <f>_xlfn.XLOOKUP(Survey!$K1715,pipedata[ID],pipedata[104%])</f>
        <v>2565.3333333333335</v>
      </c>
      <c r="P1715" s="57">
        <f t="shared" si="26"/>
        <v>1850</v>
      </c>
      <c r="Q1715" s="58">
        <f>_xlfn.MAXIFS(Survey!$G$2:$G$3647,Survey!$M$2:$M$3647,Survey!$M1715)-Survey!$G1715</f>
        <v>718.02698999780114</v>
      </c>
      <c r="R1715" s="59">
        <f>Survey!$P1715+(Survey!$Q1715*0.433)</f>
        <v>2160.905686669048</v>
      </c>
    </row>
    <row r="1716" spans="1:18" x14ac:dyDescent="0.25">
      <c r="A1716" s="71" t="s">
        <v>17</v>
      </c>
      <c r="B1716" s="72" t="s">
        <v>22</v>
      </c>
      <c r="C1716" s="73" t="s">
        <v>19</v>
      </c>
      <c r="D1716" s="74">
        <v>239.67789753147179</v>
      </c>
      <c r="E1716" s="81">
        <v>1295449</v>
      </c>
      <c r="F1716" s="82">
        <v>1266531.9550561793</v>
      </c>
      <c r="G1716" s="75">
        <v>3033.2114428209643</v>
      </c>
      <c r="H1716" s="76">
        <v>2</v>
      </c>
      <c r="I1716" s="54" t="s">
        <v>20</v>
      </c>
      <c r="J1716" s="77">
        <v>40</v>
      </c>
      <c r="K1716" s="78">
        <v>2</v>
      </c>
      <c r="L1716" s="54">
        <v>1</v>
      </c>
      <c r="M1716" s="54">
        <f>_xlfn.XLOOKUP(Survey!$F1716,sections[Start],sections[Test Section],,-1,1)</f>
        <v>5</v>
      </c>
      <c r="N1716" s="55">
        <f>_xlfn.XLOOKUP(Survey!$K1716,pipedata[ID],pipedata[WT])</f>
        <v>0.74</v>
      </c>
      <c r="O1716" s="56">
        <f>_xlfn.XLOOKUP(Survey!$K1716,pipedata[ID],pipedata[104%])</f>
        <v>2565.3333333333335</v>
      </c>
      <c r="P1716" s="57">
        <f t="shared" si="26"/>
        <v>1850</v>
      </c>
      <c r="Q1716" s="58">
        <f>_xlfn.MAXIFS(Survey!$G$2:$G$3647,Survey!$M$2:$M$3647,Survey!$M1716)-Survey!$G1716</f>
        <v>702.16539650430695</v>
      </c>
      <c r="R1716" s="59">
        <f>Survey!$P1716+(Survey!$Q1716*0.433)</f>
        <v>2154.0376166863648</v>
      </c>
    </row>
    <row r="1717" spans="1:18" x14ac:dyDescent="0.25">
      <c r="A1717" s="60" t="s">
        <v>17</v>
      </c>
      <c r="B1717" s="61" t="s">
        <v>22</v>
      </c>
      <c r="C1717" s="62" t="s">
        <v>19</v>
      </c>
      <c r="D1717" s="63">
        <v>239.68578467493347</v>
      </c>
      <c r="E1717" s="79">
        <v>1295489</v>
      </c>
      <c r="F1717" s="80">
        <v>1266569.1348314602</v>
      </c>
      <c r="G1717" s="66">
        <v>3051.8262864379271</v>
      </c>
      <c r="H1717" s="67">
        <v>2</v>
      </c>
      <c r="I1717" s="68" t="s">
        <v>20</v>
      </c>
      <c r="J1717" s="69">
        <v>40</v>
      </c>
      <c r="K1717" s="70">
        <v>2</v>
      </c>
      <c r="L1717" s="68">
        <v>1</v>
      </c>
      <c r="M1717" s="68">
        <f>_xlfn.XLOOKUP(Survey!$F1717,sections[Start],sections[Test Section],,-1,1)</f>
        <v>5</v>
      </c>
      <c r="N1717" s="55">
        <f>_xlfn.XLOOKUP(Survey!$K1717,pipedata[ID],pipedata[WT])</f>
        <v>0.74</v>
      </c>
      <c r="O1717" s="56">
        <f>_xlfn.XLOOKUP(Survey!$K1717,pipedata[ID],pipedata[104%])</f>
        <v>2565.3333333333335</v>
      </c>
      <c r="P1717" s="57">
        <f t="shared" si="26"/>
        <v>1850</v>
      </c>
      <c r="Q1717" s="58">
        <f>_xlfn.MAXIFS(Survey!$G$2:$G$3647,Survey!$M$2:$M$3647,Survey!$M1717)-Survey!$G1717</f>
        <v>683.55055288734411</v>
      </c>
      <c r="R1717" s="59">
        <f>Survey!$P1717+(Survey!$Q1717*0.433)</f>
        <v>2145.9773894002201</v>
      </c>
    </row>
    <row r="1718" spans="1:18" x14ac:dyDescent="0.25">
      <c r="A1718" s="71" t="s">
        <v>17</v>
      </c>
      <c r="B1718" s="72" t="s">
        <v>22</v>
      </c>
      <c r="C1718" s="73" t="s">
        <v>19</v>
      </c>
      <c r="D1718" s="74">
        <v>239.69306846361798</v>
      </c>
      <c r="E1718" s="81">
        <v>1295529</v>
      </c>
      <c r="F1718" s="82">
        <v>1266606.3146067411</v>
      </c>
      <c r="G1718" s="75">
        <v>3066.337464140368</v>
      </c>
      <c r="H1718" s="76">
        <v>2</v>
      </c>
      <c r="I1718" s="54" t="s">
        <v>20</v>
      </c>
      <c r="J1718" s="77">
        <v>40</v>
      </c>
      <c r="K1718" s="78">
        <v>2</v>
      </c>
      <c r="L1718" s="54">
        <v>1</v>
      </c>
      <c r="M1718" s="54">
        <f>_xlfn.XLOOKUP(Survey!$F1718,sections[Start],sections[Test Section],,-1,1)</f>
        <v>5</v>
      </c>
      <c r="N1718" s="55">
        <f>_xlfn.XLOOKUP(Survey!$K1718,pipedata[ID],pipedata[WT])</f>
        <v>0.74</v>
      </c>
      <c r="O1718" s="56">
        <f>_xlfn.XLOOKUP(Survey!$K1718,pipedata[ID],pipedata[104%])</f>
        <v>2565.3333333333335</v>
      </c>
      <c r="P1718" s="57">
        <f t="shared" si="26"/>
        <v>1850</v>
      </c>
      <c r="Q1718" s="58">
        <f>_xlfn.MAXIFS(Survey!$G$2:$G$3647,Survey!$M$2:$M$3647,Survey!$M1718)-Survey!$G1718</f>
        <v>669.03937518490329</v>
      </c>
      <c r="R1718" s="59">
        <f>Survey!$P1718+(Survey!$Q1718*0.433)</f>
        <v>2139.6940494550631</v>
      </c>
    </row>
    <row r="1719" spans="1:18" x14ac:dyDescent="0.25">
      <c r="A1719" s="60" t="s">
        <v>17</v>
      </c>
      <c r="B1719" s="61" t="s">
        <v>22</v>
      </c>
      <c r="C1719" s="62" t="s">
        <v>19</v>
      </c>
      <c r="D1719" s="63">
        <v>239.69976736193325</v>
      </c>
      <c r="E1719" s="79">
        <v>1295569</v>
      </c>
      <c r="F1719" s="80">
        <v>1266643.4943820219</v>
      </c>
      <c r="G1719" s="66">
        <v>3085.6304408773099</v>
      </c>
      <c r="H1719" s="67">
        <v>2</v>
      </c>
      <c r="I1719" s="68" t="s">
        <v>20</v>
      </c>
      <c r="J1719" s="69">
        <v>40</v>
      </c>
      <c r="K1719" s="70">
        <v>2</v>
      </c>
      <c r="L1719" s="68">
        <v>1</v>
      </c>
      <c r="M1719" s="68">
        <f>_xlfn.XLOOKUP(Survey!$F1719,sections[Start],sections[Test Section],,-1,1)</f>
        <v>5</v>
      </c>
      <c r="N1719" s="55">
        <f>_xlfn.XLOOKUP(Survey!$K1719,pipedata[ID],pipedata[WT])</f>
        <v>0.74</v>
      </c>
      <c r="O1719" s="56">
        <f>_xlfn.XLOOKUP(Survey!$K1719,pipedata[ID],pipedata[104%])</f>
        <v>2565.3333333333335</v>
      </c>
      <c r="P1719" s="57">
        <f t="shared" si="26"/>
        <v>1850</v>
      </c>
      <c r="Q1719" s="58">
        <f>_xlfn.MAXIFS(Survey!$G$2:$G$3647,Survey!$M$2:$M$3647,Survey!$M1719)-Survey!$G1719</f>
        <v>649.74639844796138</v>
      </c>
      <c r="R1719" s="59">
        <f>Survey!$P1719+(Survey!$Q1719*0.433)</f>
        <v>2131.340190527967</v>
      </c>
    </row>
    <row r="1720" spans="1:18" x14ac:dyDescent="0.25">
      <c r="A1720" s="71" t="s">
        <v>17</v>
      </c>
      <c r="B1720" s="72" t="s">
        <v>22</v>
      </c>
      <c r="C1720" s="73" t="s">
        <v>19</v>
      </c>
      <c r="D1720" s="74">
        <v>239.70600244181918</v>
      </c>
      <c r="E1720" s="81">
        <v>1295609</v>
      </c>
      <c r="F1720" s="82">
        <v>1266680.6741573028</v>
      </c>
      <c r="G1720" s="75">
        <v>3102.6122693649527</v>
      </c>
      <c r="H1720" s="76">
        <v>2</v>
      </c>
      <c r="I1720" s="54" t="s">
        <v>20</v>
      </c>
      <c r="J1720" s="77">
        <v>40</v>
      </c>
      <c r="K1720" s="78">
        <v>2</v>
      </c>
      <c r="L1720" s="54">
        <v>1</v>
      </c>
      <c r="M1720" s="54">
        <f>_xlfn.XLOOKUP(Survey!$F1720,sections[Start],sections[Test Section],,-1,1)</f>
        <v>5</v>
      </c>
      <c r="N1720" s="55">
        <f>_xlfn.XLOOKUP(Survey!$K1720,pipedata[ID],pipedata[WT])</f>
        <v>0.74</v>
      </c>
      <c r="O1720" s="56">
        <f>_xlfn.XLOOKUP(Survey!$K1720,pipedata[ID],pipedata[104%])</f>
        <v>2565.3333333333335</v>
      </c>
      <c r="P1720" s="57">
        <f t="shared" si="26"/>
        <v>1850</v>
      </c>
      <c r="Q1720" s="58">
        <f>_xlfn.MAXIFS(Survey!$G$2:$G$3647,Survey!$M$2:$M$3647,Survey!$M1720)-Survey!$G1720</f>
        <v>632.76456996031857</v>
      </c>
      <c r="R1720" s="59">
        <f>Survey!$P1720+(Survey!$Q1720*0.433)</f>
        <v>2123.9870587928181</v>
      </c>
    </row>
    <row r="1721" spans="1:18" x14ac:dyDescent="0.25">
      <c r="A1721" s="60" t="s">
        <v>17</v>
      </c>
      <c r="B1721" s="61" t="s">
        <v>22</v>
      </c>
      <c r="C1721" s="62" t="s">
        <v>19</v>
      </c>
      <c r="D1721" s="63">
        <v>239.71226463986139</v>
      </c>
      <c r="E1721" s="79">
        <v>1295649</v>
      </c>
      <c r="F1721" s="80">
        <v>1266717.8539325837</v>
      </c>
      <c r="G1721" s="66">
        <v>3119.005845087841</v>
      </c>
      <c r="H1721" s="67">
        <v>2</v>
      </c>
      <c r="I1721" s="68" t="s">
        <v>20</v>
      </c>
      <c r="J1721" s="69">
        <v>40</v>
      </c>
      <c r="K1721" s="70">
        <v>2</v>
      </c>
      <c r="L1721" s="68">
        <v>1</v>
      </c>
      <c r="M1721" s="68">
        <f>_xlfn.XLOOKUP(Survey!$F1721,sections[Start],sections[Test Section],,-1,1)</f>
        <v>5</v>
      </c>
      <c r="N1721" s="55">
        <f>_xlfn.XLOOKUP(Survey!$K1721,pipedata[ID],pipedata[WT])</f>
        <v>0.74</v>
      </c>
      <c r="O1721" s="56">
        <f>_xlfn.XLOOKUP(Survey!$K1721,pipedata[ID],pipedata[104%])</f>
        <v>2565.3333333333335</v>
      </c>
      <c r="P1721" s="57">
        <f t="shared" si="26"/>
        <v>1850</v>
      </c>
      <c r="Q1721" s="58">
        <f>_xlfn.MAXIFS(Survey!$G$2:$G$3647,Survey!$M$2:$M$3647,Survey!$M1721)-Survey!$G1721</f>
        <v>616.3709942374303</v>
      </c>
      <c r="R1721" s="59">
        <f>Survey!$P1721+(Survey!$Q1721*0.433)</f>
        <v>2116.8886405048074</v>
      </c>
    </row>
    <row r="1722" spans="1:18" x14ac:dyDescent="0.25">
      <c r="A1722" s="71" t="s">
        <v>17</v>
      </c>
      <c r="B1722" s="72" t="s">
        <v>22</v>
      </c>
      <c r="C1722" s="73" t="s">
        <v>19</v>
      </c>
      <c r="D1722" s="74">
        <v>239.7201426094704</v>
      </c>
      <c r="E1722" s="81">
        <v>1295689</v>
      </c>
      <c r="F1722" s="82">
        <v>1266755.0337078646</v>
      </c>
      <c r="G1722" s="75">
        <v>3139.7484897655622</v>
      </c>
      <c r="H1722" s="76">
        <v>2</v>
      </c>
      <c r="I1722" s="54" t="s">
        <v>20</v>
      </c>
      <c r="J1722" s="77">
        <v>40</v>
      </c>
      <c r="K1722" s="78">
        <v>2</v>
      </c>
      <c r="L1722" s="54">
        <v>1</v>
      </c>
      <c r="M1722" s="54">
        <f>_xlfn.XLOOKUP(Survey!$F1722,sections[Start],sections[Test Section],,-1,1)</f>
        <v>5</v>
      </c>
      <c r="N1722" s="55">
        <f>_xlfn.XLOOKUP(Survey!$K1722,pipedata[ID],pipedata[WT])</f>
        <v>0.74</v>
      </c>
      <c r="O1722" s="56">
        <f>_xlfn.XLOOKUP(Survey!$K1722,pipedata[ID],pipedata[104%])</f>
        <v>2565.3333333333335</v>
      </c>
      <c r="P1722" s="57">
        <f t="shared" si="26"/>
        <v>1850</v>
      </c>
      <c r="Q1722" s="58">
        <f>_xlfn.MAXIFS(Survey!$G$2:$G$3647,Survey!$M$2:$M$3647,Survey!$M1722)-Survey!$G1722</f>
        <v>595.62834955970902</v>
      </c>
      <c r="R1722" s="59">
        <f>Survey!$P1722+(Survey!$Q1722*0.433)</f>
        <v>2107.9070753593542</v>
      </c>
    </row>
    <row r="1723" spans="1:18" x14ac:dyDescent="0.25">
      <c r="A1723" s="60" t="s">
        <v>17</v>
      </c>
      <c r="B1723" s="61" t="s">
        <v>22</v>
      </c>
      <c r="C1723" s="62" t="s">
        <v>19</v>
      </c>
      <c r="D1723" s="63">
        <v>239.7260510866771</v>
      </c>
      <c r="E1723" s="79">
        <v>1295729</v>
      </c>
      <c r="F1723" s="80">
        <v>1266792.2134831455</v>
      </c>
      <c r="G1723" s="66">
        <v>3156.7082080619452</v>
      </c>
      <c r="H1723" s="67">
        <v>2</v>
      </c>
      <c r="I1723" s="68" t="s">
        <v>20</v>
      </c>
      <c r="J1723" s="69">
        <v>40</v>
      </c>
      <c r="K1723" s="70">
        <v>2</v>
      </c>
      <c r="L1723" s="68">
        <v>1</v>
      </c>
      <c r="M1723" s="68">
        <f>_xlfn.XLOOKUP(Survey!$F1723,sections[Start],sections[Test Section],,-1,1)</f>
        <v>5</v>
      </c>
      <c r="N1723" s="55">
        <f>_xlfn.XLOOKUP(Survey!$K1723,pipedata[ID],pipedata[WT])</f>
        <v>0.74</v>
      </c>
      <c r="O1723" s="56">
        <f>_xlfn.XLOOKUP(Survey!$K1723,pipedata[ID],pipedata[104%])</f>
        <v>2565.3333333333335</v>
      </c>
      <c r="P1723" s="57">
        <f t="shared" si="26"/>
        <v>1850</v>
      </c>
      <c r="Q1723" s="58">
        <f>_xlfn.MAXIFS(Survey!$G$2:$G$3647,Survey!$M$2:$M$3647,Survey!$M1723)-Survey!$G1723</f>
        <v>578.66863126332601</v>
      </c>
      <c r="R1723" s="59">
        <f>Survey!$P1723+(Survey!$Q1723*0.433)</f>
        <v>2100.5635173370201</v>
      </c>
    </row>
    <row r="1724" spans="1:18" x14ac:dyDescent="0.25">
      <c r="A1724" s="71" t="s">
        <v>17</v>
      </c>
      <c r="B1724" s="72" t="s">
        <v>22</v>
      </c>
      <c r="C1724" s="73" t="s">
        <v>19</v>
      </c>
      <c r="D1724" s="74">
        <v>239.73392905628606</v>
      </c>
      <c r="E1724" s="81">
        <v>1295769</v>
      </c>
      <c r="F1724" s="82">
        <v>1266829.3932584263</v>
      </c>
      <c r="G1724" s="75">
        <v>3172.6849138012926</v>
      </c>
      <c r="H1724" s="76">
        <v>2</v>
      </c>
      <c r="I1724" s="54" t="s">
        <v>20</v>
      </c>
      <c r="J1724" s="77">
        <v>40</v>
      </c>
      <c r="K1724" s="78">
        <v>2</v>
      </c>
      <c r="L1724" s="54">
        <v>1</v>
      </c>
      <c r="M1724" s="54">
        <f>_xlfn.XLOOKUP(Survey!$F1724,sections[Start],sections[Test Section],,-1,1)</f>
        <v>5</v>
      </c>
      <c r="N1724" s="55">
        <f>_xlfn.XLOOKUP(Survey!$K1724,pipedata[ID],pipedata[WT])</f>
        <v>0.74</v>
      </c>
      <c r="O1724" s="56">
        <f>_xlfn.XLOOKUP(Survey!$K1724,pipedata[ID],pipedata[104%])</f>
        <v>2565.3333333333335</v>
      </c>
      <c r="P1724" s="57">
        <f t="shared" si="26"/>
        <v>1850</v>
      </c>
      <c r="Q1724" s="58">
        <f>_xlfn.MAXIFS(Survey!$G$2:$G$3647,Survey!$M$2:$M$3647,Survey!$M1724)-Survey!$G1724</f>
        <v>562.69192552397863</v>
      </c>
      <c r="R1724" s="59">
        <f>Survey!$P1724+(Survey!$Q1724*0.433)</f>
        <v>2093.6456037518828</v>
      </c>
    </row>
    <row r="1725" spans="1:18" x14ac:dyDescent="0.25">
      <c r="A1725" s="60" t="s">
        <v>17</v>
      </c>
      <c r="B1725" s="61" t="s">
        <v>22</v>
      </c>
      <c r="C1725" s="62" t="s">
        <v>19</v>
      </c>
      <c r="D1725" s="63">
        <v>239.73983753349273</v>
      </c>
      <c r="E1725" s="79">
        <v>1295809</v>
      </c>
      <c r="F1725" s="80">
        <v>1266866.5730337072</v>
      </c>
      <c r="G1725" s="66">
        <v>3190.3228979642613</v>
      </c>
      <c r="H1725" s="67">
        <v>2</v>
      </c>
      <c r="I1725" s="68" t="s">
        <v>20</v>
      </c>
      <c r="J1725" s="69">
        <v>40</v>
      </c>
      <c r="K1725" s="70">
        <v>2</v>
      </c>
      <c r="L1725" s="68">
        <v>1</v>
      </c>
      <c r="M1725" s="68">
        <f>_xlfn.XLOOKUP(Survey!$F1725,sections[Start],sections[Test Section],,-1,1)</f>
        <v>5</v>
      </c>
      <c r="N1725" s="55">
        <f>_xlfn.XLOOKUP(Survey!$K1725,pipedata[ID],pipedata[WT])</f>
        <v>0.74</v>
      </c>
      <c r="O1725" s="56">
        <f>_xlfn.XLOOKUP(Survey!$K1725,pipedata[ID],pipedata[104%])</f>
        <v>2565.3333333333335</v>
      </c>
      <c r="P1725" s="57">
        <f t="shared" si="26"/>
        <v>1850</v>
      </c>
      <c r="Q1725" s="58">
        <f>_xlfn.MAXIFS(Survey!$G$2:$G$3647,Survey!$M$2:$M$3647,Survey!$M1725)-Survey!$G1725</f>
        <v>545.05394136100995</v>
      </c>
      <c r="R1725" s="59">
        <f>Survey!$P1725+(Survey!$Q1725*0.433)</f>
        <v>2086.0083566093172</v>
      </c>
    </row>
    <row r="1726" spans="1:18" x14ac:dyDescent="0.25">
      <c r="A1726" s="71" t="s">
        <v>17</v>
      </c>
      <c r="B1726" s="72" t="s">
        <v>22</v>
      </c>
      <c r="C1726" s="73" t="s">
        <v>19</v>
      </c>
      <c r="D1726" s="74">
        <v>239.74771550310169</v>
      </c>
      <c r="E1726" s="81">
        <v>1295849</v>
      </c>
      <c r="F1726" s="82">
        <v>1266903.7528089881</v>
      </c>
      <c r="G1726" s="75">
        <v>3205.9298325532145</v>
      </c>
      <c r="H1726" s="76">
        <v>2</v>
      </c>
      <c r="I1726" s="54" t="s">
        <v>20</v>
      </c>
      <c r="J1726" s="77">
        <v>40</v>
      </c>
      <c r="K1726" s="78">
        <v>2</v>
      </c>
      <c r="L1726" s="54">
        <v>1</v>
      </c>
      <c r="M1726" s="54">
        <f>_xlfn.XLOOKUP(Survey!$F1726,sections[Start],sections[Test Section],,-1,1)</f>
        <v>5</v>
      </c>
      <c r="N1726" s="55">
        <f>_xlfn.XLOOKUP(Survey!$K1726,pipedata[ID],pipedata[WT])</f>
        <v>0.74</v>
      </c>
      <c r="O1726" s="56">
        <f>_xlfn.XLOOKUP(Survey!$K1726,pipedata[ID],pipedata[104%])</f>
        <v>2565.3333333333335</v>
      </c>
      <c r="P1726" s="57">
        <f t="shared" si="26"/>
        <v>1850</v>
      </c>
      <c r="Q1726" s="58">
        <f>_xlfn.MAXIFS(Survey!$G$2:$G$3647,Survey!$M$2:$M$3647,Survey!$M1726)-Survey!$G1726</f>
        <v>529.44700677205674</v>
      </c>
      <c r="R1726" s="59">
        <f>Survey!$P1726+(Survey!$Q1726*0.433)</f>
        <v>2079.2505539323006</v>
      </c>
    </row>
    <row r="1727" spans="1:18" x14ac:dyDescent="0.25">
      <c r="A1727" s="60" t="s">
        <v>17</v>
      </c>
      <c r="B1727" s="61" t="s">
        <v>22</v>
      </c>
      <c r="C1727" s="62" t="s">
        <v>19</v>
      </c>
      <c r="D1727" s="63">
        <v>239.75362398030839</v>
      </c>
      <c r="E1727" s="79">
        <v>1295889</v>
      </c>
      <c r="F1727" s="80">
        <v>1266940.932584269</v>
      </c>
      <c r="G1727" s="66">
        <v>3221.9654152245853</v>
      </c>
      <c r="H1727" s="67">
        <v>2</v>
      </c>
      <c r="I1727" s="68" t="s">
        <v>20</v>
      </c>
      <c r="J1727" s="69">
        <v>40</v>
      </c>
      <c r="K1727" s="70">
        <v>2</v>
      </c>
      <c r="L1727" s="68">
        <v>1</v>
      </c>
      <c r="M1727" s="68">
        <f>_xlfn.XLOOKUP(Survey!$F1727,sections[Start],sections[Test Section],,-1,1)</f>
        <v>5</v>
      </c>
      <c r="N1727" s="55">
        <f>_xlfn.XLOOKUP(Survey!$K1727,pipedata[ID],pipedata[WT])</f>
        <v>0.74</v>
      </c>
      <c r="O1727" s="56">
        <f>_xlfn.XLOOKUP(Survey!$K1727,pipedata[ID],pipedata[104%])</f>
        <v>2565.3333333333335</v>
      </c>
      <c r="P1727" s="57">
        <f t="shared" si="26"/>
        <v>1850</v>
      </c>
      <c r="Q1727" s="58">
        <f>_xlfn.MAXIFS(Survey!$G$2:$G$3647,Survey!$M$2:$M$3647,Survey!$M1727)-Survey!$G1727</f>
        <v>513.41142410068596</v>
      </c>
      <c r="R1727" s="59">
        <f>Survey!$P1727+(Survey!$Q1727*0.433)</f>
        <v>2072.3071466355968</v>
      </c>
    </row>
    <row r="1728" spans="1:18" x14ac:dyDescent="0.25">
      <c r="A1728" s="71" t="s">
        <v>17</v>
      </c>
      <c r="B1728" s="72" t="s">
        <v>22</v>
      </c>
      <c r="C1728" s="73" t="s">
        <v>19</v>
      </c>
      <c r="D1728" s="74">
        <v>239.76150194991729</v>
      </c>
      <c r="E1728" s="81">
        <v>1295929</v>
      </c>
      <c r="F1728" s="82">
        <v>1266978.1123595499</v>
      </c>
      <c r="G1728" s="75">
        <v>3238.677357826612</v>
      </c>
      <c r="H1728" s="76">
        <v>2</v>
      </c>
      <c r="I1728" s="54" t="s">
        <v>20</v>
      </c>
      <c r="J1728" s="77">
        <v>40</v>
      </c>
      <c r="K1728" s="78">
        <v>2</v>
      </c>
      <c r="L1728" s="54">
        <v>1</v>
      </c>
      <c r="M1728" s="54">
        <f>_xlfn.XLOOKUP(Survey!$F1728,sections[Start],sections[Test Section],,-1,1)</f>
        <v>5</v>
      </c>
      <c r="N1728" s="55">
        <f>_xlfn.XLOOKUP(Survey!$K1728,pipedata[ID],pipedata[WT])</f>
        <v>0.74</v>
      </c>
      <c r="O1728" s="56">
        <f>_xlfn.XLOOKUP(Survey!$K1728,pipedata[ID],pipedata[104%])</f>
        <v>2565.3333333333335</v>
      </c>
      <c r="P1728" s="57">
        <f t="shared" si="26"/>
        <v>1850</v>
      </c>
      <c r="Q1728" s="58">
        <f>_xlfn.MAXIFS(Survey!$G$2:$G$3647,Survey!$M$2:$M$3647,Survey!$M1728)-Survey!$G1728</f>
        <v>496.69948149865922</v>
      </c>
      <c r="R1728" s="59">
        <f>Survey!$P1728+(Survey!$Q1728*0.433)</f>
        <v>2065.0708754889192</v>
      </c>
    </row>
    <row r="1729" spans="1:18" x14ac:dyDescent="0.25">
      <c r="A1729" s="60" t="s">
        <v>17</v>
      </c>
      <c r="B1729" s="61" t="s">
        <v>22</v>
      </c>
      <c r="C1729" s="62" t="s">
        <v>19</v>
      </c>
      <c r="D1729" s="63">
        <v>239.76803347678293</v>
      </c>
      <c r="E1729" s="79">
        <v>1295969</v>
      </c>
      <c r="F1729" s="80">
        <v>1267015.2921348307</v>
      </c>
      <c r="G1729" s="66">
        <v>3257.7378063056763</v>
      </c>
      <c r="H1729" s="67">
        <v>2</v>
      </c>
      <c r="I1729" s="68" t="s">
        <v>20</v>
      </c>
      <c r="J1729" s="69">
        <v>40</v>
      </c>
      <c r="K1729" s="70">
        <v>2</v>
      </c>
      <c r="L1729" s="68">
        <v>1</v>
      </c>
      <c r="M1729" s="68">
        <f>_xlfn.XLOOKUP(Survey!$F1729,sections[Start],sections[Test Section],,-1,1)</f>
        <v>5</v>
      </c>
      <c r="N1729" s="55">
        <f>_xlfn.XLOOKUP(Survey!$K1729,pipedata[ID],pipedata[WT])</f>
        <v>0.74</v>
      </c>
      <c r="O1729" s="56">
        <f>_xlfn.XLOOKUP(Survey!$K1729,pipedata[ID],pipedata[104%])</f>
        <v>2565.3333333333335</v>
      </c>
      <c r="P1729" s="57">
        <f t="shared" si="26"/>
        <v>1850</v>
      </c>
      <c r="Q1729" s="58">
        <f>_xlfn.MAXIFS(Survey!$G$2:$G$3647,Survey!$M$2:$M$3647,Survey!$M1729)-Survey!$G1729</f>
        <v>477.63903301959499</v>
      </c>
      <c r="R1729" s="59">
        <f>Survey!$P1729+(Survey!$Q1729*0.433)</f>
        <v>2056.8177012974847</v>
      </c>
    </row>
    <row r="1730" spans="1:18" x14ac:dyDescent="0.25">
      <c r="A1730" s="71" t="s">
        <v>17</v>
      </c>
      <c r="B1730" s="72" t="s">
        <v>22</v>
      </c>
      <c r="C1730" s="73" t="s">
        <v>19</v>
      </c>
      <c r="D1730" s="74">
        <v>239.77528839673292</v>
      </c>
      <c r="E1730" s="81">
        <v>1296009</v>
      </c>
      <c r="F1730" s="82">
        <v>1267052.4719101116</v>
      </c>
      <c r="G1730" s="75">
        <v>3276.2294753066803</v>
      </c>
      <c r="H1730" s="76">
        <v>2</v>
      </c>
      <c r="I1730" s="54" t="s">
        <v>20</v>
      </c>
      <c r="J1730" s="77">
        <v>40</v>
      </c>
      <c r="K1730" s="78">
        <v>2</v>
      </c>
      <c r="L1730" s="54">
        <v>1</v>
      </c>
      <c r="M1730" s="54">
        <f>_xlfn.XLOOKUP(Survey!$F1730,sections[Start],sections[Test Section],,-1,1)</f>
        <v>5</v>
      </c>
      <c r="N1730" s="55">
        <f>_xlfn.XLOOKUP(Survey!$K1730,pipedata[ID],pipedata[WT])</f>
        <v>0.74</v>
      </c>
      <c r="O1730" s="56">
        <f>_xlfn.XLOOKUP(Survey!$K1730,pipedata[ID],pipedata[104%])</f>
        <v>2565.3333333333335</v>
      </c>
      <c r="P1730" s="57">
        <f t="shared" ref="P1730:P1793" si="27">IF(L1730=1,1850,IF(L1730=2,1850,2220))</f>
        <v>1850</v>
      </c>
      <c r="Q1730" s="58">
        <f>_xlfn.MAXIFS(Survey!$G$2:$G$3647,Survey!$M$2:$M$3647,Survey!$M1730)-Survey!$G1730</f>
        <v>459.14736401859091</v>
      </c>
      <c r="R1730" s="59">
        <f>Survey!$P1730+(Survey!$Q1730*0.433)</f>
        <v>2048.81080862005</v>
      </c>
    </row>
    <row r="1731" spans="1:18" x14ac:dyDescent="0.25">
      <c r="A1731" s="60" t="s">
        <v>17</v>
      </c>
      <c r="B1731" s="61" t="s">
        <v>22</v>
      </c>
      <c r="C1731" s="62" t="s">
        <v>19</v>
      </c>
      <c r="D1731" s="63">
        <v>239.78119687393962</v>
      </c>
      <c r="E1731" s="79">
        <v>1296049</v>
      </c>
      <c r="F1731" s="80">
        <v>1267089.6516853925</v>
      </c>
      <c r="G1731" s="66">
        <v>3288.191376963146</v>
      </c>
      <c r="H1731" s="67">
        <v>2</v>
      </c>
      <c r="I1731" s="68" t="s">
        <v>20</v>
      </c>
      <c r="J1731" s="69">
        <v>40</v>
      </c>
      <c r="K1731" s="70">
        <v>2</v>
      </c>
      <c r="L1731" s="68">
        <v>1</v>
      </c>
      <c r="M1731" s="68">
        <f>_xlfn.XLOOKUP(Survey!$F1731,sections[Start],sections[Test Section],,-1,1)</f>
        <v>5</v>
      </c>
      <c r="N1731" s="55">
        <f>_xlfn.XLOOKUP(Survey!$K1731,pipedata[ID],pipedata[WT])</f>
        <v>0.74</v>
      </c>
      <c r="O1731" s="56">
        <f>_xlfn.XLOOKUP(Survey!$K1731,pipedata[ID],pipedata[104%])</f>
        <v>2565.3333333333335</v>
      </c>
      <c r="P1731" s="57">
        <f t="shared" si="27"/>
        <v>1850</v>
      </c>
      <c r="Q1731" s="58">
        <f>_xlfn.MAXIFS(Survey!$G$2:$G$3647,Survey!$M$2:$M$3647,Survey!$M1731)-Survey!$G1731</f>
        <v>447.18546236212524</v>
      </c>
      <c r="R1731" s="59">
        <f>Survey!$P1731+(Survey!$Q1731*0.433)</f>
        <v>2043.6313052028001</v>
      </c>
    </row>
    <row r="1732" spans="1:18" x14ac:dyDescent="0.25">
      <c r="A1732" s="71" t="s">
        <v>17</v>
      </c>
      <c r="B1732" s="72" t="s">
        <v>22</v>
      </c>
      <c r="C1732" s="73" t="s">
        <v>19</v>
      </c>
      <c r="D1732" s="74">
        <v>239.78907484354858</v>
      </c>
      <c r="E1732" s="81">
        <v>1296089</v>
      </c>
      <c r="F1732" s="82">
        <v>1267126.8314606734</v>
      </c>
      <c r="G1732" s="75">
        <v>3299.8514846756457</v>
      </c>
      <c r="H1732" s="76">
        <v>2</v>
      </c>
      <c r="I1732" s="54" t="s">
        <v>20</v>
      </c>
      <c r="J1732" s="77">
        <v>40</v>
      </c>
      <c r="K1732" s="78">
        <v>2</v>
      </c>
      <c r="L1732" s="54">
        <v>1</v>
      </c>
      <c r="M1732" s="54">
        <f>_xlfn.XLOOKUP(Survey!$F1732,sections[Start],sections[Test Section],,-1,1)</f>
        <v>5</v>
      </c>
      <c r="N1732" s="55">
        <f>_xlfn.XLOOKUP(Survey!$K1732,pipedata[ID],pipedata[WT])</f>
        <v>0.74</v>
      </c>
      <c r="O1732" s="56">
        <f>_xlfn.XLOOKUP(Survey!$K1732,pipedata[ID],pipedata[104%])</f>
        <v>2565.3333333333335</v>
      </c>
      <c r="P1732" s="57">
        <f t="shared" si="27"/>
        <v>1850</v>
      </c>
      <c r="Q1732" s="58">
        <f>_xlfn.MAXIFS(Survey!$G$2:$G$3647,Survey!$M$2:$M$3647,Survey!$M1732)-Survey!$G1732</f>
        <v>435.52535464962557</v>
      </c>
      <c r="R1732" s="59">
        <f>Survey!$P1732+(Survey!$Q1732*0.433)</f>
        <v>2038.5824785632879</v>
      </c>
    </row>
    <row r="1733" spans="1:18" x14ac:dyDescent="0.25">
      <c r="A1733" s="60" t="s">
        <v>17</v>
      </c>
      <c r="B1733" s="61" t="s">
        <v>22</v>
      </c>
      <c r="C1733" s="62" t="s">
        <v>19</v>
      </c>
      <c r="D1733" s="63">
        <v>239.79695281315745</v>
      </c>
      <c r="E1733" s="64">
        <v>1296129</v>
      </c>
      <c r="F1733" s="65">
        <v>1267164.0112359542</v>
      </c>
      <c r="G1733" s="66">
        <v>3311.5653623369831</v>
      </c>
      <c r="H1733" s="67">
        <v>2</v>
      </c>
      <c r="I1733" s="68" t="s">
        <v>20</v>
      </c>
      <c r="J1733" s="69">
        <v>40</v>
      </c>
      <c r="K1733" s="70">
        <v>2</v>
      </c>
      <c r="L1733" s="68">
        <v>1</v>
      </c>
      <c r="M1733" s="68">
        <f>_xlfn.XLOOKUP(Survey!$F1733,sections[Start],sections[Test Section],,-1,1)</f>
        <v>5</v>
      </c>
      <c r="N1733" s="55">
        <f>_xlfn.XLOOKUP(Survey!$K1733,pipedata[ID],pipedata[WT])</f>
        <v>0.74</v>
      </c>
      <c r="O1733" s="56">
        <f>_xlfn.XLOOKUP(Survey!$K1733,pipedata[ID],pipedata[104%])</f>
        <v>2565.3333333333335</v>
      </c>
      <c r="P1733" s="57">
        <f t="shared" si="27"/>
        <v>1850</v>
      </c>
      <c r="Q1733" s="58">
        <f>_xlfn.MAXIFS(Survey!$G$2:$G$3647,Survey!$M$2:$M$3647,Survey!$M1733)-Survey!$G1733</f>
        <v>423.81147698828818</v>
      </c>
      <c r="R1733" s="59">
        <f>Survey!$P1733+(Survey!$Q1733*0.433)</f>
        <v>2033.5103695359287</v>
      </c>
    </row>
    <row r="1734" spans="1:18" x14ac:dyDescent="0.25">
      <c r="A1734" s="71" t="s">
        <v>17</v>
      </c>
      <c r="B1734" s="72" t="s">
        <v>22</v>
      </c>
      <c r="C1734" s="73" t="s">
        <v>19</v>
      </c>
      <c r="D1734" s="74">
        <v>239.80286129036404</v>
      </c>
      <c r="E1734" s="64">
        <v>1296169</v>
      </c>
      <c r="F1734" s="65">
        <v>1267201.1910112351</v>
      </c>
      <c r="G1734" s="75">
        <v>3321.7866081696902</v>
      </c>
      <c r="H1734" s="76">
        <v>2</v>
      </c>
      <c r="I1734" s="54" t="s">
        <v>20</v>
      </c>
      <c r="J1734" s="77">
        <v>40</v>
      </c>
      <c r="K1734" s="78">
        <v>2</v>
      </c>
      <c r="L1734" s="54">
        <v>1</v>
      </c>
      <c r="M1734" s="54">
        <f>_xlfn.XLOOKUP(Survey!$F1734,sections[Start],sections[Test Section],,-1,1)</f>
        <v>5</v>
      </c>
      <c r="N1734" s="55">
        <f>_xlfn.XLOOKUP(Survey!$K1734,pipedata[ID],pipedata[WT])</f>
        <v>0.74</v>
      </c>
      <c r="O1734" s="56">
        <f>_xlfn.XLOOKUP(Survey!$K1734,pipedata[ID],pipedata[104%])</f>
        <v>2565.3333333333335</v>
      </c>
      <c r="P1734" s="57">
        <f t="shared" si="27"/>
        <v>1850</v>
      </c>
      <c r="Q1734" s="58">
        <f>_xlfn.MAXIFS(Survey!$G$2:$G$3647,Survey!$M$2:$M$3647,Survey!$M1734)-Survey!$G1734</f>
        <v>413.59023115558102</v>
      </c>
      <c r="R1734" s="59">
        <f>Survey!$P1734+(Survey!$Q1734*0.433)</f>
        <v>2029.0845700903665</v>
      </c>
    </row>
    <row r="1735" spans="1:18" x14ac:dyDescent="0.25">
      <c r="A1735" s="60" t="s">
        <v>17</v>
      </c>
      <c r="B1735" s="61" t="s">
        <v>22</v>
      </c>
      <c r="C1735" s="62" t="s">
        <v>19</v>
      </c>
      <c r="D1735" s="63">
        <v>239.81099830196067</v>
      </c>
      <c r="E1735" s="79">
        <v>1296209</v>
      </c>
      <c r="F1735" s="80">
        <v>1267238.370786516</v>
      </c>
      <c r="G1735" s="66">
        <v>3332.5493037317992</v>
      </c>
      <c r="H1735" s="67">
        <v>2</v>
      </c>
      <c r="I1735" s="68" t="s">
        <v>20</v>
      </c>
      <c r="J1735" s="69">
        <v>40</v>
      </c>
      <c r="K1735" s="70">
        <v>2</v>
      </c>
      <c r="L1735" s="68">
        <v>1</v>
      </c>
      <c r="M1735" s="68">
        <f>_xlfn.XLOOKUP(Survey!$F1735,sections[Start],sections[Test Section],,-1,1)</f>
        <v>5</v>
      </c>
      <c r="N1735" s="55">
        <f>_xlfn.XLOOKUP(Survey!$K1735,pipedata[ID],pipedata[WT])</f>
        <v>0.74</v>
      </c>
      <c r="O1735" s="56">
        <f>_xlfn.XLOOKUP(Survey!$K1735,pipedata[ID],pipedata[104%])</f>
        <v>2565.3333333333335</v>
      </c>
      <c r="P1735" s="57">
        <f t="shared" si="27"/>
        <v>1850</v>
      </c>
      <c r="Q1735" s="58">
        <f>_xlfn.MAXIFS(Survey!$G$2:$G$3647,Survey!$M$2:$M$3647,Survey!$M1735)-Survey!$G1735</f>
        <v>402.82753559347202</v>
      </c>
      <c r="R1735" s="59">
        <f>Survey!$P1735+(Survey!$Q1735*0.433)</f>
        <v>2024.4243229119734</v>
      </c>
    </row>
    <row r="1736" spans="1:18" x14ac:dyDescent="0.25">
      <c r="A1736" s="71" t="s">
        <v>17</v>
      </c>
      <c r="B1736" s="72" t="s">
        <v>22</v>
      </c>
      <c r="C1736" s="73" t="s">
        <v>19</v>
      </c>
      <c r="D1736" s="74">
        <v>239.81722292821058</v>
      </c>
      <c r="E1736" s="64">
        <v>1296249</v>
      </c>
      <c r="F1736" s="65">
        <v>1267275.5505617969</v>
      </c>
      <c r="G1736" s="75">
        <v>3344.2090926274996</v>
      </c>
      <c r="H1736" s="76">
        <v>2</v>
      </c>
      <c r="I1736" s="54" t="s">
        <v>20</v>
      </c>
      <c r="J1736" s="77">
        <v>40</v>
      </c>
      <c r="K1736" s="78">
        <v>2</v>
      </c>
      <c r="L1736" s="54">
        <v>1</v>
      </c>
      <c r="M1736" s="54">
        <f>_xlfn.XLOOKUP(Survey!$F1736,sections[Start],sections[Test Section],,-1,1)</f>
        <v>5</v>
      </c>
      <c r="N1736" s="55">
        <f>_xlfn.XLOOKUP(Survey!$K1736,pipedata[ID],pipedata[WT])</f>
        <v>0.74</v>
      </c>
      <c r="O1736" s="56">
        <f>_xlfn.XLOOKUP(Survey!$K1736,pipedata[ID],pipedata[104%])</f>
        <v>2565.3333333333335</v>
      </c>
      <c r="P1736" s="57">
        <f t="shared" si="27"/>
        <v>1850</v>
      </c>
      <c r="Q1736" s="58">
        <f>_xlfn.MAXIFS(Survey!$G$2:$G$3647,Survey!$M$2:$M$3647,Survey!$M1736)-Survey!$G1736</f>
        <v>391.16774669777169</v>
      </c>
      <c r="R1736" s="59">
        <f>Survey!$P1736+(Survey!$Q1736*0.433)</f>
        <v>2019.3756343201351</v>
      </c>
    </row>
    <row r="1737" spans="1:18" x14ac:dyDescent="0.25">
      <c r="A1737" s="60" t="s">
        <v>17</v>
      </c>
      <c r="B1737" s="61" t="s">
        <v>22</v>
      </c>
      <c r="C1737" s="62" t="s">
        <v>19</v>
      </c>
      <c r="D1737" s="63">
        <v>239.82552242987714</v>
      </c>
      <c r="E1737" s="79">
        <v>1296289</v>
      </c>
      <c r="F1737" s="80">
        <v>1267312.7303370778</v>
      </c>
      <c r="G1737" s="66">
        <v>3354.1226058369502</v>
      </c>
      <c r="H1737" s="67">
        <v>2</v>
      </c>
      <c r="I1737" s="68" t="s">
        <v>20</v>
      </c>
      <c r="J1737" s="69">
        <v>40</v>
      </c>
      <c r="K1737" s="70">
        <v>2</v>
      </c>
      <c r="L1737" s="68">
        <v>1</v>
      </c>
      <c r="M1737" s="68">
        <f>_xlfn.XLOOKUP(Survey!$F1737,sections[Start],sections[Test Section],,-1,1)</f>
        <v>5</v>
      </c>
      <c r="N1737" s="55">
        <f>_xlfn.XLOOKUP(Survey!$K1737,pipedata[ID],pipedata[WT])</f>
        <v>0.74</v>
      </c>
      <c r="O1737" s="56">
        <f>_xlfn.XLOOKUP(Survey!$K1737,pipedata[ID],pipedata[104%])</f>
        <v>2565.3333333333335</v>
      </c>
      <c r="P1737" s="57">
        <f t="shared" si="27"/>
        <v>1850</v>
      </c>
      <c r="Q1737" s="58">
        <f>_xlfn.MAXIFS(Survey!$G$2:$G$3647,Survey!$M$2:$M$3647,Survey!$M1737)-Survey!$G1737</f>
        <v>381.25423348832101</v>
      </c>
      <c r="R1737" s="59">
        <f>Survey!$P1737+(Survey!$Q1737*0.433)</f>
        <v>2015.083083100443</v>
      </c>
    </row>
    <row r="1738" spans="1:18" x14ac:dyDescent="0.25">
      <c r="A1738" s="71" t="s">
        <v>17</v>
      </c>
      <c r="B1738" s="72" t="s">
        <v>22</v>
      </c>
      <c r="C1738" s="73" t="s">
        <v>19</v>
      </c>
      <c r="D1738" s="74">
        <v>239.8329427826157</v>
      </c>
      <c r="E1738" s="64">
        <v>1296329</v>
      </c>
      <c r="F1738" s="65">
        <v>1267349.9101123586</v>
      </c>
      <c r="G1738" s="75">
        <v>3367.7232048189007</v>
      </c>
      <c r="H1738" s="76">
        <v>2</v>
      </c>
      <c r="I1738" s="54" t="s">
        <v>20</v>
      </c>
      <c r="J1738" s="77">
        <v>40</v>
      </c>
      <c r="K1738" s="78">
        <v>2</v>
      </c>
      <c r="L1738" s="54">
        <v>1</v>
      </c>
      <c r="M1738" s="54">
        <f>_xlfn.XLOOKUP(Survey!$F1738,sections[Start],sections[Test Section],,-1,1)</f>
        <v>5</v>
      </c>
      <c r="N1738" s="55">
        <f>_xlfn.XLOOKUP(Survey!$K1738,pipedata[ID],pipedata[WT])</f>
        <v>0.74</v>
      </c>
      <c r="O1738" s="56">
        <f>_xlfn.XLOOKUP(Survey!$K1738,pipedata[ID],pipedata[104%])</f>
        <v>2565.3333333333335</v>
      </c>
      <c r="P1738" s="57">
        <f t="shared" si="27"/>
        <v>1850</v>
      </c>
      <c r="Q1738" s="58">
        <f>_xlfn.MAXIFS(Survey!$G$2:$G$3647,Survey!$M$2:$M$3647,Survey!$M1738)-Survey!$G1738</f>
        <v>367.65363450637051</v>
      </c>
      <c r="R1738" s="59">
        <f>Survey!$P1738+(Survey!$Q1738*0.433)</f>
        <v>2009.1940237412584</v>
      </c>
    </row>
    <row r="1739" spans="1:18" x14ac:dyDescent="0.25">
      <c r="A1739" s="60" t="s">
        <v>17</v>
      </c>
      <c r="B1739" s="61" t="s">
        <v>22</v>
      </c>
      <c r="C1739" s="62" t="s">
        <v>19</v>
      </c>
      <c r="D1739" s="63">
        <v>239.84004655779393</v>
      </c>
      <c r="E1739" s="79">
        <v>1296369</v>
      </c>
      <c r="F1739" s="80">
        <v>1267387.0898876395</v>
      </c>
      <c r="G1739" s="66">
        <v>3379.7834822907298</v>
      </c>
      <c r="H1739" s="67">
        <v>2</v>
      </c>
      <c r="I1739" s="68" t="s">
        <v>20</v>
      </c>
      <c r="J1739" s="69">
        <v>40</v>
      </c>
      <c r="K1739" s="70">
        <v>2</v>
      </c>
      <c r="L1739" s="68">
        <v>1</v>
      </c>
      <c r="M1739" s="68">
        <f>_xlfn.XLOOKUP(Survey!$F1739,sections[Start],sections[Test Section],,-1,1)</f>
        <v>5</v>
      </c>
      <c r="N1739" s="55">
        <f>_xlfn.XLOOKUP(Survey!$K1739,pipedata[ID],pipedata[WT])</f>
        <v>0.74</v>
      </c>
      <c r="O1739" s="56">
        <f>_xlfn.XLOOKUP(Survey!$K1739,pipedata[ID],pipedata[104%])</f>
        <v>2565.3333333333335</v>
      </c>
      <c r="P1739" s="57">
        <f t="shared" si="27"/>
        <v>1850</v>
      </c>
      <c r="Q1739" s="58">
        <f>_xlfn.MAXIFS(Survey!$G$2:$G$3647,Survey!$M$2:$M$3647,Survey!$M1739)-Survey!$G1739</f>
        <v>355.59335703454144</v>
      </c>
      <c r="R1739" s="59">
        <f>Survey!$P1739+(Survey!$Q1739*0.433)</f>
        <v>2003.9719235959565</v>
      </c>
    </row>
    <row r="1740" spans="1:18" x14ac:dyDescent="0.25">
      <c r="A1740" s="71" t="s">
        <v>17</v>
      </c>
      <c r="B1740" s="72" t="s">
        <v>22</v>
      </c>
      <c r="C1740" s="73" t="s">
        <v>19</v>
      </c>
      <c r="D1740" s="74">
        <v>239.84685468174865</v>
      </c>
      <c r="E1740" s="81">
        <v>1296409</v>
      </c>
      <c r="F1740" s="82">
        <v>1267424.2696629204</v>
      </c>
      <c r="G1740" s="75">
        <v>3395.5124388130957</v>
      </c>
      <c r="H1740" s="76">
        <v>2</v>
      </c>
      <c r="I1740" s="54" t="s">
        <v>20</v>
      </c>
      <c r="J1740" s="77">
        <v>40</v>
      </c>
      <c r="K1740" s="78">
        <v>2</v>
      </c>
      <c r="L1740" s="54">
        <v>1</v>
      </c>
      <c r="M1740" s="54">
        <f>_xlfn.XLOOKUP(Survey!$F1740,sections[Start],sections[Test Section],,-1,1)</f>
        <v>5</v>
      </c>
      <c r="N1740" s="55">
        <f>_xlfn.XLOOKUP(Survey!$K1740,pipedata[ID],pipedata[WT])</f>
        <v>0.74</v>
      </c>
      <c r="O1740" s="56">
        <f>_xlfn.XLOOKUP(Survey!$K1740,pipedata[ID],pipedata[104%])</f>
        <v>2565.3333333333335</v>
      </c>
      <c r="P1740" s="57">
        <f t="shared" si="27"/>
        <v>1850</v>
      </c>
      <c r="Q1740" s="58">
        <f>_xlfn.MAXIFS(Survey!$G$2:$G$3647,Survey!$M$2:$M$3647,Survey!$M1740)-Survey!$G1740</f>
        <v>339.86440051217551</v>
      </c>
      <c r="R1740" s="59">
        <f>Survey!$P1740+(Survey!$Q1740*0.433)</f>
        <v>1997.1612854217719</v>
      </c>
    </row>
    <row r="1741" spans="1:18" x14ac:dyDescent="0.25">
      <c r="A1741" s="60" t="s">
        <v>17</v>
      </c>
      <c r="B1741" s="61" t="s">
        <v>22</v>
      </c>
      <c r="C1741" s="62" t="s">
        <v>19</v>
      </c>
      <c r="D1741" s="63">
        <v>239.85330864202385</v>
      </c>
      <c r="E1741" s="79">
        <v>1296449</v>
      </c>
      <c r="F1741" s="80">
        <v>1267461.4494382013</v>
      </c>
      <c r="G1741" s="66">
        <v>3411.6545590359833</v>
      </c>
      <c r="H1741" s="67">
        <v>2</v>
      </c>
      <c r="I1741" s="68" t="s">
        <v>20</v>
      </c>
      <c r="J1741" s="69">
        <v>40</v>
      </c>
      <c r="K1741" s="70">
        <v>2</v>
      </c>
      <c r="L1741" s="68">
        <v>1</v>
      </c>
      <c r="M1741" s="68">
        <f>_xlfn.XLOOKUP(Survey!$F1741,sections[Start],sections[Test Section],,-1,1)</f>
        <v>5</v>
      </c>
      <c r="N1741" s="55">
        <f>_xlfn.XLOOKUP(Survey!$K1741,pipedata[ID],pipedata[WT])</f>
        <v>0.74</v>
      </c>
      <c r="O1741" s="56">
        <f>_xlfn.XLOOKUP(Survey!$K1741,pipedata[ID],pipedata[104%])</f>
        <v>2565.3333333333335</v>
      </c>
      <c r="P1741" s="57">
        <f t="shared" si="27"/>
        <v>1850</v>
      </c>
      <c r="Q1741" s="58">
        <f>_xlfn.MAXIFS(Survey!$G$2:$G$3647,Survey!$M$2:$M$3647,Survey!$M1741)-Survey!$G1741</f>
        <v>323.72228028928794</v>
      </c>
      <c r="R1741" s="59">
        <f>Survey!$P1741+(Survey!$Q1741*0.433)</f>
        <v>1990.1717473652616</v>
      </c>
    </row>
    <row r="1742" spans="1:18" x14ac:dyDescent="0.25">
      <c r="A1742" s="71" t="s">
        <v>17</v>
      </c>
      <c r="B1742" s="72" t="s">
        <v>22</v>
      </c>
      <c r="C1742" s="73" t="s">
        <v>19</v>
      </c>
      <c r="D1742" s="74">
        <v>239.86081857641776</v>
      </c>
      <c r="E1742" s="81">
        <v>1296489</v>
      </c>
      <c r="F1742" s="82">
        <v>1267498.6292134821</v>
      </c>
      <c r="G1742" s="75">
        <v>3425.3390952375571</v>
      </c>
      <c r="H1742" s="76">
        <v>2</v>
      </c>
      <c r="I1742" s="54" t="s">
        <v>20</v>
      </c>
      <c r="J1742" s="77">
        <v>40</v>
      </c>
      <c r="K1742" s="78">
        <v>2</v>
      </c>
      <c r="L1742" s="54">
        <v>1</v>
      </c>
      <c r="M1742" s="54">
        <f>_xlfn.XLOOKUP(Survey!$F1742,sections[Start],sections[Test Section],,-1,1)</f>
        <v>5</v>
      </c>
      <c r="N1742" s="55">
        <f>_xlfn.XLOOKUP(Survey!$K1742,pipedata[ID],pipedata[WT])</f>
        <v>0.74</v>
      </c>
      <c r="O1742" s="56">
        <f>_xlfn.XLOOKUP(Survey!$K1742,pipedata[ID],pipedata[104%])</f>
        <v>2565.3333333333335</v>
      </c>
      <c r="P1742" s="57">
        <f t="shared" si="27"/>
        <v>1850</v>
      </c>
      <c r="Q1742" s="58">
        <f>_xlfn.MAXIFS(Survey!$G$2:$G$3647,Survey!$M$2:$M$3647,Survey!$M1742)-Survey!$G1742</f>
        <v>310.03774408771415</v>
      </c>
      <c r="R1742" s="59">
        <f>Survey!$P1742+(Survey!$Q1742*0.433)</f>
        <v>1984.2463431899803</v>
      </c>
    </row>
    <row r="1743" spans="1:18" x14ac:dyDescent="0.25">
      <c r="A1743" s="60" t="s">
        <v>17</v>
      </c>
      <c r="B1743" s="61" t="s">
        <v>22</v>
      </c>
      <c r="C1743" s="62" t="s">
        <v>19</v>
      </c>
      <c r="D1743" s="63">
        <v>239.86786885681434</v>
      </c>
      <c r="E1743" s="79">
        <v>1296529</v>
      </c>
      <c r="F1743" s="80">
        <v>1267535.808988763</v>
      </c>
      <c r="G1743" s="66">
        <v>3434.4563805816656</v>
      </c>
      <c r="H1743" s="67">
        <v>2</v>
      </c>
      <c r="I1743" s="68" t="s">
        <v>20</v>
      </c>
      <c r="J1743" s="69">
        <v>40</v>
      </c>
      <c r="K1743" s="70">
        <v>2</v>
      </c>
      <c r="L1743" s="68">
        <v>1</v>
      </c>
      <c r="M1743" s="68">
        <f>_xlfn.XLOOKUP(Survey!$F1743,sections[Start],sections[Test Section],,-1,1)</f>
        <v>5</v>
      </c>
      <c r="N1743" s="55">
        <f>_xlfn.XLOOKUP(Survey!$K1743,pipedata[ID],pipedata[WT])</f>
        <v>0.74</v>
      </c>
      <c r="O1743" s="56">
        <f>_xlfn.XLOOKUP(Survey!$K1743,pipedata[ID],pipedata[104%])</f>
        <v>2565.3333333333335</v>
      </c>
      <c r="P1743" s="57">
        <f t="shared" si="27"/>
        <v>1850</v>
      </c>
      <c r="Q1743" s="58">
        <f>_xlfn.MAXIFS(Survey!$G$2:$G$3647,Survey!$M$2:$M$3647,Survey!$M1743)-Survey!$G1743</f>
        <v>300.92045874360565</v>
      </c>
      <c r="R1743" s="59">
        <f>Survey!$P1743+(Survey!$Q1743*0.433)</f>
        <v>1980.2985586359812</v>
      </c>
    </row>
    <row r="1744" spans="1:18" x14ac:dyDescent="0.25">
      <c r="A1744" s="71" t="s">
        <v>17</v>
      </c>
      <c r="B1744" s="72" t="s">
        <v>22</v>
      </c>
      <c r="C1744" s="73" t="s">
        <v>19</v>
      </c>
      <c r="D1744" s="74">
        <v>239.87597789945457</v>
      </c>
      <c r="E1744" s="81">
        <v>1296569</v>
      </c>
      <c r="F1744" s="82">
        <v>1267572.9887640439</v>
      </c>
      <c r="G1744" s="75">
        <v>3445.0234959277695</v>
      </c>
      <c r="H1744" s="76">
        <v>2</v>
      </c>
      <c r="I1744" s="54" t="s">
        <v>20</v>
      </c>
      <c r="J1744" s="77">
        <v>40</v>
      </c>
      <c r="K1744" s="78">
        <v>2</v>
      </c>
      <c r="L1744" s="54">
        <v>1</v>
      </c>
      <c r="M1744" s="54">
        <f>_xlfn.XLOOKUP(Survey!$F1744,sections[Start],sections[Test Section],,-1,1)</f>
        <v>5</v>
      </c>
      <c r="N1744" s="55">
        <f>_xlfn.XLOOKUP(Survey!$K1744,pipedata[ID],pipedata[WT])</f>
        <v>0.74</v>
      </c>
      <c r="O1744" s="56">
        <f>_xlfn.XLOOKUP(Survey!$K1744,pipedata[ID],pipedata[104%])</f>
        <v>2565.3333333333335</v>
      </c>
      <c r="P1744" s="57">
        <f t="shared" si="27"/>
        <v>1850</v>
      </c>
      <c r="Q1744" s="58">
        <f>_xlfn.MAXIFS(Survey!$G$2:$G$3647,Survey!$M$2:$M$3647,Survey!$M1744)-Survey!$G1744</f>
        <v>290.3533433975017</v>
      </c>
      <c r="R1744" s="59">
        <f>Survey!$P1744+(Survey!$Q1744*0.433)</f>
        <v>1975.7229976911183</v>
      </c>
    </row>
    <row r="1745" spans="1:18" x14ac:dyDescent="0.25">
      <c r="A1745" s="60" t="s">
        <v>17</v>
      </c>
      <c r="B1745" s="61" t="s">
        <v>22</v>
      </c>
      <c r="C1745" s="62" t="s">
        <v>19</v>
      </c>
      <c r="D1745" s="63">
        <v>239.88302329588166</v>
      </c>
      <c r="E1745" s="79">
        <v>1296609</v>
      </c>
      <c r="F1745" s="80">
        <v>1267610.1685393248</v>
      </c>
      <c r="G1745" s="66">
        <v>3452.2979845747573</v>
      </c>
      <c r="H1745" s="67">
        <v>2</v>
      </c>
      <c r="I1745" s="68" t="s">
        <v>20</v>
      </c>
      <c r="J1745" s="69">
        <v>40</v>
      </c>
      <c r="K1745" s="70">
        <v>2</v>
      </c>
      <c r="L1745" s="68">
        <v>1</v>
      </c>
      <c r="M1745" s="68">
        <f>_xlfn.XLOOKUP(Survey!$F1745,sections[Start],sections[Test Section],,-1,1)</f>
        <v>5</v>
      </c>
      <c r="N1745" s="55">
        <f>_xlfn.XLOOKUP(Survey!$K1745,pipedata[ID],pipedata[WT])</f>
        <v>0.74</v>
      </c>
      <c r="O1745" s="56">
        <f>_xlfn.XLOOKUP(Survey!$K1745,pipedata[ID],pipedata[104%])</f>
        <v>2565.3333333333335</v>
      </c>
      <c r="P1745" s="57">
        <f t="shared" si="27"/>
        <v>1850</v>
      </c>
      <c r="Q1745" s="58">
        <f>_xlfn.MAXIFS(Survey!$G$2:$G$3647,Survey!$M$2:$M$3647,Survey!$M1745)-Survey!$G1745</f>
        <v>283.07885475051398</v>
      </c>
      <c r="R1745" s="59">
        <f>Survey!$P1745+(Survey!$Q1745*0.433)</f>
        <v>1972.5731441069724</v>
      </c>
    </row>
    <row r="1746" spans="1:18" x14ac:dyDescent="0.25">
      <c r="A1746" s="71" t="s">
        <v>17</v>
      </c>
      <c r="B1746" s="72" t="s">
        <v>22</v>
      </c>
      <c r="C1746" s="73" t="s">
        <v>19</v>
      </c>
      <c r="D1746" s="74">
        <v>239.89060051541531</v>
      </c>
      <c r="E1746" s="81">
        <v>1296649</v>
      </c>
      <c r="F1746" s="82">
        <v>1267647.3483146057</v>
      </c>
      <c r="G1746" s="75">
        <v>3461.1378526467506</v>
      </c>
      <c r="H1746" s="76">
        <v>2</v>
      </c>
      <c r="I1746" s="54" t="s">
        <v>20</v>
      </c>
      <c r="J1746" s="77">
        <v>40</v>
      </c>
      <c r="K1746" s="78">
        <v>2</v>
      </c>
      <c r="L1746" s="54">
        <v>1</v>
      </c>
      <c r="M1746" s="54">
        <f>_xlfn.XLOOKUP(Survey!$F1746,sections[Start],sections[Test Section],,-1,1)</f>
        <v>5</v>
      </c>
      <c r="N1746" s="55">
        <f>_xlfn.XLOOKUP(Survey!$K1746,pipedata[ID],pipedata[WT])</f>
        <v>0.74</v>
      </c>
      <c r="O1746" s="56">
        <f>_xlfn.XLOOKUP(Survey!$K1746,pipedata[ID],pipedata[104%])</f>
        <v>2565.3333333333335</v>
      </c>
      <c r="P1746" s="57">
        <f t="shared" si="27"/>
        <v>1850</v>
      </c>
      <c r="Q1746" s="58">
        <f>_xlfn.MAXIFS(Survey!$G$2:$G$3647,Survey!$M$2:$M$3647,Survey!$M1746)-Survey!$G1746</f>
        <v>274.23898667852063</v>
      </c>
      <c r="R1746" s="59">
        <f>Survey!$P1746+(Survey!$Q1746*0.433)</f>
        <v>1968.7454812317994</v>
      </c>
    </row>
    <row r="1747" spans="1:18" x14ac:dyDescent="0.25">
      <c r="A1747" s="60" t="s">
        <v>17</v>
      </c>
      <c r="B1747" s="61" t="s">
        <v>22</v>
      </c>
      <c r="C1747" s="62" t="s">
        <v>19</v>
      </c>
      <c r="D1747" s="63">
        <v>239.89744647708332</v>
      </c>
      <c r="E1747" s="79">
        <v>1296689</v>
      </c>
      <c r="F1747" s="80">
        <v>1267684.5280898865</v>
      </c>
      <c r="G1747" s="66">
        <v>3471.855338314424</v>
      </c>
      <c r="H1747" s="67">
        <v>2</v>
      </c>
      <c r="I1747" s="68" t="s">
        <v>20</v>
      </c>
      <c r="J1747" s="69">
        <v>40</v>
      </c>
      <c r="K1747" s="70">
        <v>2</v>
      </c>
      <c r="L1747" s="68">
        <v>1</v>
      </c>
      <c r="M1747" s="68">
        <f>_xlfn.XLOOKUP(Survey!$F1747,sections[Start],sections[Test Section],,-1,1)</f>
        <v>5</v>
      </c>
      <c r="N1747" s="55">
        <f>_xlfn.XLOOKUP(Survey!$K1747,pipedata[ID],pipedata[WT])</f>
        <v>0.74</v>
      </c>
      <c r="O1747" s="56">
        <f>_xlfn.XLOOKUP(Survey!$K1747,pipedata[ID],pipedata[104%])</f>
        <v>2565.3333333333335</v>
      </c>
      <c r="P1747" s="57">
        <f t="shared" si="27"/>
        <v>1850</v>
      </c>
      <c r="Q1747" s="58">
        <f>_xlfn.MAXIFS(Survey!$G$2:$G$3647,Survey!$M$2:$M$3647,Survey!$M1747)-Survey!$G1747</f>
        <v>263.52150101084726</v>
      </c>
      <c r="R1747" s="59">
        <f>Survey!$P1747+(Survey!$Q1747*0.433)</f>
        <v>1964.1048099376969</v>
      </c>
    </row>
    <row r="1748" spans="1:18" x14ac:dyDescent="0.25">
      <c r="A1748" s="71" t="s">
        <v>17</v>
      </c>
      <c r="B1748" s="72" t="s">
        <v>22</v>
      </c>
      <c r="C1748" s="73" t="s">
        <v>19</v>
      </c>
      <c r="D1748" s="74">
        <v>239.90402761625802</v>
      </c>
      <c r="E1748" s="81">
        <v>1296729</v>
      </c>
      <c r="F1748" s="82">
        <v>1267721.7078651674</v>
      </c>
      <c r="G1748" s="75">
        <v>3484.2385811611484</v>
      </c>
      <c r="H1748" s="76">
        <v>2</v>
      </c>
      <c r="I1748" s="54" t="s">
        <v>20</v>
      </c>
      <c r="J1748" s="77">
        <v>40</v>
      </c>
      <c r="K1748" s="78">
        <v>2</v>
      </c>
      <c r="L1748" s="54">
        <v>1</v>
      </c>
      <c r="M1748" s="54">
        <f>_xlfn.XLOOKUP(Survey!$F1748,sections[Start],sections[Test Section],,-1,1)</f>
        <v>5</v>
      </c>
      <c r="N1748" s="55">
        <f>_xlfn.XLOOKUP(Survey!$K1748,pipedata[ID],pipedata[WT])</f>
        <v>0.74</v>
      </c>
      <c r="O1748" s="56">
        <f>_xlfn.XLOOKUP(Survey!$K1748,pipedata[ID],pipedata[104%])</f>
        <v>2565.3333333333335</v>
      </c>
      <c r="P1748" s="57">
        <f t="shared" si="27"/>
        <v>1850</v>
      </c>
      <c r="Q1748" s="58">
        <f>_xlfn.MAXIFS(Survey!$G$2:$G$3647,Survey!$M$2:$M$3647,Survey!$M1748)-Survey!$G1748</f>
        <v>251.13825816412282</v>
      </c>
      <c r="R1748" s="59">
        <f>Survey!$P1748+(Survey!$Q1748*0.433)</f>
        <v>1958.7428657850651</v>
      </c>
    </row>
    <row r="1749" spans="1:18" x14ac:dyDescent="0.25">
      <c r="A1749" s="60" t="s">
        <v>17</v>
      </c>
      <c r="B1749" s="61" t="s">
        <v>22</v>
      </c>
      <c r="C1749" s="62" t="s">
        <v>19</v>
      </c>
      <c r="D1749" s="63">
        <v>239.91243857260383</v>
      </c>
      <c r="E1749" s="79">
        <v>1296769</v>
      </c>
      <c r="F1749" s="80">
        <v>1267758.8876404483</v>
      </c>
      <c r="G1749" s="66">
        <v>3499.0450071900659</v>
      </c>
      <c r="H1749" s="67">
        <v>2</v>
      </c>
      <c r="I1749" s="68" t="s">
        <v>20</v>
      </c>
      <c r="J1749" s="69">
        <v>40</v>
      </c>
      <c r="K1749" s="70">
        <v>2</v>
      </c>
      <c r="L1749" s="68">
        <v>1</v>
      </c>
      <c r="M1749" s="68">
        <f>_xlfn.XLOOKUP(Survey!$F1749,sections[Start],sections[Test Section],,-1,1)</f>
        <v>5</v>
      </c>
      <c r="N1749" s="55">
        <f>_xlfn.XLOOKUP(Survey!$K1749,pipedata[ID],pipedata[WT])</f>
        <v>0.74</v>
      </c>
      <c r="O1749" s="56">
        <f>_xlfn.XLOOKUP(Survey!$K1749,pipedata[ID],pipedata[104%])</f>
        <v>2565.3333333333335</v>
      </c>
      <c r="P1749" s="57">
        <f t="shared" si="27"/>
        <v>1850</v>
      </c>
      <c r="Q1749" s="58">
        <f>_xlfn.MAXIFS(Survey!$G$2:$G$3647,Survey!$M$2:$M$3647,Survey!$M1749)-Survey!$G1749</f>
        <v>236.33183213520533</v>
      </c>
      <c r="R1749" s="59">
        <f>Survey!$P1749+(Survey!$Q1749*0.433)</f>
        <v>1952.3316833145439</v>
      </c>
    </row>
    <row r="1750" spans="1:18" x14ac:dyDescent="0.25">
      <c r="A1750" s="71" t="s">
        <v>17</v>
      </c>
      <c r="B1750" s="72" t="s">
        <v>22</v>
      </c>
      <c r="C1750" s="73" t="s">
        <v>19</v>
      </c>
      <c r="D1750" s="74">
        <v>239.91850416312312</v>
      </c>
      <c r="E1750" s="81">
        <v>1296809</v>
      </c>
      <c r="F1750" s="82">
        <v>1267796.0674157292</v>
      </c>
      <c r="G1750" s="75">
        <v>3518.3314140532984</v>
      </c>
      <c r="H1750" s="76">
        <v>2</v>
      </c>
      <c r="I1750" s="54" t="s">
        <v>20</v>
      </c>
      <c r="J1750" s="77">
        <v>40</v>
      </c>
      <c r="K1750" s="78">
        <v>2</v>
      </c>
      <c r="L1750" s="54">
        <v>1</v>
      </c>
      <c r="M1750" s="54">
        <f>_xlfn.XLOOKUP(Survey!$F1750,sections[Start],sections[Test Section],,-1,1)</f>
        <v>5</v>
      </c>
      <c r="N1750" s="55">
        <f>_xlfn.XLOOKUP(Survey!$K1750,pipedata[ID],pipedata[WT])</f>
        <v>0.74</v>
      </c>
      <c r="O1750" s="56">
        <f>_xlfn.XLOOKUP(Survey!$K1750,pipedata[ID],pipedata[104%])</f>
        <v>2565.3333333333335</v>
      </c>
      <c r="P1750" s="57">
        <f t="shared" si="27"/>
        <v>1850</v>
      </c>
      <c r="Q1750" s="58">
        <f>_xlfn.MAXIFS(Survey!$G$2:$G$3647,Survey!$M$2:$M$3647,Survey!$M1750)-Survey!$G1750</f>
        <v>217.04542527197282</v>
      </c>
      <c r="R1750" s="59">
        <f>Survey!$P1750+(Survey!$Q1750*0.433)</f>
        <v>1943.9806691427643</v>
      </c>
    </row>
    <row r="1751" spans="1:18" x14ac:dyDescent="0.25">
      <c r="A1751" s="60" t="s">
        <v>17</v>
      </c>
      <c r="B1751" s="61" t="s">
        <v>22</v>
      </c>
      <c r="C1751" s="62" t="s">
        <v>19</v>
      </c>
      <c r="D1751" s="63">
        <v>239.92595738998594</v>
      </c>
      <c r="E1751" s="79">
        <v>1296849</v>
      </c>
      <c r="F1751" s="80">
        <v>1267833.24719101</v>
      </c>
      <c r="G1751" s="66">
        <v>3530.4028089225835</v>
      </c>
      <c r="H1751" s="67">
        <v>2</v>
      </c>
      <c r="I1751" s="68" t="s">
        <v>20</v>
      </c>
      <c r="J1751" s="69">
        <v>40</v>
      </c>
      <c r="K1751" s="70">
        <v>2</v>
      </c>
      <c r="L1751" s="68">
        <v>1</v>
      </c>
      <c r="M1751" s="68">
        <f>_xlfn.XLOOKUP(Survey!$F1751,sections[Start],sections[Test Section],,-1,1)</f>
        <v>5</v>
      </c>
      <c r="N1751" s="55">
        <f>_xlfn.XLOOKUP(Survey!$K1751,pipedata[ID],pipedata[WT])</f>
        <v>0.74</v>
      </c>
      <c r="O1751" s="56">
        <f>_xlfn.XLOOKUP(Survey!$K1751,pipedata[ID],pipedata[104%])</f>
        <v>2565.3333333333335</v>
      </c>
      <c r="P1751" s="57">
        <f t="shared" si="27"/>
        <v>1850</v>
      </c>
      <c r="Q1751" s="58">
        <f>_xlfn.MAXIFS(Survey!$G$2:$G$3647,Survey!$M$2:$M$3647,Survey!$M1751)-Survey!$G1751</f>
        <v>204.97403040268773</v>
      </c>
      <c r="R1751" s="59">
        <f>Survey!$P1751+(Survey!$Q1751*0.433)</f>
        <v>1938.7537551643638</v>
      </c>
    </row>
    <row r="1752" spans="1:18" x14ac:dyDescent="0.25">
      <c r="A1752" s="71" t="s">
        <v>17</v>
      </c>
      <c r="B1752" s="72" t="s">
        <v>22</v>
      </c>
      <c r="C1752" s="73" t="s">
        <v>19</v>
      </c>
      <c r="D1752" s="74">
        <v>239.93257612651021</v>
      </c>
      <c r="E1752" s="81">
        <v>1296889</v>
      </c>
      <c r="F1752" s="82">
        <v>1267870.4269662909</v>
      </c>
      <c r="G1752" s="75">
        <v>3542.5470292083842</v>
      </c>
      <c r="H1752" s="76">
        <v>2</v>
      </c>
      <c r="I1752" s="54" t="s">
        <v>20</v>
      </c>
      <c r="J1752" s="77">
        <v>40</v>
      </c>
      <c r="K1752" s="78">
        <v>2</v>
      </c>
      <c r="L1752" s="54">
        <v>1</v>
      </c>
      <c r="M1752" s="54">
        <f>_xlfn.XLOOKUP(Survey!$F1752,sections[Start],sections[Test Section],,-1,1)</f>
        <v>5</v>
      </c>
      <c r="N1752" s="55">
        <f>_xlfn.XLOOKUP(Survey!$K1752,pipedata[ID],pipedata[WT])</f>
        <v>0.74</v>
      </c>
      <c r="O1752" s="56">
        <f>_xlfn.XLOOKUP(Survey!$K1752,pipedata[ID],pipedata[104%])</f>
        <v>2565.3333333333335</v>
      </c>
      <c r="P1752" s="57">
        <f t="shared" si="27"/>
        <v>1850</v>
      </c>
      <c r="Q1752" s="58">
        <f>_xlfn.MAXIFS(Survey!$G$2:$G$3647,Survey!$M$2:$M$3647,Survey!$M1752)-Survey!$G1752</f>
        <v>192.82981011688707</v>
      </c>
      <c r="R1752" s="59">
        <f>Survey!$P1752+(Survey!$Q1752*0.433)</f>
        <v>1933.4953077806122</v>
      </c>
    </row>
    <row r="1753" spans="1:18" x14ac:dyDescent="0.25">
      <c r="A1753" s="60" t="s">
        <v>17</v>
      </c>
      <c r="B1753" s="61" t="s">
        <v>22</v>
      </c>
      <c r="C1753" s="62" t="s">
        <v>19</v>
      </c>
      <c r="D1753" s="63">
        <v>239.9404039468935</v>
      </c>
      <c r="E1753" s="79">
        <v>1296929</v>
      </c>
      <c r="F1753" s="80">
        <v>1267907.6067415718</v>
      </c>
      <c r="G1753" s="66">
        <v>3552.9574529584106</v>
      </c>
      <c r="H1753" s="67">
        <v>2</v>
      </c>
      <c r="I1753" s="68" t="s">
        <v>20</v>
      </c>
      <c r="J1753" s="69">
        <v>40</v>
      </c>
      <c r="K1753" s="70">
        <v>2</v>
      </c>
      <c r="L1753" s="68">
        <v>1</v>
      </c>
      <c r="M1753" s="68">
        <f>_xlfn.XLOOKUP(Survey!$F1753,sections[Start],sections[Test Section],,-1,1)</f>
        <v>5</v>
      </c>
      <c r="N1753" s="55">
        <f>_xlfn.XLOOKUP(Survey!$K1753,pipedata[ID],pipedata[WT])</f>
        <v>0.74</v>
      </c>
      <c r="O1753" s="56">
        <f>_xlfn.XLOOKUP(Survey!$K1753,pipedata[ID],pipedata[104%])</f>
        <v>2565.3333333333335</v>
      </c>
      <c r="P1753" s="57">
        <f t="shared" si="27"/>
        <v>1850</v>
      </c>
      <c r="Q1753" s="58">
        <f>_xlfn.MAXIFS(Survey!$G$2:$G$3647,Survey!$M$2:$M$3647,Survey!$M1753)-Survey!$G1753</f>
        <v>182.41938636686064</v>
      </c>
      <c r="R1753" s="59">
        <f>Survey!$P1753+(Survey!$Q1753*0.433)</f>
        <v>1928.9875942968506</v>
      </c>
    </row>
    <row r="1754" spans="1:18" x14ac:dyDescent="0.25">
      <c r="A1754" s="71" t="s">
        <v>17</v>
      </c>
      <c r="B1754" s="72" t="s">
        <v>22</v>
      </c>
      <c r="C1754" s="73" t="s">
        <v>19</v>
      </c>
      <c r="D1754" s="74">
        <v>239.94782288403005</v>
      </c>
      <c r="E1754" s="81">
        <v>1296969</v>
      </c>
      <c r="F1754" s="82">
        <v>1267944.7865168527</v>
      </c>
      <c r="G1754" s="75">
        <v>3563.0597052776798</v>
      </c>
      <c r="H1754" s="76">
        <v>2</v>
      </c>
      <c r="I1754" s="54" t="s">
        <v>20</v>
      </c>
      <c r="J1754" s="77">
        <v>40</v>
      </c>
      <c r="K1754" s="78">
        <v>2</v>
      </c>
      <c r="L1754" s="54">
        <v>1</v>
      </c>
      <c r="M1754" s="54">
        <f>_xlfn.XLOOKUP(Survey!$F1754,sections[Start],sections[Test Section],,-1,1)</f>
        <v>5</v>
      </c>
      <c r="N1754" s="55">
        <f>_xlfn.XLOOKUP(Survey!$K1754,pipedata[ID],pipedata[WT])</f>
        <v>0.74</v>
      </c>
      <c r="O1754" s="56">
        <f>_xlfn.XLOOKUP(Survey!$K1754,pipedata[ID],pipedata[104%])</f>
        <v>2565.3333333333335</v>
      </c>
      <c r="P1754" s="57">
        <f t="shared" si="27"/>
        <v>1850</v>
      </c>
      <c r="Q1754" s="58">
        <f>_xlfn.MAXIFS(Survey!$G$2:$G$3647,Survey!$M$2:$M$3647,Survey!$M1754)-Survey!$G1754</f>
        <v>172.31713404759148</v>
      </c>
      <c r="R1754" s="59">
        <f>Survey!$P1754+(Survey!$Q1754*0.433)</f>
        <v>1924.6133190426071</v>
      </c>
    </row>
    <row r="1755" spans="1:18" x14ac:dyDescent="0.25">
      <c r="A1755" s="60" t="s">
        <v>17</v>
      </c>
      <c r="B1755" s="61" t="s">
        <v>22</v>
      </c>
      <c r="C1755" s="62" t="s">
        <v>19</v>
      </c>
      <c r="D1755" s="63">
        <v>239.95540888719992</v>
      </c>
      <c r="E1755" s="79">
        <v>1297009</v>
      </c>
      <c r="F1755" s="80">
        <v>1267981.9662921336</v>
      </c>
      <c r="G1755" s="66">
        <v>3571.9390599747899</v>
      </c>
      <c r="H1755" s="67">
        <v>2</v>
      </c>
      <c r="I1755" s="68" t="s">
        <v>20</v>
      </c>
      <c r="J1755" s="69">
        <v>40</v>
      </c>
      <c r="K1755" s="70">
        <v>2</v>
      </c>
      <c r="L1755" s="68">
        <v>1</v>
      </c>
      <c r="M1755" s="68">
        <f>_xlfn.XLOOKUP(Survey!$F1755,sections[Start],sections[Test Section],,-1,1)</f>
        <v>5</v>
      </c>
      <c r="N1755" s="55">
        <f>_xlfn.XLOOKUP(Survey!$K1755,pipedata[ID],pipedata[WT])</f>
        <v>0.74</v>
      </c>
      <c r="O1755" s="56">
        <f>_xlfn.XLOOKUP(Survey!$K1755,pipedata[ID],pipedata[104%])</f>
        <v>2565.3333333333335</v>
      </c>
      <c r="P1755" s="57">
        <f t="shared" si="27"/>
        <v>1850</v>
      </c>
      <c r="Q1755" s="58">
        <f>_xlfn.MAXIFS(Survey!$G$2:$G$3647,Survey!$M$2:$M$3647,Survey!$M1755)-Survey!$G1755</f>
        <v>163.43777935048138</v>
      </c>
      <c r="R1755" s="59">
        <f>Survey!$P1755+(Survey!$Q1755*0.433)</f>
        <v>1920.7685584587584</v>
      </c>
    </row>
    <row r="1756" spans="1:18" x14ac:dyDescent="0.25">
      <c r="A1756" s="71" t="s">
        <v>17</v>
      </c>
      <c r="B1756" s="72" t="s">
        <v>22</v>
      </c>
      <c r="C1756" s="73" t="s">
        <v>19</v>
      </c>
      <c r="D1756" s="74">
        <v>239.96266075830516</v>
      </c>
      <c r="E1756" s="81">
        <v>1297049</v>
      </c>
      <c r="F1756" s="82">
        <v>1268019.1460674144</v>
      </c>
      <c r="G1756" s="75">
        <v>3582.7822076801731</v>
      </c>
      <c r="H1756" s="76">
        <v>2</v>
      </c>
      <c r="I1756" s="54" t="s">
        <v>20</v>
      </c>
      <c r="J1756" s="77">
        <v>40</v>
      </c>
      <c r="K1756" s="78">
        <v>2</v>
      </c>
      <c r="L1756" s="54">
        <v>1</v>
      </c>
      <c r="M1756" s="54">
        <f>_xlfn.XLOOKUP(Survey!$F1756,sections[Start],sections[Test Section],,-1,1)</f>
        <v>5</v>
      </c>
      <c r="N1756" s="55">
        <f>_xlfn.XLOOKUP(Survey!$K1756,pipedata[ID],pipedata[WT])</f>
        <v>0.74</v>
      </c>
      <c r="O1756" s="56">
        <f>_xlfn.XLOOKUP(Survey!$K1756,pipedata[ID],pipedata[104%])</f>
        <v>2565.3333333333335</v>
      </c>
      <c r="P1756" s="57">
        <f t="shared" si="27"/>
        <v>1850</v>
      </c>
      <c r="Q1756" s="58">
        <f>_xlfn.MAXIFS(Survey!$G$2:$G$3647,Survey!$M$2:$M$3647,Survey!$M1756)-Survey!$G1756</f>
        <v>152.59463164509816</v>
      </c>
      <c r="R1756" s="59">
        <f>Survey!$P1756+(Survey!$Q1756*0.433)</f>
        <v>1916.0734755023275</v>
      </c>
    </row>
    <row r="1757" spans="1:18" x14ac:dyDescent="0.25">
      <c r="A1757" s="60" t="s">
        <v>17</v>
      </c>
      <c r="B1757" s="61" t="s">
        <v>22</v>
      </c>
      <c r="C1757" s="62" t="s">
        <v>19</v>
      </c>
      <c r="D1757" s="63">
        <v>239.96884246817399</v>
      </c>
      <c r="E1757" s="79">
        <v>1297089</v>
      </c>
      <c r="F1757" s="80">
        <v>1268056.3258426953</v>
      </c>
      <c r="G1757" s="66">
        <v>3592.8655539628303</v>
      </c>
      <c r="H1757" s="67">
        <v>2</v>
      </c>
      <c r="I1757" s="68" t="s">
        <v>20</v>
      </c>
      <c r="J1757" s="69">
        <v>40</v>
      </c>
      <c r="K1757" s="70">
        <v>2</v>
      </c>
      <c r="L1757" s="68">
        <v>1</v>
      </c>
      <c r="M1757" s="68">
        <f>_xlfn.XLOOKUP(Survey!$F1757,sections[Start],sections[Test Section],,-1,1)</f>
        <v>5</v>
      </c>
      <c r="N1757" s="55">
        <f>_xlfn.XLOOKUP(Survey!$K1757,pipedata[ID],pipedata[WT])</f>
        <v>0.74</v>
      </c>
      <c r="O1757" s="56">
        <f>_xlfn.XLOOKUP(Survey!$K1757,pipedata[ID],pipedata[104%])</f>
        <v>2565.3333333333335</v>
      </c>
      <c r="P1757" s="57">
        <f t="shared" si="27"/>
        <v>1850</v>
      </c>
      <c r="Q1757" s="58">
        <f>_xlfn.MAXIFS(Survey!$G$2:$G$3647,Survey!$M$2:$M$3647,Survey!$M1757)-Survey!$G1757</f>
        <v>142.51128536244096</v>
      </c>
      <c r="R1757" s="59">
        <f>Survey!$P1757+(Survey!$Q1757*0.433)</f>
        <v>1911.707386561937</v>
      </c>
    </row>
    <row r="1758" spans="1:18" x14ac:dyDescent="0.25">
      <c r="A1758" s="71" t="s">
        <v>17</v>
      </c>
      <c r="B1758" s="72" t="s">
        <v>22</v>
      </c>
      <c r="C1758" s="73" t="s">
        <v>19</v>
      </c>
      <c r="D1758" s="74">
        <v>239.97659360593619</v>
      </c>
      <c r="E1758" s="81">
        <v>1297129</v>
      </c>
      <c r="F1758" s="82">
        <v>1268093.5056179762</v>
      </c>
      <c r="G1758" s="75">
        <v>3603.4240439953269</v>
      </c>
      <c r="H1758" s="76">
        <v>2</v>
      </c>
      <c r="I1758" s="54" t="s">
        <v>20</v>
      </c>
      <c r="J1758" s="77">
        <v>40</v>
      </c>
      <c r="K1758" s="78">
        <v>2</v>
      </c>
      <c r="L1758" s="54">
        <v>1</v>
      </c>
      <c r="M1758" s="54">
        <f>_xlfn.XLOOKUP(Survey!$F1758,sections[Start],sections[Test Section],,-1,1)</f>
        <v>5</v>
      </c>
      <c r="N1758" s="55">
        <f>_xlfn.XLOOKUP(Survey!$K1758,pipedata[ID],pipedata[WT])</f>
        <v>0.74</v>
      </c>
      <c r="O1758" s="56">
        <f>_xlfn.XLOOKUP(Survey!$K1758,pipedata[ID],pipedata[104%])</f>
        <v>2565.3333333333335</v>
      </c>
      <c r="P1758" s="57">
        <f t="shared" si="27"/>
        <v>1850</v>
      </c>
      <c r="Q1758" s="58">
        <f>_xlfn.MAXIFS(Survey!$G$2:$G$3647,Survey!$M$2:$M$3647,Survey!$M1758)-Survey!$G1758</f>
        <v>131.95279532994437</v>
      </c>
      <c r="R1758" s="59">
        <f>Survey!$P1758+(Survey!$Q1758*0.433)</f>
        <v>1907.1355603778659</v>
      </c>
    </row>
    <row r="1759" spans="1:18" x14ac:dyDescent="0.25">
      <c r="A1759" s="60" t="s">
        <v>17</v>
      </c>
      <c r="B1759" s="61" t="s">
        <v>22</v>
      </c>
      <c r="C1759" s="62" t="s">
        <v>19</v>
      </c>
      <c r="D1759" s="63">
        <v>239.9843447436983</v>
      </c>
      <c r="E1759" s="79">
        <v>1297169</v>
      </c>
      <c r="F1759" s="80">
        <v>1268130.6853932571</v>
      </c>
      <c r="G1759" s="66">
        <v>3614.5456944861321</v>
      </c>
      <c r="H1759" s="67">
        <v>2</v>
      </c>
      <c r="I1759" s="68" t="s">
        <v>20</v>
      </c>
      <c r="J1759" s="69">
        <v>40</v>
      </c>
      <c r="K1759" s="70">
        <v>2</v>
      </c>
      <c r="L1759" s="68">
        <v>1</v>
      </c>
      <c r="M1759" s="68">
        <f>_xlfn.XLOOKUP(Survey!$F1759,sections[Start],sections[Test Section],,-1,1)</f>
        <v>5</v>
      </c>
      <c r="N1759" s="55">
        <f>_xlfn.XLOOKUP(Survey!$K1759,pipedata[ID],pipedata[WT])</f>
        <v>0.74</v>
      </c>
      <c r="O1759" s="56">
        <f>_xlfn.XLOOKUP(Survey!$K1759,pipedata[ID],pipedata[104%])</f>
        <v>2565.3333333333335</v>
      </c>
      <c r="P1759" s="57">
        <f t="shared" si="27"/>
        <v>1850</v>
      </c>
      <c r="Q1759" s="58">
        <f>_xlfn.MAXIFS(Survey!$G$2:$G$3647,Survey!$M$2:$M$3647,Survey!$M1759)-Survey!$G1759</f>
        <v>120.83114483913914</v>
      </c>
      <c r="R1759" s="59">
        <f>Survey!$P1759+(Survey!$Q1759*0.433)</f>
        <v>1902.3198857153473</v>
      </c>
    </row>
    <row r="1760" spans="1:18" x14ac:dyDescent="0.25">
      <c r="A1760" s="71" t="s">
        <v>17</v>
      </c>
      <c r="B1760" s="72" t="s">
        <v>22</v>
      </c>
      <c r="C1760" s="73" t="s">
        <v>19</v>
      </c>
      <c r="D1760" s="74">
        <v>239.99126941639636</v>
      </c>
      <c r="E1760" s="81">
        <v>1297209</v>
      </c>
      <c r="F1760" s="82">
        <v>1268167.8651685379</v>
      </c>
      <c r="G1760" s="75">
        <v>3625.2054804249633</v>
      </c>
      <c r="H1760" s="76">
        <v>2</v>
      </c>
      <c r="I1760" s="54" t="s">
        <v>20</v>
      </c>
      <c r="J1760" s="77">
        <v>40</v>
      </c>
      <c r="K1760" s="78">
        <v>2</v>
      </c>
      <c r="L1760" s="54">
        <v>1</v>
      </c>
      <c r="M1760" s="54">
        <f>_xlfn.XLOOKUP(Survey!$F1760,sections[Start],sections[Test Section],,-1,1)</f>
        <v>5</v>
      </c>
      <c r="N1760" s="55">
        <f>_xlfn.XLOOKUP(Survey!$K1760,pipedata[ID],pipedata[WT])</f>
        <v>0.74</v>
      </c>
      <c r="O1760" s="56">
        <f>_xlfn.XLOOKUP(Survey!$K1760,pipedata[ID],pipedata[104%])</f>
        <v>2565.3333333333335</v>
      </c>
      <c r="P1760" s="57">
        <f t="shared" si="27"/>
        <v>1850</v>
      </c>
      <c r="Q1760" s="58">
        <f>_xlfn.MAXIFS(Survey!$G$2:$G$3647,Survey!$M$2:$M$3647,Survey!$M1760)-Survey!$G1760</f>
        <v>110.17135890030795</v>
      </c>
      <c r="R1760" s="59">
        <f>Survey!$P1760+(Survey!$Q1760*0.433)</f>
        <v>1897.7041984038333</v>
      </c>
    </row>
    <row r="1761" spans="1:18" x14ac:dyDescent="0.25">
      <c r="A1761" s="60" t="s">
        <v>17</v>
      </c>
      <c r="B1761" s="61" t="s">
        <v>22</v>
      </c>
      <c r="C1761" s="62" t="s">
        <v>19</v>
      </c>
      <c r="D1761" s="63">
        <v>239.99787819909159</v>
      </c>
      <c r="E1761" s="79">
        <v>1297249</v>
      </c>
      <c r="F1761" s="80">
        <v>1268205.0449438188</v>
      </c>
      <c r="G1761" s="66">
        <v>3634.908005358574</v>
      </c>
      <c r="H1761" s="67">
        <v>2</v>
      </c>
      <c r="I1761" s="68" t="s">
        <v>20</v>
      </c>
      <c r="J1761" s="69">
        <v>40</v>
      </c>
      <c r="K1761" s="70">
        <v>2</v>
      </c>
      <c r="L1761" s="68">
        <v>1</v>
      </c>
      <c r="M1761" s="68">
        <f>_xlfn.XLOOKUP(Survey!$F1761,sections[Start],sections[Test Section],,-1,1)</f>
        <v>5</v>
      </c>
      <c r="N1761" s="55">
        <f>_xlfn.XLOOKUP(Survey!$K1761,pipedata[ID],pipedata[WT])</f>
        <v>0.74</v>
      </c>
      <c r="O1761" s="56">
        <f>_xlfn.XLOOKUP(Survey!$K1761,pipedata[ID],pipedata[104%])</f>
        <v>2565.3333333333335</v>
      </c>
      <c r="P1761" s="57">
        <f t="shared" si="27"/>
        <v>1850</v>
      </c>
      <c r="Q1761" s="58">
        <f>_xlfn.MAXIFS(Survey!$G$2:$G$3647,Survey!$M$2:$M$3647,Survey!$M1761)-Survey!$G1761</f>
        <v>100.46883396669728</v>
      </c>
      <c r="R1761" s="59">
        <f>Survey!$P1761+(Survey!$Q1761*0.433)</f>
        <v>1893.5030051075798</v>
      </c>
    </row>
    <row r="1762" spans="1:18" x14ac:dyDescent="0.25">
      <c r="A1762" s="71" t="s">
        <v>17</v>
      </c>
      <c r="B1762" s="72" t="s">
        <v>22</v>
      </c>
      <c r="C1762" s="73" t="s">
        <v>19</v>
      </c>
      <c r="D1762" s="74">
        <v>240.0055818653538</v>
      </c>
      <c r="E1762" s="81">
        <v>1297289</v>
      </c>
      <c r="F1762" s="82">
        <v>1268242.2247190997</v>
      </c>
      <c r="G1762" s="75">
        <v>3647.7156268879357</v>
      </c>
      <c r="H1762" s="76">
        <v>2</v>
      </c>
      <c r="I1762" s="54" t="s">
        <v>20</v>
      </c>
      <c r="J1762" s="77">
        <v>40</v>
      </c>
      <c r="K1762" s="78">
        <v>2</v>
      </c>
      <c r="L1762" s="54">
        <v>1</v>
      </c>
      <c r="M1762" s="54">
        <f>_xlfn.XLOOKUP(Survey!$F1762,sections[Start],sections[Test Section],,-1,1)</f>
        <v>5</v>
      </c>
      <c r="N1762" s="55">
        <f>_xlfn.XLOOKUP(Survey!$K1762,pipedata[ID],pipedata[WT])</f>
        <v>0.74</v>
      </c>
      <c r="O1762" s="56">
        <f>_xlfn.XLOOKUP(Survey!$K1762,pipedata[ID],pipedata[104%])</f>
        <v>2565.3333333333335</v>
      </c>
      <c r="P1762" s="57">
        <f t="shared" si="27"/>
        <v>1850</v>
      </c>
      <c r="Q1762" s="58">
        <f>_xlfn.MAXIFS(Survey!$G$2:$G$3647,Survey!$M$2:$M$3647,Survey!$M1762)-Survey!$G1762</f>
        <v>87.661212437335507</v>
      </c>
      <c r="R1762" s="59">
        <f>Survey!$P1762+(Survey!$Q1762*0.433)</f>
        <v>1887.9573049853664</v>
      </c>
    </row>
    <row r="1763" spans="1:18" x14ac:dyDescent="0.25">
      <c r="A1763" s="60" t="s">
        <v>17</v>
      </c>
      <c r="B1763" s="61" t="s">
        <v>22</v>
      </c>
      <c r="C1763" s="62" t="s">
        <v>19</v>
      </c>
      <c r="D1763" s="63">
        <v>240.01328553161579</v>
      </c>
      <c r="E1763" s="79">
        <v>1297329</v>
      </c>
      <c r="F1763" s="80">
        <v>1268279.4044943806</v>
      </c>
      <c r="G1763" s="66">
        <v>3658.2469741578097</v>
      </c>
      <c r="H1763" s="67">
        <v>2</v>
      </c>
      <c r="I1763" s="68" t="s">
        <v>20</v>
      </c>
      <c r="J1763" s="69">
        <v>40</v>
      </c>
      <c r="K1763" s="70">
        <v>2</v>
      </c>
      <c r="L1763" s="68">
        <v>1</v>
      </c>
      <c r="M1763" s="68">
        <f>_xlfn.XLOOKUP(Survey!$F1763,sections[Start],sections[Test Section],,-1,1)</f>
        <v>5</v>
      </c>
      <c r="N1763" s="55">
        <f>_xlfn.XLOOKUP(Survey!$K1763,pipedata[ID],pipedata[WT])</f>
        <v>0.74</v>
      </c>
      <c r="O1763" s="56">
        <f>_xlfn.XLOOKUP(Survey!$K1763,pipedata[ID],pipedata[104%])</f>
        <v>2565.3333333333335</v>
      </c>
      <c r="P1763" s="57">
        <f t="shared" si="27"/>
        <v>1850</v>
      </c>
      <c r="Q1763" s="58">
        <f>_xlfn.MAXIFS(Survey!$G$2:$G$3647,Survey!$M$2:$M$3647,Survey!$M1763)-Survey!$G1763</f>
        <v>77.129865167461503</v>
      </c>
      <c r="R1763" s="59">
        <f>Survey!$P1763+(Survey!$Q1763*0.433)</f>
        <v>1883.3972316175109</v>
      </c>
    </row>
    <row r="1764" spans="1:18" x14ac:dyDescent="0.25">
      <c r="A1764" s="71" t="s">
        <v>17</v>
      </c>
      <c r="B1764" s="72" t="s">
        <v>22</v>
      </c>
      <c r="C1764" s="73" t="s">
        <v>19</v>
      </c>
      <c r="D1764" s="74">
        <v>240.01933117630728</v>
      </c>
      <c r="E1764" s="81">
        <v>1297369</v>
      </c>
      <c r="F1764" s="82">
        <v>1268316.5842696615</v>
      </c>
      <c r="G1764" s="75">
        <v>3665.8469480000826</v>
      </c>
      <c r="H1764" s="76">
        <v>2</v>
      </c>
      <c r="I1764" s="54" t="s">
        <v>20</v>
      </c>
      <c r="J1764" s="77">
        <v>40</v>
      </c>
      <c r="K1764" s="78">
        <v>2</v>
      </c>
      <c r="L1764" s="54">
        <v>1</v>
      </c>
      <c r="M1764" s="54">
        <f>_xlfn.XLOOKUP(Survey!$F1764,sections[Start],sections[Test Section],,-1,1)</f>
        <v>5</v>
      </c>
      <c r="N1764" s="55">
        <f>_xlfn.XLOOKUP(Survey!$K1764,pipedata[ID],pipedata[WT])</f>
        <v>0.74</v>
      </c>
      <c r="O1764" s="56">
        <f>_xlfn.XLOOKUP(Survey!$K1764,pipedata[ID],pipedata[104%])</f>
        <v>2565.3333333333335</v>
      </c>
      <c r="P1764" s="57">
        <f t="shared" si="27"/>
        <v>1850</v>
      </c>
      <c r="Q1764" s="58">
        <f>_xlfn.MAXIFS(Survey!$G$2:$G$3647,Survey!$M$2:$M$3647,Survey!$M1764)-Survey!$G1764</f>
        <v>69.529891325188601</v>
      </c>
      <c r="R1764" s="59">
        <f>Survey!$P1764+(Survey!$Q1764*0.433)</f>
        <v>1880.1064429438068</v>
      </c>
    </row>
    <row r="1765" spans="1:18" x14ac:dyDescent="0.25">
      <c r="A1765" s="60" t="s">
        <v>17</v>
      </c>
      <c r="B1765" s="61" t="s">
        <v>22</v>
      </c>
      <c r="C1765" s="62" t="s">
        <v>19</v>
      </c>
      <c r="D1765" s="63">
        <v>240.02813527012592</v>
      </c>
      <c r="E1765" s="79">
        <v>1297409</v>
      </c>
      <c r="F1765" s="80">
        <v>1268353.7640449423</v>
      </c>
      <c r="G1765" s="66">
        <v>3675.4530614572841</v>
      </c>
      <c r="H1765" s="67">
        <v>2</v>
      </c>
      <c r="I1765" s="68" t="s">
        <v>20</v>
      </c>
      <c r="J1765" s="69">
        <v>40</v>
      </c>
      <c r="K1765" s="70">
        <v>2</v>
      </c>
      <c r="L1765" s="68">
        <v>1</v>
      </c>
      <c r="M1765" s="68">
        <f>_xlfn.XLOOKUP(Survey!$F1765,sections[Start],sections[Test Section],,-1,1)</f>
        <v>5</v>
      </c>
      <c r="N1765" s="55">
        <f>_xlfn.XLOOKUP(Survey!$K1765,pipedata[ID],pipedata[WT])</f>
        <v>0.74</v>
      </c>
      <c r="O1765" s="56">
        <f>_xlfn.XLOOKUP(Survey!$K1765,pipedata[ID],pipedata[104%])</f>
        <v>2565.3333333333335</v>
      </c>
      <c r="P1765" s="57">
        <f t="shared" si="27"/>
        <v>1850</v>
      </c>
      <c r="Q1765" s="58">
        <f>_xlfn.MAXIFS(Survey!$G$2:$G$3647,Survey!$M$2:$M$3647,Survey!$M1765)-Survey!$G1765</f>
        <v>59.923777867987155</v>
      </c>
      <c r="R1765" s="59">
        <f>Survey!$P1765+(Survey!$Q1765*0.433)</f>
        <v>1875.9469958168384</v>
      </c>
    </row>
    <row r="1766" spans="1:18" x14ac:dyDescent="0.25">
      <c r="A1766" s="71" t="s">
        <v>17</v>
      </c>
      <c r="B1766" s="72" t="s">
        <v>22</v>
      </c>
      <c r="C1766" s="73" t="s">
        <v>19</v>
      </c>
      <c r="D1766" s="74">
        <v>240.03489392456328</v>
      </c>
      <c r="E1766" s="81">
        <v>1297449</v>
      </c>
      <c r="F1766" s="82">
        <v>1268390.9438202232</v>
      </c>
      <c r="G1766" s="75">
        <v>3683.1869546860385</v>
      </c>
      <c r="H1766" s="76">
        <v>2</v>
      </c>
      <c r="I1766" s="54" t="s">
        <v>20</v>
      </c>
      <c r="J1766" s="77">
        <v>40</v>
      </c>
      <c r="K1766" s="78">
        <v>2</v>
      </c>
      <c r="L1766" s="54">
        <v>1</v>
      </c>
      <c r="M1766" s="54">
        <f>_xlfn.XLOOKUP(Survey!$F1766,sections[Start],sections[Test Section],,-1,1)</f>
        <v>5</v>
      </c>
      <c r="N1766" s="55">
        <f>_xlfn.XLOOKUP(Survey!$K1766,pipedata[ID],pipedata[WT])</f>
        <v>0.74</v>
      </c>
      <c r="O1766" s="56">
        <f>_xlfn.XLOOKUP(Survey!$K1766,pipedata[ID],pipedata[104%])</f>
        <v>2565.3333333333335</v>
      </c>
      <c r="P1766" s="57">
        <f t="shared" si="27"/>
        <v>1850</v>
      </c>
      <c r="Q1766" s="58">
        <f>_xlfn.MAXIFS(Survey!$G$2:$G$3647,Survey!$M$2:$M$3647,Survey!$M1766)-Survey!$G1766</f>
        <v>52.189884639232787</v>
      </c>
      <c r="R1766" s="59">
        <f>Survey!$P1766+(Survey!$Q1766*0.433)</f>
        <v>1872.5982200487879</v>
      </c>
    </row>
    <row r="1767" spans="1:18" x14ac:dyDescent="0.25">
      <c r="A1767" s="60" t="s">
        <v>17</v>
      </c>
      <c r="B1767" s="61" t="s">
        <v>22</v>
      </c>
      <c r="C1767" s="62" t="s">
        <v>19</v>
      </c>
      <c r="D1767" s="63">
        <v>240.04307203949188</v>
      </c>
      <c r="E1767" s="79">
        <v>1297489</v>
      </c>
      <c r="F1767" s="80">
        <v>1268428.1235955041</v>
      </c>
      <c r="G1767" s="66">
        <v>3691.6953894912081</v>
      </c>
      <c r="H1767" s="67">
        <v>2</v>
      </c>
      <c r="I1767" s="68" t="s">
        <v>20</v>
      </c>
      <c r="J1767" s="69">
        <v>40</v>
      </c>
      <c r="K1767" s="70">
        <v>2</v>
      </c>
      <c r="L1767" s="68">
        <v>1</v>
      </c>
      <c r="M1767" s="68">
        <f>_xlfn.XLOOKUP(Survey!$F1767,sections[Start],sections[Test Section],,-1,1)</f>
        <v>5</v>
      </c>
      <c r="N1767" s="55">
        <f>_xlfn.XLOOKUP(Survey!$K1767,pipedata[ID],pipedata[WT])</f>
        <v>0.74</v>
      </c>
      <c r="O1767" s="56">
        <f>_xlfn.XLOOKUP(Survey!$K1767,pipedata[ID],pipedata[104%])</f>
        <v>2565.3333333333335</v>
      </c>
      <c r="P1767" s="57">
        <f t="shared" si="27"/>
        <v>1850</v>
      </c>
      <c r="Q1767" s="58">
        <f>_xlfn.MAXIFS(Survey!$G$2:$G$3647,Survey!$M$2:$M$3647,Survey!$M1767)-Survey!$G1767</f>
        <v>43.681449834063187</v>
      </c>
      <c r="R1767" s="59">
        <f>Survey!$P1767+(Survey!$Q1767*0.433)</f>
        <v>1868.9140677781493</v>
      </c>
    </row>
    <row r="1768" spans="1:18" x14ac:dyDescent="0.25">
      <c r="A1768" s="71" t="s">
        <v>17</v>
      </c>
      <c r="B1768" s="72" t="s">
        <v>22</v>
      </c>
      <c r="C1768" s="73" t="s">
        <v>19</v>
      </c>
      <c r="D1768" s="74">
        <v>240.05020265002685</v>
      </c>
      <c r="E1768" s="81">
        <v>1297529</v>
      </c>
      <c r="F1768" s="82">
        <v>1268465.303370785</v>
      </c>
      <c r="G1768" s="75">
        <v>3697.7399441554958</v>
      </c>
      <c r="H1768" s="76">
        <v>2</v>
      </c>
      <c r="I1768" s="54" t="s">
        <v>20</v>
      </c>
      <c r="J1768" s="77">
        <v>40</v>
      </c>
      <c r="K1768" s="78">
        <v>2</v>
      </c>
      <c r="L1768" s="54">
        <v>1</v>
      </c>
      <c r="M1768" s="54">
        <f>_xlfn.XLOOKUP(Survey!$F1768,sections[Start],sections[Test Section],,-1,1)</f>
        <v>5</v>
      </c>
      <c r="N1768" s="55">
        <f>_xlfn.XLOOKUP(Survey!$K1768,pipedata[ID],pipedata[WT])</f>
        <v>0.74</v>
      </c>
      <c r="O1768" s="56">
        <f>_xlfn.XLOOKUP(Survey!$K1768,pipedata[ID],pipedata[104%])</f>
        <v>2565.3333333333335</v>
      </c>
      <c r="P1768" s="57">
        <f t="shared" si="27"/>
        <v>1850</v>
      </c>
      <c r="Q1768" s="58">
        <f>_xlfn.MAXIFS(Survey!$G$2:$G$3647,Survey!$M$2:$M$3647,Survey!$M1768)-Survey!$G1768</f>
        <v>37.636895169775471</v>
      </c>
      <c r="R1768" s="59">
        <f>Survey!$P1768+(Survey!$Q1768*0.433)</f>
        <v>1866.2967756085127</v>
      </c>
    </row>
    <row r="1769" spans="1:18" x14ac:dyDescent="0.25">
      <c r="A1769" s="60" t="s">
        <v>17</v>
      </c>
      <c r="B1769" s="61" t="s">
        <v>22</v>
      </c>
      <c r="C1769" s="62" t="s">
        <v>19</v>
      </c>
      <c r="D1769" s="63">
        <v>240.05744034345918</v>
      </c>
      <c r="E1769" s="79">
        <v>1297569</v>
      </c>
      <c r="F1769" s="80">
        <v>1268502.4831460658</v>
      </c>
      <c r="G1769" s="66">
        <v>3704.3010388563057</v>
      </c>
      <c r="H1769" s="67">
        <v>2</v>
      </c>
      <c r="I1769" s="68" t="s">
        <v>20</v>
      </c>
      <c r="J1769" s="69">
        <v>40</v>
      </c>
      <c r="K1769" s="70">
        <v>2</v>
      </c>
      <c r="L1769" s="68">
        <v>1</v>
      </c>
      <c r="M1769" s="68">
        <f>_xlfn.XLOOKUP(Survey!$F1769,sections[Start],sections[Test Section],,-1,1)</f>
        <v>5</v>
      </c>
      <c r="N1769" s="55">
        <f>_xlfn.XLOOKUP(Survey!$K1769,pipedata[ID],pipedata[WT])</f>
        <v>0.74</v>
      </c>
      <c r="O1769" s="56">
        <f>_xlfn.XLOOKUP(Survey!$K1769,pipedata[ID],pipedata[104%])</f>
        <v>2565.3333333333335</v>
      </c>
      <c r="P1769" s="57">
        <f t="shared" si="27"/>
        <v>1850</v>
      </c>
      <c r="Q1769" s="58">
        <f>_xlfn.MAXIFS(Survey!$G$2:$G$3647,Survey!$M$2:$M$3647,Survey!$M1769)-Survey!$G1769</f>
        <v>31.075800468965554</v>
      </c>
      <c r="R1769" s="59">
        <f>Survey!$P1769+(Survey!$Q1769*0.433)</f>
        <v>1863.4558216030621</v>
      </c>
    </row>
    <row r="1770" spans="1:18" x14ac:dyDescent="0.25">
      <c r="A1770" s="71" t="s">
        <v>17</v>
      </c>
      <c r="B1770" s="72" t="s">
        <v>22</v>
      </c>
      <c r="C1770" s="73" t="s">
        <v>19</v>
      </c>
      <c r="D1770" s="74">
        <v>240.06388996477673</v>
      </c>
      <c r="E1770" s="81">
        <v>1297609</v>
      </c>
      <c r="F1770" s="82">
        <v>1268539.6629213467</v>
      </c>
      <c r="G1770" s="75">
        <v>3710.3839320472034</v>
      </c>
      <c r="H1770" s="76">
        <v>2</v>
      </c>
      <c r="I1770" s="54" t="s">
        <v>20</v>
      </c>
      <c r="J1770" s="77">
        <v>40</v>
      </c>
      <c r="K1770" s="78">
        <v>2</v>
      </c>
      <c r="L1770" s="54">
        <v>1</v>
      </c>
      <c r="M1770" s="54">
        <f>_xlfn.XLOOKUP(Survey!$F1770,sections[Start],sections[Test Section],,-1,1)</f>
        <v>5</v>
      </c>
      <c r="N1770" s="55">
        <f>_xlfn.XLOOKUP(Survey!$K1770,pipedata[ID],pipedata[WT])</f>
        <v>0.74</v>
      </c>
      <c r="O1770" s="56">
        <f>_xlfn.XLOOKUP(Survey!$K1770,pipedata[ID],pipedata[104%])</f>
        <v>2565.3333333333335</v>
      </c>
      <c r="P1770" s="57">
        <f t="shared" si="27"/>
        <v>1850</v>
      </c>
      <c r="Q1770" s="58">
        <f>_xlfn.MAXIFS(Survey!$G$2:$G$3647,Survey!$M$2:$M$3647,Survey!$M1770)-Survey!$G1770</f>
        <v>24.992907278067833</v>
      </c>
      <c r="R1770" s="59">
        <f>Survey!$P1770+(Survey!$Q1770*0.433)</f>
        <v>1860.8219288514033</v>
      </c>
    </row>
    <row r="1771" spans="1:18" x14ac:dyDescent="0.25">
      <c r="A1771" s="60" t="s">
        <v>17</v>
      </c>
      <c r="B1771" s="61" t="s">
        <v>22</v>
      </c>
      <c r="C1771" s="62" t="s">
        <v>19</v>
      </c>
      <c r="D1771" s="63">
        <v>240.07279333841029</v>
      </c>
      <c r="E1771" s="79">
        <v>1297649</v>
      </c>
      <c r="F1771" s="80">
        <v>1268576.8426966276</v>
      </c>
      <c r="G1771" s="66">
        <v>3718.9508760168369</v>
      </c>
      <c r="H1771" s="67">
        <v>2</v>
      </c>
      <c r="I1771" s="68" t="s">
        <v>20</v>
      </c>
      <c r="J1771" s="69">
        <v>40</v>
      </c>
      <c r="K1771" s="70">
        <v>2</v>
      </c>
      <c r="L1771" s="68">
        <v>1</v>
      </c>
      <c r="M1771" s="68">
        <f>_xlfn.XLOOKUP(Survey!$F1771,sections[Start],sections[Test Section],,-1,1)</f>
        <v>5</v>
      </c>
      <c r="N1771" s="55">
        <f>_xlfn.XLOOKUP(Survey!$K1771,pipedata[ID],pipedata[WT])</f>
        <v>0.74</v>
      </c>
      <c r="O1771" s="56">
        <f>_xlfn.XLOOKUP(Survey!$K1771,pipedata[ID],pipedata[104%])</f>
        <v>2565.3333333333335</v>
      </c>
      <c r="P1771" s="57">
        <f t="shared" si="27"/>
        <v>1850</v>
      </c>
      <c r="Q1771" s="58">
        <f>_xlfn.MAXIFS(Survey!$G$2:$G$3647,Survey!$M$2:$M$3647,Survey!$M1771)-Survey!$G1771</f>
        <v>16.425963308434348</v>
      </c>
      <c r="R1771" s="59">
        <f>Survey!$P1771+(Survey!$Q1771*0.433)</f>
        <v>1857.1124421125521</v>
      </c>
    </row>
    <row r="1772" spans="1:18" x14ac:dyDescent="0.25">
      <c r="A1772" s="71" t="s">
        <v>17</v>
      </c>
      <c r="B1772" s="72" t="s">
        <v>22</v>
      </c>
      <c r="C1772" s="73" t="s">
        <v>19</v>
      </c>
      <c r="D1772" s="74">
        <v>240.08026364346335</v>
      </c>
      <c r="E1772" s="81">
        <v>1297689</v>
      </c>
      <c r="F1772" s="82">
        <v>1268614.0224719085</v>
      </c>
      <c r="G1772" s="75">
        <v>3721.4320682777216</v>
      </c>
      <c r="H1772" s="76">
        <v>2</v>
      </c>
      <c r="I1772" s="54" t="s">
        <v>20</v>
      </c>
      <c r="J1772" s="77">
        <v>40</v>
      </c>
      <c r="K1772" s="78">
        <v>2</v>
      </c>
      <c r="L1772" s="54">
        <v>1</v>
      </c>
      <c r="M1772" s="54">
        <f>_xlfn.XLOOKUP(Survey!$F1772,sections[Start],sections[Test Section],,-1,1)</f>
        <v>5</v>
      </c>
      <c r="N1772" s="55">
        <f>_xlfn.XLOOKUP(Survey!$K1772,pipedata[ID],pipedata[WT])</f>
        <v>0.74</v>
      </c>
      <c r="O1772" s="56">
        <f>_xlfn.XLOOKUP(Survey!$K1772,pipedata[ID],pipedata[104%])</f>
        <v>2565.3333333333335</v>
      </c>
      <c r="P1772" s="57">
        <f t="shared" si="27"/>
        <v>1850</v>
      </c>
      <c r="Q1772" s="58">
        <f>_xlfn.MAXIFS(Survey!$G$2:$G$3647,Survey!$M$2:$M$3647,Survey!$M1772)-Survey!$G1772</f>
        <v>13.944771047549693</v>
      </c>
      <c r="R1772" s="59">
        <f>Survey!$P1772+(Survey!$Q1772*0.433)</f>
        <v>1856.038085863589</v>
      </c>
    </row>
    <row r="1773" spans="1:18" x14ac:dyDescent="0.25">
      <c r="A1773" s="60" t="s">
        <v>17</v>
      </c>
      <c r="B1773" s="61" t="s">
        <v>22</v>
      </c>
      <c r="C1773" s="62" t="s">
        <v>19</v>
      </c>
      <c r="D1773" s="63">
        <v>240.08728093432904</v>
      </c>
      <c r="E1773" s="79">
        <v>1297729</v>
      </c>
      <c r="F1773" s="80">
        <v>1268651.2022471894</v>
      </c>
      <c r="G1773" s="66">
        <v>3725.8105679481696</v>
      </c>
      <c r="H1773" s="67">
        <v>2</v>
      </c>
      <c r="I1773" s="68" t="s">
        <v>20</v>
      </c>
      <c r="J1773" s="69">
        <v>40</v>
      </c>
      <c r="K1773" s="70">
        <v>2</v>
      </c>
      <c r="L1773" s="68">
        <v>1</v>
      </c>
      <c r="M1773" s="68">
        <f>_xlfn.XLOOKUP(Survey!$F1773,sections[Start],sections[Test Section],,-1,1)</f>
        <v>5</v>
      </c>
      <c r="N1773" s="55">
        <f>_xlfn.XLOOKUP(Survey!$K1773,pipedata[ID],pipedata[WT])</f>
        <v>0.74</v>
      </c>
      <c r="O1773" s="56">
        <f>_xlfn.XLOOKUP(Survey!$K1773,pipedata[ID],pipedata[104%])</f>
        <v>2565.3333333333335</v>
      </c>
      <c r="P1773" s="57">
        <f t="shared" si="27"/>
        <v>1850</v>
      </c>
      <c r="Q1773" s="58">
        <f>_xlfn.MAXIFS(Survey!$G$2:$G$3647,Survey!$M$2:$M$3647,Survey!$M1773)-Survey!$G1773</f>
        <v>9.566271377101657</v>
      </c>
      <c r="R1773" s="59">
        <f>Survey!$P1773+(Survey!$Q1773*0.433)</f>
        <v>1854.1421955062849</v>
      </c>
    </row>
    <row r="1774" spans="1:18" x14ac:dyDescent="0.25">
      <c r="A1774" s="71" t="s">
        <v>17</v>
      </c>
      <c r="B1774" s="72" t="s">
        <v>22</v>
      </c>
      <c r="C1774" s="73" t="s">
        <v>19</v>
      </c>
      <c r="D1774" s="74">
        <v>240.09508712060395</v>
      </c>
      <c r="E1774" s="81">
        <v>1297769</v>
      </c>
      <c r="F1774" s="82">
        <v>1268688.3820224702</v>
      </c>
      <c r="G1774" s="75">
        <v>3727.6521523659421</v>
      </c>
      <c r="H1774" s="76">
        <v>2</v>
      </c>
      <c r="I1774" s="54" t="s">
        <v>20</v>
      </c>
      <c r="J1774" s="77">
        <v>40</v>
      </c>
      <c r="K1774" s="78">
        <v>2</v>
      </c>
      <c r="L1774" s="54">
        <v>1</v>
      </c>
      <c r="M1774" s="54">
        <f>_xlfn.XLOOKUP(Survey!$F1774,sections[Start],sections[Test Section],,-1,1)</f>
        <v>5</v>
      </c>
      <c r="N1774" s="55">
        <f>_xlfn.XLOOKUP(Survey!$K1774,pipedata[ID],pipedata[WT])</f>
        <v>0.74</v>
      </c>
      <c r="O1774" s="56">
        <f>_xlfn.XLOOKUP(Survey!$K1774,pipedata[ID],pipedata[104%])</f>
        <v>2565.3333333333335</v>
      </c>
      <c r="P1774" s="57">
        <f t="shared" si="27"/>
        <v>1850</v>
      </c>
      <c r="Q1774" s="58">
        <f>_xlfn.MAXIFS(Survey!$G$2:$G$3647,Survey!$M$2:$M$3647,Survey!$M1774)-Survey!$G1774</f>
        <v>7.7246869593291194</v>
      </c>
      <c r="R1774" s="59">
        <f>Survey!$P1774+(Survey!$Q1774*0.433)</f>
        <v>1853.3447894533895</v>
      </c>
    </row>
    <row r="1775" spans="1:18" x14ac:dyDescent="0.25">
      <c r="A1775" s="60" t="s">
        <v>17</v>
      </c>
      <c r="B1775" s="61" t="s">
        <v>22</v>
      </c>
      <c r="C1775" s="62" t="s">
        <v>19</v>
      </c>
      <c r="D1775" s="63">
        <v>240.1031849437579</v>
      </c>
      <c r="E1775" s="79">
        <v>1297809</v>
      </c>
      <c r="F1775" s="80">
        <v>1268725.5617977511</v>
      </c>
      <c r="G1775" s="66">
        <v>3729.329486705441</v>
      </c>
      <c r="H1775" s="67">
        <v>2</v>
      </c>
      <c r="I1775" s="68" t="s">
        <v>20</v>
      </c>
      <c r="J1775" s="69">
        <v>40</v>
      </c>
      <c r="K1775" s="70">
        <v>2</v>
      </c>
      <c r="L1775" s="68">
        <v>1</v>
      </c>
      <c r="M1775" s="68">
        <f>_xlfn.XLOOKUP(Survey!$F1775,sections[Start],sections[Test Section],,-1,1)</f>
        <v>5</v>
      </c>
      <c r="N1775" s="55">
        <f>_xlfn.XLOOKUP(Survey!$K1775,pipedata[ID],pipedata[WT])</f>
        <v>0.74</v>
      </c>
      <c r="O1775" s="56">
        <f>_xlfn.XLOOKUP(Survey!$K1775,pipedata[ID],pipedata[104%])</f>
        <v>2565.3333333333335</v>
      </c>
      <c r="P1775" s="57">
        <f t="shared" si="27"/>
        <v>1850</v>
      </c>
      <c r="Q1775" s="58">
        <f>_xlfn.MAXIFS(Survey!$G$2:$G$3647,Survey!$M$2:$M$3647,Survey!$M1775)-Survey!$G1775</f>
        <v>6.0473526198302352</v>
      </c>
      <c r="R1775" s="59">
        <f>Survey!$P1775+(Survey!$Q1775*0.433)</f>
        <v>1852.6185036843865</v>
      </c>
    </row>
    <row r="1776" spans="1:18" x14ac:dyDescent="0.25">
      <c r="A1776" s="71" t="s">
        <v>17</v>
      </c>
      <c r="B1776" s="72" t="s">
        <v>22</v>
      </c>
      <c r="C1776" s="73" t="s">
        <v>19</v>
      </c>
      <c r="D1776" s="74">
        <v>240.10901114504276</v>
      </c>
      <c r="E1776" s="81">
        <v>1297849</v>
      </c>
      <c r="F1776" s="82">
        <v>1268762.741573032</v>
      </c>
      <c r="G1776" s="75">
        <v>3730.9326239832458</v>
      </c>
      <c r="H1776" s="76">
        <v>2</v>
      </c>
      <c r="I1776" s="54" t="s">
        <v>20</v>
      </c>
      <c r="J1776" s="77">
        <v>40</v>
      </c>
      <c r="K1776" s="78">
        <v>2</v>
      </c>
      <c r="L1776" s="54">
        <v>1</v>
      </c>
      <c r="M1776" s="54">
        <f>_xlfn.XLOOKUP(Survey!$F1776,sections[Start],sections[Test Section],,-1,1)</f>
        <v>5</v>
      </c>
      <c r="N1776" s="55">
        <f>_xlfn.XLOOKUP(Survey!$K1776,pipedata[ID],pipedata[WT])</f>
        <v>0.74</v>
      </c>
      <c r="O1776" s="56">
        <f>_xlfn.XLOOKUP(Survey!$K1776,pipedata[ID],pipedata[104%])</f>
        <v>2565.3333333333335</v>
      </c>
      <c r="P1776" s="57">
        <f t="shared" si="27"/>
        <v>1850</v>
      </c>
      <c r="Q1776" s="58">
        <f>_xlfn.MAXIFS(Survey!$G$2:$G$3647,Survey!$M$2:$M$3647,Survey!$M1776)-Survey!$G1776</f>
        <v>4.4442153420254726</v>
      </c>
      <c r="R1776" s="59">
        <f>Survey!$P1776+(Survey!$Q1776*0.433)</f>
        <v>1851.9243452430969</v>
      </c>
    </row>
    <row r="1777" spans="1:18" x14ac:dyDescent="0.25">
      <c r="A1777" s="60" t="s">
        <v>17</v>
      </c>
      <c r="B1777" s="61" t="s">
        <v>22</v>
      </c>
      <c r="C1777" s="62" t="s">
        <v>19</v>
      </c>
      <c r="D1777" s="63">
        <v>240.1183675328636</v>
      </c>
      <c r="E1777" s="79">
        <v>1297889</v>
      </c>
      <c r="F1777" s="80">
        <v>1268799.9213483129</v>
      </c>
      <c r="G1777" s="66">
        <v>3731.6628490869493</v>
      </c>
      <c r="H1777" s="67">
        <v>2</v>
      </c>
      <c r="I1777" s="68" t="s">
        <v>20</v>
      </c>
      <c r="J1777" s="69">
        <v>40</v>
      </c>
      <c r="K1777" s="70">
        <v>2</v>
      </c>
      <c r="L1777" s="68">
        <v>1</v>
      </c>
      <c r="M1777" s="68">
        <f>_xlfn.XLOOKUP(Survey!$F1777,sections[Start],sections[Test Section],,-1,1)</f>
        <v>5</v>
      </c>
      <c r="N1777" s="55">
        <f>_xlfn.XLOOKUP(Survey!$K1777,pipedata[ID],pipedata[WT])</f>
        <v>0.74</v>
      </c>
      <c r="O1777" s="56">
        <f>_xlfn.XLOOKUP(Survey!$K1777,pipedata[ID],pipedata[104%])</f>
        <v>2565.3333333333335</v>
      </c>
      <c r="P1777" s="57">
        <f t="shared" si="27"/>
        <v>1850</v>
      </c>
      <c r="Q1777" s="58">
        <f>_xlfn.MAXIFS(Survey!$G$2:$G$3647,Survey!$M$2:$M$3647,Survey!$M1777)-Survey!$G1777</f>
        <v>3.7139902383219123</v>
      </c>
      <c r="R1777" s="59">
        <f>Survey!$P1777+(Survey!$Q1777*0.433)</f>
        <v>1851.6081577731934</v>
      </c>
    </row>
    <row r="1778" spans="1:18" x14ac:dyDescent="0.25">
      <c r="A1778" s="71" t="s">
        <v>17</v>
      </c>
      <c r="B1778" s="72" t="s">
        <v>22</v>
      </c>
      <c r="C1778" s="73" t="s">
        <v>19</v>
      </c>
      <c r="D1778" s="74">
        <v>240.1253848237296</v>
      </c>
      <c r="E1778" s="81">
        <v>1297929</v>
      </c>
      <c r="F1778" s="82">
        <v>1268837.1011235937</v>
      </c>
      <c r="G1778" s="75">
        <v>3732.7380213898218</v>
      </c>
      <c r="H1778" s="76">
        <v>2</v>
      </c>
      <c r="I1778" s="54" t="s">
        <v>20</v>
      </c>
      <c r="J1778" s="77">
        <v>40</v>
      </c>
      <c r="K1778" s="78">
        <v>2</v>
      </c>
      <c r="L1778" s="54">
        <v>1</v>
      </c>
      <c r="M1778" s="54">
        <f>_xlfn.XLOOKUP(Survey!$F1778,sections[Start],sections[Test Section],,-1,1)</f>
        <v>5</v>
      </c>
      <c r="N1778" s="55">
        <f>_xlfn.XLOOKUP(Survey!$K1778,pipedata[ID],pipedata[WT])</f>
        <v>0.74</v>
      </c>
      <c r="O1778" s="56">
        <f>_xlfn.XLOOKUP(Survey!$K1778,pipedata[ID],pipedata[104%])</f>
        <v>2565.3333333333335</v>
      </c>
      <c r="P1778" s="57">
        <f t="shared" si="27"/>
        <v>1850</v>
      </c>
      <c r="Q1778" s="58">
        <f>_xlfn.MAXIFS(Survey!$G$2:$G$3647,Survey!$M$2:$M$3647,Survey!$M1778)-Survey!$G1778</f>
        <v>2.6388179354494241</v>
      </c>
      <c r="R1778" s="59">
        <f>Survey!$P1778+(Survey!$Q1778*0.433)</f>
        <v>1851.1426081660495</v>
      </c>
    </row>
    <row r="1779" spans="1:18" x14ac:dyDescent="0.25">
      <c r="A1779" s="60" t="s">
        <v>17</v>
      </c>
      <c r="B1779" s="61" t="s">
        <v>22</v>
      </c>
      <c r="C1779" s="62" t="s">
        <v>19</v>
      </c>
      <c r="D1779" s="63">
        <v>240.1324021145951</v>
      </c>
      <c r="E1779" s="79">
        <v>1297969</v>
      </c>
      <c r="F1779" s="80">
        <v>1268874.2808988746</v>
      </c>
      <c r="G1779" s="66">
        <v>3734.2274474021342</v>
      </c>
      <c r="H1779" s="67">
        <v>2</v>
      </c>
      <c r="I1779" s="68" t="s">
        <v>20</v>
      </c>
      <c r="J1779" s="69">
        <v>40</v>
      </c>
      <c r="K1779" s="70">
        <v>2</v>
      </c>
      <c r="L1779" s="68">
        <v>1</v>
      </c>
      <c r="M1779" s="68">
        <f>_xlfn.XLOOKUP(Survey!$F1779,sections[Start],sections[Test Section],,-1,1)</f>
        <v>5</v>
      </c>
      <c r="N1779" s="55">
        <f>_xlfn.XLOOKUP(Survey!$K1779,pipedata[ID],pipedata[WT])</f>
        <v>0.74</v>
      </c>
      <c r="O1779" s="56">
        <f>_xlfn.XLOOKUP(Survey!$K1779,pipedata[ID],pipedata[104%])</f>
        <v>2565.3333333333335</v>
      </c>
      <c r="P1779" s="57">
        <f t="shared" si="27"/>
        <v>1850</v>
      </c>
      <c r="Q1779" s="58">
        <f>_xlfn.MAXIFS(Survey!$G$2:$G$3647,Survey!$M$2:$M$3647,Survey!$M1779)-Survey!$G1779</f>
        <v>1.1493919231370455</v>
      </c>
      <c r="R1779" s="59">
        <f>Survey!$P1779+(Survey!$Q1779*0.433)</f>
        <v>1850.4976867027183</v>
      </c>
    </row>
    <row r="1780" spans="1:18" x14ac:dyDescent="0.25">
      <c r="A1780" s="71" t="s">
        <v>17</v>
      </c>
      <c r="B1780" s="72" t="s">
        <v>22</v>
      </c>
      <c r="C1780" s="73" t="s">
        <v>19</v>
      </c>
      <c r="D1780" s="74">
        <v>240.14026849737044</v>
      </c>
      <c r="E1780" s="81">
        <v>1298009</v>
      </c>
      <c r="F1780" s="82">
        <v>1268911.4606741555</v>
      </c>
      <c r="G1780" s="75">
        <v>3734.8881226490885</v>
      </c>
      <c r="H1780" s="76">
        <v>2</v>
      </c>
      <c r="I1780" s="54" t="s">
        <v>20</v>
      </c>
      <c r="J1780" s="77">
        <v>40</v>
      </c>
      <c r="K1780" s="78">
        <v>2</v>
      </c>
      <c r="L1780" s="54">
        <v>1</v>
      </c>
      <c r="M1780" s="54">
        <f>_xlfn.XLOOKUP(Survey!$F1780,sections[Start],sections[Test Section],,-1,1)</f>
        <v>5</v>
      </c>
      <c r="N1780" s="55">
        <f>_xlfn.XLOOKUP(Survey!$K1780,pipedata[ID],pipedata[WT])</f>
        <v>0.74</v>
      </c>
      <c r="O1780" s="56">
        <f>_xlfn.XLOOKUP(Survey!$K1780,pipedata[ID],pipedata[104%])</f>
        <v>2565.3333333333335</v>
      </c>
      <c r="P1780" s="57">
        <f t="shared" si="27"/>
        <v>1850</v>
      </c>
      <c r="Q1780" s="58">
        <f>_xlfn.MAXIFS(Survey!$G$2:$G$3647,Survey!$M$2:$M$3647,Survey!$M1780)-Survey!$G1780</f>
        <v>0.4887166761827757</v>
      </c>
      <c r="R1780" s="59">
        <f>Survey!$P1780+(Survey!$Q1780*0.433)</f>
        <v>1850.2116143207872</v>
      </c>
    </row>
    <row r="1781" spans="1:18" x14ac:dyDescent="0.25">
      <c r="A1781" s="60" t="s">
        <v>17</v>
      </c>
      <c r="B1781" s="61" t="s">
        <v>22</v>
      </c>
      <c r="C1781" s="62" t="s">
        <v>19</v>
      </c>
      <c r="D1781" s="63">
        <v>240.1480301376169</v>
      </c>
      <c r="E1781" s="79">
        <v>1298049</v>
      </c>
      <c r="F1781" s="80">
        <v>1268948.6404494364</v>
      </c>
      <c r="G1781" s="66">
        <v>3735.056159961</v>
      </c>
      <c r="H1781" s="67">
        <v>2</v>
      </c>
      <c r="I1781" s="68" t="s">
        <v>20</v>
      </c>
      <c r="J1781" s="69">
        <v>36</v>
      </c>
      <c r="K1781" s="70">
        <v>2</v>
      </c>
      <c r="L1781" s="68">
        <v>1</v>
      </c>
      <c r="M1781" s="68">
        <f>_xlfn.XLOOKUP(Survey!$F1781,sections[Start],sections[Test Section],,-1,1)</f>
        <v>5</v>
      </c>
      <c r="N1781" s="55">
        <f>_xlfn.XLOOKUP(Survey!$K1781,pipedata[ID],pipedata[WT])</f>
        <v>0.74</v>
      </c>
      <c r="O1781" s="56">
        <f>_xlfn.XLOOKUP(Survey!$K1781,pipedata[ID],pipedata[104%])</f>
        <v>2565.3333333333335</v>
      </c>
      <c r="P1781" s="57">
        <f t="shared" si="27"/>
        <v>1850</v>
      </c>
      <c r="Q1781" s="58">
        <f>_xlfn.MAXIFS(Survey!$G$2:$G$3647,Survey!$M$2:$M$3647,Survey!$M1781)-Survey!$G1781</f>
        <v>0.32067936427120003</v>
      </c>
      <c r="R1781" s="59">
        <f>Survey!$P1781+(Survey!$Q1781*0.433)</f>
        <v>1850.1388541647295</v>
      </c>
    </row>
    <row r="1782" spans="1:18" x14ac:dyDescent="0.25">
      <c r="A1782" s="71" t="s">
        <v>17</v>
      </c>
      <c r="B1782" s="72" t="s">
        <v>22</v>
      </c>
      <c r="C1782" s="73" t="s">
        <v>19</v>
      </c>
      <c r="D1782" s="74">
        <v>240.15592187165453</v>
      </c>
      <c r="E1782" s="81">
        <v>1298085</v>
      </c>
      <c r="F1782" s="82">
        <v>1269023</v>
      </c>
      <c r="G1782" s="75">
        <v>3735.3768393252712</v>
      </c>
      <c r="H1782" s="76">
        <v>2</v>
      </c>
      <c r="I1782" s="54" t="s">
        <v>21</v>
      </c>
      <c r="J1782" s="77">
        <v>40</v>
      </c>
      <c r="K1782" s="78">
        <v>4</v>
      </c>
      <c r="L1782" s="54">
        <v>1</v>
      </c>
      <c r="M1782" s="54">
        <f>_xlfn.XLOOKUP(Survey!$F1782,sections[Start],sections[Test Section],,-1,1)</f>
        <v>5</v>
      </c>
      <c r="N1782" s="55">
        <f>_xlfn.XLOOKUP(Survey!$K1782,pipedata[ID],pipedata[WT])</f>
        <v>0.74</v>
      </c>
      <c r="O1782" s="56">
        <f>_xlfn.XLOOKUP(Survey!$K1782,pipedata[ID],pipedata[104%])</f>
        <v>2565.3333333333335</v>
      </c>
      <c r="P1782" s="57">
        <f t="shared" si="27"/>
        <v>1850</v>
      </c>
      <c r="Q1782" s="58">
        <f>_xlfn.MAXIFS(Survey!$G$2:$G$3647,Survey!$M$2:$M$3647,Survey!$M1782)-Survey!$G1782</f>
        <v>0</v>
      </c>
      <c r="R1782" s="59">
        <f>Survey!$P1782+(Survey!$Q1782*0.433)</f>
        <v>1850</v>
      </c>
    </row>
    <row r="1783" spans="1:18" x14ac:dyDescent="0.25">
      <c r="A1783" s="60" t="s">
        <v>17</v>
      </c>
      <c r="B1783" s="61" t="s">
        <v>22</v>
      </c>
      <c r="C1783" s="62" t="s">
        <v>19</v>
      </c>
      <c r="D1783" s="63">
        <v>240.16381360569201</v>
      </c>
      <c r="E1783" s="79">
        <v>1298125</v>
      </c>
      <c r="F1783" s="80">
        <v>1269063</v>
      </c>
      <c r="G1783" s="66">
        <v>3734.4246402284166</v>
      </c>
      <c r="H1783" s="67">
        <v>2</v>
      </c>
      <c r="I1783" s="68" t="s">
        <v>20</v>
      </c>
      <c r="J1783" s="69">
        <v>44</v>
      </c>
      <c r="K1783" s="70">
        <v>2</v>
      </c>
      <c r="L1783" s="68">
        <v>1</v>
      </c>
      <c r="M1783" s="68">
        <f>_xlfn.XLOOKUP(Survey!$F1783,sections[Start],sections[Test Section],,-1,1)</f>
        <v>6</v>
      </c>
      <c r="N1783" s="55">
        <f>_xlfn.XLOOKUP(Survey!$K1783,pipedata[ID],pipedata[WT])</f>
        <v>0.74</v>
      </c>
      <c r="O1783" s="56">
        <f>_xlfn.XLOOKUP(Survey!$K1783,pipedata[ID],pipedata[104%])</f>
        <v>2565.3333333333335</v>
      </c>
      <c r="P1783" s="57">
        <f t="shared" si="27"/>
        <v>1850</v>
      </c>
      <c r="Q1783" s="58">
        <f>_xlfn.MAXIFS(Survey!$G$2:$G$3647,Survey!$M$2:$M$3647,Survey!$M1783)-Survey!$G1783</f>
        <v>0</v>
      </c>
      <c r="R1783" s="59">
        <f>Survey!$P1783+(Survey!$Q1783*0.433)</f>
        <v>1850</v>
      </c>
    </row>
    <row r="1784" spans="1:18" x14ac:dyDescent="0.25">
      <c r="A1784" s="71" t="s">
        <v>17</v>
      </c>
      <c r="B1784" s="72" t="s">
        <v>22</v>
      </c>
      <c r="C1784" s="73" t="s">
        <v>19</v>
      </c>
      <c r="D1784" s="74">
        <v>240.17058448787847</v>
      </c>
      <c r="E1784" s="81">
        <v>1298169</v>
      </c>
      <c r="F1784" s="82">
        <v>1269100.9696969697</v>
      </c>
      <c r="G1784" s="75">
        <v>3733.6491186718085</v>
      </c>
      <c r="H1784" s="76">
        <v>2</v>
      </c>
      <c r="I1784" s="54" t="s">
        <v>20</v>
      </c>
      <c r="J1784" s="77">
        <v>40</v>
      </c>
      <c r="K1784" s="78">
        <v>2</v>
      </c>
      <c r="L1784" s="54">
        <v>1</v>
      </c>
      <c r="M1784" s="54">
        <f>_xlfn.XLOOKUP(Survey!$F1784,sections[Start],sections[Test Section],,-1,1)</f>
        <v>6</v>
      </c>
      <c r="N1784" s="55">
        <f>_xlfn.XLOOKUP(Survey!$K1784,pipedata[ID],pipedata[WT])</f>
        <v>0.74</v>
      </c>
      <c r="O1784" s="56">
        <f>_xlfn.XLOOKUP(Survey!$K1784,pipedata[ID],pipedata[104%])</f>
        <v>2565.3333333333335</v>
      </c>
      <c r="P1784" s="57">
        <f t="shared" si="27"/>
        <v>1850</v>
      </c>
      <c r="Q1784" s="58">
        <f>_xlfn.MAXIFS(Survey!$G$2:$G$3647,Survey!$M$2:$M$3647,Survey!$M1784)-Survey!$G1784</f>
        <v>0.77552155660805511</v>
      </c>
      <c r="R1784" s="59">
        <f>Survey!$P1784+(Survey!$Q1784*0.433)</f>
        <v>1850.3358008340113</v>
      </c>
    </row>
    <row r="1785" spans="1:18" x14ac:dyDescent="0.25">
      <c r="A1785" s="60" t="s">
        <v>17</v>
      </c>
      <c r="B1785" s="61" t="s">
        <v>22</v>
      </c>
      <c r="C1785" s="62" t="s">
        <v>19</v>
      </c>
      <c r="D1785" s="63">
        <v>240.17875143878607</v>
      </c>
      <c r="E1785" s="79">
        <v>1298209</v>
      </c>
      <c r="F1785" s="80">
        <v>1269138.9393939395</v>
      </c>
      <c r="G1785" s="66">
        <v>3727.4168365600144</v>
      </c>
      <c r="H1785" s="67">
        <v>2</v>
      </c>
      <c r="I1785" s="68" t="s">
        <v>20</v>
      </c>
      <c r="J1785" s="69">
        <v>40</v>
      </c>
      <c r="K1785" s="70">
        <v>2</v>
      </c>
      <c r="L1785" s="68">
        <v>1</v>
      </c>
      <c r="M1785" s="68">
        <f>_xlfn.XLOOKUP(Survey!$F1785,sections[Start],sections[Test Section],,-1,1)</f>
        <v>6</v>
      </c>
      <c r="N1785" s="55">
        <f>_xlfn.XLOOKUP(Survey!$K1785,pipedata[ID],pipedata[WT])</f>
        <v>0.74</v>
      </c>
      <c r="O1785" s="56">
        <f>_xlfn.XLOOKUP(Survey!$K1785,pipedata[ID],pipedata[104%])</f>
        <v>2565.3333333333335</v>
      </c>
      <c r="P1785" s="57">
        <f t="shared" si="27"/>
        <v>1850</v>
      </c>
      <c r="Q1785" s="58">
        <f>_xlfn.MAXIFS(Survey!$G$2:$G$3647,Survey!$M$2:$M$3647,Survey!$M1785)-Survey!$G1785</f>
        <v>7.0078036684021754</v>
      </c>
      <c r="R1785" s="59">
        <f>Survey!$P1785+(Survey!$Q1785*0.433)</f>
        <v>1853.0343789884182</v>
      </c>
    </row>
    <row r="1786" spans="1:18" x14ac:dyDescent="0.25">
      <c r="A1786" s="71" t="s">
        <v>17</v>
      </c>
      <c r="B1786" s="72" t="s">
        <v>22</v>
      </c>
      <c r="C1786" s="73" t="s">
        <v>19</v>
      </c>
      <c r="D1786" s="74">
        <v>240.18595288572797</v>
      </c>
      <c r="E1786" s="81">
        <v>1298249</v>
      </c>
      <c r="F1786" s="82">
        <v>1269176.9090909092</v>
      </c>
      <c r="G1786" s="75">
        <v>3721.293256819677</v>
      </c>
      <c r="H1786" s="76">
        <v>2</v>
      </c>
      <c r="I1786" s="54" t="s">
        <v>20</v>
      </c>
      <c r="J1786" s="77">
        <v>40</v>
      </c>
      <c r="K1786" s="78">
        <v>2</v>
      </c>
      <c r="L1786" s="54">
        <v>1</v>
      </c>
      <c r="M1786" s="54">
        <f>_xlfn.XLOOKUP(Survey!$F1786,sections[Start],sections[Test Section],,-1,1)</f>
        <v>6</v>
      </c>
      <c r="N1786" s="55">
        <f>_xlfn.XLOOKUP(Survey!$K1786,pipedata[ID],pipedata[WT])</f>
        <v>0.74</v>
      </c>
      <c r="O1786" s="56">
        <f>_xlfn.XLOOKUP(Survey!$K1786,pipedata[ID],pipedata[104%])</f>
        <v>2565.3333333333335</v>
      </c>
      <c r="P1786" s="57">
        <f t="shared" si="27"/>
        <v>1850</v>
      </c>
      <c r="Q1786" s="58">
        <f>_xlfn.MAXIFS(Survey!$G$2:$G$3647,Survey!$M$2:$M$3647,Survey!$M1786)-Survey!$G1786</f>
        <v>13.131383408739566</v>
      </c>
      <c r="R1786" s="59">
        <f>Survey!$P1786+(Survey!$Q1786*0.433)</f>
        <v>1855.6858890159842</v>
      </c>
    </row>
    <row r="1787" spans="1:18" x14ac:dyDescent="0.25">
      <c r="A1787" s="60" t="s">
        <v>17</v>
      </c>
      <c r="B1787" s="61" t="s">
        <v>22</v>
      </c>
      <c r="C1787" s="62" t="s">
        <v>19</v>
      </c>
      <c r="D1787" s="63">
        <v>240.19175276526357</v>
      </c>
      <c r="E1787" s="79">
        <v>1298289</v>
      </c>
      <c r="F1787" s="80">
        <v>1269214.8787878789</v>
      </c>
      <c r="G1787" s="66">
        <v>3711.9463543014226</v>
      </c>
      <c r="H1787" s="67">
        <v>2</v>
      </c>
      <c r="I1787" s="68" t="s">
        <v>20</v>
      </c>
      <c r="J1787" s="69">
        <v>40</v>
      </c>
      <c r="K1787" s="70">
        <v>2</v>
      </c>
      <c r="L1787" s="68">
        <v>1</v>
      </c>
      <c r="M1787" s="68">
        <f>_xlfn.XLOOKUP(Survey!$F1787,sections[Start],sections[Test Section],,-1,1)</f>
        <v>6</v>
      </c>
      <c r="N1787" s="55">
        <f>_xlfn.XLOOKUP(Survey!$K1787,pipedata[ID],pipedata[WT])</f>
        <v>0.74</v>
      </c>
      <c r="O1787" s="56">
        <f>_xlfn.XLOOKUP(Survey!$K1787,pipedata[ID],pipedata[104%])</f>
        <v>2565.3333333333335</v>
      </c>
      <c r="P1787" s="57">
        <f t="shared" si="27"/>
        <v>1850</v>
      </c>
      <c r="Q1787" s="58">
        <f>_xlfn.MAXIFS(Survey!$G$2:$G$3647,Survey!$M$2:$M$3647,Survey!$M1787)-Survey!$G1787</f>
        <v>22.478285926993976</v>
      </c>
      <c r="R1787" s="59">
        <f>Survey!$P1787+(Survey!$Q1787*0.433)</f>
        <v>1859.7330978063883</v>
      </c>
    </row>
    <row r="1788" spans="1:18" x14ac:dyDescent="0.25">
      <c r="A1788" s="71" t="s">
        <v>17</v>
      </c>
      <c r="B1788" s="72" t="s">
        <v>22</v>
      </c>
      <c r="C1788" s="73" t="s">
        <v>19</v>
      </c>
      <c r="D1788" s="74">
        <v>240.19964511457141</v>
      </c>
      <c r="E1788" s="81">
        <v>1298329</v>
      </c>
      <c r="F1788" s="82">
        <v>1269252.8484848486</v>
      </c>
      <c r="G1788" s="75">
        <v>3703.3856840000203</v>
      </c>
      <c r="H1788" s="76">
        <v>2</v>
      </c>
      <c r="I1788" s="54" t="s">
        <v>20</v>
      </c>
      <c r="J1788" s="77">
        <v>40</v>
      </c>
      <c r="K1788" s="78">
        <v>2</v>
      </c>
      <c r="L1788" s="54">
        <v>1</v>
      </c>
      <c r="M1788" s="54">
        <f>_xlfn.XLOOKUP(Survey!$F1788,sections[Start],sections[Test Section],,-1,1)</f>
        <v>6</v>
      </c>
      <c r="N1788" s="55">
        <f>_xlfn.XLOOKUP(Survey!$K1788,pipedata[ID],pipedata[WT])</f>
        <v>0.74</v>
      </c>
      <c r="O1788" s="56">
        <f>_xlfn.XLOOKUP(Survey!$K1788,pipedata[ID],pipedata[104%])</f>
        <v>2565.3333333333335</v>
      </c>
      <c r="P1788" s="57">
        <f t="shared" si="27"/>
        <v>1850</v>
      </c>
      <c r="Q1788" s="58">
        <f>_xlfn.MAXIFS(Survey!$G$2:$G$3647,Survey!$M$2:$M$3647,Survey!$M1788)-Survey!$G1788</f>
        <v>31.038956228396273</v>
      </c>
      <c r="R1788" s="59">
        <f>Survey!$P1788+(Survey!$Q1788*0.433)</f>
        <v>1863.4398680468955</v>
      </c>
    </row>
    <row r="1789" spans="1:18" x14ac:dyDescent="0.25">
      <c r="A1789" s="60" t="s">
        <v>17</v>
      </c>
      <c r="B1789" s="61" t="s">
        <v>22</v>
      </c>
      <c r="C1789" s="62" t="s">
        <v>19</v>
      </c>
      <c r="D1789" s="63">
        <v>240.20684393249724</v>
      </c>
      <c r="E1789" s="79">
        <v>1298369</v>
      </c>
      <c r="F1789" s="80">
        <v>1269290.8181818184</v>
      </c>
      <c r="G1789" s="66">
        <v>3685.2343706783854</v>
      </c>
      <c r="H1789" s="67">
        <v>2</v>
      </c>
      <c r="I1789" s="68" t="s">
        <v>20</v>
      </c>
      <c r="J1789" s="69">
        <v>40</v>
      </c>
      <c r="K1789" s="70">
        <v>2</v>
      </c>
      <c r="L1789" s="68">
        <v>1</v>
      </c>
      <c r="M1789" s="68">
        <f>_xlfn.XLOOKUP(Survey!$F1789,sections[Start],sections[Test Section],,-1,1)</f>
        <v>6</v>
      </c>
      <c r="N1789" s="55">
        <f>_xlfn.XLOOKUP(Survey!$K1789,pipedata[ID],pipedata[WT])</f>
        <v>0.74</v>
      </c>
      <c r="O1789" s="56">
        <f>_xlfn.XLOOKUP(Survey!$K1789,pipedata[ID],pipedata[104%])</f>
        <v>2565.3333333333335</v>
      </c>
      <c r="P1789" s="57">
        <f t="shared" si="27"/>
        <v>1850</v>
      </c>
      <c r="Q1789" s="58">
        <f>_xlfn.MAXIFS(Survey!$G$2:$G$3647,Survey!$M$2:$M$3647,Survey!$M1789)-Survey!$G1789</f>
        <v>49.190269550031189</v>
      </c>
      <c r="R1789" s="59">
        <f>Survey!$P1789+(Survey!$Q1789*0.433)</f>
        <v>1871.2993867151636</v>
      </c>
    </row>
    <row r="1790" spans="1:18" x14ac:dyDescent="0.25">
      <c r="A1790" s="71" t="s">
        <v>17</v>
      </c>
      <c r="B1790" s="72" t="s">
        <v>22</v>
      </c>
      <c r="C1790" s="73" t="s">
        <v>19</v>
      </c>
      <c r="D1790" s="74">
        <v>240.21427614054647</v>
      </c>
      <c r="E1790" s="81">
        <v>1298409</v>
      </c>
      <c r="F1790" s="82">
        <v>1269328.7878787881</v>
      </c>
      <c r="G1790" s="75">
        <v>3664.3234688209277</v>
      </c>
      <c r="H1790" s="76">
        <v>2</v>
      </c>
      <c r="I1790" s="54" t="s">
        <v>20</v>
      </c>
      <c r="J1790" s="77">
        <v>40</v>
      </c>
      <c r="K1790" s="78">
        <v>2</v>
      </c>
      <c r="L1790" s="54">
        <v>1</v>
      </c>
      <c r="M1790" s="54">
        <f>_xlfn.XLOOKUP(Survey!$F1790,sections[Start],sections[Test Section],,-1,1)</f>
        <v>6</v>
      </c>
      <c r="N1790" s="55">
        <f>_xlfn.XLOOKUP(Survey!$K1790,pipedata[ID],pipedata[WT])</f>
        <v>0.74</v>
      </c>
      <c r="O1790" s="56">
        <f>_xlfn.XLOOKUP(Survey!$K1790,pipedata[ID],pipedata[104%])</f>
        <v>2565.3333333333335</v>
      </c>
      <c r="P1790" s="57">
        <f t="shared" si="27"/>
        <v>1850</v>
      </c>
      <c r="Q1790" s="58">
        <f>_xlfn.MAXIFS(Survey!$G$2:$G$3647,Survey!$M$2:$M$3647,Survey!$M1790)-Survey!$G1790</f>
        <v>70.101171407488891</v>
      </c>
      <c r="R1790" s="59">
        <f>Survey!$P1790+(Survey!$Q1790*0.433)</f>
        <v>1880.3538072194426</v>
      </c>
    </row>
    <row r="1791" spans="1:18" x14ac:dyDescent="0.25">
      <c r="A1791" s="60" t="s">
        <v>17</v>
      </c>
      <c r="B1791" s="61" t="s">
        <v>22</v>
      </c>
      <c r="C1791" s="62" t="s">
        <v>19</v>
      </c>
      <c r="D1791" s="63">
        <v>240.22006579307799</v>
      </c>
      <c r="E1791" s="79">
        <v>1298449</v>
      </c>
      <c r="F1791" s="80">
        <v>1269366.7575757578</v>
      </c>
      <c r="G1791" s="66">
        <v>3647.0817128261392</v>
      </c>
      <c r="H1791" s="67">
        <v>2</v>
      </c>
      <c r="I1791" s="68" t="s">
        <v>20</v>
      </c>
      <c r="J1791" s="69">
        <v>40</v>
      </c>
      <c r="K1791" s="70">
        <v>2</v>
      </c>
      <c r="L1791" s="68">
        <v>1</v>
      </c>
      <c r="M1791" s="68">
        <f>_xlfn.XLOOKUP(Survey!$F1791,sections[Start],sections[Test Section],,-1,1)</f>
        <v>6</v>
      </c>
      <c r="N1791" s="55">
        <f>_xlfn.XLOOKUP(Survey!$K1791,pipedata[ID],pipedata[WT])</f>
        <v>0.74</v>
      </c>
      <c r="O1791" s="56">
        <f>_xlfn.XLOOKUP(Survey!$K1791,pipedata[ID],pipedata[104%])</f>
        <v>2565.3333333333335</v>
      </c>
      <c r="P1791" s="57">
        <f t="shared" si="27"/>
        <v>1850</v>
      </c>
      <c r="Q1791" s="58">
        <f>_xlfn.MAXIFS(Survey!$G$2:$G$3647,Survey!$M$2:$M$3647,Survey!$M1791)-Survey!$G1791</f>
        <v>87.342927402277382</v>
      </c>
      <c r="R1791" s="59">
        <f>Survey!$P1791+(Survey!$Q1791*0.433)</f>
        <v>1887.8194875651861</v>
      </c>
    </row>
    <row r="1792" spans="1:18" x14ac:dyDescent="0.25">
      <c r="A1792" s="71" t="s">
        <v>17</v>
      </c>
      <c r="B1792" s="72" t="s">
        <v>22</v>
      </c>
      <c r="C1792" s="73" t="s">
        <v>19</v>
      </c>
      <c r="D1792" s="74">
        <v>240.22778532978637</v>
      </c>
      <c r="E1792" s="81">
        <v>1298489</v>
      </c>
      <c r="F1792" s="82">
        <v>1269404.7272727275</v>
      </c>
      <c r="G1792" s="75">
        <v>3629.5339625656616</v>
      </c>
      <c r="H1792" s="76">
        <v>2</v>
      </c>
      <c r="I1792" s="54" t="s">
        <v>20</v>
      </c>
      <c r="J1792" s="77">
        <v>40</v>
      </c>
      <c r="K1792" s="78">
        <v>2</v>
      </c>
      <c r="L1792" s="54">
        <v>1</v>
      </c>
      <c r="M1792" s="54">
        <f>_xlfn.XLOOKUP(Survey!$F1792,sections[Start],sections[Test Section],,-1,1)</f>
        <v>6</v>
      </c>
      <c r="N1792" s="55">
        <f>_xlfn.XLOOKUP(Survey!$K1792,pipedata[ID],pipedata[WT])</f>
        <v>0.74</v>
      </c>
      <c r="O1792" s="56">
        <f>_xlfn.XLOOKUP(Survey!$K1792,pipedata[ID],pipedata[104%])</f>
        <v>2565.3333333333335</v>
      </c>
      <c r="P1792" s="57">
        <f t="shared" si="27"/>
        <v>1850</v>
      </c>
      <c r="Q1792" s="58">
        <f>_xlfn.MAXIFS(Survey!$G$2:$G$3647,Survey!$M$2:$M$3647,Survey!$M1792)-Survey!$G1792</f>
        <v>104.89067766275502</v>
      </c>
      <c r="R1792" s="59">
        <f>Survey!$P1792+(Survey!$Q1792*0.433)</f>
        <v>1895.4176634279729</v>
      </c>
    </row>
    <row r="1793" spans="1:18" x14ac:dyDescent="0.25">
      <c r="A1793" s="60" t="s">
        <v>17</v>
      </c>
      <c r="B1793" s="61" t="s">
        <v>22</v>
      </c>
      <c r="C1793" s="62" t="s">
        <v>19</v>
      </c>
      <c r="D1793" s="63">
        <v>240.2349529308415</v>
      </c>
      <c r="E1793" s="79">
        <v>1298529</v>
      </c>
      <c r="F1793" s="80">
        <v>1269442.6969696973</v>
      </c>
      <c r="G1793" s="66">
        <v>3612.3822284476587</v>
      </c>
      <c r="H1793" s="67">
        <v>2</v>
      </c>
      <c r="I1793" s="68" t="s">
        <v>20</v>
      </c>
      <c r="J1793" s="69">
        <v>40</v>
      </c>
      <c r="K1793" s="70">
        <v>2</v>
      </c>
      <c r="L1793" s="68">
        <v>1</v>
      </c>
      <c r="M1793" s="68">
        <f>_xlfn.XLOOKUP(Survey!$F1793,sections[Start],sections[Test Section],,-1,1)</f>
        <v>6</v>
      </c>
      <c r="N1793" s="55">
        <f>_xlfn.XLOOKUP(Survey!$K1793,pipedata[ID],pipedata[WT])</f>
        <v>0.74</v>
      </c>
      <c r="O1793" s="56">
        <f>_xlfn.XLOOKUP(Survey!$K1793,pipedata[ID],pipedata[104%])</f>
        <v>2565.3333333333335</v>
      </c>
      <c r="P1793" s="57">
        <f t="shared" si="27"/>
        <v>1850</v>
      </c>
      <c r="Q1793" s="58">
        <f>_xlfn.MAXIFS(Survey!$G$2:$G$3647,Survey!$M$2:$M$3647,Survey!$M1793)-Survey!$G1793</f>
        <v>122.0424117807579</v>
      </c>
      <c r="R1793" s="59">
        <f>Survey!$P1793+(Survey!$Q1793*0.433)</f>
        <v>1902.8443643010683</v>
      </c>
    </row>
    <row r="1794" spans="1:18" x14ac:dyDescent="0.25">
      <c r="A1794" s="71" t="s">
        <v>17</v>
      </c>
      <c r="B1794" s="72" t="s">
        <v>22</v>
      </c>
      <c r="C1794" s="73" t="s">
        <v>19</v>
      </c>
      <c r="D1794" s="74">
        <v>240.24129451902652</v>
      </c>
      <c r="E1794" s="81">
        <v>1298569</v>
      </c>
      <c r="F1794" s="82">
        <v>1269480.666666667</v>
      </c>
      <c r="G1794" s="75">
        <v>3598.112416277213</v>
      </c>
      <c r="H1794" s="76">
        <v>2</v>
      </c>
      <c r="I1794" s="54" t="s">
        <v>20</v>
      </c>
      <c r="J1794" s="77">
        <v>40</v>
      </c>
      <c r="K1794" s="78">
        <v>2</v>
      </c>
      <c r="L1794" s="54">
        <v>1</v>
      </c>
      <c r="M1794" s="54">
        <f>_xlfn.XLOOKUP(Survey!$F1794,sections[Start],sections[Test Section],,-1,1)</f>
        <v>6</v>
      </c>
      <c r="N1794" s="55">
        <f>_xlfn.XLOOKUP(Survey!$K1794,pipedata[ID],pipedata[WT])</f>
        <v>0.74</v>
      </c>
      <c r="O1794" s="56">
        <f>_xlfn.XLOOKUP(Survey!$K1794,pipedata[ID],pipedata[104%])</f>
        <v>2565.3333333333335</v>
      </c>
      <c r="P1794" s="57">
        <f t="shared" ref="P1794:P1857" si="28">IF(L1794=1,1850,IF(L1794=2,1850,2220))</f>
        <v>1850</v>
      </c>
      <c r="Q1794" s="58">
        <f>_xlfn.MAXIFS(Survey!$G$2:$G$3647,Survey!$M$2:$M$3647,Survey!$M1794)-Survey!$G1794</f>
        <v>136.31222395120358</v>
      </c>
      <c r="R1794" s="59">
        <f>Survey!$P1794+(Survey!$Q1794*0.433)</f>
        <v>1909.0231929708712</v>
      </c>
    </row>
    <row r="1795" spans="1:18" x14ac:dyDescent="0.25">
      <c r="A1795" s="60" t="s">
        <v>17</v>
      </c>
      <c r="B1795" s="61" t="s">
        <v>22</v>
      </c>
      <c r="C1795" s="62" t="s">
        <v>19</v>
      </c>
      <c r="D1795" s="63">
        <v>240.24763723407389</v>
      </c>
      <c r="E1795" s="79">
        <v>1298609</v>
      </c>
      <c r="F1795" s="80">
        <v>1269518.6363636367</v>
      </c>
      <c r="G1795" s="66">
        <v>3581.5991892861994</v>
      </c>
      <c r="H1795" s="67">
        <v>2</v>
      </c>
      <c r="I1795" s="68" t="s">
        <v>20</v>
      </c>
      <c r="J1795" s="69">
        <v>40</v>
      </c>
      <c r="K1795" s="70">
        <v>2</v>
      </c>
      <c r="L1795" s="68">
        <v>1</v>
      </c>
      <c r="M1795" s="68">
        <f>_xlfn.XLOOKUP(Survey!$F1795,sections[Start],sections[Test Section],,-1,1)</f>
        <v>6</v>
      </c>
      <c r="N1795" s="55">
        <f>_xlfn.XLOOKUP(Survey!$K1795,pipedata[ID],pipedata[WT])</f>
        <v>0.74</v>
      </c>
      <c r="O1795" s="56">
        <f>_xlfn.XLOOKUP(Survey!$K1795,pipedata[ID],pipedata[104%])</f>
        <v>2565.3333333333335</v>
      </c>
      <c r="P1795" s="57">
        <f t="shared" si="28"/>
        <v>1850</v>
      </c>
      <c r="Q1795" s="58">
        <f>_xlfn.MAXIFS(Survey!$G$2:$G$3647,Survey!$M$2:$M$3647,Survey!$M1795)-Survey!$G1795</f>
        <v>152.82545094221723</v>
      </c>
      <c r="R1795" s="59">
        <f>Survey!$P1795+(Survey!$Q1795*0.433)</f>
        <v>1916.1734202579801</v>
      </c>
    </row>
    <row r="1796" spans="1:18" x14ac:dyDescent="0.25">
      <c r="A1796" s="71" t="s">
        <v>17</v>
      </c>
      <c r="B1796" s="72" t="s">
        <v>22</v>
      </c>
      <c r="C1796" s="73" t="s">
        <v>19</v>
      </c>
      <c r="D1796" s="74">
        <v>240.25483605199901</v>
      </c>
      <c r="E1796" s="81">
        <v>1298649</v>
      </c>
      <c r="F1796" s="82">
        <v>1269556.6060606064</v>
      </c>
      <c r="G1796" s="75">
        <v>3566.3562029184436</v>
      </c>
      <c r="H1796" s="76">
        <v>2</v>
      </c>
      <c r="I1796" s="54" t="s">
        <v>20</v>
      </c>
      <c r="J1796" s="77">
        <v>40</v>
      </c>
      <c r="K1796" s="78">
        <v>2</v>
      </c>
      <c r="L1796" s="54">
        <v>1</v>
      </c>
      <c r="M1796" s="54">
        <f>_xlfn.XLOOKUP(Survey!$F1796,sections[Start],sections[Test Section],,-1,1)</f>
        <v>6</v>
      </c>
      <c r="N1796" s="55">
        <f>_xlfn.XLOOKUP(Survey!$K1796,pipedata[ID],pipedata[WT])</f>
        <v>0.74</v>
      </c>
      <c r="O1796" s="56">
        <f>_xlfn.XLOOKUP(Survey!$K1796,pipedata[ID],pipedata[104%])</f>
        <v>2565.3333333333335</v>
      </c>
      <c r="P1796" s="57">
        <f t="shared" si="28"/>
        <v>1850</v>
      </c>
      <c r="Q1796" s="58">
        <f>_xlfn.MAXIFS(Survey!$G$2:$G$3647,Survey!$M$2:$M$3647,Survey!$M1796)-Survey!$G1796</f>
        <v>168.06843730997298</v>
      </c>
      <c r="R1796" s="59">
        <f>Survey!$P1796+(Survey!$Q1796*0.433)</f>
        <v>1922.7736333552184</v>
      </c>
    </row>
    <row r="1797" spans="1:18" x14ac:dyDescent="0.25">
      <c r="A1797" s="60" t="s">
        <v>17</v>
      </c>
      <c r="B1797" s="61" t="s">
        <v>22</v>
      </c>
      <c r="C1797" s="62" t="s">
        <v>19</v>
      </c>
      <c r="D1797" s="63">
        <v>240.26252324497531</v>
      </c>
      <c r="E1797" s="79">
        <v>1298689</v>
      </c>
      <c r="F1797" s="80">
        <v>1269594.5757575762</v>
      </c>
      <c r="G1797" s="66">
        <v>3550.6117615091989</v>
      </c>
      <c r="H1797" s="67">
        <v>2</v>
      </c>
      <c r="I1797" s="68" t="s">
        <v>20</v>
      </c>
      <c r="J1797" s="69">
        <v>40</v>
      </c>
      <c r="K1797" s="70">
        <v>2</v>
      </c>
      <c r="L1797" s="68">
        <v>1</v>
      </c>
      <c r="M1797" s="68">
        <f>_xlfn.XLOOKUP(Survey!$F1797,sections[Start],sections[Test Section],,-1,1)</f>
        <v>6</v>
      </c>
      <c r="N1797" s="55">
        <f>_xlfn.XLOOKUP(Survey!$K1797,pipedata[ID],pipedata[WT])</f>
        <v>0.74</v>
      </c>
      <c r="O1797" s="56">
        <f>_xlfn.XLOOKUP(Survey!$K1797,pipedata[ID],pipedata[104%])</f>
        <v>2565.3333333333335</v>
      </c>
      <c r="P1797" s="57">
        <f t="shared" si="28"/>
        <v>1850</v>
      </c>
      <c r="Q1797" s="58">
        <f>_xlfn.MAXIFS(Survey!$G$2:$G$3647,Survey!$M$2:$M$3647,Survey!$M1797)-Survey!$G1797</f>
        <v>183.81287871921768</v>
      </c>
      <c r="R1797" s="59">
        <f>Survey!$P1797+(Survey!$Q1797*0.433)</f>
        <v>1929.5909764854212</v>
      </c>
    </row>
    <row r="1798" spans="1:18" x14ac:dyDescent="0.25">
      <c r="A1798" s="71" t="s">
        <v>17</v>
      </c>
      <c r="B1798" s="72" t="s">
        <v>22</v>
      </c>
      <c r="C1798" s="73" t="s">
        <v>19</v>
      </c>
      <c r="D1798" s="74">
        <v>240.26923368784915</v>
      </c>
      <c r="E1798" s="81">
        <v>1298729</v>
      </c>
      <c r="F1798" s="82">
        <v>1269632.5454545459</v>
      </c>
      <c r="G1798" s="75">
        <v>3536.6824963309487</v>
      </c>
      <c r="H1798" s="76">
        <v>2</v>
      </c>
      <c r="I1798" s="54" t="s">
        <v>20</v>
      </c>
      <c r="J1798" s="77">
        <v>40</v>
      </c>
      <c r="K1798" s="78">
        <v>2</v>
      </c>
      <c r="L1798" s="54">
        <v>1</v>
      </c>
      <c r="M1798" s="54">
        <f>_xlfn.XLOOKUP(Survey!$F1798,sections[Start],sections[Test Section],,-1,1)</f>
        <v>6</v>
      </c>
      <c r="N1798" s="55">
        <f>_xlfn.XLOOKUP(Survey!$K1798,pipedata[ID],pipedata[WT])</f>
        <v>0.74</v>
      </c>
      <c r="O1798" s="56">
        <f>_xlfn.XLOOKUP(Survey!$K1798,pipedata[ID],pipedata[104%])</f>
        <v>2565.3333333333335</v>
      </c>
      <c r="P1798" s="57">
        <f t="shared" si="28"/>
        <v>1850</v>
      </c>
      <c r="Q1798" s="58">
        <f>_xlfn.MAXIFS(Survey!$G$2:$G$3647,Survey!$M$2:$M$3647,Survey!$M1798)-Survey!$G1798</f>
        <v>197.74214389746794</v>
      </c>
      <c r="R1798" s="59">
        <f>Survey!$P1798+(Survey!$Q1798*0.433)</f>
        <v>1935.6223483076037</v>
      </c>
    </row>
    <row r="1799" spans="1:18" x14ac:dyDescent="0.25">
      <c r="A1799" s="60" t="s">
        <v>17</v>
      </c>
      <c r="B1799" s="61" t="s">
        <v>22</v>
      </c>
      <c r="C1799" s="62" t="s">
        <v>19</v>
      </c>
      <c r="D1799" s="63">
        <v>240.27643250577503</v>
      </c>
      <c r="E1799" s="79">
        <v>1298769</v>
      </c>
      <c r="F1799" s="80">
        <v>1269670.5151515156</v>
      </c>
      <c r="G1799" s="66">
        <v>3523.9183481789782</v>
      </c>
      <c r="H1799" s="67">
        <v>2</v>
      </c>
      <c r="I1799" s="68" t="s">
        <v>20</v>
      </c>
      <c r="J1799" s="69">
        <v>40</v>
      </c>
      <c r="K1799" s="70">
        <v>2</v>
      </c>
      <c r="L1799" s="68">
        <v>1</v>
      </c>
      <c r="M1799" s="68">
        <f>_xlfn.XLOOKUP(Survey!$F1799,sections[Start],sections[Test Section],,-1,1)</f>
        <v>6</v>
      </c>
      <c r="N1799" s="55">
        <f>_xlfn.XLOOKUP(Survey!$K1799,pipedata[ID],pipedata[WT])</f>
        <v>0.74</v>
      </c>
      <c r="O1799" s="56">
        <f>_xlfn.XLOOKUP(Survey!$K1799,pipedata[ID],pipedata[104%])</f>
        <v>2565.3333333333335</v>
      </c>
      <c r="P1799" s="57">
        <f t="shared" si="28"/>
        <v>1850</v>
      </c>
      <c r="Q1799" s="58">
        <f>_xlfn.MAXIFS(Survey!$G$2:$G$3647,Survey!$M$2:$M$3647,Survey!$M1799)-Survey!$G1799</f>
        <v>210.50629204943834</v>
      </c>
      <c r="R1799" s="59">
        <f>Survey!$P1799+(Survey!$Q1799*0.433)</f>
        <v>1941.1492244574067</v>
      </c>
    </row>
    <row r="1800" spans="1:18" x14ac:dyDescent="0.25">
      <c r="A1800" s="71" t="s">
        <v>17</v>
      </c>
      <c r="B1800" s="72" t="s">
        <v>22</v>
      </c>
      <c r="C1800" s="73" t="s">
        <v>19</v>
      </c>
      <c r="D1800" s="74">
        <v>240.28424765830565</v>
      </c>
      <c r="E1800" s="81">
        <v>1298809</v>
      </c>
      <c r="F1800" s="82">
        <v>1269708.4848484853</v>
      </c>
      <c r="G1800" s="75">
        <v>3508.6917497896497</v>
      </c>
      <c r="H1800" s="76">
        <v>2</v>
      </c>
      <c r="I1800" s="54" t="s">
        <v>20</v>
      </c>
      <c r="J1800" s="77">
        <v>40</v>
      </c>
      <c r="K1800" s="78">
        <v>2</v>
      </c>
      <c r="L1800" s="54">
        <v>1</v>
      </c>
      <c r="M1800" s="54">
        <f>_xlfn.XLOOKUP(Survey!$F1800,sections[Start],sections[Test Section],,-1,1)</f>
        <v>6</v>
      </c>
      <c r="N1800" s="55">
        <f>_xlfn.XLOOKUP(Survey!$K1800,pipedata[ID],pipedata[WT])</f>
        <v>0.74</v>
      </c>
      <c r="O1800" s="56">
        <f>_xlfn.XLOOKUP(Survey!$K1800,pipedata[ID],pipedata[104%])</f>
        <v>2565.3333333333335</v>
      </c>
      <c r="P1800" s="57">
        <f t="shared" si="28"/>
        <v>1850</v>
      </c>
      <c r="Q1800" s="58">
        <f>_xlfn.MAXIFS(Survey!$G$2:$G$3647,Survey!$M$2:$M$3647,Survey!$M1800)-Survey!$G1800</f>
        <v>225.73289043876684</v>
      </c>
      <c r="R1800" s="59">
        <f>Survey!$P1800+(Survey!$Q1800*0.433)</f>
        <v>1947.742341559986</v>
      </c>
    </row>
    <row r="1801" spans="1:18" x14ac:dyDescent="0.25">
      <c r="A1801" s="60" t="s">
        <v>17</v>
      </c>
      <c r="B1801" s="61" t="s">
        <v>22</v>
      </c>
      <c r="C1801" s="62" t="s">
        <v>19</v>
      </c>
      <c r="D1801" s="63">
        <v>240.29147150763239</v>
      </c>
      <c r="E1801" s="79">
        <v>1298849</v>
      </c>
      <c r="F1801" s="80">
        <v>1269746.4545454551</v>
      </c>
      <c r="G1801" s="66">
        <v>3495.1817502079084</v>
      </c>
      <c r="H1801" s="67">
        <v>2</v>
      </c>
      <c r="I1801" s="68" t="s">
        <v>20</v>
      </c>
      <c r="J1801" s="69">
        <v>40</v>
      </c>
      <c r="K1801" s="70">
        <v>2</v>
      </c>
      <c r="L1801" s="68">
        <v>1</v>
      </c>
      <c r="M1801" s="68">
        <f>_xlfn.XLOOKUP(Survey!$F1801,sections[Start],sections[Test Section],,-1,1)</f>
        <v>6</v>
      </c>
      <c r="N1801" s="55">
        <f>_xlfn.XLOOKUP(Survey!$K1801,pipedata[ID],pipedata[WT])</f>
        <v>0.74</v>
      </c>
      <c r="O1801" s="56">
        <f>_xlfn.XLOOKUP(Survey!$K1801,pipedata[ID],pipedata[104%])</f>
        <v>2565.3333333333335</v>
      </c>
      <c r="P1801" s="57">
        <f t="shared" si="28"/>
        <v>1850</v>
      </c>
      <c r="Q1801" s="58">
        <f>_xlfn.MAXIFS(Survey!$G$2:$G$3647,Survey!$M$2:$M$3647,Survey!$M1801)-Survey!$G1801</f>
        <v>239.24289002050818</v>
      </c>
      <c r="R1801" s="59">
        <f>Survey!$P1801+(Survey!$Q1801*0.433)</f>
        <v>1953.59217137888</v>
      </c>
    </row>
    <row r="1802" spans="1:18" x14ac:dyDescent="0.25">
      <c r="A1802" s="71" t="s">
        <v>17</v>
      </c>
      <c r="B1802" s="72" t="s">
        <v>22</v>
      </c>
      <c r="C1802" s="73" t="s">
        <v>19</v>
      </c>
      <c r="D1802" s="74">
        <v>240.29802895955027</v>
      </c>
      <c r="E1802" s="81">
        <v>1298889</v>
      </c>
      <c r="F1802" s="82">
        <v>1269784.4242424248</v>
      </c>
      <c r="G1802" s="75">
        <v>3483.2386104326711</v>
      </c>
      <c r="H1802" s="76">
        <v>2</v>
      </c>
      <c r="I1802" s="54" t="s">
        <v>20</v>
      </c>
      <c r="J1802" s="77">
        <v>40</v>
      </c>
      <c r="K1802" s="78">
        <v>2</v>
      </c>
      <c r="L1802" s="54">
        <v>1</v>
      </c>
      <c r="M1802" s="54">
        <f>_xlfn.XLOOKUP(Survey!$F1802,sections[Start],sections[Test Section],,-1,1)</f>
        <v>6</v>
      </c>
      <c r="N1802" s="55">
        <f>_xlfn.XLOOKUP(Survey!$K1802,pipedata[ID],pipedata[WT])</f>
        <v>0.74</v>
      </c>
      <c r="O1802" s="56">
        <f>_xlfn.XLOOKUP(Survey!$K1802,pipedata[ID],pipedata[104%])</f>
        <v>2565.3333333333335</v>
      </c>
      <c r="P1802" s="57">
        <f t="shared" si="28"/>
        <v>1850</v>
      </c>
      <c r="Q1802" s="58">
        <f>_xlfn.MAXIFS(Survey!$G$2:$G$3647,Survey!$M$2:$M$3647,Survey!$M1802)-Survey!$G1802</f>
        <v>251.18602979574553</v>
      </c>
      <c r="R1802" s="59">
        <f>Survey!$P1802+(Survey!$Q1802*0.433)</f>
        <v>1958.7635509015579</v>
      </c>
    </row>
    <row r="1803" spans="1:18" x14ac:dyDescent="0.25">
      <c r="A1803" s="60" t="s">
        <v>17</v>
      </c>
      <c r="B1803" s="61" t="s">
        <v>22</v>
      </c>
      <c r="C1803" s="62" t="s">
        <v>19</v>
      </c>
      <c r="D1803" s="63">
        <v>240.30522777747609</v>
      </c>
      <c r="E1803" s="79">
        <v>1298929</v>
      </c>
      <c r="F1803" s="80">
        <v>1269822.3939393945</v>
      </c>
      <c r="G1803" s="66">
        <v>3470.6396499974117</v>
      </c>
      <c r="H1803" s="67">
        <v>2</v>
      </c>
      <c r="I1803" s="68" t="s">
        <v>20</v>
      </c>
      <c r="J1803" s="69">
        <v>40</v>
      </c>
      <c r="K1803" s="70">
        <v>2</v>
      </c>
      <c r="L1803" s="68">
        <v>1</v>
      </c>
      <c r="M1803" s="68">
        <f>_xlfn.XLOOKUP(Survey!$F1803,sections[Start],sections[Test Section],,-1,1)</f>
        <v>6</v>
      </c>
      <c r="N1803" s="55">
        <f>_xlfn.XLOOKUP(Survey!$K1803,pipedata[ID],pipedata[WT])</f>
        <v>0.74</v>
      </c>
      <c r="O1803" s="56">
        <f>_xlfn.XLOOKUP(Survey!$K1803,pipedata[ID],pipedata[104%])</f>
        <v>2565.3333333333335</v>
      </c>
      <c r="P1803" s="57">
        <f t="shared" si="28"/>
        <v>1850</v>
      </c>
      <c r="Q1803" s="58">
        <f>_xlfn.MAXIFS(Survey!$G$2:$G$3647,Survey!$M$2:$M$3647,Survey!$M1803)-Survey!$G1803</f>
        <v>263.78499023100494</v>
      </c>
      <c r="R1803" s="59">
        <f>Survey!$P1803+(Survey!$Q1803*0.433)</f>
        <v>1964.2189007700251</v>
      </c>
    </row>
    <row r="1804" spans="1:18" x14ac:dyDescent="0.25">
      <c r="A1804" s="71" t="s">
        <v>17</v>
      </c>
      <c r="B1804" s="72" t="s">
        <v>22</v>
      </c>
      <c r="C1804" s="73" t="s">
        <v>19</v>
      </c>
      <c r="D1804" s="74">
        <v>240.31284048806384</v>
      </c>
      <c r="E1804" s="81">
        <v>1298969</v>
      </c>
      <c r="F1804" s="82">
        <v>1269860.3636363642</v>
      </c>
      <c r="G1804" s="75">
        <v>3458.0637541032415</v>
      </c>
      <c r="H1804" s="76">
        <v>2</v>
      </c>
      <c r="I1804" s="54" t="s">
        <v>20</v>
      </c>
      <c r="J1804" s="77">
        <v>40</v>
      </c>
      <c r="K1804" s="78">
        <v>2</v>
      </c>
      <c r="L1804" s="54">
        <v>1</v>
      </c>
      <c r="M1804" s="54">
        <f>_xlfn.XLOOKUP(Survey!$F1804,sections[Start],sections[Test Section],,-1,1)</f>
        <v>6</v>
      </c>
      <c r="N1804" s="55">
        <f>_xlfn.XLOOKUP(Survey!$K1804,pipedata[ID],pipedata[WT])</f>
        <v>0.74</v>
      </c>
      <c r="O1804" s="56">
        <f>_xlfn.XLOOKUP(Survey!$K1804,pipedata[ID],pipedata[104%])</f>
        <v>2565.3333333333335</v>
      </c>
      <c r="P1804" s="57">
        <f t="shared" si="28"/>
        <v>1850</v>
      </c>
      <c r="Q1804" s="58">
        <f>_xlfn.MAXIFS(Survey!$G$2:$G$3647,Survey!$M$2:$M$3647,Survey!$M1804)-Survey!$G1804</f>
        <v>276.36088612517506</v>
      </c>
      <c r="R1804" s="59">
        <f>Survey!$P1804+(Survey!$Q1804*0.433)</f>
        <v>1969.6642636922008</v>
      </c>
    </row>
    <row r="1805" spans="1:18" x14ac:dyDescent="0.25">
      <c r="A1805" s="60" t="s">
        <v>17</v>
      </c>
      <c r="B1805" s="61" t="s">
        <v>22</v>
      </c>
      <c r="C1805" s="62" t="s">
        <v>19</v>
      </c>
      <c r="D1805" s="63">
        <v>240.31997855347859</v>
      </c>
      <c r="E1805" s="79">
        <v>1299009</v>
      </c>
      <c r="F1805" s="80">
        <v>1269898.333333334</v>
      </c>
      <c r="G1805" s="66">
        <v>3445.327427363407</v>
      </c>
      <c r="H1805" s="67">
        <v>2</v>
      </c>
      <c r="I1805" s="68" t="s">
        <v>20</v>
      </c>
      <c r="J1805" s="69">
        <v>40</v>
      </c>
      <c r="K1805" s="70">
        <v>2</v>
      </c>
      <c r="L1805" s="68">
        <v>1</v>
      </c>
      <c r="M1805" s="68">
        <f>_xlfn.XLOOKUP(Survey!$F1805,sections[Start],sections[Test Section],,-1,1)</f>
        <v>6</v>
      </c>
      <c r="N1805" s="55">
        <f>_xlfn.XLOOKUP(Survey!$K1805,pipedata[ID],pipedata[WT])</f>
        <v>0.74</v>
      </c>
      <c r="O1805" s="56">
        <f>_xlfn.XLOOKUP(Survey!$K1805,pipedata[ID],pipedata[104%])</f>
        <v>2565.3333333333335</v>
      </c>
      <c r="P1805" s="57">
        <f t="shared" si="28"/>
        <v>1850</v>
      </c>
      <c r="Q1805" s="58">
        <f>_xlfn.MAXIFS(Survey!$G$2:$G$3647,Survey!$M$2:$M$3647,Survey!$M1805)-Survey!$G1805</f>
        <v>289.09721286500962</v>
      </c>
      <c r="R1805" s="59">
        <f>Survey!$P1805+(Survey!$Q1805*0.433)</f>
        <v>1975.1790931705491</v>
      </c>
    </row>
    <row r="1806" spans="1:18" x14ac:dyDescent="0.25">
      <c r="A1806" s="71" t="s">
        <v>17</v>
      </c>
      <c r="B1806" s="72" t="s">
        <v>22</v>
      </c>
      <c r="C1806" s="73" t="s">
        <v>19</v>
      </c>
      <c r="D1806" s="74">
        <v>240.32726848758537</v>
      </c>
      <c r="E1806" s="81">
        <v>1299049</v>
      </c>
      <c r="F1806" s="82">
        <v>1269936.3030303037</v>
      </c>
      <c r="G1806" s="75">
        <v>3430.8031020768917</v>
      </c>
      <c r="H1806" s="76">
        <v>2</v>
      </c>
      <c r="I1806" s="54" t="s">
        <v>20</v>
      </c>
      <c r="J1806" s="77">
        <v>40</v>
      </c>
      <c r="K1806" s="78">
        <v>2</v>
      </c>
      <c r="L1806" s="54">
        <v>1</v>
      </c>
      <c r="M1806" s="54">
        <f>_xlfn.XLOOKUP(Survey!$F1806,sections[Start],sections[Test Section],,-1,1)</f>
        <v>6</v>
      </c>
      <c r="N1806" s="55">
        <f>_xlfn.XLOOKUP(Survey!$K1806,pipedata[ID],pipedata[WT])</f>
        <v>0.74</v>
      </c>
      <c r="O1806" s="56">
        <f>_xlfn.XLOOKUP(Survey!$K1806,pipedata[ID],pipedata[104%])</f>
        <v>2565.3333333333335</v>
      </c>
      <c r="P1806" s="57">
        <f t="shared" si="28"/>
        <v>1850</v>
      </c>
      <c r="Q1806" s="58">
        <f>_xlfn.MAXIFS(Survey!$G$2:$G$3647,Survey!$M$2:$M$3647,Survey!$M1806)-Survey!$G1806</f>
        <v>303.62153815152487</v>
      </c>
      <c r="R1806" s="59">
        <f>Survey!$P1806+(Survey!$Q1806*0.433)</f>
        <v>1981.4681260196103</v>
      </c>
    </row>
    <row r="1807" spans="1:18" x14ac:dyDescent="0.25">
      <c r="A1807" s="60" t="s">
        <v>17</v>
      </c>
      <c r="B1807" s="61" t="s">
        <v>22</v>
      </c>
      <c r="C1807" s="62" t="s">
        <v>19</v>
      </c>
      <c r="D1807" s="63">
        <v>240.33339795797065</v>
      </c>
      <c r="E1807" s="79">
        <v>1299089</v>
      </c>
      <c r="F1807" s="80">
        <v>1269974.2727272734</v>
      </c>
      <c r="G1807" s="66">
        <v>3417.3217590625172</v>
      </c>
      <c r="H1807" s="67">
        <v>2</v>
      </c>
      <c r="I1807" s="68" t="s">
        <v>20</v>
      </c>
      <c r="J1807" s="69">
        <v>40</v>
      </c>
      <c r="K1807" s="70">
        <v>2</v>
      </c>
      <c r="L1807" s="68">
        <v>1</v>
      </c>
      <c r="M1807" s="68">
        <f>_xlfn.XLOOKUP(Survey!$F1807,sections[Start],sections[Test Section],,-1,1)</f>
        <v>6</v>
      </c>
      <c r="N1807" s="55">
        <f>_xlfn.XLOOKUP(Survey!$K1807,pipedata[ID],pipedata[WT])</f>
        <v>0.74</v>
      </c>
      <c r="O1807" s="56">
        <f>_xlfn.XLOOKUP(Survey!$K1807,pipedata[ID],pipedata[104%])</f>
        <v>2565.3333333333335</v>
      </c>
      <c r="P1807" s="57">
        <f t="shared" si="28"/>
        <v>1850</v>
      </c>
      <c r="Q1807" s="58">
        <f>_xlfn.MAXIFS(Survey!$G$2:$G$3647,Survey!$M$2:$M$3647,Survey!$M1807)-Survey!$G1807</f>
        <v>317.10288116589936</v>
      </c>
      <c r="R1807" s="59">
        <f>Survey!$P1807+(Survey!$Q1807*0.433)</f>
        <v>1987.3055475448343</v>
      </c>
    </row>
    <row r="1808" spans="1:18" x14ac:dyDescent="0.25">
      <c r="A1808" s="71" t="s">
        <v>17</v>
      </c>
      <c r="B1808" s="72" t="s">
        <v>22</v>
      </c>
      <c r="C1808" s="73" t="s">
        <v>19</v>
      </c>
      <c r="D1808" s="74">
        <v>240.34165535061771</v>
      </c>
      <c r="E1808" s="81">
        <v>1299129</v>
      </c>
      <c r="F1808" s="82">
        <v>1270012.2424242431</v>
      </c>
      <c r="G1808" s="75">
        <v>3404.1143547803849</v>
      </c>
      <c r="H1808" s="76">
        <v>2</v>
      </c>
      <c r="I1808" s="54" t="s">
        <v>20</v>
      </c>
      <c r="J1808" s="77">
        <v>40</v>
      </c>
      <c r="K1808" s="78">
        <v>2</v>
      </c>
      <c r="L1808" s="54">
        <v>1</v>
      </c>
      <c r="M1808" s="54">
        <f>_xlfn.XLOOKUP(Survey!$F1808,sections[Start],sections[Test Section],,-1,1)</f>
        <v>6</v>
      </c>
      <c r="N1808" s="55">
        <f>_xlfn.XLOOKUP(Survey!$K1808,pipedata[ID],pipedata[WT])</f>
        <v>0.74</v>
      </c>
      <c r="O1808" s="56">
        <f>_xlfn.XLOOKUP(Survey!$K1808,pipedata[ID],pipedata[104%])</f>
        <v>2565.3333333333335</v>
      </c>
      <c r="P1808" s="57">
        <f t="shared" si="28"/>
        <v>1850</v>
      </c>
      <c r="Q1808" s="58">
        <f>_xlfn.MAXIFS(Survey!$G$2:$G$3647,Survey!$M$2:$M$3647,Survey!$M1808)-Survey!$G1808</f>
        <v>330.31028544803166</v>
      </c>
      <c r="R1808" s="59">
        <f>Survey!$P1808+(Survey!$Q1808*0.433)</f>
        <v>1993.0243535989978</v>
      </c>
    </row>
    <row r="1809" spans="1:18" x14ac:dyDescent="0.25">
      <c r="A1809" s="60" t="s">
        <v>17</v>
      </c>
      <c r="B1809" s="61" t="s">
        <v>22</v>
      </c>
      <c r="C1809" s="62" t="s">
        <v>19</v>
      </c>
      <c r="D1809" s="63">
        <v>240.34684925059264</v>
      </c>
      <c r="E1809" s="79">
        <v>1299169</v>
      </c>
      <c r="F1809" s="80">
        <v>1270050.2121212129</v>
      </c>
      <c r="G1809" s="66">
        <v>3396.5527600000801</v>
      </c>
      <c r="H1809" s="67">
        <v>2</v>
      </c>
      <c r="I1809" s="68" t="s">
        <v>20</v>
      </c>
      <c r="J1809" s="69">
        <v>40</v>
      </c>
      <c r="K1809" s="70">
        <v>2</v>
      </c>
      <c r="L1809" s="68">
        <v>1</v>
      </c>
      <c r="M1809" s="68">
        <f>_xlfn.XLOOKUP(Survey!$F1809,sections[Start],sections[Test Section],,-1,1)</f>
        <v>6</v>
      </c>
      <c r="N1809" s="55">
        <f>_xlfn.XLOOKUP(Survey!$K1809,pipedata[ID],pipedata[WT])</f>
        <v>0.74</v>
      </c>
      <c r="O1809" s="56">
        <f>_xlfn.XLOOKUP(Survey!$K1809,pipedata[ID],pipedata[104%])</f>
        <v>2565.3333333333335</v>
      </c>
      <c r="P1809" s="57">
        <f t="shared" si="28"/>
        <v>1850</v>
      </c>
      <c r="Q1809" s="58">
        <f>_xlfn.MAXIFS(Survey!$G$2:$G$3647,Survey!$M$2:$M$3647,Survey!$M1809)-Survey!$G1809</f>
        <v>337.87188022833652</v>
      </c>
      <c r="R1809" s="59">
        <f>Survey!$P1809+(Survey!$Q1809*0.433)</f>
        <v>1996.2985241388697</v>
      </c>
    </row>
    <row r="1810" spans="1:18" x14ac:dyDescent="0.25">
      <c r="A1810" s="71" t="s">
        <v>17</v>
      </c>
      <c r="B1810" s="72" t="s">
        <v>22</v>
      </c>
      <c r="C1810" s="73" t="s">
        <v>19</v>
      </c>
      <c r="D1810" s="74">
        <v>240.35560706785759</v>
      </c>
      <c r="E1810" s="64">
        <v>1299209</v>
      </c>
      <c r="F1810" s="65">
        <v>1270088.1818181826</v>
      </c>
      <c r="G1810" s="75">
        <v>3381.9881342547928</v>
      </c>
      <c r="H1810" s="76">
        <v>2</v>
      </c>
      <c r="I1810" s="54" t="s">
        <v>20</v>
      </c>
      <c r="J1810" s="77">
        <v>40</v>
      </c>
      <c r="K1810" s="78">
        <v>2</v>
      </c>
      <c r="L1810" s="54">
        <v>1</v>
      </c>
      <c r="M1810" s="54">
        <f>_xlfn.XLOOKUP(Survey!$F1810,sections[Start],sections[Test Section],,-1,1)</f>
        <v>6</v>
      </c>
      <c r="N1810" s="55">
        <f>_xlfn.XLOOKUP(Survey!$K1810,pipedata[ID],pipedata[WT])</f>
        <v>0.74</v>
      </c>
      <c r="O1810" s="56">
        <f>_xlfn.XLOOKUP(Survey!$K1810,pipedata[ID],pipedata[104%])</f>
        <v>2565.3333333333335</v>
      </c>
      <c r="P1810" s="57">
        <f t="shared" si="28"/>
        <v>1850</v>
      </c>
      <c r="Q1810" s="58">
        <f>_xlfn.MAXIFS(Survey!$G$2:$G$3647,Survey!$M$2:$M$3647,Survey!$M1810)-Survey!$G1810</f>
        <v>352.43650597362375</v>
      </c>
      <c r="R1810" s="59">
        <f>Survey!$P1810+(Survey!$Q1810*0.433)</f>
        <v>2002.605007086579</v>
      </c>
    </row>
    <row r="1811" spans="1:18" x14ac:dyDescent="0.25">
      <c r="A1811" s="60" t="s">
        <v>17</v>
      </c>
      <c r="B1811" s="61" t="s">
        <v>22</v>
      </c>
      <c r="C1811" s="62" t="s">
        <v>19</v>
      </c>
      <c r="D1811" s="63">
        <v>240.3634352844071</v>
      </c>
      <c r="E1811" s="64">
        <v>1299249</v>
      </c>
      <c r="F1811" s="65">
        <v>1270126.1515151523</v>
      </c>
      <c r="G1811" s="66">
        <v>3371.2745266348716</v>
      </c>
      <c r="H1811" s="67">
        <v>2</v>
      </c>
      <c r="I1811" s="68" t="s">
        <v>20</v>
      </c>
      <c r="J1811" s="69">
        <v>40</v>
      </c>
      <c r="K1811" s="70">
        <v>2</v>
      </c>
      <c r="L1811" s="68">
        <v>1</v>
      </c>
      <c r="M1811" s="68">
        <f>_xlfn.XLOOKUP(Survey!$F1811,sections[Start],sections[Test Section],,-1,1)</f>
        <v>6</v>
      </c>
      <c r="N1811" s="55">
        <f>_xlfn.XLOOKUP(Survey!$K1811,pipedata[ID],pipedata[WT])</f>
        <v>0.74</v>
      </c>
      <c r="O1811" s="56">
        <f>_xlfn.XLOOKUP(Survey!$K1811,pipedata[ID],pipedata[104%])</f>
        <v>2565.3333333333335</v>
      </c>
      <c r="P1811" s="57">
        <f t="shared" si="28"/>
        <v>1850</v>
      </c>
      <c r="Q1811" s="58">
        <f>_xlfn.MAXIFS(Survey!$G$2:$G$3647,Survey!$M$2:$M$3647,Survey!$M1811)-Survey!$G1811</f>
        <v>363.15011359354503</v>
      </c>
      <c r="R1811" s="59">
        <f>Survey!$P1811+(Survey!$Q1811*0.433)</f>
        <v>2007.2439991860051</v>
      </c>
    </row>
    <row r="1812" spans="1:18" x14ac:dyDescent="0.25">
      <c r="A1812" s="71" t="s">
        <v>17</v>
      </c>
      <c r="B1812" s="72" t="s">
        <v>22</v>
      </c>
      <c r="C1812" s="73" t="s">
        <v>19</v>
      </c>
      <c r="D1812" s="74">
        <v>240.37098392013172</v>
      </c>
      <c r="E1812" s="81">
        <v>1299289</v>
      </c>
      <c r="F1812" s="82">
        <v>1270164.121212122</v>
      </c>
      <c r="G1812" s="75">
        <v>3366.8888140588269</v>
      </c>
      <c r="H1812" s="76">
        <v>2</v>
      </c>
      <c r="I1812" s="54" t="s">
        <v>20</v>
      </c>
      <c r="J1812" s="77">
        <v>40</v>
      </c>
      <c r="K1812" s="78">
        <v>2</v>
      </c>
      <c r="L1812" s="54">
        <v>1</v>
      </c>
      <c r="M1812" s="54">
        <f>_xlfn.XLOOKUP(Survey!$F1812,sections[Start],sections[Test Section],,-1,1)</f>
        <v>6</v>
      </c>
      <c r="N1812" s="55">
        <f>_xlfn.XLOOKUP(Survey!$K1812,pipedata[ID],pipedata[WT])</f>
        <v>0.74</v>
      </c>
      <c r="O1812" s="56">
        <f>_xlfn.XLOOKUP(Survey!$K1812,pipedata[ID],pipedata[104%])</f>
        <v>2565.3333333333335</v>
      </c>
      <c r="P1812" s="57">
        <f t="shared" si="28"/>
        <v>1850</v>
      </c>
      <c r="Q1812" s="58">
        <f>_xlfn.MAXIFS(Survey!$G$2:$G$3647,Survey!$M$2:$M$3647,Survey!$M1812)-Survey!$G1812</f>
        <v>367.53582616958965</v>
      </c>
      <c r="R1812" s="59">
        <f>Survey!$P1812+(Survey!$Q1812*0.433)</f>
        <v>2009.1430127314322</v>
      </c>
    </row>
    <row r="1813" spans="1:18" x14ac:dyDescent="0.25">
      <c r="A1813" s="60" t="s">
        <v>17</v>
      </c>
      <c r="B1813" s="61" t="s">
        <v>22</v>
      </c>
      <c r="C1813" s="62" t="s">
        <v>19</v>
      </c>
      <c r="D1813" s="63">
        <v>240.37713466336882</v>
      </c>
      <c r="E1813" s="79">
        <v>1299329</v>
      </c>
      <c r="F1813" s="80">
        <v>1270202.0909090918</v>
      </c>
      <c r="G1813" s="66">
        <v>3357.5594583929383</v>
      </c>
      <c r="H1813" s="67">
        <v>2</v>
      </c>
      <c r="I1813" s="68" t="s">
        <v>20</v>
      </c>
      <c r="J1813" s="69">
        <v>40</v>
      </c>
      <c r="K1813" s="70">
        <v>2</v>
      </c>
      <c r="L1813" s="68">
        <v>1</v>
      </c>
      <c r="M1813" s="68">
        <f>_xlfn.XLOOKUP(Survey!$F1813,sections[Start],sections[Test Section],,-1,1)</f>
        <v>6</v>
      </c>
      <c r="N1813" s="55">
        <f>_xlfn.XLOOKUP(Survey!$K1813,pipedata[ID],pipedata[WT])</f>
        <v>0.74</v>
      </c>
      <c r="O1813" s="56">
        <f>_xlfn.XLOOKUP(Survey!$K1813,pipedata[ID],pipedata[104%])</f>
        <v>2565.3333333333335</v>
      </c>
      <c r="P1813" s="57">
        <f t="shared" si="28"/>
        <v>1850</v>
      </c>
      <c r="Q1813" s="58">
        <f>_xlfn.MAXIFS(Survey!$G$2:$G$3647,Survey!$M$2:$M$3647,Survey!$M1813)-Survey!$G1813</f>
        <v>376.86518183547832</v>
      </c>
      <c r="R1813" s="59">
        <f>Survey!$P1813+(Survey!$Q1813*0.433)</f>
        <v>2013.182623734762</v>
      </c>
    </row>
    <row r="1814" spans="1:18" x14ac:dyDescent="0.25">
      <c r="A1814" s="71" t="s">
        <v>17</v>
      </c>
      <c r="B1814" s="72" t="s">
        <v>22</v>
      </c>
      <c r="C1814" s="73" t="s">
        <v>19</v>
      </c>
      <c r="D1814" s="74">
        <v>240.38496287991845</v>
      </c>
      <c r="E1814" s="81">
        <v>1299369</v>
      </c>
      <c r="F1814" s="82">
        <v>1270240.0606060615</v>
      </c>
      <c r="G1814" s="75">
        <v>3353.0319147040364</v>
      </c>
      <c r="H1814" s="76">
        <v>2</v>
      </c>
      <c r="I1814" s="54" t="s">
        <v>20</v>
      </c>
      <c r="J1814" s="77">
        <v>40</v>
      </c>
      <c r="K1814" s="78">
        <v>2</v>
      </c>
      <c r="L1814" s="54">
        <v>1</v>
      </c>
      <c r="M1814" s="54">
        <f>_xlfn.XLOOKUP(Survey!$F1814,sections[Start],sections[Test Section],,-1,1)</f>
        <v>6</v>
      </c>
      <c r="N1814" s="55">
        <f>_xlfn.XLOOKUP(Survey!$K1814,pipedata[ID],pipedata[WT])</f>
        <v>0.74</v>
      </c>
      <c r="O1814" s="56">
        <f>_xlfn.XLOOKUP(Survey!$K1814,pipedata[ID],pipedata[104%])</f>
        <v>2565.3333333333335</v>
      </c>
      <c r="P1814" s="57">
        <f t="shared" si="28"/>
        <v>1850</v>
      </c>
      <c r="Q1814" s="58">
        <f>_xlfn.MAXIFS(Survey!$G$2:$G$3647,Survey!$M$2:$M$3647,Survey!$M1814)-Survey!$G1814</f>
        <v>381.39272552438024</v>
      </c>
      <c r="R1814" s="59">
        <f>Survey!$P1814+(Survey!$Q1814*0.433)</f>
        <v>2015.1430501520567</v>
      </c>
    </row>
    <row r="1815" spans="1:18" x14ac:dyDescent="0.25">
      <c r="A1815" s="60" t="s">
        <v>17</v>
      </c>
      <c r="B1815" s="61" t="s">
        <v>22</v>
      </c>
      <c r="C1815" s="62" t="s">
        <v>19</v>
      </c>
      <c r="D1815" s="63">
        <v>240.39279109646799</v>
      </c>
      <c r="E1815" s="79">
        <v>1299409</v>
      </c>
      <c r="F1815" s="80">
        <v>1270278.0303030312</v>
      </c>
      <c r="G1815" s="66">
        <v>3351.0530880307051</v>
      </c>
      <c r="H1815" s="67">
        <v>2</v>
      </c>
      <c r="I1815" s="68" t="s">
        <v>20</v>
      </c>
      <c r="J1815" s="69">
        <v>40</v>
      </c>
      <c r="K1815" s="70">
        <v>2</v>
      </c>
      <c r="L1815" s="68">
        <v>1</v>
      </c>
      <c r="M1815" s="68">
        <f>_xlfn.XLOOKUP(Survey!$F1815,sections[Start],sections[Test Section],,-1,1)</f>
        <v>6</v>
      </c>
      <c r="N1815" s="55">
        <f>_xlfn.XLOOKUP(Survey!$K1815,pipedata[ID],pipedata[WT])</f>
        <v>0.74</v>
      </c>
      <c r="O1815" s="56">
        <f>_xlfn.XLOOKUP(Survey!$K1815,pipedata[ID],pipedata[104%])</f>
        <v>2565.3333333333335</v>
      </c>
      <c r="P1815" s="57">
        <f t="shared" si="28"/>
        <v>1850</v>
      </c>
      <c r="Q1815" s="58">
        <f>_xlfn.MAXIFS(Survey!$G$2:$G$3647,Survey!$M$2:$M$3647,Survey!$M1815)-Survey!$G1815</f>
        <v>383.37155219771148</v>
      </c>
      <c r="R1815" s="59">
        <f>Survey!$P1815+(Survey!$Q1815*0.433)</f>
        <v>2015.999882101609</v>
      </c>
    </row>
    <row r="1816" spans="1:18" x14ac:dyDescent="0.25">
      <c r="A1816" s="71" t="s">
        <v>17</v>
      </c>
      <c r="B1816" s="72" t="s">
        <v>22</v>
      </c>
      <c r="C1816" s="73" t="s">
        <v>19</v>
      </c>
      <c r="D1816" s="74">
        <v>240.39952834826065</v>
      </c>
      <c r="E1816" s="81">
        <v>1299449</v>
      </c>
      <c r="F1816" s="82">
        <v>1270316.0000000009</v>
      </c>
      <c r="G1816" s="75">
        <v>3351.5131440000296</v>
      </c>
      <c r="H1816" s="76">
        <v>2</v>
      </c>
      <c r="I1816" s="54" t="s">
        <v>20</v>
      </c>
      <c r="J1816" s="77">
        <v>40</v>
      </c>
      <c r="K1816" s="78">
        <v>2</v>
      </c>
      <c r="L1816" s="54">
        <v>1</v>
      </c>
      <c r="M1816" s="54">
        <f>_xlfn.XLOOKUP(Survey!$F1816,sections[Start],sections[Test Section],,-1,1)</f>
        <v>6</v>
      </c>
      <c r="N1816" s="55">
        <f>_xlfn.XLOOKUP(Survey!$K1816,pipedata[ID],pipedata[WT])</f>
        <v>0.74</v>
      </c>
      <c r="O1816" s="56">
        <f>_xlfn.XLOOKUP(Survey!$K1816,pipedata[ID],pipedata[104%])</f>
        <v>2565.3333333333335</v>
      </c>
      <c r="P1816" s="57">
        <f t="shared" si="28"/>
        <v>1850</v>
      </c>
      <c r="Q1816" s="58">
        <f>_xlfn.MAXIFS(Survey!$G$2:$G$3647,Survey!$M$2:$M$3647,Survey!$M1816)-Survey!$G1816</f>
        <v>382.91149622838702</v>
      </c>
      <c r="R1816" s="59">
        <f>Survey!$P1816+(Survey!$Q1816*0.433)</f>
        <v>2015.8006778668916</v>
      </c>
    </row>
    <row r="1817" spans="1:18" x14ac:dyDescent="0.25">
      <c r="A1817" s="60" t="s">
        <v>17</v>
      </c>
      <c r="B1817" s="61" t="s">
        <v>22</v>
      </c>
      <c r="C1817" s="62" t="s">
        <v>19</v>
      </c>
      <c r="D1817" s="63">
        <v>240.40647071634925</v>
      </c>
      <c r="E1817" s="79">
        <v>1299489</v>
      </c>
      <c r="F1817" s="80">
        <v>1270353.9696969707</v>
      </c>
      <c r="G1817" s="66">
        <v>3340.1279782884831</v>
      </c>
      <c r="H1817" s="67">
        <v>2</v>
      </c>
      <c r="I1817" s="68" t="s">
        <v>20</v>
      </c>
      <c r="J1817" s="69">
        <v>40</v>
      </c>
      <c r="K1817" s="70">
        <v>2</v>
      </c>
      <c r="L1817" s="68">
        <v>1</v>
      </c>
      <c r="M1817" s="68">
        <f>_xlfn.XLOOKUP(Survey!$F1817,sections[Start],sections[Test Section],,-1,1)</f>
        <v>6</v>
      </c>
      <c r="N1817" s="55">
        <f>_xlfn.XLOOKUP(Survey!$K1817,pipedata[ID],pipedata[WT])</f>
        <v>0.74</v>
      </c>
      <c r="O1817" s="56">
        <f>_xlfn.XLOOKUP(Survey!$K1817,pipedata[ID],pipedata[104%])</f>
        <v>2565.3333333333335</v>
      </c>
      <c r="P1817" s="57">
        <f t="shared" si="28"/>
        <v>1850</v>
      </c>
      <c r="Q1817" s="58">
        <f>_xlfn.MAXIFS(Survey!$G$2:$G$3647,Survey!$M$2:$M$3647,Survey!$M1817)-Survey!$G1817</f>
        <v>394.29666193993353</v>
      </c>
      <c r="R1817" s="59">
        <f>Survey!$P1817+(Survey!$Q1817*0.433)</f>
        <v>2020.7304546199912</v>
      </c>
    </row>
    <row r="1818" spans="1:18" x14ac:dyDescent="0.25">
      <c r="A1818" s="71" t="s">
        <v>17</v>
      </c>
      <c r="B1818" s="72" t="s">
        <v>22</v>
      </c>
      <c r="C1818" s="73" t="s">
        <v>19</v>
      </c>
      <c r="D1818" s="74">
        <v>240.41406585988699</v>
      </c>
      <c r="E1818" s="81">
        <v>1299529</v>
      </c>
      <c r="F1818" s="82">
        <v>1270391.9393939404</v>
      </c>
      <c r="G1818" s="75">
        <v>3322.15603008976</v>
      </c>
      <c r="H1818" s="76">
        <v>2</v>
      </c>
      <c r="I1818" s="54" t="s">
        <v>20</v>
      </c>
      <c r="J1818" s="77">
        <v>40</v>
      </c>
      <c r="K1818" s="78">
        <v>2</v>
      </c>
      <c r="L1818" s="54">
        <v>1</v>
      </c>
      <c r="M1818" s="54">
        <f>_xlfn.XLOOKUP(Survey!$F1818,sections[Start],sections[Test Section],,-1,1)</f>
        <v>6</v>
      </c>
      <c r="N1818" s="55">
        <f>_xlfn.XLOOKUP(Survey!$K1818,pipedata[ID],pipedata[WT])</f>
        <v>0.74</v>
      </c>
      <c r="O1818" s="56">
        <f>_xlfn.XLOOKUP(Survey!$K1818,pipedata[ID],pipedata[104%])</f>
        <v>2565.3333333333335</v>
      </c>
      <c r="P1818" s="57">
        <f t="shared" si="28"/>
        <v>1850</v>
      </c>
      <c r="Q1818" s="58">
        <f>_xlfn.MAXIFS(Survey!$G$2:$G$3647,Survey!$M$2:$M$3647,Survey!$M1818)-Survey!$G1818</f>
        <v>412.26861013865664</v>
      </c>
      <c r="R1818" s="59">
        <f>Survey!$P1818+(Survey!$Q1818*0.433)</f>
        <v>2028.5123081900383</v>
      </c>
    </row>
    <row r="1819" spans="1:18" x14ac:dyDescent="0.25">
      <c r="A1819" s="60" t="s">
        <v>17</v>
      </c>
      <c r="B1819" s="61" t="s">
        <v>22</v>
      </c>
      <c r="C1819" s="62" t="s">
        <v>19</v>
      </c>
      <c r="D1819" s="63">
        <v>240.42166100342479</v>
      </c>
      <c r="E1819" s="79">
        <v>1299569</v>
      </c>
      <c r="F1819" s="80">
        <v>1270429.9090909101</v>
      </c>
      <c r="G1819" s="66">
        <v>3309.1495496627135</v>
      </c>
      <c r="H1819" s="67">
        <v>2</v>
      </c>
      <c r="I1819" s="68" t="s">
        <v>20</v>
      </c>
      <c r="J1819" s="69">
        <v>40</v>
      </c>
      <c r="K1819" s="70">
        <v>2</v>
      </c>
      <c r="L1819" s="68">
        <v>1</v>
      </c>
      <c r="M1819" s="68">
        <f>_xlfn.XLOOKUP(Survey!$F1819,sections[Start],sections[Test Section],,-1,1)</f>
        <v>6</v>
      </c>
      <c r="N1819" s="55">
        <f>_xlfn.XLOOKUP(Survey!$K1819,pipedata[ID],pipedata[WT])</f>
        <v>0.74</v>
      </c>
      <c r="O1819" s="56">
        <f>_xlfn.XLOOKUP(Survey!$K1819,pipedata[ID],pipedata[104%])</f>
        <v>2565.3333333333335</v>
      </c>
      <c r="P1819" s="57">
        <f t="shared" si="28"/>
        <v>1850</v>
      </c>
      <c r="Q1819" s="58">
        <f>_xlfn.MAXIFS(Survey!$G$2:$G$3647,Survey!$M$2:$M$3647,Survey!$M1819)-Survey!$G1819</f>
        <v>425.27509056570307</v>
      </c>
      <c r="R1819" s="59">
        <f>Survey!$P1819+(Survey!$Q1819*0.433)</f>
        <v>2034.1441142149495</v>
      </c>
    </row>
    <row r="1820" spans="1:18" x14ac:dyDescent="0.25">
      <c r="A1820" s="71" t="s">
        <v>17</v>
      </c>
      <c r="B1820" s="72" t="s">
        <v>22</v>
      </c>
      <c r="C1820" s="73" t="s">
        <v>19</v>
      </c>
      <c r="D1820" s="74">
        <v>240.42806863277966</v>
      </c>
      <c r="E1820" s="81">
        <v>1299609</v>
      </c>
      <c r="F1820" s="82">
        <v>1270467.8787878798</v>
      </c>
      <c r="G1820" s="75">
        <v>3291.4840389975475</v>
      </c>
      <c r="H1820" s="76">
        <v>2</v>
      </c>
      <c r="I1820" s="54" t="s">
        <v>20</v>
      </c>
      <c r="J1820" s="77">
        <v>40</v>
      </c>
      <c r="K1820" s="78">
        <v>2</v>
      </c>
      <c r="L1820" s="54">
        <v>1</v>
      </c>
      <c r="M1820" s="54">
        <f>_xlfn.XLOOKUP(Survey!$F1820,sections[Start],sections[Test Section],,-1,1)</f>
        <v>6</v>
      </c>
      <c r="N1820" s="55">
        <f>_xlfn.XLOOKUP(Survey!$K1820,pipedata[ID],pipedata[WT])</f>
        <v>0.74</v>
      </c>
      <c r="O1820" s="56">
        <f>_xlfn.XLOOKUP(Survey!$K1820,pipedata[ID],pipedata[104%])</f>
        <v>2565.3333333333335</v>
      </c>
      <c r="P1820" s="57">
        <f t="shared" si="28"/>
        <v>1850</v>
      </c>
      <c r="Q1820" s="58">
        <f>_xlfn.MAXIFS(Survey!$G$2:$G$3647,Survey!$M$2:$M$3647,Survey!$M1820)-Survey!$G1820</f>
        <v>442.94060123086911</v>
      </c>
      <c r="R1820" s="59">
        <f>Survey!$P1820+(Survey!$Q1820*0.433)</f>
        <v>2041.7932803329663</v>
      </c>
    </row>
    <row r="1821" spans="1:18" x14ac:dyDescent="0.25">
      <c r="A1821" s="60" t="s">
        <v>17</v>
      </c>
      <c r="B1821" s="61" t="s">
        <v>22</v>
      </c>
      <c r="C1821" s="62" t="s">
        <v>19</v>
      </c>
      <c r="D1821" s="63">
        <v>240.4343195759877</v>
      </c>
      <c r="E1821" s="79">
        <v>1299649</v>
      </c>
      <c r="F1821" s="80">
        <v>1270505.8484848496</v>
      </c>
      <c r="G1821" s="66">
        <v>3284.969836762577</v>
      </c>
      <c r="H1821" s="67">
        <v>2</v>
      </c>
      <c r="I1821" s="68" t="s">
        <v>20</v>
      </c>
      <c r="J1821" s="69">
        <v>40</v>
      </c>
      <c r="K1821" s="70">
        <v>2</v>
      </c>
      <c r="L1821" s="68">
        <v>1</v>
      </c>
      <c r="M1821" s="68">
        <f>_xlfn.XLOOKUP(Survey!$F1821,sections[Start],sections[Test Section],,-1,1)</f>
        <v>6</v>
      </c>
      <c r="N1821" s="55">
        <f>_xlfn.XLOOKUP(Survey!$K1821,pipedata[ID],pipedata[WT])</f>
        <v>0.74</v>
      </c>
      <c r="O1821" s="56">
        <f>_xlfn.XLOOKUP(Survey!$K1821,pipedata[ID],pipedata[104%])</f>
        <v>2565.3333333333335</v>
      </c>
      <c r="P1821" s="57">
        <f t="shared" si="28"/>
        <v>1850</v>
      </c>
      <c r="Q1821" s="58">
        <f>_xlfn.MAXIFS(Survey!$G$2:$G$3647,Survey!$M$2:$M$3647,Survey!$M1821)-Survey!$G1821</f>
        <v>449.45480346583963</v>
      </c>
      <c r="R1821" s="59">
        <f>Survey!$P1821+(Survey!$Q1821*0.433)</f>
        <v>2044.6139299007086</v>
      </c>
    </row>
    <row r="1822" spans="1:18" x14ac:dyDescent="0.25">
      <c r="A1822" s="71" t="s">
        <v>17</v>
      </c>
      <c r="B1822" s="72" t="s">
        <v>22</v>
      </c>
      <c r="C1822" s="73" t="s">
        <v>19</v>
      </c>
      <c r="D1822" s="74">
        <v>240.44233877503905</v>
      </c>
      <c r="E1822" s="81">
        <v>1299689</v>
      </c>
      <c r="F1822" s="82">
        <v>1270543.8181818193</v>
      </c>
      <c r="G1822" s="75">
        <v>3279.9770291345526</v>
      </c>
      <c r="H1822" s="76">
        <v>2</v>
      </c>
      <c r="I1822" s="54" t="s">
        <v>20</v>
      </c>
      <c r="J1822" s="77">
        <v>40</v>
      </c>
      <c r="K1822" s="78">
        <v>2</v>
      </c>
      <c r="L1822" s="54">
        <v>1</v>
      </c>
      <c r="M1822" s="54">
        <f>_xlfn.XLOOKUP(Survey!$F1822,sections[Start],sections[Test Section],,-1,1)</f>
        <v>6</v>
      </c>
      <c r="N1822" s="55">
        <f>_xlfn.XLOOKUP(Survey!$K1822,pipedata[ID],pipedata[WT])</f>
        <v>0.74</v>
      </c>
      <c r="O1822" s="56">
        <f>_xlfn.XLOOKUP(Survey!$K1822,pipedata[ID],pipedata[104%])</f>
        <v>2565.3333333333335</v>
      </c>
      <c r="P1822" s="57">
        <f t="shared" si="28"/>
        <v>1850</v>
      </c>
      <c r="Q1822" s="58">
        <f>_xlfn.MAXIFS(Survey!$G$2:$G$3647,Survey!$M$2:$M$3647,Survey!$M1822)-Survey!$G1822</f>
        <v>454.447611093864</v>
      </c>
      <c r="R1822" s="59">
        <f>Survey!$P1822+(Survey!$Q1822*0.433)</f>
        <v>2046.7758156036432</v>
      </c>
    </row>
    <row r="1823" spans="1:18" x14ac:dyDescent="0.25">
      <c r="A1823" s="60" t="s">
        <v>17</v>
      </c>
      <c r="B1823" s="61" t="s">
        <v>22</v>
      </c>
      <c r="C1823" s="62" t="s">
        <v>19</v>
      </c>
      <c r="D1823" s="63">
        <v>240.45090086039482</v>
      </c>
      <c r="E1823" s="79">
        <v>1299729</v>
      </c>
      <c r="F1823" s="80">
        <v>1270581.787878789</v>
      </c>
      <c r="G1823" s="66">
        <v>3271.9244299395459</v>
      </c>
      <c r="H1823" s="67">
        <v>2</v>
      </c>
      <c r="I1823" s="68" t="s">
        <v>20</v>
      </c>
      <c r="J1823" s="69">
        <v>40</v>
      </c>
      <c r="K1823" s="70">
        <v>2</v>
      </c>
      <c r="L1823" s="68">
        <v>1</v>
      </c>
      <c r="M1823" s="68">
        <f>_xlfn.XLOOKUP(Survey!$F1823,sections[Start],sections[Test Section],,-1,1)</f>
        <v>6</v>
      </c>
      <c r="N1823" s="55">
        <f>_xlfn.XLOOKUP(Survey!$K1823,pipedata[ID],pipedata[WT])</f>
        <v>0.74</v>
      </c>
      <c r="O1823" s="56">
        <f>_xlfn.XLOOKUP(Survey!$K1823,pipedata[ID],pipedata[104%])</f>
        <v>2565.3333333333335</v>
      </c>
      <c r="P1823" s="57">
        <f t="shared" si="28"/>
        <v>1850</v>
      </c>
      <c r="Q1823" s="58">
        <f>_xlfn.MAXIFS(Survey!$G$2:$G$3647,Survey!$M$2:$M$3647,Survey!$M1823)-Survey!$G1823</f>
        <v>462.50021028887068</v>
      </c>
      <c r="R1823" s="59">
        <f>Survey!$P1823+(Survey!$Q1823*0.433)</f>
        <v>2050.262591055081</v>
      </c>
    </row>
    <row r="1824" spans="1:18" x14ac:dyDescent="0.25">
      <c r="A1824" s="71" t="s">
        <v>17</v>
      </c>
      <c r="B1824" s="72" t="s">
        <v>22</v>
      </c>
      <c r="C1824" s="73" t="s">
        <v>19</v>
      </c>
      <c r="D1824" s="74">
        <v>240.45710500660095</v>
      </c>
      <c r="E1824" s="81">
        <v>1299769</v>
      </c>
      <c r="F1824" s="82">
        <v>1270619.7575757587</v>
      </c>
      <c r="G1824" s="75">
        <v>3264.1723704140586</v>
      </c>
      <c r="H1824" s="76">
        <v>2</v>
      </c>
      <c r="I1824" s="54" t="s">
        <v>20</v>
      </c>
      <c r="J1824" s="77">
        <v>40</v>
      </c>
      <c r="K1824" s="78">
        <v>2</v>
      </c>
      <c r="L1824" s="54">
        <v>1</v>
      </c>
      <c r="M1824" s="54">
        <f>_xlfn.XLOOKUP(Survey!$F1824,sections[Start],sections[Test Section],,-1,1)</f>
        <v>6</v>
      </c>
      <c r="N1824" s="55">
        <f>_xlfn.XLOOKUP(Survey!$K1824,pipedata[ID],pipedata[WT])</f>
        <v>0.74</v>
      </c>
      <c r="O1824" s="56">
        <f>_xlfn.XLOOKUP(Survey!$K1824,pipedata[ID],pipedata[104%])</f>
        <v>2565.3333333333335</v>
      </c>
      <c r="P1824" s="57">
        <f t="shared" si="28"/>
        <v>1850</v>
      </c>
      <c r="Q1824" s="58">
        <f>_xlfn.MAXIFS(Survey!$G$2:$G$3647,Survey!$M$2:$M$3647,Survey!$M1824)-Survey!$G1824</f>
        <v>470.25226981435799</v>
      </c>
      <c r="R1824" s="59">
        <f>Survey!$P1824+(Survey!$Q1824*0.433)</f>
        <v>2053.619232829617</v>
      </c>
    </row>
    <row r="1825" spans="1:18" x14ac:dyDescent="0.25">
      <c r="A1825" s="60" t="s">
        <v>17</v>
      </c>
      <c r="B1825" s="61" t="s">
        <v>22</v>
      </c>
      <c r="C1825" s="62" t="s">
        <v>19</v>
      </c>
      <c r="D1825" s="63">
        <v>240.46517100265464</v>
      </c>
      <c r="E1825" s="79">
        <v>1299809</v>
      </c>
      <c r="F1825" s="80">
        <v>1270657.7272727285</v>
      </c>
      <c r="G1825" s="66">
        <v>3261.1319932898668</v>
      </c>
      <c r="H1825" s="67">
        <v>2</v>
      </c>
      <c r="I1825" s="68" t="s">
        <v>20</v>
      </c>
      <c r="J1825" s="69">
        <v>40</v>
      </c>
      <c r="K1825" s="70">
        <v>2</v>
      </c>
      <c r="L1825" s="68">
        <v>1</v>
      </c>
      <c r="M1825" s="68">
        <f>_xlfn.XLOOKUP(Survey!$F1825,sections[Start],sections[Test Section],,-1,1)</f>
        <v>6</v>
      </c>
      <c r="N1825" s="55">
        <f>_xlfn.XLOOKUP(Survey!$K1825,pipedata[ID],pipedata[WT])</f>
        <v>0.74</v>
      </c>
      <c r="O1825" s="56">
        <f>_xlfn.XLOOKUP(Survey!$K1825,pipedata[ID],pipedata[104%])</f>
        <v>2565.3333333333335</v>
      </c>
      <c r="P1825" s="57">
        <f t="shared" si="28"/>
        <v>1850</v>
      </c>
      <c r="Q1825" s="58">
        <f>_xlfn.MAXIFS(Survey!$G$2:$G$3647,Survey!$M$2:$M$3647,Survey!$M1825)-Survey!$G1825</f>
        <v>473.29264693854975</v>
      </c>
      <c r="R1825" s="59">
        <f>Survey!$P1825+(Survey!$Q1825*0.433)</f>
        <v>2054.935716124392</v>
      </c>
    </row>
    <row r="1826" spans="1:18" x14ac:dyDescent="0.25">
      <c r="A1826" s="71" t="s">
        <v>17</v>
      </c>
      <c r="B1826" s="72" t="s">
        <v>22</v>
      </c>
      <c r="C1826" s="73" t="s">
        <v>19</v>
      </c>
      <c r="D1826" s="74">
        <v>240.47373308801042</v>
      </c>
      <c r="E1826" s="81">
        <v>1299849</v>
      </c>
      <c r="F1826" s="82">
        <v>1270695.6969696982</v>
      </c>
      <c r="G1826" s="75">
        <v>3254.989202180202</v>
      </c>
      <c r="H1826" s="76">
        <v>2</v>
      </c>
      <c r="I1826" s="54" t="s">
        <v>20</v>
      </c>
      <c r="J1826" s="77">
        <v>40</v>
      </c>
      <c r="K1826" s="78">
        <v>2</v>
      </c>
      <c r="L1826" s="54">
        <v>1</v>
      </c>
      <c r="M1826" s="54">
        <f>_xlfn.XLOOKUP(Survey!$F1826,sections[Start],sections[Test Section],,-1,1)</f>
        <v>6</v>
      </c>
      <c r="N1826" s="55">
        <f>_xlfn.XLOOKUP(Survey!$K1826,pipedata[ID],pipedata[WT])</f>
        <v>0.74</v>
      </c>
      <c r="O1826" s="56">
        <f>_xlfn.XLOOKUP(Survey!$K1826,pipedata[ID],pipedata[104%])</f>
        <v>2565.3333333333335</v>
      </c>
      <c r="P1826" s="57">
        <f t="shared" si="28"/>
        <v>1850</v>
      </c>
      <c r="Q1826" s="58">
        <f>_xlfn.MAXIFS(Survey!$G$2:$G$3647,Survey!$M$2:$M$3647,Survey!$M1826)-Survey!$G1826</f>
        <v>479.43543804821456</v>
      </c>
      <c r="R1826" s="59">
        <f>Survey!$P1826+(Survey!$Q1826*0.433)</f>
        <v>2057.5955446748767</v>
      </c>
    </row>
    <row r="1827" spans="1:18" x14ac:dyDescent="0.25">
      <c r="A1827" s="60" t="s">
        <v>17</v>
      </c>
      <c r="B1827" s="61" t="s">
        <v>22</v>
      </c>
      <c r="C1827" s="62" t="s">
        <v>19</v>
      </c>
      <c r="D1827" s="63">
        <v>240.47989043721392</v>
      </c>
      <c r="E1827" s="79">
        <v>1299889</v>
      </c>
      <c r="F1827" s="80">
        <v>1270733.6666666679</v>
      </c>
      <c r="G1827" s="66">
        <v>3250.3682753082144</v>
      </c>
      <c r="H1827" s="67">
        <v>2</v>
      </c>
      <c r="I1827" s="68" t="s">
        <v>20</v>
      </c>
      <c r="J1827" s="69">
        <v>40</v>
      </c>
      <c r="K1827" s="70">
        <v>2</v>
      </c>
      <c r="L1827" s="68">
        <v>1</v>
      </c>
      <c r="M1827" s="68">
        <f>_xlfn.XLOOKUP(Survey!$F1827,sections[Start],sections[Test Section],,-1,1)</f>
        <v>6</v>
      </c>
      <c r="N1827" s="55">
        <f>_xlfn.XLOOKUP(Survey!$K1827,pipedata[ID],pipedata[WT])</f>
        <v>0.74</v>
      </c>
      <c r="O1827" s="56">
        <f>_xlfn.XLOOKUP(Survey!$K1827,pipedata[ID],pipedata[104%])</f>
        <v>2565.3333333333335</v>
      </c>
      <c r="P1827" s="57">
        <f t="shared" si="28"/>
        <v>1850</v>
      </c>
      <c r="Q1827" s="58">
        <f>_xlfn.MAXIFS(Survey!$G$2:$G$3647,Survey!$M$2:$M$3647,Survey!$M1827)-Survey!$G1827</f>
        <v>484.05636492020221</v>
      </c>
      <c r="R1827" s="59">
        <f>Survey!$P1827+(Survey!$Q1827*0.433)</f>
        <v>2059.5964060104475</v>
      </c>
    </row>
    <row r="1828" spans="1:18" x14ac:dyDescent="0.25">
      <c r="A1828" s="71" t="s">
        <v>17</v>
      </c>
      <c r="B1828" s="72" t="s">
        <v>22</v>
      </c>
      <c r="C1828" s="73" t="s">
        <v>19</v>
      </c>
      <c r="D1828" s="74">
        <v>240.48813664365832</v>
      </c>
      <c r="E1828" s="81">
        <v>1299929</v>
      </c>
      <c r="F1828" s="82">
        <v>1270771.6363636376</v>
      </c>
      <c r="G1828" s="75">
        <v>3243.6166789110343</v>
      </c>
      <c r="H1828" s="76">
        <v>2</v>
      </c>
      <c r="I1828" s="54" t="s">
        <v>20</v>
      </c>
      <c r="J1828" s="77">
        <v>40</v>
      </c>
      <c r="K1828" s="78">
        <v>2</v>
      </c>
      <c r="L1828" s="54">
        <v>1</v>
      </c>
      <c r="M1828" s="54">
        <f>_xlfn.XLOOKUP(Survey!$F1828,sections[Start],sections[Test Section],,-1,1)</f>
        <v>6</v>
      </c>
      <c r="N1828" s="55">
        <f>_xlfn.XLOOKUP(Survey!$K1828,pipedata[ID],pipedata[WT])</f>
        <v>0.74</v>
      </c>
      <c r="O1828" s="56">
        <f>_xlfn.XLOOKUP(Survey!$K1828,pipedata[ID],pipedata[104%])</f>
        <v>2565.3333333333335</v>
      </c>
      <c r="P1828" s="57">
        <f t="shared" si="28"/>
        <v>1850</v>
      </c>
      <c r="Q1828" s="58">
        <f>_xlfn.MAXIFS(Survey!$G$2:$G$3647,Survey!$M$2:$M$3647,Survey!$M1828)-Survey!$G1828</f>
        <v>490.80796131738225</v>
      </c>
      <c r="R1828" s="59">
        <f>Survey!$P1828+(Survey!$Q1828*0.433)</f>
        <v>2062.5198472504267</v>
      </c>
    </row>
    <row r="1829" spans="1:18" x14ac:dyDescent="0.25">
      <c r="A1829" s="60" t="s">
        <v>17</v>
      </c>
      <c r="B1829" s="61" t="s">
        <v>22</v>
      </c>
      <c r="C1829" s="62" t="s">
        <v>19</v>
      </c>
      <c r="D1829" s="63">
        <v>240.49502637223981</v>
      </c>
      <c r="E1829" s="79">
        <v>1299969</v>
      </c>
      <c r="F1829" s="80">
        <v>1270809.6060606074</v>
      </c>
      <c r="G1829" s="66">
        <v>3241.5125083885582</v>
      </c>
      <c r="H1829" s="67">
        <v>2</v>
      </c>
      <c r="I1829" s="68" t="s">
        <v>20</v>
      </c>
      <c r="J1829" s="69">
        <v>40</v>
      </c>
      <c r="K1829" s="70">
        <v>2</v>
      </c>
      <c r="L1829" s="68">
        <v>1</v>
      </c>
      <c r="M1829" s="68">
        <f>_xlfn.XLOOKUP(Survey!$F1829,sections[Start],sections[Test Section],,-1,1)</f>
        <v>6</v>
      </c>
      <c r="N1829" s="55">
        <f>_xlfn.XLOOKUP(Survey!$K1829,pipedata[ID],pipedata[WT])</f>
        <v>0.74</v>
      </c>
      <c r="O1829" s="56">
        <f>_xlfn.XLOOKUP(Survey!$K1829,pipedata[ID],pipedata[104%])</f>
        <v>2565.3333333333335</v>
      </c>
      <c r="P1829" s="57">
        <f t="shared" si="28"/>
        <v>1850</v>
      </c>
      <c r="Q1829" s="58">
        <f>_xlfn.MAXIFS(Survey!$G$2:$G$3647,Survey!$M$2:$M$3647,Survey!$M1829)-Survey!$G1829</f>
        <v>492.91213183985838</v>
      </c>
      <c r="R1829" s="59">
        <f>Survey!$P1829+(Survey!$Q1829*0.433)</f>
        <v>2063.4309530866585</v>
      </c>
    </row>
    <row r="1830" spans="1:18" x14ac:dyDescent="0.25">
      <c r="A1830" s="71" t="s">
        <v>17</v>
      </c>
      <c r="B1830" s="72" t="s">
        <v>22</v>
      </c>
      <c r="C1830" s="73" t="s">
        <v>19</v>
      </c>
      <c r="D1830" s="74">
        <v>240.5029448970042</v>
      </c>
      <c r="E1830" s="81">
        <v>1300009</v>
      </c>
      <c r="F1830" s="82">
        <v>1270847.5757575771</v>
      </c>
      <c r="G1830" s="75">
        <v>3233.3117612250894</v>
      </c>
      <c r="H1830" s="76">
        <v>2</v>
      </c>
      <c r="I1830" s="54" t="s">
        <v>20</v>
      </c>
      <c r="J1830" s="77">
        <v>40</v>
      </c>
      <c r="K1830" s="78">
        <v>2</v>
      </c>
      <c r="L1830" s="54">
        <v>1</v>
      </c>
      <c r="M1830" s="54">
        <f>_xlfn.XLOOKUP(Survey!$F1830,sections[Start],sections[Test Section],,-1,1)</f>
        <v>6</v>
      </c>
      <c r="N1830" s="55">
        <f>_xlfn.XLOOKUP(Survey!$K1830,pipedata[ID],pipedata[WT])</f>
        <v>0.74</v>
      </c>
      <c r="O1830" s="56">
        <f>_xlfn.XLOOKUP(Survey!$K1830,pipedata[ID],pipedata[104%])</f>
        <v>2565.3333333333335</v>
      </c>
      <c r="P1830" s="57">
        <f t="shared" si="28"/>
        <v>1850</v>
      </c>
      <c r="Q1830" s="58">
        <f>_xlfn.MAXIFS(Survey!$G$2:$G$3647,Survey!$M$2:$M$3647,Survey!$M1830)-Survey!$G1830</f>
        <v>501.11287900332718</v>
      </c>
      <c r="R1830" s="59">
        <f>Survey!$P1830+(Survey!$Q1830*0.433)</f>
        <v>2066.9818766084409</v>
      </c>
    </row>
    <row r="1831" spans="1:18" x14ac:dyDescent="0.25">
      <c r="A1831" s="60" t="s">
        <v>17</v>
      </c>
      <c r="B1831" s="61" t="s">
        <v>22</v>
      </c>
      <c r="C1831" s="62" t="s">
        <v>19</v>
      </c>
      <c r="D1831" s="63">
        <v>240.51086342176851</v>
      </c>
      <c r="E1831" s="79">
        <v>1300049</v>
      </c>
      <c r="F1831" s="80">
        <v>1270885.5454545468</v>
      </c>
      <c r="G1831" s="66">
        <v>3223.8959329034906</v>
      </c>
      <c r="H1831" s="67">
        <v>2</v>
      </c>
      <c r="I1831" s="68" t="s">
        <v>20</v>
      </c>
      <c r="J1831" s="69">
        <v>40</v>
      </c>
      <c r="K1831" s="70">
        <v>2</v>
      </c>
      <c r="L1831" s="68">
        <v>1</v>
      </c>
      <c r="M1831" s="68">
        <f>_xlfn.XLOOKUP(Survey!$F1831,sections[Start],sections[Test Section],,-1,1)</f>
        <v>6</v>
      </c>
      <c r="N1831" s="55">
        <f>_xlfn.XLOOKUP(Survey!$K1831,pipedata[ID],pipedata[WT])</f>
        <v>0.74</v>
      </c>
      <c r="O1831" s="56">
        <f>_xlfn.XLOOKUP(Survey!$K1831,pipedata[ID],pipedata[104%])</f>
        <v>2565.3333333333335</v>
      </c>
      <c r="P1831" s="57">
        <f t="shared" si="28"/>
        <v>1850</v>
      </c>
      <c r="Q1831" s="58">
        <f>_xlfn.MAXIFS(Survey!$G$2:$G$3647,Survey!$M$2:$M$3647,Survey!$M1831)-Survey!$G1831</f>
        <v>510.52870732492602</v>
      </c>
      <c r="R1831" s="59">
        <f>Survey!$P1831+(Survey!$Q1831*0.433)</f>
        <v>2071.058930271693</v>
      </c>
    </row>
    <row r="1832" spans="1:18" x14ac:dyDescent="0.25">
      <c r="A1832" s="71" t="s">
        <v>17</v>
      </c>
      <c r="B1832" s="72" t="s">
        <v>22</v>
      </c>
      <c r="C1832" s="73" t="s">
        <v>19</v>
      </c>
      <c r="D1832" s="74">
        <v>240.51729298235793</v>
      </c>
      <c r="E1832" s="81">
        <v>1300089</v>
      </c>
      <c r="F1832" s="82">
        <v>1270923.5151515165</v>
      </c>
      <c r="G1832" s="75">
        <v>3214.5539928077592</v>
      </c>
      <c r="H1832" s="76">
        <v>2</v>
      </c>
      <c r="I1832" s="54" t="s">
        <v>20</v>
      </c>
      <c r="J1832" s="77">
        <v>40</v>
      </c>
      <c r="K1832" s="78">
        <v>2</v>
      </c>
      <c r="L1832" s="54">
        <v>1</v>
      </c>
      <c r="M1832" s="54">
        <f>_xlfn.XLOOKUP(Survey!$F1832,sections[Start],sections[Test Section],,-1,1)</f>
        <v>6</v>
      </c>
      <c r="N1832" s="55">
        <f>_xlfn.XLOOKUP(Survey!$K1832,pipedata[ID],pipedata[WT])</f>
        <v>0.74</v>
      </c>
      <c r="O1832" s="56">
        <f>_xlfn.XLOOKUP(Survey!$K1832,pipedata[ID],pipedata[104%])</f>
        <v>2565.3333333333335</v>
      </c>
      <c r="P1832" s="57">
        <f t="shared" si="28"/>
        <v>1850</v>
      </c>
      <c r="Q1832" s="58">
        <f>_xlfn.MAXIFS(Survey!$G$2:$G$3647,Survey!$M$2:$M$3647,Survey!$M1832)-Survey!$G1832</f>
        <v>519.87064742065741</v>
      </c>
      <c r="R1832" s="59">
        <f>Survey!$P1832+(Survey!$Q1832*0.433)</f>
        <v>2075.1039903331448</v>
      </c>
    </row>
    <row r="1833" spans="1:18" x14ac:dyDescent="0.25">
      <c r="A1833" s="60" t="s">
        <v>17</v>
      </c>
      <c r="B1833" s="61" t="s">
        <v>22</v>
      </c>
      <c r="C1833" s="62" t="s">
        <v>19</v>
      </c>
      <c r="D1833" s="63">
        <v>240.52512314471895</v>
      </c>
      <c r="E1833" s="79">
        <v>1300129</v>
      </c>
      <c r="F1833" s="80">
        <v>1270961.4848484863</v>
      </c>
      <c r="G1833" s="66">
        <v>3205.8282053917196</v>
      </c>
      <c r="H1833" s="67">
        <v>2</v>
      </c>
      <c r="I1833" s="68" t="s">
        <v>20</v>
      </c>
      <c r="J1833" s="69">
        <v>40</v>
      </c>
      <c r="K1833" s="70">
        <v>2</v>
      </c>
      <c r="L1833" s="68">
        <v>1</v>
      </c>
      <c r="M1833" s="68">
        <f>_xlfn.XLOOKUP(Survey!$F1833,sections[Start],sections[Test Section],,-1,1)</f>
        <v>6</v>
      </c>
      <c r="N1833" s="55">
        <f>_xlfn.XLOOKUP(Survey!$K1833,pipedata[ID],pipedata[WT])</f>
        <v>0.74</v>
      </c>
      <c r="O1833" s="56">
        <f>_xlfn.XLOOKUP(Survey!$K1833,pipedata[ID],pipedata[104%])</f>
        <v>2565.3333333333335</v>
      </c>
      <c r="P1833" s="57">
        <f t="shared" si="28"/>
        <v>1850</v>
      </c>
      <c r="Q1833" s="58">
        <f>_xlfn.MAXIFS(Survey!$G$2:$G$3647,Survey!$M$2:$M$3647,Survey!$M1833)-Survey!$G1833</f>
        <v>528.59643483669697</v>
      </c>
      <c r="R1833" s="59">
        <f>Survey!$P1833+(Survey!$Q1833*0.433)</f>
        <v>2078.8822562842897</v>
      </c>
    </row>
    <row r="1834" spans="1:18" x14ac:dyDescent="0.25">
      <c r="A1834" s="71" t="s">
        <v>17</v>
      </c>
      <c r="B1834" s="72" t="s">
        <v>22</v>
      </c>
      <c r="C1834" s="73" t="s">
        <v>19</v>
      </c>
      <c r="D1834" s="74">
        <v>240.53263936487033</v>
      </c>
      <c r="E1834" s="81">
        <v>1300169</v>
      </c>
      <c r="F1834" s="82">
        <v>1270999.454545456</v>
      </c>
      <c r="G1834" s="75">
        <v>3200.1227713099124</v>
      </c>
      <c r="H1834" s="76">
        <v>2</v>
      </c>
      <c r="I1834" s="54" t="s">
        <v>20</v>
      </c>
      <c r="J1834" s="77">
        <v>40</v>
      </c>
      <c r="K1834" s="78">
        <v>2</v>
      </c>
      <c r="L1834" s="54">
        <v>1</v>
      </c>
      <c r="M1834" s="54">
        <f>_xlfn.XLOOKUP(Survey!$F1834,sections[Start],sections[Test Section],,-1,1)</f>
        <v>6</v>
      </c>
      <c r="N1834" s="55">
        <f>_xlfn.XLOOKUP(Survey!$K1834,pipedata[ID],pipedata[WT])</f>
        <v>0.74</v>
      </c>
      <c r="O1834" s="56">
        <f>_xlfn.XLOOKUP(Survey!$K1834,pipedata[ID],pipedata[104%])</f>
        <v>2565.3333333333335</v>
      </c>
      <c r="P1834" s="57">
        <f t="shared" si="28"/>
        <v>1850</v>
      </c>
      <c r="Q1834" s="58">
        <f>_xlfn.MAXIFS(Survey!$G$2:$G$3647,Survey!$M$2:$M$3647,Survey!$M1834)-Survey!$G1834</f>
        <v>534.30186891850417</v>
      </c>
      <c r="R1834" s="59">
        <f>Survey!$P1834+(Survey!$Q1834*0.433)</f>
        <v>2081.3527092417121</v>
      </c>
    </row>
    <row r="1835" spans="1:18" x14ac:dyDescent="0.25">
      <c r="A1835" s="60" t="s">
        <v>17</v>
      </c>
      <c r="B1835" s="61" t="s">
        <v>22</v>
      </c>
      <c r="C1835" s="62" t="s">
        <v>19</v>
      </c>
      <c r="D1835" s="63">
        <v>240.5405578896347</v>
      </c>
      <c r="E1835" s="79">
        <v>1300209</v>
      </c>
      <c r="F1835" s="80">
        <v>1271037.4242424257</v>
      </c>
      <c r="G1835" s="66">
        <v>3196.697903384606</v>
      </c>
      <c r="H1835" s="67">
        <v>2</v>
      </c>
      <c r="I1835" s="68" t="s">
        <v>20</v>
      </c>
      <c r="J1835" s="69">
        <v>40</v>
      </c>
      <c r="K1835" s="70">
        <v>2</v>
      </c>
      <c r="L1835" s="68">
        <v>1</v>
      </c>
      <c r="M1835" s="68">
        <f>_xlfn.XLOOKUP(Survey!$F1835,sections[Start],sections[Test Section],,-1,1)</f>
        <v>6</v>
      </c>
      <c r="N1835" s="55">
        <f>_xlfn.XLOOKUP(Survey!$K1835,pipedata[ID],pipedata[WT])</f>
        <v>0.74</v>
      </c>
      <c r="O1835" s="56">
        <f>_xlfn.XLOOKUP(Survey!$K1835,pipedata[ID],pipedata[104%])</f>
        <v>2565.3333333333335</v>
      </c>
      <c r="P1835" s="57">
        <f t="shared" si="28"/>
        <v>1850</v>
      </c>
      <c r="Q1835" s="58">
        <f>_xlfn.MAXIFS(Survey!$G$2:$G$3647,Survey!$M$2:$M$3647,Survey!$M1835)-Survey!$G1835</f>
        <v>537.72673684381061</v>
      </c>
      <c r="R1835" s="59">
        <f>Survey!$P1835+(Survey!$Q1835*0.433)</f>
        <v>2082.8356770533701</v>
      </c>
    </row>
    <row r="1836" spans="1:18" x14ac:dyDescent="0.25">
      <c r="A1836" s="71" t="s">
        <v>17</v>
      </c>
      <c r="B1836" s="72" t="s">
        <v>22</v>
      </c>
      <c r="C1836" s="73" t="s">
        <v>19</v>
      </c>
      <c r="D1836" s="74">
        <v>240.54788406844861</v>
      </c>
      <c r="E1836" s="81">
        <v>1300249</v>
      </c>
      <c r="F1836" s="82">
        <v>1271075.3939393954</v>
      </c>
      <c r="G1836" s="75">
        <v>3189.2947577832965</v>
      </c>
      <c r="H1836" s="76">
        <v>2</v>
      </c>
      <c r="I1836" s="54" t="s">
        <v>20</v>
      </c>
      <c r="J1836" s="77">
        <v>40</v>
      </c>
      <c r="K1836" s="78">
        <v>2</v>
      </c>
      <c r="L1836" s="54">
        <v>1</v>
      </c>
      <c r="M1836" s="54">
        <f>_xlfn.XLOOKUP(Survey!$F1836,sections[Start],sections[Test Section],,-1,1)</f>
        <v>6</v>
      </c>
      <c r="N1836" s="55">
        <f>_xlfn.XLOOKUP(Survey!$K1836,pipedata[ID],pipedata[WT])</f>
        <v>0.74</v>
      </c>
      <c r="O1836" s="56">
        <f>_xlfn.XLOOKUP(Survey!$K1836,pipedata[ID],pipedata[104%])</f>
        <v>2565.3333333333335</v>
      </c>
      <c r="P1836" s="57">
        <f t="shared" si="28"/>
        <v>1850</v>
      </c>
      <c r="Q1836" s="58">
        <f>_xlfn.MAXIFS(Survey!$G$2:$G$3647,Survey!$M$2:$M$3647,Survey!$M1836)-Survey!$G1836</f>
        <v>545.12988244512007</v>
      </c>
      <c r="R1836" s="59">
        <f>Survey!$P1836+(Survey!$Q1836*0.433)</f>
        <v>2086.0412390987372</v>
      </c>
    </row>
    <row r="1837" spans="1:18" x14ac:dyDescent="0.25">
      <c r="A1837" s="60" t="s">
        <v>17</v>
      </c>
      <c r="B1837" s="61" t="s">
        <v>22</v>
      </c>
      <c r="C1837" s="62" t="s">
        <v>19</v>
      </c>
      <c r="D1837" s="63">
        <v>240.55441530797231</v>
      </c>
      <c r="E1837" s="79">
        <v>1300289</v>
      </c>
      <c r="F1837" s="80">
        <v>1271113.3636363652</v>
      </c>
      <c r="G1837" s="66">
        <v>3183.0945634432228</v>
      </c>
      <c r="H1837" s="67">
        <v>2</v>
      </c>
      <c r="I1837" s="68" t="s">
        <v>20</v>
      </c>
      <c r="J1837" s="69">
        <v>40</v>
      </c>
      <c r="K1837" s="70">
        <v>2</v>
      </c>
      <c r="L1837" s="68">
        <v>1</v>
      </c>
      <c r="M1837" s="68">
        <f>_xlfn.XLOOKUP(Survey!$F1837,sections[Start],sections[Test Section],,-1,1)</f>
        <v>6</v>
      </c>
      <c r="N1837" s="55">
        <f>_xlfn.XLOOKUP(Survey!$K1837,pipedata[ID],pipedata[WT])</f>
        <v>0.74</v>
      </c>
      <c r="O1837" s="56">
        <f>_xlfn.XLOOKUP(Survey!$K1837,pipedata[ID],pipedata[104%])</f>
        <v>2565.3333333333335</v>
      </c>
      <c r="P1837" s="57">
        <f t="shared" si="28"/>
        <v>1850</v>
      </c>
      <c r="Q1837" s="58">
        <f>_xlfn.MAXIFS(Survey!$G$2:$G$3647,Survey!$M$2:$M$3647,Survey!$M1837)-Survey!$G1837</f>
        <v>551.3300767851938</v>
      </c>
      <c r="R1837" s="59">
        <f>Survey!$P1837+(Survey!$Q1837*0.433)</f>
        <v>2088.7259232479887</v>
      </c>
    </row>
    <row r="1838" spans="1:18" x14ac:dyDescent="0.25">
      <c r="A1838" s="71" t="s">
        <v>17</v>
      </c>
      <c r="B1838" s="72" t="s">
        <v>22</v>
      </c>
      <c r="C1838" s="73" t="s">
        <v>19</v>
      </c>
      <c r="D1838" s="74">
        <v>240.56284661789681</v>
      </c>
      <c r="E1838" s="81">
        <v>1300329</v>
      </c>
      <c r="F1838" s="82">
        <v>1271151.3333333349</v>
      </c>
      <c r="G1838" s="75">
        <v>3178.5609598102728</v>
      </c>
      <c r="H1838" s="76">
        <v>2</v>
      </c>
      <c r="I1838" s="54" t="s">
        <v>20</v>
      </c>
      <c r="J1838" s="77">
        <v>40</v>
      </c>
      <c r="K1838" s="78">
        <v>2</v>
      </c>
      <c r="L1838" s="54">
        <v>1</v>
      </c>
      <c r="M1838" s="54">
        <f>_xlfn.XLOOKUP(Survey!$F1838,sections[Start],sections[Test Section],,-1,1)</f>
        <v>6</v>
      </c>
      <c r="N1838" s="55">
        <f>_xlfn.XLOOKUP(Survey!$K1838,pipedata[ID],pipedata[WT])</f>
        <v>0.74</v>
      </c>
      <c r="O1838" s="56">
        <f>_xlfn.XLOOKUP(Survey!$K1838,pipedata[ID],pipedata[104%])</f>
        <v>2565.3333333333335</v>
      </c>
      <c r="P1838" s="57">
        <f t="shared" si="28"/>
        <v>1850</v>
      </c>
      <c r="Q1838" s="58">
        <f>_xlfn.MAXIFS(Survey!$G$2:$G$3647,Survey!$M$2:$M$3647,Survey!$M1838)-Survey!$G1838</f>
        <v>555.86368041814376</v>
      </c>
      <c r="R1838" s="59">
        <f>Survey!$P1838+(Survey!$Q1838*0.433)</f>
        <v>2090.6889736210564</v>
      </c>
    </row>
    <row r="1839" spans="1:18" x14ac:dyDescent="0.25">
      <c r="A1839" s="60" t="s">
        <v>17</v>
      </c>
      <c r="B1839" s="61" t="s">
        <v>22</v>
      </c>
      <c r="C1839" s="62" t="s">
        <v>19</v>
      </c>
      <c r="D1839" s="63">
        <v>240.57025235750109</v>
      </c>
      <c r="E1839" s="79">
        <v>1300369</v>
      </c>
      <c r="F1839" s="80">
        <v>1271189.3030303046</v>
      </c>
      <c r="G1839" s="66">
        <v>3172.1353837337751</v>
      </c>
      <c r="H1839" s="67">
        <v>2</v>
      </c>
      <c r="I1839" s="68" t="s">
        <v>20</v>
      </c>
      <c r="J1839" s="69">
        <v>40</v>
      </c>
      <c r="K1839" s="70">
        <v>2</v>
      </c>
      <c r="L1839" s="68">
        <v>1</v>
      </c>
      <c r="M1839" s="68">
        <f>_xlfn.XLOOKUP(Survey!$F1839,sections[Start],sections[Test Section],,-1,1)</f>
        <v>6</v>
      </c>
      <c r="N1839" s="55">
        <f>_xlfn.XLOOKUP(Survey!$K1839,pipedata[ID],pipedata[WT])</f>
        <v>0.74</v>
      </c>
      <c r="O1839" s="56">
        <f>_xlfn.XLOOKUP(Survey!$K1839,pipedata[ID],pipedata[104%])</f>
        <v>2565.3333333333335</v>
      </c>
      <c r="P1839" s="57">
        <f t="shared" si="28"/>
        <v>1850</v>
      </c>
      <c r="Q1839" s="58">
        <f>_xlfn.MAXIFS(Survey!$G$2:$G$3647,Survey!$M$2:$M$3647,Survey!$M1839)-Survey!$G1839</f>
        <v>562.28925649464145</v>
      </c>
      <c r="R1839" s="59">
        <f>Survey!$P1839+(Survey!$Q1839*0.433)</f>
        <v>2093.4712480621797</v>
      </c>
    </row>
    <row r="1840" spans="1:18" x14ac:dyDescent="0.25">
      <c r="A1840" s="71" t="s">
        <v>17</v>
      </c>
      <c r="B1840" s="72" t="s">
        <v>22</v>
      </c>
      <c r="C1840" s="73" t="s">
        <v>19</v>
      </c>
      <c r="D1840" s="74">
        <v>240.5763352231109</v>
      </c>
      <c r="E1840" s="81">
        <v>1300409</v>
      </c>
      <c r="F1840" s="82">
        <v>1271227.2727272743</v>
      </c>
      <c r="G1840" s="75">
        <v>3165.1036817396421</v>
      </c>
      <c r="H1840" s="76">
        <v>2</v>
      </c>
      <c r="I1840" s="54" t="s">
        <v>20</v>
      </c>
      <c r="J1840" s="77">
        <v>40</v>
      </c>
      <c r="K1840" s="78">
        <v>2</v>
      </c>
      <c r="L1840" s="54">
        <v>1</v>
      </c>
      <c r="M1840" s="54">
        <f>_xlfn.XLOOKUP(Survey!$F1840,sections[Start],sections[Test Section],,-1,1)</f>
        <v>6</v>
      </c>
      <c r="N1840" s="55">
        <f>_xlfn.XLOOKUP(Survey!$K1840,pipedata[ID],pipedata[WT])</f>
        <v>0.74</v>
      </c>
      <c r="O1840" s="56">
        <f>_xlfn.XLOOKUP(Survey!$K1840,pipedata[ID],pipedata[104%])</f>
        <v>2565.3333333333335</v>
      </c>
      <c r="P1840" s="57">
        <f t="shared" si="28"/>
        <v>1850</v>
      </c>
      <c r="Q1840" s="58">
        <f>_xlfn.MAXIFS(Survey!$G$2:$G$3647,Survey!$M$2:$M$3647,Survey!$M1840)-Survey!$G1840</f>
        <v>569.32095848877452</v>
      </c>
      <c r="R1840" s="59">
        <f>Survey!$P1840+(Survey!$Q1840*0.433)</f>
        <v>2096.5159750256394</v>
      </c>
    </row>
    <row r="1841" spans="1:18" x14ac:dyDescent="0.25">
      <c r="A1841" s="60" t="s">
        <v>17</v>
      </c>
      <c r="B1841" s="61" t="s">
        <v>22</v>
      </c>
      <c r="C1841" s="62" t="s">
        <v>19</v>
      </c>
      <c r="D1841" s="63">
        <v>240.58487056950935</v>
      </c>
      <c r="E1841" s="79">
        <v>1300449</v>
      </c>
      <c r="F1841" s="80">
        <v>1271265.2424242441</v>
      </c>
      <c r="G1841" s="66">
        <v>3154.5587868838657</v>
      </c>
      <c r="H1841" s="67">
        <v>2</v>
      </c>
      <c r="I1841" s="68" t="s">
        <v>20</v>
      </c>
      <c r="J1841" s="69">
        <v>40</v>
      </c>
      <c r="K1841" s="70">
        <v>2</v>
      </c>
      <c r="L1841" s="68">
        <v>1</v>
      </c>
      <c r="M1841" s="68">
        <f>_xlfn.XLOOKUP(Survey!$F1841,sections[Start],sections[Test Section],,-1,1)</f>
        <v>6</v>
      </c>
      <c r="N1841" s="55">
        <f>_xlfn.XLOOKUP(Survey!$K1841,pipedata[ID],pipedata[WT])</f>
        <v>0.74</v>
      </c>
      <c r="O1841" s="56">
        <f>_xlfn.XLOOKUP(Survey!$K1841,pipedata[ID],pipedata[104%])</f>
        <v>2565.3333333333335</v>
      </c>
      <c r="P1841" s="57">
        <f t="shared" si="28"/>
        <v>1850</v>
      </c>
      <c r="Q1841" s="58">
        <f>_xlfn.MAXIFS(Survey!$G$2:$G$3647,Survey!$M$2:$M$3647,Survey!$M1841)-Survey!$G1841</f>
        <v>579.86585334455094</v>
      </c>
      <c r="R1841" s="59">
        <f>Survey!$P1841+(Survey!$Q1841*0.433)</f>
        <v>2101.0819144981906</v>
      </c>
    </row>
    <row r="1842" spans="1:18" x14ac:dyDescent="0.25">
      <c r="A1842" s="71" t="s">
        <v>17</v>
      </c>
      <c r="B1842" s="72" t="s">
        <v>22</v>
      </c>
      <c r="C1842" s="73" t="s">
        <v>19</v>
      </c>
      <c r="D1842" s="74">
        <v>240.592028300603</v>
      </c>
      <c r="E1842" s="81">
        <v>1300489</v>
      </c>
      <c r="F1842" s="82">
        <v>1271303.2121212138</v>
      </c>
      <c r="G1842" s="75">
        <v>3147.0183597702626</v>
      </c>
      <c r="H1842" s="76">
        <v>2</v>
      </c>
      <c r="I1842" s="54" t="s">
        <v>20</v>
      </c>
      <c r="J1842" s="77">
        <v>40</v>
      </c>
      <c r="K1842" s="78">
        <v>2</v>
      </c>
      <c r="L1842" s="54">
        <v>1</v>
      </c>
      <c r="M1842" s="54">
        <f>_xlfn.XLOOKUP(Survey!$F1842,sections[Start],sections[Test Section],,-1,1)</f>
        <v>6</v>
      </c>
      <c r="N1842" s="55">
        <f>_xlfn.XLOOKUP(Survey!$K1842,pipedata[ID],pipedata[WT])</f>
        <v>0.74</v>
      </c>
      <c r="O1842" s="56">
        <f>_xlfn.XLOOKUP(Survey!$K1842,pipedata[ID],pipedata[104%])</f>
        <v>2565.3333333333335</v>
      </c>
      <c r="P1842" s="57">
        <f t="shared" si="28"/>
        <v>1850</v>
      </c>
      <c r="Q1842" s="58">
        <f>_xlfn.MAXIFS(Survey!$G$2:$G$3647,Survey!$M$2:$M$3647,Survey!$M1842)-Survey!$G1842</f>
        <v>587.40628045815401</v>
      </c>
      <c r="R1842" s="59">
        <f>Survey!$P1842+(Survey!$Q1842*0.433)</f>
        <v>2104.3469194383806</v>
      </c>
    </row>
    <row r="1843" spans="1:18" x14ac:dyDescent="0.25">
      <c r="A1843" s="60" t="s">
        <v>17</v>
      </c>
      <c r="B1843" s="61" t="s">
        <v>22</v>
      </c>
      <c r="C1843" s="62" t="s">
        <v>19</v>
      </c>
      <c r="D1843" s="63">
        <v>240.60027295951895</v>
      </c>
      <c r="E1843" s="79">
        <v>1300529</v>
      </c>
      <c r="F1843" s="80">
        <v>1271341.1818181835</v>
      </c>
      <c r="G1843" s="66">
        <v>3139.7514383679554</v>
      </c>
      <c r="H1843" s="67">
        <v>2</v>
      </c>
      <c r="I1843" s="68" t="s">
        <v>20</v>
      </c>
      <c r="J1843" s="69">
        <v>40</v>
      </c>
      <c r="K1843" s="70">
        <v>2</v>
      </c>
      <c r="L1843" s="68">
        <v>1</v>
      </c>
      <c r="M1843" s="68">
        <f>_xlfn.XLOOKUP(Survey!$F1843,sections[Start],sections[Test Section],,-1,1)</f>
        <v>6</v>
      </c>
      <c r="N1843" s="55">
        <f>_xlfn.XLOOKUP(Survey!$K1843,pipedata[ID],pipedata[WT])</f>
        <v>0.74</v>
      </c>
      <c r="O1843" s="56">
        <f>_xlfn.XLOOKUP(Survey!$K1843,pipedata[ID],pipedata[104%])</f>
        <v>2565.3333333333335</v>
      </c>
      <c r="P1843" s="57">
        <f t="shared" si="28"/>
        <v>1850</v>
      </c>
      <c r="Q1843" s="58">
        <f>_xlfn.MAXIFS(Survey!$G$2:$G$3647,Survey!$M$2:$M$3647,Survey!$M1843)-Survey!$G1843</f>
        <v>594.67320186046118</v>
      </c>
      <c r="R1843" s="59">
        <f>Survey!$P1843+(Survey!$Q1843*0.433)</f>
        <v>2107.4934964055797</v>
      </c>
    </row>
    <row r="1844" spans="1:18" x14ac:dyDescent="0.25">
      <c r="A1844" s="71" t="s">
        <v>17</v>
      </c>
      <c r="B1844" s="72" t="s">
        <v>22</v>
      </c>
      <c r="C1844" s="73" t="s">
        <v>19</v>
      </c>
      <c r="D1844" s="74">
        <v>240.60708182477049</v>
      </c>
      <c r="E1844" s="81">
        <v>1300569</v>
      </c>
      <c r="F1844" s="82">
        <v>1271379.1515151532</v>
      </c>
      <c r="G1844" s="75">
        <v>3132.9949728322099</v>
      </c>
      <c r="H1844" s="76">
        <v>2</v>
      </c>
      <c r="I1844" s="54" t="s">
        <v>20</v>
      </c>
      <c r="J1844" s="77">
        <v>40</v>
      </c>
      <c r="K1844" s="78">
        <v>2</v>
      </c>
      <c r="L1844" s="54">
        <v>1</v>
      </c>
      <c r="M1844" s="54">
        <f>_xlfn.XLOOKUP(Survey!$F1844,sections[Start],sections[Test Section],,-1,1)</f>
        <v>6</v>
      </c>
      <c r="N1844" s="55">
        <f>_xlfn.XLOOKUP(Survey!$K1844,pipedata[ID],pipedata[WT])</f>
        <v>0.74</v>
      </c>
      <c r="O1844" s="56">
        <f>_xlfn.XLOOKUP(Survey!$K1844,pipedata[ID],pipedata[104%])</f>
        <v>2565.3333333333335</v>
      </c>
      <c r="P1844" s="57">
        <f t="shared" si="28"/>
        <v>1850</v>
      </c>
      <c r="Q1844" s="58">
        <f>_xlfn.MAXIFS(Survey!$G$2:$G$3647,Survey!$M$2:$M$3647,Survey!$M1844)-Survey!$G1844</f>
        <v>601.4296673962067</v>
      </c>
      <c r="R1844" s="59">
        <f>Survey!$P1844+(Survey!$Q1844*0.433)</f>
        <v>2110.4190459825577</v>
      </c>
    </row>
    <row r="1845" spans="1:18" x14ac:dyDescent="0.25">
      <c r="A1845" s="60" t="s">
        <v>17</v>
      </c>
      <c r="B1845" s="61" t="s">
        <v>22</v>
      </c>
      <c r="C1845" s="62" t="s">
        <v>19</v>
      </c>
      <c r="D1845" s="63">
        <v>240.61402663274882</v>
      </c>
      <c r="E1845" s="79">
        <v>1300609</v>
      </c>
      <c r="F1845" s="80">
        <v>1271417.121212123</v>
      </c>
      <c r="G1845" s="66">
        <v>3126.5918753767623</v>
      </c>
      <c r="H1845" s="67">
        <v>2</v>
      </c>
      <c r="I1845" s="68" t="s">
        <v>20</v>
      </c>
      <c r="J1845" s="69">
        <v>40</v>
      </c>
      <c r="K1845" s="70">
        <v>2</v>
      </c>
      <c r="L1845" s="68">
        <v>1</v>
      </c>
      <c r="M1845" s="68">
        <f>_xlfn.XLOOKUP(Survey!$F1845,sections[Start],sections[Test Section],,-1,1)</f>
        <v>6</v>
      </c>
      <c r="N1845" s="55">
        <f>_xlfn.XLOOKUP(Survey!$K1845,pipedata[ID],pipedata[WT])</f>
        <v>0.74</v>
      </c>
      <c r="O1845" s="56">
        <f>_xlfn.XLOOKUP(Survey!$K1845,pipedata[ID],pipedata[104%])</f>
        <v>2565.3333333333335</v>
      </c>
      <c r="P1845" s="57">
        <f t="shared" si="28"/>
        <v>1850</v>
      </c>
      <c r="Q1845" s="58">
        <f>_xlfn.MAXIFS(Survey!$G$2:$G$3647,Survey!$M$2:$M$3647,Survey!$M1845)-Survey!$G1845</f>
        <v>607.83276485165425</v>
      </c>
      <c r="R1845" s="59">
        <f>Survey!$P1845+(Survey!$Q1845*0.433)</f>
        <v>2113.1915871807664</v>
      </c>
    </row>
    <row r="1846" spans="1:18" x14ac:dyDescent="0.25">
      <c r="A1846" s="71" t="s">
        <v>17</v>
      </c>
      <c r="B1846" s="72" t="s">
        <v>22</v>
      </c>
      <c r="C1846" s="73" t="s">
        <v>19</v>
      </c>
      <c r="D1846" s="74">
        <v>240.62109802881275</v>
      </c>
      <c r="E1846" s="81">
        <v>1300649</v>
      </c>
      <c r="F1846" s="82">
        <v>1271455.0909090927</v>
      </c>
      <c r="G1846" s="75">
        <v>3118.0452307962441</v>
      </c>
      <c r="H1846" s="76">
        <v>2</v>
      </c>
      <c r="I1846" s="54" t="s">
        <v>20</v>
      </c>
      <c r="J1846" s="77">
        <v>40</v>
      </c>
      <c r="K1846" s="78">
        <v>2</v>
      </c>
      <c r="L1846" s="54">
        <v>1</v>
      </c>
      <c r="M1846" s="54">
        <f>_xlfn.XLOOKUP(Survey!$F1846,sections[Start],sections[Test Section],,-1,1)</f>
        <v>6</v>
      </c>
      <c r="N1846" s="55">
        <f>_xlfn.XLOOKUP(Survey!$K1846,pipedata[ID],pipedata[WT])</f>
        <v>0.74</v>
      </c>
      <c r="O1846" s="56">
        <f>_xlfn.XLOOKUP(Survey!$K1846,pipedata[ID],pipedata[104%])</f>
        <v>2565.3333333333335</v>
      </c>
      <c r="P1846" s="57">
        <f t="shared" si="28"/>
        <v>1850</v>
      </c>
      <c r="Q1846" s="58">
        <f>_xlfn.MAXIFS(Survey!$G$2:$G$3647,Survey!$M$2:$M$3647,Survey!$M1846)-Survey!$G1846</f>
        <v>616.37940943217245</v>
      </c>
      <c r="R1846" s="59">
        <f>Survey!$P1846+(Survey!$Q1846*0.433)</f>
        <v>2116.8922842841307</v>
      </c>
    </row>
    <row r="1847" spans="1:18" x14ac:dyDescent="0.25">
      <c r="A1847" s="60" t="s">
        <v>17</v>
      </c>
      <c r="B1847" s="61" t="s">
        <v>22</v>
      </c>
      <c r="C1847" s="62" t="s">
        <v>19</v>
      </c>
      <c r="D1847" s="63">
        <v>240.62943007297039</v>
      </c>
      <c r="E1847" s="79">
        <v>1300689</v>
      </c>
      <c r="F1847" s="80">
        <v>1271493.0606060624</v>
      </c>
      <c r="G1847" s="66">
        <v>3106.7657370388993</v>
      </c>
      <c r="H1847" s="67">
        <v>2</v>
      </c>
      <c r="I1847" s="68" t="s">
        <v>20</v>
      </c>
      <c r="J1847" s="69">
        <v>47</v>
      </c>
      <c r="K1847" s="70">
        <v>2</v>
      </c>
      <c r="L1847" s="68">
        <v>1</v>
      </c>
      <c r="M1847" s="68">
        <f>_xlfn.XLOOKUP(Survey!$F1847,sections[Start],sections[Test Section],,-1,1)</f>
        <v>6</v>
      </c>
      <c r="N1847" s="55">
        <f>_xlfn.XLOOKUP(Survey!$K1847,pipedata[ID],pipedata[WT])</f>
        <v>0.74</v>
      </c>
      <c r="O1847" s="56">
        <f>_xlfn.XLOOKUP(Survey!$K1847,pipedata[ID],pipedata[104%])</f>
        <v>2565.3333333333335</v>
      </c>
      <c r="P1847" s="57">
        <f t="shared" si="28"/>
        <v>1850</v>
      </c>
      <c r="Q1847" s="58">
        <f>_xlfn.MAXIFS(Survey!$G$2:$G$3647,Survey!$M$2:$M$3647,Survey!$M1847)-Survey!$G1847</f>
        <v>627.65890318951733</v>
      </c>
      <c r="R1847" s="59">
        <f>Survey!$P1847+(Survey!$Q1847*0.433)</f>
        <v>2121.7763050810609</v>
      </c>
    </row>
    <row r="1848" spans="1:18" x14ac:dyDescent="0.25">
      <c r="A1848" s="71" t="s">
        <v>17</v>
      </c>
      <c r="B1848" s="72" t="s">
        <v>22</v>
      </c>
      <c r="C1848" s="73" t="s">
        <v>19</v>
      </c>
      <c r="D1848" s="74">
        <v>240.63615863761294</v>
      </c>
      <c r="E1848" s="81">
        <v>1300736</v>
      </c>
      <c r="F1848" s="82">
        <v>1271569</v>
      </c>
      <c r="G1848" s="75">
        <v>3078.8926311763712</v>
      </c>
      <c r="H1848" s="76">
        <v>2</v>
      </c>
      <c r="I1848" s="54" t="s">
        <v>21</v>
      </c>
      <c r="J1848" s="77">
        <v>33</v>
      </c>
      <c r="K1848" s="78">
        <v>4</v>
      </c>
      <c r="L1848" s="54">
        <v>1</v>
      </c>
      <c r="M1848" s="54">
        <f>_xlfn.XLOOKUP(Survey!$F1848,sections[Start],sections[Test Section],,-1,1)</f>
        <v>6</v>
      </c>
      <c r="N1848" s="55">
        <f>_xlfn.XLOOKUP(Survey!$K1848,pipedata[ID],pipedata[WT])</f>
        <v>0.74</v>
      </c>
      <c r="O1848" s="56">
        <f>_xlfn.XLOOKUP(Survey!$K1848,pipedata[ID],pipedata[104%])</f>
        <v>2565.3333333333335</v>
      </c>
      <c r="P1848" s="57">
        <f t="shared" si="28"/>
        <v>1850</v>
      </c>
      <c r="Q1848" s="58">
        <f>_xlfn.MAXIFS(Survey!$G$2:$G$3647,Survey!$M$2:$M$3647,Survey!$M1848)-Survey!$G1848</f>
        <v>655.5320090520454</v>
      </c>
      <c r="R1848" s="59">
        <f>Survey!$P1848+(Survey!$Q1848*0.433)</f>
        <v>2133.8453599195354</v>
      </c>
    </row>
    <row r="1849" spans="1:18" x14ac:dyDescent="0.25">
      <c r="A1849" s="60" t="s">
        <v>17</v>
      </c>
      <c r="B1849" s="61" t="s">
        <v>22</v>
      </c>
      <c r="C1849" s="62" t="s">
        <v>19</v>
      </c>
      <c r="D1849" s="63">
        <v>240.64388470027006</v>
      </c>
      <c r="E1849" s="79">
        <v>1300769</v>
      </c>
      <c r="F1849" s="80">
        <v>1271609</v>
      </c>
      <c r="G1849" s="66">
        <v>3073.1459548565354</v>
      </c>
      <c r="H1849" s="67">
        <v>2</v>
      </c>
      <c r="I1849" s="68" t="s">
        <v>21</v>
      </c>
      <c r="J1849" s="69">
        <v>47</v>
      </c>
      <c r="K1849" s="70">
        <v>4</v>
      </c>
      <c r="L1849" s="68">
        <v>1</v>
      </c>
      <c r="M1849" s="68">
        <f>_xlfn.XLOOKUP(Survey!$F1849,sections[Start],sections[Test Section],,-1,1)</f>
        <v>6</v>
      </c>
      <c r="N1849" s="55">
        <f>_xlfn.XLOOKUP(Survey!$K1849,pipedata[ID],pipedata[WT])</f>
        <v>0.74</v>
      </c>
      <c r="O1849" s="56">
        <f>_xlfn.XLOOKUP(Survey!$K1849,pipedata[ID],pipedata[104%])</f>
        <v>2565.3333333333335</v>
      </c>
      <c r="P1849" s="57">
        <f t="shared" si="28"/>
        <v>1850</v>
      </c>
      <c r="Q1849" s="58">
        <f>_xlfn.MAXIFS(Survey!$G$2:$G$3647,Survey!$M$2:$M$3647,Survey!$M1849)-Survey!$G1849</f>
        <v>661.27868537188124</v>
      </c>
      <c r="R1849" s="59">
        <f>Survey!$P1849+(Survey!$Q1849*0.433)</f>
        <v>2136.3336707660246</v>
      </c>
    </row>
    <row r="1850" spans="1:18" x14ac:dyDescent="0.25">
      <c r="A1850" s="71" t="s">
        <v>17</v>
      </c>
      <c r="B1850" s="72" t="s">
        <v>22</v>
      </c>
      <c r="C1850" s="73" t="s">
        <v>19</v>
      </c>
      <c r="D1850" s="74">
        <v>240.65001851285336</v>
      </c>
      <c r="E1850" s="81">
        <v>1300816</v>
      </c>
      <c r="F1850" s="82">
        <v>1271649</v>
      </c>
      <c r="G1850" s="75">
        <v>3074.2260112494823</v>
      </c>
      <c r="H1850" s="76">
        <v>2</v>
      </c>
      <c r="I1850" s="54" t="s">
        <v>20</v>
      </c>
      <c r="J1850" s="77">
        <v>33</v>
      </c>
      <c r="K1850" s="78">
        <v>2</v>
      </c>
      <c r="L1850" s="54">
        <v>1</v>
      </c>
      <c r="M1850" s="54">
        <f>_xlfn.XLOOKUP(Survey!$F1850,sections[Start],sections[Test Section],,-1,1)</f>
        <v>6</v>
      </c>
      <c r="N1850" s="55">
        <f>_xlfn.XLOOKUP(Survey!$K1850,pipedata[ID],pipedata[WT])</f>
        <v>0.74</v>
      </c>
      <c r="O1850" s="56">
        <f>_xlfn.XLOOKUP(Survey!$K1850,pipedata[ID],pipedata[104%])</f>
        <v>2565.3333333333335</v>
      </c>
      <c r="P1850" s="57">
        <f t="shared" si="28"/>
        <v>1850</v>
      </c>
      <c r="Q1850" s="58">
        <f>_xlfn.MAXIFS(Survey!$G$2:$G$3647,Survey!$M$2:$M$3647,Survey!$M1850)-Survey!$G1850</f>
        <v>660.19862897893427</v>
      </c>
      <c r="R1850" s="59">
        <f>Survey!$P1850+(Survey!$Q1850*0.433)</f>
        <v>2135.8660063478783</v>
      </c>
    </row>
    <row r="1851" spans="1:18" x14ac:dyDescent="0.25">
      <c r="A1851" s="60" t="s">
        <v>17</v>
      </c>
      <c r="B1851" s="61" t="s">
        <v>22</v>
      </c>
      <c r="C1851" s="62" t="s">
        <v>19</v>
      </c>
      <c r="D1851" s="63">
        <v>240.65876661481192</v>
      </c>
      <c r="E1851" s="79">
        <v>1300849</v>
      </c>
      <c r="F1851" s="80">
        <v>1271687.142857143</v>
      </c>
      <c r="G1851" s="66">
        <v>3079.0834439890136</v>
      </c>
      <c r="H1851" s="67">
        <v>2</v>
      </c>
      <c r="I1851" s="68" t="s">
        <v>20</v>
      </c>
      <c r="J1851" s="69">
        <v>40</v>
      </c>
      <c r="K1851" s="70">
        <v>2</v>
      </c>
      <c r="L1851" s="68">
        <v>1</v>
      </c>
      <c r="M1851" s="68">
        <f>_xlfn.XLOOKUP(Survey!$F1851,sections[Start],sections[Test Section],,-1,1)</f>
        <v>6</v>
      </c>
      <c r="N1851" s="55">
        <f>_xlfn.XLOOKUP(Survey!$K1851,pipedata[ID],pipedata[WT])</f>
        <v>0.74</v>
      </c>
      <c r="O1851" s="56">
        <f>_xlfn.XLOOKUP(Survey!$K1851,pipedata[ID],pipedata[104%])</f>
        <v>2565.3333333333335</v>
      </c>
      <c r="P1851" s="57">
        <f t="shared" si="28"/>
        <v>1850</v>
      </c>
      <c r="Q1851" s="58">
        <f>_xlfn.MAXIFS(Survey!$G$2:$G$3647,Survey!$M$2:$M$3647,Survey!$M1851)-Survey!$G1851</f>
        <v>655.34119623940296</v>
      </c>
      <c r="R1851" s="59">
        <f>Survey!$P1851+(Survey!$Q1851*0.433)</f>
        <v>2133.7627379716614</v>
      </c>
    </row>
    <row r="1852" spans="1:18" x14ac:dyDescent="0.25">
      <c r="A1852" s="71" t="s">
        <v>17</v>
      </c>
      <c r="B1852" s="72" t="s">
        <v>22</v>
      </c>
      <c r="C1852" s="73" t="s">
        <v>19</v>
      </c>
      <c r="D1852" s="74">
        <v>240.66493361301312</v>
      </c>
      <c r="E1852" s="81">
        <v>1300889</v>
      </c>
      <c r="F1852" s="82">
        <v>1271725.2857142859</v>
      </c>
      <c r="G1852" s="75">
        <v>3100.9336615166312</v>
      </c>
      <c r="H1852" s="76">
        <v>2</v>
      </c>
      <c r="I1852" s="54" t="s">
        <v>20</v>
      </c>
      <c r="J1852" s="77">
        <v>40</v>
      </c>
      <c r="K1852" s="78">
        <v>2</v>
      </c>
      <c r="L1852" s="54">
        <v>1</v>
      </c>
      <c r="M1852" s="54">
        <f>_xlfn.XLOOKUP(Survey!$F1852,sections[Start],sections[Test Section],,-1,1)</f>
        <v>6</v>
      </c>
      <c r="N1852" s="55">
        <f>_xlfn.XLOOKUP(Survey!$K1852,pipedata[ID],pipedata[WT])</f>
        <v>0.74</v>
      </c>
      <c r="O1852" s="56">
        <f>_xlfn.XLOOKUP(Survey!$K1852,pipedata[ID],pipedata[104%])</f>
        <v>2565.3333333333335</v>
      </c>
      <c r="P1852" s="57">
        <f t="shared" si="28"/>
        <v>1850</v>
      </c>
      <c r="Q1852" s="58">
        <f>_xlfn.MAXIFS(Survey!$G$2:$G$3647,Survey!$M$2:$M$3647,Survey!$M1852)-Survey!$G1852</f>
        <v>633.49097871178537</v>
      </c>
      <c r="R1852" s="59">
        <f>Survey!$P1852+(Survey!$Q1852*0.433)</f>
        <v>2124.3015937822029</v>
      </c>
    </row>
    <row r="1853" spans="1:18" x14ac:dyDescent="0.25">
      <c r="A1853" s="60" t="s">
        <v>17</v>
      </c>
      <c r="B1853" s="61" t="s">
        <v>22</v>
      </c>
      <c r="C1853" s="62" t="s">
        <v>19</v>
      </c>
      <c r="D1853" s="63">
        <v>240.6718024698699</v>
      </c>
      <c r="E1853" s="79">
        <v>1300929</v>
      </c>
      <c r="F1853" s="80">
        <v>1271763.4285714289</v>
      </c>
      <c r="G1853" s="66">
        <v>3118.4519444171615</v>
      </c>
      <c r="H1853" s="67">
        <v>2</v>
      </c>
      <c r="I1853" s="68" t="s">
        <v>20</v>
      </c>
      <c r="J1853" s="69">
        <v>40</v>
      </c>
      <c r="K1853" s="70">
        <v>2</v>
      </c>
      <c r="L1853" s="68">
        <v>1</v>
      </c>
      <c r="M1853" s="68">
        <f>_xlfn.XLOOKUP(Survey!$F1853,sections[Start],sections[Test Section],,-1,1)</f>
        <v>6</v>
      </c>
      <c r="N1853" s="55">
        <f>_xlfn.XLOOKUP(Survey!$K1853,pipedata[ID],pipedata[WT])</f>
        <v>0.74</v>
      </c>
      <c r="O1853" s="56">
        <f>_xlfn.XLOOKUP(Survey!$K1853,pipedata[ID],pipedata[104%])</f>
        <v>2565.3333333333335</v>
      </c>
      <c r="P1853" s="57">
        <f t="shared" si="28"/>
        <v>1850</v>
      </c>
      <c r="Q1853" s="58">
        <f>_xlfn.MAXIFS(Survey!$G$2:$G$3647,Survey!$M$2:$M$3647,Survey!$M1853)-Survey!$G1853</f>
        <v>615.97269581125511</v>
      </c>
      <c r="R1853" s="59">
        <f>Survey!$P1853+(Survey!$Q1853*0.433)</f>
        <v>2116.7161772862737</v>
      </c>
    </row>
    <row r="1854" spans="1:18" x14ac:dyDescent="0.25">
      <c r="A1854" s="71" t="s">
        <v>17</v>
      </c>
      <c r="B1854" s="72" t="s">
        <v>22</v>
      </c>
      <c r="C1854" s="73" t="s">
        <v>19</v>
      </c>
      <c r="D1854" s="74">
        <v>240.6780849675647</v>
      </c>
      <c r="E1854" s="81">
        <v>1300969</v>
      </c>
      <c r="F1854" s="82">
        <v>1271801.5714285718</v>
      </c>
      <c r="G1854" s="75">
        <v>3137.2976530624514</v>
      </c>
      <c r="H1854" s="76">
        <v>2</v>
      </c>
      <c r="I1854" s="54" t="s">
        <v>20</v>
      </c>
      <c r="J1854" s="77">
        <v>40</v>
      </c>
      <c r="K1854" s="78">
        <v>2</v>
      </c>
      <c r="L1854" s="54">
        <v>1</v>
      </c>
      <c r="M1854" s="54">
        <f>_xlfn.XLOOKUP(Survey!$F1854,sections[Start],sections[Test Section],,-1,1)</f>
        <v>6</v>
      </c>
      <c r="N1854" s="55">
        <f>_xlfn.XLOOKUP(Survey!$K1854,pipedata[ID],pipedata[WT])</f>
        <v>0.74</v>
      </c>
      <c r="O1854" s="56">
        <f>_xlfn.XLOOKUP(Survey!$K1854,pipedata[ID],pipedata[104%])</f>
        <v>2565.3333333333335</v>
      </c>
      <c r="P1854" s="57">
        <f t="shared" si="28"/>
        <v>1850</v>
      </c>
      <c r="Q1854" s="58">
        <f>_xlfn.MAXIFS(Survey!$G$2:$G$3647,Survey!$M$2:$M$3647,Survey!$M1854)-Survey!$G1854</f>
        <v>597.12698716596515</v>
      </c>
      <c r="R1854" s="59">
        <f>Survey!$P1854+(Survey!$Q1854*0.433)</f>
        <v>2108.5559854428629</v>
      </c>
    </row>
    <row r="1855" spans="1:18" x14ac:dyDescent="0.25">
      <c r="A1855" s="60" t="s">
        <v>17</v>
      </c>
      <c r="B1855" s="61" t="s">
        <v>22</v>
      </c>
      <c r="C1855" s="62" t="s">
        <v>19</v>
      </c>
      <c r="D1855" s="63">
        <v>240.68434683276502</v>
      </c>
      <c r="E1855" s="79">
        <v>1301009</v>
      </c>
      <c r="F1855" s="80">
        <v>1271839.7142857148</v>
      </c>
      <c r="G1855" s="66">
        <v>3154.0942770718962</v>
      </c>
      <c r="H1855" s="67">
        <v>2</v>
      </c>
      <c r="I1855" s="68" t="s">
        <v>20</v>
      </c>
      <c r="J1855" s="69">
        <v>40</v>
      </c>
      <c r="K1855" s="70">
        <v>2</v>
      </c>
      <c r="L1855" s="68">
        <v>1</v>
      </c>
      <c r="M1855" s="68">
        <f>_xlfn.XLOOKUP(Survey!$F1855,sections[Start],sections[Test Section],,-1,1)</f>
        <v>6</v>
      </c>
      <c r="N1855" s="55">
        <f>_xlfn.XLOOKUP(Survey!$K1855,pipedata[ID],pipedata[WT])</f>
        <v>0.74</v>
      </c>
      <c r="O1855" s="56">
        <f>_xlfn.XLOOKUP(Survey!$K1855,pipedata[ID],pipedata[104%])</f>
        <v>2565.3333333333335</v>
      </c>
      <c r="P1855" s="57">
        <f t="shared" si="28"/>
        <v>1850</v>
      </c>
      <c r="Q1855" s="58">
        <f>_xlfn.MAXIFS(Survey!$G$2:$G$3647,Survey!$M$2:$M$3647,Survey!$M1855)-Survey!$G1855</f>
        <v>580.33036315652043</v>
      </c>
      <c r="R1855" s="59">
        <f>Survey!$P1855+(Survey!$Q1855*0.433)</f>
        <v>2101.2830472467735</v>
      </c>
    </row>
    <row r="1856" spans="1:18" x14ac:dyDescent="0.25">
      <c r="A1856" s="71" t="s">
        <v>17</v>
      </c>
      <c r="B1856" s="72" t="s">
        <v>22</v>
      </c>
      <c r="C1856" s="73" t="s">
        <v>19</v>
      </c>
      <c r="D1856" s="74">
        <v>240.6927097413618</v>
      </c>
      <c r="E1856" s="81">
        <v>1301049</v>
      </c>
      <c r="F1856" s="82">
        <v>1271877.8571428577</v>
      </c>
      <c r="G1856" s="75">
        <v>3172.8126021408625</v>
      </c>
      <c r="H1856" s="76">
        <v>2</v>
      </c>
      <c r="I1856" s="54" t="s">
        <v>20</v>
      </c>
      <c r="J1856" s="77">
        <v>40</v>
      </c>
      <c r="K1856" s="78">
        <v>2</v>
      </c>
      <c r="L1856" s="54">
        <v>1</v>
      </c>
      <c r="M1856" s="54">
        <f>_xlfn.XLOOKUP(Survey!$F1856,sections[Start],sections[Test Section],,-1,1)</f>
        <v>6</v>
      </c>
      <c r="N1856" s="55">
        <f>_xlfn.XLOOKUP(Survey!$K1856,pipedata[ID],pipedata[WT])</f>
        <v>0.74</v>
      </c>
      <c r="O1856" s="56">
        <f>_xlfn.XLOOKUP(Survey!$K1856,pipedata[ID],pipedata[104%])</f>
        <v>2565.3333333333335</v>
      </c>
      <c r="P1856" s="57">
        <f t="shared" si="28"/>
        <v>1850</v>
      </c>
      <c r="Q1856" s="58">
        <f>_xlfn.MAXIFS(Survey!$G$2:$G$3647,Survey!$M$2:$M$3647,Survey!$M1856)-Survey!$G1856</f>
        <v>561.61203808755408</v>
      </c>
      <c r="R1856" s="59">
        <f>Survey!$P1856+(Survey!$Q1856*0.433)</f>
        <v>2093.178012491911</v>
      </c>
    </row>
    <row r="1857" spans="1:18" x14ac:dyDescent="0.25">
      <c r="A1857" s="60" t="s">
        <v>17</v>
      </c>
      <c r="B1857" s="61" t="s">
        <v>22</v>
      </c>
      <c r="C1857" s="62" t="s">
        <v>19</v>
      </c>
      <c r="D1857" s="63">
        <v>240.69944046094517</v>
      </c>
      <c r="E1857" s="79">
        <v>1301089</v>
      </c>
      <c r="F1857" s="80">
        <v>1271916.0000000007</v>
      </c>
      <c r="G1857" s="66">
        <v>3189.3600161199215</v>
      </c>
      <c r="H1857" s="67">
        <v>2</v>
      </c>
      <c r="I1857" s="68" t="s">
        <v>20</v>
      </c>
      <c r="J1857" s="69">
        <v>40</v>
      </c>
      <c r="K1857" s="70">
        <v>2</v>
      </c>
      <c r="L1857" s="68">
        <v>1</v>
      </c>
      <c r="M1857" s="68">
        <f>_xlfn.XLOOKUP(Survey!$F1857,sections[Start],sections[Test Section],,-1,1)</f>
        <v>6</v>
      </c>
      <c r="N1857" s="55">
        <f>_xlfn.XLOOKUP(Survey!$K1857,pipedata[ID],pipedata[WT])</f>
        <v>0.74</v>
      </c>
      <c r="O1857" s="56">
        <f>_xlfn.XLOOKUP(Survey!$K1857,pipedata[ID],pipedata[104%])</f>
        <v>2565.3333333333335</v>
      </c>
      <c r="P1857" s="57">
        <f t="shared" si="28"/>
        <v>1850</v>
      </c>
      <c r="Q1857" s="58">
        <f>_xlfn.MAXIFS(Survey!$G$2:$G$3647,Survey!$M$2:$M$3647,Survey!$M1857)-Survey!$G1857</f>
        <v>545.06462410849508</v>
      </c>
      <c r="R1857" s="59">
        <f>Survey!$P1857+(Survey!$Q1857*0.433)</f>
        <v>2086.0129822389786</v>
      </c>
    </row>
    <row r="1858" spans="1:18" x14ac:dyDescent="0.25">
      <c r="A1858" s="71" t="s">
        <v>17</v>
      </c>
      <c r="B1858" s="72" t="s">
        <v>22</v>
      </c>
      <c r="C1858" s="73" t="s">
        <v>19</v>
      </c>
      <c r="D1858" s="74">
        <v>240.70557133500455</v>
      </c>
      <c r="E1858" s="81">
        <v>1301129</v>
      </c>
      <c r="F1858" s="82">
        <v>1271954.1428571437</v>
      </c>
      <c r="G1858" s="75">
        <v>3210.3522068511852</v>
      </c>
      <c r="H1858" s="76">
        <v>2</v>
      </c>
      <c r="I1858" s="54" t="s">
        <v>20</v>
      </c>
      <c r="J1858" s="77">
        <v>40</v>
      </c>
      <c r="K1858" s="78">
        <v>2</v>
      </c>
      <c r="L1858" s="54">
        <v>1</v>
      </c>
      <c r="M1858" s="54">
        <f>_xlfn.XLOOKUP(Survey!$F1858,sections[Start],sections[Test Section],,-1,1)</f>
        <v>6</v>
      </c>
      <c r="N1858" s="55">
        <f>_xlfn.XLOOKUP(Survey!$K1858,pipedata[ID],pipedata[WT])</f>
        <v>0.74</v>
      </c>
      <c r="O1858" s="56">
        <f>_xlfn.XLOOKUP(Survey!$K1858,pipedata[ID],pipedata[104%])</f>
        <v>2565.3333333333335</v>
      </c>
      <c r="P1858" s="57">
        <f t="shared" ref="P1858:P1921" si="29">IF(L1858=1,1850,IF(L1858=2,1850,2220))</f>
        <v>1850</v>
      </c>
      <c r="Q1858" s="58">
        <f>_xlfn.MAXIFS(Survey!$G$2:$G$3647,Survey!$M$2:$M$3647,Survey!$M1858)-Survey!$G1858</f>
        <v>524.07243337723139</v>
      </c>
      <c r="R1858" s="59">
        <f>Survey!$P1858+(Survey!$Q1858*0.433)</f>
        <v>2076.9233636523413</v>
      </c>
    </row>
    <row r="1859" spans="1:18" x14ac:dyDescent="0.25">
      <c r="A1859" s="60" t="s">
        <v>17</v>
      </c>
      <c r="B1859" s="61" t="s">
        <v>22</v>
      </c>
      <c r="C1859" s="62" t="s">
        <v>19</v>
      </c>
      <c r="D1859" s="63">
        <v>240.71152628570456</v>
      </c>
      <c r="E1859" s="79">
        <v>1301169</v>
      </c>
      <c r="F1859" s="80">
        <v>1271992.2857142866</v>
      </c>
      <c r="G1859" s="66">
        <v>3230.0481897704344</v>
      </c>
      <c r="H1859" s="67">
        <v>2</v>
      </c>
      <c r="I1859" s="68" t="s">
        <v>20</v>
      </c>
      <c r="J1859" s="69">
        <v>40</v>
      </c>
      <c r="K1859" s="70">
        <v>2</v>
      </c>
      <c r="L1859" s="68">
        <v>1</v>
      </c>
      <c r="M1859" s="68">
        <f>_xlfn.XLOOKUP(Survey!$F1859,sections[Start],sections[Test Section],,-1,1)</f>
        <v>6</v>
      </c>
      <c r="N1859" s="55">
        <f>_xlfn.XLOOKUP(Survey!$K1859,pipedata[ID],pipedata[WT])</f>
        <v>0.74</v>
      </c>
      <c r="O1859" s="56">
        <f>_xlfn.XLOOKUP(Survey!$K1859,pipedata[ID],pipedata[104%])</f>
        <v>2565.3333333333335</v>
      </c>
      <c r="P1859" s="57">
        <f t="shared" si="29"/>
        <v>1850</v>
      </c>
      <c r="Q1859" s="58">
        <f>_xlfn.MAXIFS(Survey!$G$2:$G$3647,Survey!$M$2:$M$3647,Survey!$M1859)-Survey!$G1859</f>
        <v>504.37645045798217</v>
      </c>
      <c r="R1859" s="59">
        <f>Survey!$P1859+(Survey!$Q1859*0.433)</f>
        <v>2068.3950030483061</v>
      </c>
    </row>
    <row r="1860" spans="1:18" x14ac:dyDescent="0.25">
      <c r="A1860" s="71" t="s">
        <v>17</v>
      </c>
      <c r="B1860" s="72" t="s">
        <v>22</v>
      </c>
      <c r="C1860" s="73" t="s">
        <v>19</v>
      </c>
      <c r="D1860" s="74">
        <v>240.71830780920774</v>
      </c>
      <c r="E1860" s="81">
        <v>1301209</v>
      </c>
      <c r="F1860" s="82">
        <v>1272030.4285714296</v>
      </c>
      <c r="G1860" s="75">
        <v>3255.3830591965434</v>
      </c>
      <c r="H1860" s="76">
        <v>2</v>
      </c>
      <c r="I1860" s="54" t="s">
        <v>20</v>
      </c>
      <c r="J1860" s="77">
        <v>40</v>
      </c>
      <c r="K1860" s="78">
        <v>2</v>
      </c>
      <c r="L1860" s="54">
        <v>1</v>
      </c>
      <c r="M1860" s="54">
        <f>_xlfn.XLOOKUP(Survey!$F1860,sections[Start],sections[Test Section],,-1,1)</f>
        <v>6</v>
      </c>
      <c r="N1860" s="55">
        <f>_xlfn.XLOOKUP(Survey!$K1860,pipedata[ID],pipedata[WT])</f>
        <v>0.74</v>
      </c>
      <c r="O1860" s="56">
        <f>_xlfn.XLOOKUP(Survey!$K1860,pipedata[ID],pipedata[104%])</f>
        <v>2565.3333333333335</v>
      </c>
      <c r="P1860" s="57">
        <f t="shared" si="29"/>
        <v>1850</v>
      </c>
      <c r="Q1860" s="58">
        <f>_xlfn.MAXIFS(Survey!$G$2:$G$3647,Survey!$M$2:$M$3647,Survey!$M1860)-Survey!$G1860</f>
        <v>479.04158103187319</v>
      </c>
      <c r="R1860" s="59">
        <f>Survey!$P1860+(Survey!$Q1860*0.433)</f>
        <v>2057.4250045868012</v>
      </c>
    </row>
    <row r="1861" spans="1:18" x14ac:dyDescent="0.25">
      <c r="A1861" s="60" t="s">
        <v>17</v>
      </c>
      <c r="B1861" s="61" t="s">
        <v>22</v>
      </c>
      <c r="C1861" s="62" t="s">
        <v>19</v>
      </c>
      <c r="D1861" s="63">
        <v>240.72520445460478</v>
      </c>
      <c r="E1861" s="79">
        <v>1301249</v>
      </c>
      <c r="F1861" s="80">
        <v>1272068.5714285725</v>
      </c>
      <c r="G1861" s="66">
        <v>3271.7717896703712</v>
      </c>
      <c r="H1861" s="67">
        <v>2</v>
      </c>
      <c r="I1861" s="68" t="s">
        <v>20</v>
      </c>
      <c r="J1861" s="69">
        <v>40</v>
      </c>
      <c r="K1861" s="70">
        <v>2</v>
      </c>
      <c r="L1861" s="68">
        <v>1</v>
      </c>
      <c r="M1861" s="68">
        <f>_xlfn.XLOOKUP(Survey!$F1861,sections[Start],sections[Test Section],,-1,1)</f>
        <v>6</v>
      </c>
      <c r="N1861" s="55">
        <f>_xlfn.XLOOKUP(Survey!$K1861,pipedata[ID],pipedata[WT])</f>
        <v>0.74</v>
      </c>
      <c r="O1861" s="56">
        <f>_xlfn.XLOOKUP(Survey!$K1861,pipedata[ID],pipedata[104%])</f>
        <v>2565.3333333333335</v>
      </c>
      <c r="P1861" s="57">
        <f t="shared" si="29"/>
        <v>1850</v>
      </c>
      <c r="Q1861" s="58">
        <f>_xlfn.MAXIFS(Survey!$G$2:$G$3647,Survey!$M$2:$M$3647,Survey!$M1861)-Survey!$G1861</f>
        <v>462.65285055804543</v>
      </c>
      <c r="R1861" s="59">
        <f>Survey!$P1861+(Survey!$Q1861*0.433)</f>
        <v>2050.3286842916336</v>
      </c>
    </row>
    <row r="1862" spans="1:18" x14ac:dyDescent="0.25">
      <c r="A1862" s="71" t="s">
        <v>17</v>
      </c>
      <c r="B1862" s="72" t="s">
        <v>22</v>
      </c>
      <c r="C1862" s="73" t="s">
        <v>19</v>
      </c>
      <c r="D1862" s="74">
        <v>240.73243355719657</v>
      </c>
      <c r="E1862" s="81">
        <v>1301289</v>
      </c>
      <c r="F1862" s="82">
        <v>1272106.7142857155</v>
      </c>
      <c r="G1862" s="75">
        <v>3287.4138492795719</v>
      </c>
      <c r="H1862" s="76">
        <v>2</v>
      </c>
      <c r="I1862" s="54" t="s">
        <v>20</v>
      </c>
      <c r="J1862" s="77">
        <v>40</v>
      </c>
      <c r="K1862" s="78">
        <v>2</v>
      </c>
      <c r="L1862" s="54">
        <v>1</v>
      </c>
      <c r="M1862" s="54">
        <f>_xlfn.XLOOKUP(Survey!$F1862,sections[Start],sections[Test Section],,-1,1)</f>
        <v>6</v>
      </c>
      <c r="N1862" s="55">
        <f>_xlfn.XLOOKUP(Survey!$K1862,pipedata[ID],pipedata[WT])</f>
        <v>0.74</v>
      </c>
      <c r="O1862" s="56">
        <f>_xlfn.XLOOKUP(Survey!$K1862,pipedata[ID],pipedata[104%])</f>
        <v>2565.3333333333335</v>
      </c>
      <c r="P1862" s="57">
        <f t="shared" si="29"/>
        <v>1850</v>
      </c>
      <c r="Q1862" s="58">
        <f>_xlfn.MAXIFS(Survey!$G$2:$G$3647,Survey!$M$2:$M$3647,Survey!$M1862)-Survey!$G1862</f>
        <v>447.01079094884471</v>
      </c>
      <c r="R1862" s="59">
        <f>Survey!$P1862+(Survey!$Q1862*0.433)</f>
        <v>2043.5556724808498</v>
      </c>
    </row>
    <row r="1863" spans="1:18" x14ac:dyDescent="0.25">
      <c r="A1863" s="60" t="s">
        <v>17</v>
      </c>
      <c r="B1863" s="61" t="s">
        <v>22</v>
      </c>
      <c r="C1863" s="62" t="s">
        <v>19</v>
      </c>
      <c r="D1863" s="63">
        <v>240.73870573864423</v>
      </c>
      <c r="E1863" s="79">
        <v>1301329</v>
      </c>
      <c r="F1863" s="80">
        <v>1272144.8571428584</v>
      </c>
      <c r="G1863" s="66">
        <v>3305.3552655812005</v>
      </c>
      <c r="H1863" s="67">
        <v>2</v>
      </c>
      <c r="I1863" s="68" t="s">
        <v>20</v>
      </c>
      <c r="J1863" s="69">
        <v>40</v>
      </c>
      <c r="K1863" s="70">
        <v>2</v>
      </c>
      <c r="L1863" s="68">
        <v>1</v>
      </c>
      <c r="M1863" s="68">
        <f>_xlfn.XLOOKUP(Survey!$F1863,sections[Start],sections[Test Section],,-1,1)</f>
        <v>6</v>
      </c>
      <c r="N1863" s="55">
        <f>_xlfn.XLOOKUP(Survey!$K1863,pipedata[ID],pipedata[WT])</f>
        <v>0.74</v>
      </c>
      <c r="O1863" s="56">
        <f>_xlfn.XLOOKUP(Survey!$K1863,pipedata[ID],pipedata[104%])</f>
        <v>2565.3333333333335</v>
      </c>
      <c r="P1863" s="57">
        <f t="shared" si="29"/>
        <v>1850</v>
      </c>
      <c r="Q1863" s="58">
        <f>_xlfn.MAXIFS(Survey!$G$2:$G$3647,Survey!$M$2:$M$3647,Survey!$M1863)-Survey!$G1863</f>
        <v>429.06937464721614</v>
      </c>
      <c r="R1863" s="59">
        <f>Survey!$P1863+(Survey!$Q1863*0.433)</f>
        <v>2035.7870392222446</v>
      </c>
    </row>
    <row r="1864" spans="1:18" x14ac:dyDescent="0.25">
      <c r="A1864" s="71" t="s">
        <v>17</v>
      </c>
      <c r="B1864" s="72" t="s">
        <v>22</v>
      </c>
      <c r="C1864" s="73" t="s">
        <v>19</v>
      </c>
      <c r="D1864" s="74">
        <v>240.7451377465911</v>
      </c>
      <c r="E1864" s="81">
        <v>1301369</v>
      </c>
      <c r="F1864" s="82">
        <v>1272183.0000000014</v>
      </c>
      <c r="G1864" s="75">
        <v>3321.5893781201507</v>
      </c>
      <c r="H1864" s="76">
        <v>2</v>
      </c>
      <c r="I1864" s="54" t="s">
        <v>20</v>
      </c>
      <c r="J1864" s="77">
        <v>40</v>
      </c>
      <c r="K1864" s="78">
        <v>2</v>
      </c>
      <c r="L1864" s="54">
        <v>1</v>
      </c>
      <c r="M1864" s="54">
        <f>_xlfn.XLOOKUP(Survey!$F1864,sections[Start],sections[Test Section],,-1,1)</f>
        <v>6</v>
      </c>
      <c r="N1864" s="55">
        <f>_xlfn.XLOOKUP(Survey!$K1864,pipedata[ID],pipedata[WT])</f>
        <v>0.74</v>
      </c>
      <c r="O1864" s="56">
        <f>_xlfn.XLOOKUP(Survey!$K1864,pipedata[ID],pipedata[104%])</f>
        <v>2565.3333333333335</v>
      </c>
      <c r="P1864" s="57">
        <f t="shared" si="29"/>
        <v>1850</v>
      </c>
      <c r="Q1864" s="58">
        <f>_xlfn.MAXIFS(Survey!$G$2:$G$3647,Survey!$M$2:$M$3647,Survey!$M1864)-Survey!$G1864</f>
        <v>412.83526210826585</v>
      </c>
      <c r="R1864" s="59">
        <f>Survey!$P1864+(Survey!$Q1864*0.433)</f>
        <v>2028.757668492879</v>
      </c>
    </row>
    <row r="1865" spans="1:18" x14ac:dyDescent="0.25">
      <c r="A1865" s="60" t="s">
        <v>17</v>
      </c>
      <c r="B1865" s="61" t="s">
        <v>22</v>
      </c>
      <c r="C1865" s="62" t="s">
        <v>19</v>
      </c>
      <c r="D1865" s="63">
        <v>240.75334082868869</v>
      </c>
      <c r="E1865" s="79">
        <v>1301409</v>
      </c>
      <c r="F1865" s="80">
        <v>1272221.1428571444</v>
      </c>
      <c r="G1865" s="66">
        <v>3334.9002082094212</v>
      </c>
      <c r="H1865" s="67">
        <v>2</v>
      </c>
      <c r="I1865" s="68" t="s">
        <v>20</v>
      </c>
      <c r="J1865" s="69">
        <v>40</v>
      </c>
      <c r="K1865" s="70">
        <v>2</v>
      </c>
      <c r="L1865" s="68">
        <v>1</v>
      </c>
      <c r="M1865" s="68">
        <f>_xlfn.XLOOKUP(Survey!$F1865,sections[Start],sections[Test Section],,-1,1)</f>
        <v>6</v>
      </c>
      <c r="N1865" s="55">
        <f>_xlfn.XLOOKUP(Survey!$K1865,pipedata[ID],pipedata[WT])</f>
        <v>0.74</v>
      </c>
      <c r="O1865" s="56">
        <f>_xlfn.XLOOKUP(Survey!$K1865,pipedata[ID],pipedata[104%])</f>
        <v>2565.3333333333335</v>
      </c>
      <c r="P1865" s="57">
        <f t="shared" si="29"/>
        <v>1850</v>
      </c>
      <c r="Q1865" s="58">
        <f>_xlfn.MAXIFS(Survey!$G$2:$G$3647,Survey!$M$2:$M$3647,Survey!$M1865)-Survey!$G1865</f>
        <v>399.52443201899541</v>
      </c>
      <c r="R1865" s="59">
        <f>Survey!$P1865+(Survey!$Q1865*0.433)</f>
        <v>2022.9940790642249</v>
      </c>
    </row>
    <row r="1866" spans="1:18" x14ac:dyDescent="0.25">
      <c r="A1866" s="71" t="s">
        <v>17</v>
      </c>
      <c r="B1866" s="72" t="s">
        <v>22</v>
      </c>
      <c r="C1866" s="73" t="s">
        <v>19</v>
      </c>
      <c r="D1866" s="74">
        <v>240.76054406988627</v>
      </c>
      <c r="E1866" s="81">
        <v>1301449</v>
      </c>
      <c r="F1866" s="82">
        <v>1272259.2857142873</v>
      </c>
      <c r="G1866" s="75">
        <v>3346.5702255826973</v>
      </c>
      <c r="H1866" s="76">
        <v>2</v>
      </c>
      <c r="I1866" s="54" t="s">
        <v>20</v>
      </c>
      <c r="J1866" s="77">
        <v>40</v>
      </c>
      <c r="K1866" s="78">
        <v>2</v>
      </c>
      <c r="L1866" s="54">
        <v>1</v>
      </c>
      <c r="M1866" s="54">
        <f>_xlfn.XLOOKUP(Survey!$F1866,sections[Start],sections[Test Section],,-1,1)</f>
        <v>6</v>
      </c>
      <c r="N1866" s="55">
        <f>_xlfn.XLOOKUP(Survey!$K1866,pipedata[ID],pipedata[WT])</f>
        <v>0.74</v>
      </c>
      <c r="O1866" s="56">
        <f>_xlfn.XLOOKUP(Survey!$K1866,pipedata[ID],pipedata[104%])</f>
        <v>2565.3333333333335</v>
      </c>
      <c r="P1866" s="57">
        <f t="shared" si="29"/>
        <v>1850</v>
      </c>
      <c r="Q1866" s="58">
        <f>_xlfn.MAXIFS(Survey!$G$2:$G$3647,Survey!$M$2:$M$3647,Survey!$M1866)-Survey!$G1866</f>
        <v>387.85441464571932</v>
      </c>
      <c r="R1866" s="59">
        <f>Survey!$P1866+(Survey!$Q1866*0.433)</f>
        <v>2017.9409615415964</v>
      </c>
    </row>
    <row r="1867" spans="1:18" x14ac:dyDescent="0.25">
      <c r="A1867" s="60" t="s">
        <v>17</v>
      </c>
      <c r="B1867" s="61" t="s">
        <v>22</v>
      </c>
      <c r="C1867" s="62" t="s">
        <v>19</v>
      </c>
      <c r="D1867" s="63">
        <v>240.76797591873301</v>
      </c>
      <c r="E1867" s="79">
        <v>1301489</v>
      </c>
      <c r="F1867" s="80">
        <v>1272297.4285714303</v>
      </c>
      <c r="G1867" s="66">
        <v>3361.0955551806373</v>
      </c>
      <c r="H1867" s="67">
        <v>2</v>
      </c>
      <c r="I1867" s="68" t="s">
        <v>20</v>
      </c>
      <c r="J1867" s="69">
        <v>40</v>
      </c>
      <c r="K1867" s="70">
        <v>2</v>
      </c>
      <c r="L1867" s="68">
        <v>1</v>
      </c>
      <c r="M1867" s="68">
        <f>_xlfn.XLOOKUP(Survey!$F1867,sections[Start],sections[Test Section],,-1,1)</f>
        <v>6</v>
      </c>
      <c r="N1867" s="55">
        <f>_xlfn.XLOOKUP(Survey!$K1867,pipedata[ID],pipedata[WT])</f>
        <v>0.74</v>
      </c>
      <c r="O1867" s="56">
        <f>_xlfn.XLOOKUP(Survey!$K1867,pipedata[ID],pipedata[104%])</f>
        <v>2565.3333333333335</v>
      </c>
      <c r="P1867" s="57">
        <f t="shared" si="29"/>
        <v>1850</v>
      </c>
      <c r="Q1867" s="58">
        <f>_xlfn.MAXIFS(Survey!$G$2:$G$3647,Survey!$M$2:$M$3647,Survey!$M1867)-Survey!$G1867</f>
        <v>373.32908504777924</v>
      </c>
      <c r="R1867" s="59">
        <f>Survey!$P1867+(Survey!$Q1867*0.433)</f>
        <v>2011.6514938256885</v>
      </c>
    </row>
    <row r="1868" spans="1:18" x14ac:dyDescent="0.25">
      <c r="A1868" s="71" t="s">
        <v>17</v>
      </c>
      <c r="B1868" s="72" t="s">
        <v>22</v>
      </c>
      <c r="C1868" s="73" t="s">
        <v>19</v>
      </c>
      <c r="D1868" s="74">
        <v>240.77424810018061</v>
      </c>
      <c r="E1868" s="81">
        <v>1301529</v>
      </c>
      <c r="F1868" s="82">
        <v>1272335.5714285732</v>
      </c>
      <c r="G1868" s="75">
        <v>3371.4192571355288</v>
      </c>
      <c r="H1868" s="76">
        <v>2</v>
      </c>
      <c r="I1868" s="54" t="s">
        <v>20</v>
      </c>
      <c r="J1868" s="77">
        <v>40</v>
      </c>
      <c r="K1868" s="78">
        <v>2</v>
      </c>
      <c r="L1868" s="54">
        <v>1</v>
      </c>
      <c r="M1868" s="54">
        <f>_xlfn.XLOOKUP(Survey!$F1868,sections[Start],sections[Test Section],,-1,1)</f>
        <v>6</v>
      </c>
      <c r="N1868" s="55">
        <f>_xlfn.XLOOKUP(Survey!$K1868,pipedata[ID],pipedata[WT])</f>
        <v>0.74</v>
      </c>
      <c r="O1868" s="56">
        <f>_xlfn.XLOOKUP(Survey!$K1868,pipedata[ID],pipedata[104%])</f>
        <v>2565.3333333333335</v>
      </c>
      <c r="P1868" s="57">
        <f t="shared" si="29"/>
        <v>1850</v>
      </c>
      <c r="Q1868" s="58">
        <f>_xlfn.MAXIFS(Survey!$G$2:$G$3647,Survey!$M$2:$M$3647,Survey!$M1868)-Survey!$G1868</f>
        <v>363.00538309288777</v>
      </c>
      <c r="R1868" s="59">
        <f>Survey!$P1868+(Survey!$Q1868*0.433)</f>
        <v>2007.1813308792205</v>
      </c>
    </row>
    <row r="1869" spans="1:18" x14ac:dyDescent="0.25">
      <c r="A1869" s="60" t="s">
        <v>17</v>
      </c>
      <c r="B1869" s="61" t="s">
        <v>22</v>
      </c>
      <c r="C1869" s="62" t="s">
        <v>19</v>
      </c>
      <c r="D1869" s="63">
        <v>240.78126825741651</v>
      </c>
      <c r="E1869" s="79">
        <v>1301569</v>
      </c>
      <c r="F1869" s="80">
        <v>1272373.7142857162</v>
      </c>
      <c r="G1869" s="66">
        <v>3380.1932430734428</v>
      </c>
      <c r="H1869" s="67">
        <v>2</v>
      </c>
      <c r="I1869" s="68" t="s">
        <v>20</v>
      </c>
      <c r="J1869" s="69">
        <v>40</v>
      </c>
      <c r="K1869" s="70">
        <v>2</v>
      </c>
      <c r="L1869" s="68">
        <v>1</v>
      </c>
      <c r="M1869" s="68">
        <f>_xlfn.XLOOKUP(Survey!$F1869,sections[Start],sections[Test Section],,-1,1)</f>
        <v>6</v>
      </c>
      <c r="N1869" s="55">
        <f>_xlfn.XLOOKUP(Survey!$K1869,pipedata[ID],pipedata[WT])</f>
        <v>0.74</v>
      </c>
      <c r="O1869" s="56">
        <f>_xlfn.XLOOKUP(Survey!$K1869,pipedata[ID],pipedata[104%])</f>
        <v>2565.3333333333335</v>
      </c>
      <c r="P1869" s="57">
        <f t="shared" si="29"/>
        <v>1850</v>
      </c>
      <c r="Q1869" s="58">
        <f>_xlfn.MAXIFS(Survey!$G$2:$G$3647,Survey!$M$2:$M$3647,Survey!$M1869)-Survey!$G1869</f>
        <v>354.23139715497382</v>
      </c>
      <c r="R1869" s="59">
        <f>Survey!$P1869+(Survey!$Q1869*0.433)</f>
        <v>2003.3821949681037</v>
      </c>
    </row>
    <row r="1870" spans="1:18" x14ac:dyDescent="0.25">
      <c r="A1870" s="71" t="s">
        <v>17</v>
      </c>
      <c r="B1870" s="72" t="s">
        <v>22</v>
      </c>
      <c r="C1870" s="73" t="s">
        <v>19</v>
      </c>
      <c r="D1870" s="74">
        <v>240.78936743528985</v>
      </c>
      <c r="E1870" s="81">
        <v>1301609</v>
      </c>
      <c r="F1870" s="82">
        <v>1272411.8571428591</v>
      </c>
      <c r="G1870" s="75">
        <v>3388.1690186655096</v>
      </c>
      <c r="H1870" s="76">
        <v>2</v>
      </c>
      <c r="I1870" s="54" t="s">
        <v>20</v>
      </c>
      <c r="J1870" s="77">
        <v>40</v>
      </c>
      <c r="K1870" s="78">
        <v>2</v>
      </c>
      <c r="L1870" s="54">
        <v>1</v>
      </c>
      <c r="M1870" s="54">
        <f>_xlfn.XLOOKUP(Survey!$F1870,sections[Start],sections[Test Section],,-1,1)</f>
        <v>6</v>
      </c>
      <c r="N1870" s="55">
        <f>_xlfn.XLOOKUP(Survey!$K1870,pipedata[ID],pipedata[WT])</f>
        <v>0.74</v>
      </c>
      <c r="O1870" s="56">
        <f>_xlfn.XLOOKUP(Survey!$K1870,pipedata[ID],pipedata[104%])</f>
        <v>2565.3333333333335</v>
      </c>
      <c r="P1870" s="57">
        <f t="shared" si="29"/>
        <v>1850</v>
      </c>
      <c r="Q1870" s="58">
        <f>_xlfn.MAXIFS(Survey!$G$2:$G$3647,Survey!$M$2:$M$3647,Survey!$M1870)-Survey!$G1870</f>
        <v>346.25562156290698</v>
      </c>
      <c r="R1870" s="59">
        <f>Survey!$P1870+(Survey!$Q1870*0.433)</f>
        <v>1999.9286841367386</v>
      </c>
    </row>
    <row r="1871" spans="1:18" x14ac:dyDescent="0.25">
      <c r="A1871" s="60" t="s">
        <v>17</v>
      </c>
      <c r="B1871" s="61" t="s">
        <v>22</v>
      </c>
      <c r="C1871" s="62" t="s">
        <v>19</v>
      </c>
      <c r="D1871" s="63">
        <v>240.79594118538026</v>
      </c>
      <c r="E1871" s="79">
        <v>1301649</v>
      </c>
      <c r="F1871" s="80">
        <v>1272450.0000000021</v>
      </c>
      <c r="G1871" s="66">
        <v>3393.150768535324</v>
      </c>
      <c r="H1871" s="67">
        <v>2</v>
      </c>
      <c r="I1871" s="68" t="s">
        <v>20</v>
      </c>
      <c r="J1871" s="69">
        <v>40</v>
      </c>
      <c r="K1871" s="70">
        <v>2</v>
      </c>
      <c r="L1871" s="68">
        <v>1</v>
      </c>
      <c r="M1871" s="68">
        <f>_xlfn.XLOOKUP(Survey!$F1871,sections[Start],sections[Test Section],,-1,1)</f>
        <v>6</v>
      </c>
      <c r="N1871" s="55">
        <f>_xlfn.XLOOKUP(Survey!$K1871,pipedata[ID],pipedata[WT])</f>
        <v>0.74</v>
      </c>
      <c r="O1871" s="56">
        <f>_xlfn.XLOOKUP(Survey!$K1871,pipedata[ID],pipedata[104%])</f>
        <v>2565.3333333333335</v>
      </c>
      <c r="P1871" s="57">
        <f t="shared" si="29"/>
        <v>1850</v>
      </c>
      <c r="Q1871" s="58">
        <f>_xlfn.MAXIFS(Survey!$G$2:$G$3647,Survey!$M$2:$M$3647,Survey!$M1871)-Survey!$G1871</f>
        <v>341.27387169309259</v>
      </c>
      <c r="R1871" s="59">
        <f>Survey!$P1871+(Survey!$Q1871*0.433)</f>
        <v>1997.7715864431091</v>
      </c>
    </row>
    <row r="1872" spans="1:18" x14ac:dyDescent="0.25">
      <c r="A1872" s="71" t="s">
        <v>17</v>
      </c>
      <c r="B1872" s="72" t="s">
        <v>22</v>
      </c>
      <c r="C1872" s="73" t="s">
        <v>19</v>
      </c>
      <c r="D1872" s="74">
        <v>240.80454151650179</v>
      </c>
      <c r="E1872" s="81">
        <v>1301689</v>
      </c>
      <c r="F1872" s="82">
        <v>1272488.1428571451</v>
      </c>
      <c r="G1872" s="75">
        <v>3397.5832170720478</v>
      </c>
      <c r="H1872" s="76">
        <v>2</v>
      </c>
      <c r="I1872" s="54" t="s">
        <v>20</v>
      </c>
      <c r="J1872" s="77">
        <v>40</v>
      </c>
      <c r="K1872" s="78">
        <v>2</v>
      </c>
      <c r="L1872" s="54">
        <v>1</v>
      </c>
      <c r="M1872" s="54">
        <f>_xlfn.XLOOKUP(Survey!$F1872,sections[Start],sections[Test Section],,-1,1)</f>
        <v>6</v>
      </c>
      <c r="N1872" s="55">
        <f>_xlfn.XLOOKUP(Survey!$K1872,pipedata[ID],pipedata[WT])</f>
        <v>0.74</v>
      </c>
      <c r="O1872" s="56">
        <f>_xlfn.XLOOKUP(Survey!$K1872,pipedata[ID],pipedata[104%])</f>
        <v>2565.3333333333335</v>
      </c>
      <c r="P1872" s="57">
        <f t="shared" si="29"/>
        <v>1850</v>
      </c>
      <c r="Q1872" s="58">
        <f>_xlfn.MAXIFS(Survey!$G$2:$G$3647,Survey!$M$2:$M$3647,Survey!$M1872)-Survey!$G1872</f>
        <v>336.84142315636882</v>
      </c>
      <c r="R1872" s="59">
        <f>Survey!$P1872+(Survey!$Q1872*0.433)</f>
        <v>1995.8523362267076</v>
      </c>
    </row>
    <row r="1873" spans="1:18" x14ac:dyDescent="0.25">
      <c r="A1873" s="60" t="s">
        <v>17</v>
      </c>
      <c r="B1873" s="61" t="s">
        <v>22</v>
      </c>
      <c r="C1873" s="62" t="s">
        <v>19</v>
      </c>
      <c r="D1873" s="63">
        <v>240.81267071147767</v>
      </c>
      <c r="E1873" s="79">
        <v>1301729</v>
      </c>
      <c r="F1873" s="80">
        <v>1272526.285714288</v>
      </c>
      <c r="G1873" s="66">
        <v>3393.987537101455</v>
      </c>
      <c r="H1873" s="67">
        <v>2</v>
      </c>
      <c r="I1873" s="68" t="s">
        <v>20</v>
      </c>
      <c r="J1873" s="69">
        <v>40</v>
      </c>
      <c r="K1873" s="70">
        <v>2</v>
      </c>
      <c r="L1873" s="68">
        <v>1</v>
      </c>
      <c r="M1873" s="68">
        <f>_xlfn.XLOOKUP(Survey!$F1873,sections[Start],sections[Test Section],,-1,1)</f>
        <v>6</v>
      </c>
      <c r="N1873" s="55">
        <f>_xlfn.XLOOKUP(Survey!$K1873,pipedata[ID],pipedata[WT])</f>
        <v>0.74</v>
      </c>
      <c r="O1873" s="56">
        <f>_xlfn.XLOOKUP(Survey!$K1873,pipedata[ID],pipedata[104%])</f>
        <v>2565.3333333333335</v>
      </c>
      <c r="P1873" s="57">
        <f t="shared" si="29"/>
        <v>1850</v>
      </c>
      <c r="Q1873" s="58">
        <f>_xlfn.MAXIFS(Survey!$G$2:$G$3647,Survey!$M$2:$M$3647,Survey!$M1873)-Survey!$G1873</f>
        <v>340.43710312696157</v>
      </c>
      <c r="R1873" s="59">
        <f>Survey!$P1873+(Survey!$Q1873*0.433)</f>
        <v>1997.4092656539744</v>
      </c>
    </row>
    <row r="1874" spans="1:18" x14ac:dyDescent="0.25">
      <c r="A1874" s="71" t="s">
        <v>17</v>
      </c>
      <c r="B1874" s="72" t="s">
        <v>22</v>
      </c>
      <c r="C1874" s="73" t="s">
        <v>19</v>
      </c>
      <c r="D1874" s="74">
        <v>240.81970290525749</v>
      </c>
      <c r="E1874" s="81">
        <v>1301769</v>
      </c>
      <c r="F1874" s="82">
        <v>1272564.428571431</v>
      </c>
      <c r="G1874" s="75">
        <v>3386.8313607277946</v>
      </c>
      <c r="H1874" s="76">
        <v>2</v>
      </c>
      <c r="I1874" s="54" t="s">
        <v>20</v>
      </c>
      <c r="J1874" s="77">
        <v>40</v>
      </c>
      <c r="K1874" s="78">
        <v>2</v>
      </c>
      <c r="L1874" s="54">
        <v>1</v>
      </c>
      <c r="M1874" s="54">
        <f>_xlfn.XLOOKUP(Survey!$F1874,sections[Start],sections[Test Section],,-1,1)</f>
        <v>6</v>
      </c>
      <c r="N1874" s="55">
        <f>_xlfn.XLOOKUP(Survey!$K1874,pipedata[ID],pipedata[WT])</f>
        <v>0.74</v>
      </c>
      <c r="O1874" s="56">
        <f>_xlfn.XLOOKUP(Survey!$K1874,pipedata[ID],pipedata[104%])</f>
        <v>2565.3333333333335</v>
      </c>
      <c r="P1874" s="57">
        <f t="shared" si="29"/>
        <v>1850</v>
      </c>
      <c r="Q1874" s="58">
        <f>_xlfn.MAXIFS(Survey!$G$2:$G$3647,Survey!$M$2:$M$3647,Survey!$M1874)-Survey!$G1874</f>
        <v>347.59327950062197</v>
      </c>
      <c r="R1874" s="59">
        <f>Survey!$P1874+(Survey!$Q1874*0.433)</f>
        <v>2000.5078900237693</v>
      </c>
    </row>
    <row r="1875" spans="1:18" x14ac:dyDescent="0.25">
      <c r="A1875" s="60" t="s">
        <v>17</v>
      </c>
      <c r="B1875" s="61" t="s">
        <v>22</v>
      </c>
      <c r="C1875" s="62" t="s">
        <v>19</v>
      </c>
      <c r="D1875" s="63">
        <v>240.82673509903725</v>
      </c>
      <c r="E1875" s="79">
        <v>1301809</v>
      </c>
      <c r="F1875" s="80">
        <v>1272602.5714285739</v>
      </c>
      <c r="G1875" s="66">
        <v>3381.9984757303946</v>
      </c>
      <c r="H1875" s="67">
        <v>2</v>
      </c>
      <c r="I1875" s="68" t="s">
        <v>20</v>
      </c>
      <c r="J1875" s="69">
        <v>40</v>
      </c>
      <c r="K1875" s="70">
        <v>2</v>
      </c>
      <c r="L1875" s="68">
        <v>1</v>
      </c>
      <c r="M1875" s="68">
        <f>_xlfn.XLOOKUP(Survey!$F1875,sections[Start],sections[Test Section],,-1,1)</f>
        <v>6</v>
      </c>
      <c r="N1875" s="55">
        <f>_xlfn.XLOOKUP(Survey!$K1875,pipedata[ID],pipedata[WT])</f>
        <v>0.74</v>
      </c>
      <c r="O1875" s="56">
        <f>_xlfn.XLOOKUP(Survey!$K1875,pipedata[ID],pipedata[104%])</f>
        <v>2565.3333333333335</v>
      </c>
      <c r="P1875" s="57">
        <f t="shared" si="29"/>
        <v>1850</v>
      </c>
      <c r="Q1875" s="58">
        <f>_xlfn.MAXIFS(Survey!$G$2:$G$3647,Survey!$M$2:$M$3647,Survey!$M1875)-Survey!$G1875</f>
        <v>352.42616449802199</v>
      </c>
      <c r="R1875" s="59">
        <f>Survey!$P1875+(Survey!$Q1875*0.433)</f>
        <v>2002.6005292276436</v>
      </c>
    </row>
    <row r="1876" spans="1:18" x14ac:dyDescent="0.25">
      <c r="A1876" s="71" t="s">
        <v>17</v>
      </c>
      <c r="B1876" s="72" t="s">
        <v>22</v>
      </c>
      <c r="C1876" s="73" t="s">
        <v>19</v>
      </c>
      <c r="D1876" s="74">
        <v>240.83390532270036</v>
      </c>
      <c r="E1876" s="81">
        <v>1301849</v>
      </c>
      <c r="F1876" s="82">
        <v>1272640.7142857169</v>
      </c>
      <c r="G1876" s="75">
        <v>3379.1744218395279</v>
      </c>
      <c r="H1876" s="76">
        <v>2</v>
      </c>
      <c r="I1876" s="54" t="s">
        <v>20</v>
      </c>
      <c r="J1876" s="77">
        <v>40</v>
      </c>
      <c r="K1876" s="78">
        <v>2</v>
      </c>
      <c r="L1876" s="54">
        <v>1</v>
      </c>
      <c r="M1876" s="54">
        <f>_xlfn.XLOOKUP(Survey!$F1876,sections[Start],sections[Test Section],,-1,1)</f>
        <v>6</v>
      </c>
      <c r="N1876" s="55">
        <f>_xlfn.XLOOKUP(Survey!$K1876,pipedata[ID],pipedata[WT])</f>
        <v>0.74</v>
      </c>
      <c r="O1876" s="56">
        <f>_xlfn.XLOOKUP(Survey!$K1876,pipedata[ID],pipedata[104%])</f>
        <v>2565.3333333333335</v>
      </c>
      <c r="P1876" s="57">
        <f t="shared" si="29"/>
        <v>1850</v>
      </c>
      <c r="Q1876" s="58">
        <f>_xlfn.MAXIFS(Survey!$G$2:$G$3647,Survey!$M$2:$M$3647,Survey!$M1876)-Survey!$G1876</f>
        <v>355.2502183888887</v>
      </c>
      <c r="R1876" s="59">
        <f>Survey!$P1876+(Survey!$Q1876*0.433)</f>
        <v>2003.8233445623887</v>
      </c>
    </row>
    <row r="1877" spans="1:18" x14ac:dyDescent="0.25">
      <c r="A1877" s="60" t="s">
        <v>17</v>
      </c>
      <c r="B1877" s="61" t="s">
        <v>22</v>
      </c>
      <c r="C1877" s="62" t="s">
        <v>19</v>
      </c>
      <c r="D1877" s="63">
        <v>240.84255753504266</v>
      </c>
      <c r="E1877" s="79">
        <v>1301889</v>
      </c>
      <c r="F1877" s="80">
        <v>1272678.8571428598</v>
      </c>
      <c r="G1877" s="66">
        <v>3377.9294011360498</v>
      </c>
      <c r="H1877" s="67">
        <v>2</v>
      </c>
      <c r="I1877" s="68" t="s">
        <v>20</v>
      </c>
      <c r="J1877" s="69">
        <v>40</v>
      </c>
      <c r="K1877" s="70">
        <v>2</v>
      </c>
      <c r="L1877" s="68">
        <v>1</v>
      </c>
      <c r="M1877" s="68">
        <f>_xlfn.XLOOKUP(Survey!$F1877,sections[Start],sections[Test Section],,-1,1)</f>
        <v>6</v>
      </c>
      <c r="N1877" s="55">
        <f>_xlfn.XLOOKUP(Survey!$K1877,pipedata[ID],pipedata[WT])</f>
        <v>0.74</v>
      </c>
      <c r="O1877" s="56">
        <f>_xlfn.XLOOKUP(Survey!$K1877,pipedata[ID],pipedata[104%])</f>
        <v>2565.3333333333335</v>
      </c>
      <c r="P1877" s="57">
        <f t="shared" si="29"/>
        <v>1850</v>
      </c>
      <c r="Q1877" s="58">
        <f>_xlfn.MAXIFS(Survey!$G$2:$G$3647,Survey!$M$2:$M$3647,Survey!$M1877)-Survey!$G1877</f>
        <v>356.49523909236677</v>
      </c>
      <c r="R1877" s="59">
        <f>Survey!$P1877+(Survey!$Q1877*0.433)</f>
        <v>2004.3624385269948</v>
      </c>
    </row>
    <row r="1878" spans="1:18" x14ac:dyDescent="0.25">
      <c r="A1878" s="71" t="s">
        <v>17</v>
      </c>
      <c r="B1878" s="72" t="s">
        <v>22</v>
      </c>
      <c r="C1878" s="73" t="s">
        <v>19</v>
      </c>
      <c r="D1878" s="74">
        <v>240.84958972882242</v>
      </c>
      <c r="E1878" s="81">
        <v>1301929</v>
      </c>
      <c r="F1878" s="82">
        <v>1272717.0000000028</v>
      </c>
      <c r="G1878" s="75">
        <v>3375.4029745132266</v>
      </c>
      <c r="H1878" s="76">
        <v>2</v>
      </c>
      <c r="I1878" s="54" t="s">
        <v>20</v>
      </c>
      <c r="J1878" s="77">
        <v>40</v>
      </c>
      <c r="K1878" s="78">
        <v>2</v>
      </c>
      <c r="L1878" s="54">
        <v>1</v>
      </c>
      <c r="M1878" s="54">
        <f>_xlfn.XLOOKUP(Survey!$F1878,sections[Start],sections[Test Section],,-1,1)</f>
        <v>6</v>
      </c>
      <c r="N1878" s="55">
        <f>_xlfn.XLOOKUP(Survey!$K1878,pipedata[ID],pipedata[WT])</f>
        <v>0.74</v>
      </c>
      <c r="O1878" s="56">
        <f>_xlfn.XLOOKUP(Survey!$K1878,pipedata[ID],pipedata[104%])</f>
        <v>2565.3333333333335</v>
      </c>
      <c r="P1878" s="57">
        <f t="shared" si="29"/>
        <v>1850</v>
      </c>
      <c r="Q1878" s="58">
        <f>_xlfn.MAXIFS(Survey!$G$2:$G$3647,Survey!$M$2:$M$3647,Survey!$M1878)-Survey!$G1878</f>
        <v>359.02166571519001</v>
      </c>
      <c r="R1878" s="59">
        <f>Survey!$P1878+(Survey!$Q1878*0.433)</f>
        <v>2005.4563812546774</v>
      </c>
    </row>
    <row r="1879" spans="1:18" x14ac:dyDescent="0.25">
      <c r="A1879" s="60" t="s">
        <v>17</v>
      </c>
      <c r="B1879" s="61" t="s">
        <v>22</v>
      </c>
      <c r="C1879" s="62" t="s">
        <v>19</v>
      </c>
      <c r="D1879" s="63">
        <v>240.85670667864642</v>
      </c>
      <c r="E1879" s="79">
        <v>1301969</v>
      </c>
      <c r="F1879" s="80">
        <v>1272755.1428571458</v>
      </c>
      <c r="G1879" s="66">
        <v>3372.0818728716563</v>
      </c>
      <c r="H1879" s="67">
        <v>2</v>
      </c>
      <c r="I1879" s="68" t="s">
        <v>20</v>
      </c>
      <c r="J1879" s="69">
        <v>40</v>
      </c>
      <c r="K1879" s="70">
        <v>2</v>
      </c>
      <c r="L1879" s="68">
        <v>1</v>
      </c>
      <c r="M1879" s="68">
        <f>_xlfn.XLOOKUP(Survey!$F1879,sections[Start],sections[Test Section],,-1,1)</f>
        <v>6</v>
      </c>
      <c r="N1879" s="55">
        <f>_xlfn.XLOOKUP(Survey!$K1879,pipedata[ID],pipedata[WT])</f>
        <v>0.74</v>
      </c>
      <c r="O1879" s="56">
        <f>_xlfn.XLOOKUP(Survey!$K1879,pipedata[ID],pipedata[104%])</f>
        <v>2565.3333333333335</v>
      </c>
      <c r="P1879" s="57">
        <f t="shared" si="29"/>
        <v>1850</v>
      </c>
      <c r="Q1879" s="58">
        <f>_xlfn.MAXIFS(Survey!$G$2:$G$3647,Survey!$M$2:$M$3647,Survey!$M1879)-Survey!$G1879</f>
        <v>362.34276735676031</v>
      </c>
      <c r="R1879" s="59">
        <f>Survey!$P1879+(Survey!$Q1879*0.433)</f>
        <v>2006.8944182654773</v>
      </c>
    </row>
    <row r="1880" spans="1:18" x14ac:dyDescent="0.25">
      <c r="A1880" s="71" t="s">
        <v>17</v>
      </c>
      <c r="B1880" s="72" t="s">
        <v>22</v>
      </c>
      <c r="C1880" s="73" t="s">
        <v>19</v>
      </c>
      <c r="D1880" s="74">
        <v>240.86430713062842</v>
      </c>
      <c r="E1880" s="81">
        <v>1302009</v>
      </c>
      <c r="F1880" s="82">
        <v>1272793.2857142887</v>
      </c>
      <c r="G1880" s="75">
        <v>3364.9085953106137</v>
      </c>
      <c r="H1880" s="76">
        <v>2</v>
      </c>
      <c r="I1880" s="54" t="s">
        <v>20</v>
      </c>
      <c r="J1880" s="77">
        <v>40</v>
      </c>
      <c r="K1880" s="78">
        <v>2</v>
      </c>
      <c r="L1880" s="54">
        <v>1</v>
      </c>
      <c r="M1880" s="54">
        <f>_xlfn.XLOOKUP(Survey!$F1880,sections[Start],sections[Test Section],,-1,1)</f>
        <v>6</v>
      </c>
      <c r="N1880" s="55">
        <f>_xlfn.XLOOKUP(Survey!$K1880,pipedata[ID],pipedata[WT])</f>
        <v>0.74</v>
      </c>
      <c r="O1880" s="56">
        <f>_xlfn.XLOOKUP(Survey!$K1880,pipedata[ID],pipedata[104%])</f>
        <v>2565.3333333333335</v>
      </c>
      <c r="P1880" s="57">
        <f t="shared" si="29"/>
        <v>1850</v>
      </c>
      <c r="Q1880" s="58">
        <f>_xlfn.MAXIFS(Survey!$G$2:$G$3647,Survey!$M$2:$M$3647,Survey!$M1880)-Survey!$G1880</f>
        <v>369.5160449178029</v>
      </c>
      <c r="R1880" s="59">
        <f>Survey!$P1880+(Survey!$Q1880*0.433)</f>
        <v>2010.0004474494087</v>
      </c>
    </row>
    <row r="1881" spans="1:18" x14ac:dyDescent="0.25">
      <c r="A1881" s="60" t="s">
        <v>17</v>
      </c>
      <c r="B1881" s="61" t="s">
        <v>22</v>
      </c>
      <c r="C1881" s="62" t="s">
        <v>19</v>
      </c>
      <c r="D1881" s="63">
        <v>240.87229342415972</v>
      </c>
      <c r="E1881" s="79">
        <v>1302049</v>
      </c>
      <c r="F1881" s="80">
        <v>1272831.4285714317</v>
      </c>
      <c r="G1881" s="66">
        <v>3361.4101141429692</v>
      </c>
      <c r="H1881" s="67">
        <v>2</v>
      </c>
      <c r="I1881" s="68" t="s">
        <v>20</v>
      </c>
      <c r="J1881" s="69">
        <v>40</v>
      </c>
      <c r="K1881" s="70">
        <v>2</v>
      </c>
      <c r="L1881" s="68">
        <v>1</v>
      </c>
      <c r="M1881" s="68">
        <f>_xlfn.XLOOKUP(Survey!$F1881,sections[Start],sections[Test Section],,-1,1)</f>
        <v>6</v>
      </c>
      <c r="N1881" s="55">
        <f>_xlfn.XLOOKUP(Survey!$K1881,pipedata[ID],pipedata[WT])</f>
        <v>0.74</v>
      </c>
      <c r="O1881" s="56">
        <f>_xlfn.XLOOKUP(Survey!$K1881,pipedata[ID],pipedata[104%])</f>
        <v>2565.3333333333335</v>
      </c>
      <c r="P1881" s="57">
        <f t="shared" si="29"/>
        <v>1850</v>
      </c>
      <c r="Q1881" s="58">
        <f>_xlfn.MAXIFS(Survey!$G$2:$G$3647,Survey!$M$2:$M$3647,Survey!$M1881)-Survey!$G1881</f>
        <v>373.01452608544741</v>
      </c>
      <c r="R1881" s="59">
        <f>Survey!$P1881+(Survey!$Q1881*0.433)</f>
        <v>2011.5152897949988</v>
      </c>
    </row>
    <row r="1882" spans="1:18" x14ac:dyDescent="0.25">
      <c r="A1882" s="71" t="s">
        <v>17</v>
      </c>
      <c r="B1882" s="72" t="s">
        <v>22</v>
      </c>
      <c r="C1882" s="73" t="s">
        <v>19</v>
      </c>
      <c r="D1882" s="74">
        <v>240.88001554535467</v>
      </c>
      <c r="E1882" s="81">
        <v>1302089</v>
      </c>
      <c r="F1882" s="82">
        <v>1272869.5714285746</v>
      </c>
      <c r="G1882" s="75">
        <v>3361.0617500061912</v>
      </c>
      <c r="H1882" s="76">
        <v>2</v>
      </c>
      <c r="I1882" s="54" t="s">
        <v>20</v>
      </c>
      <c r="J1882" s="77">
        <v>40</v>
      </c>
      <c r="K1882" s="78">
        <v>2</v>
      </c>
      <c r="L1882" s="54">
        <v>1</v>
      </c>
      <c r="M1882" s="54">
        <f>_xlfn.XLOOKUP(Survey!$F1882,sections[Start],sections[Test Section],,-1,1)</f>
        <v>6</v>
      </c>
      <c r="N1882" s="55">
        <f>_xlfn.XLOOKUP(Survey!$K1882,pipedata[ID],pipedata[WT])</f>
        <v>0.74</v>
      </c>
      <c r="O1882" s="56">
        <f>_xlfn.XLOOKUP(Survey!$K1882,pipedata[ID],pipedata[104%])</f>
        <v>2565.3333333333335</v>
      </c>
      <c r="P1882" s="57">
        <f t="shared" si="29"/>
        <v>1850</v>
      </c>
      <c r="Q1882" s="58">
        <f>_xlfn.MAXIFS(Survey!$G$2:$G$3647,Survey!$M$2:$M$3647,Survey!$M1882)-Survey!$G1882</f>
        <v>373.36289022222536</v>
      </c>
      <c r="R1882" s="59">
        <f>Survey!$P1882+(Survey!$Q1882*0.433)</f>
        <v>2011.6661314662235</v>
      </c>
    </row>
    <row r="1883" spans="1:18" x14ac:dyDescent="0.25">
      <c r="A1883" s="60" t="s">
        <v>17</v>
      </c>
      <c r="B1883" s="61" t="s">
        <v>22</v>
      </c>
      <c r="C1883" s="62" t="s">
        <v>19</v>
      </c>
      <c r="D1883" s="63">
        <v>240.88638408965176</v>
      </c>
      <c r="E1883" s="79">
        <v>1302129</v>
      </c>
      <c r="F1883" s="80">
        <v>1272907.7142857176</v>
      </c>
      <c r="G1883" s="66">
        <v>3363.1581749843917</v>
      </c>
      <c r="H1883" s="67">
        <v>2</v>
      </c>
      <c r="I1883" s="68" t="s">
        <v>20</v>
      </c>
      <c r="J1883" s="69">
        <v>40</v>
      </c>
      <c r="K1883" s="70">
        <v>2</v>
      </c>
      <c r="L1883" s="68">
        <v>1</v>
      </c>
      <c r="M1883" s="68">
        <f>_xlfn.XLOOKUP(Survey!$F1883,sections[Start],sections[Test Section],,-1,1)</f>
        <v>6</v>
      </c>
      <c r="N1883" s="55">
        <f>_xlfn.XLOOKUP(Survey!$K1883,pipedata[ID],pipedata[WT])</f>
        <v>0.74</v>
      </c>
      <c r="O1883" s="56">
        <f>_xlfn.XLOOKUP(Survey!$K1883,pipedata[ID],pipedata[104%])</f>
        <v>2565.3333333333335</v>
      </c>
      <c r="P1883" s="57">
        <f t="shared" si="29"/>
        <v>1850</v>
      </c>
      <c r="Q1883" s="58">
        <f>_xlfn.MAXIFS(Survey!$G$2:$G$3647,Survey!$M$2:$M$3647,Survey!$M1883)-Survey!$G1883</f>
        <v>371.26646524402486</v>
      </c>
      <c r="R1883" s="59">
        <f>Survey!$P1883+(Survey!$Q1883*0.433)</f>
        <v>2010.7583794506627</v>
      </c>
    </row>
    <row r="1884" spans="1:18" x14ac:dyDescent="0.25">
      <c r="A1884" s="71" t="s">
        <v>17</v>
      </c>
      <c r="B1884" s="72" t="s">
        <v>22</v>
      </c>
      <c r="C1884" s="73" t="s">
        <v>19</v>
      </c>
      <c r="D1884" s="74">
        <v>240.89425197860396</v>
      </c>
      <c r="E1884" s="81">
        <v>1302169</v>
      </c>
      <c r="F1884" s="82">
        <v>1272945.8571428605</v>
      </c>
      <c r="G1884" s="75">
        <v>3362.7335998413118</v>
      </c>
      <c r="H1884" s="76">
        <v>2</v>
      </c>
      <c r="I1884" s="54" t="s">
        <v>20</v>
      </c>
      <c r="J1884" s="77">
        <v>40</v>
      </c>
      <c r="K1884" s="78">
        <v>2</v>
      </c>
      <c r="L1884" s="54">
        <v>1</v>
      </c>
      <c r="M1884" s="54">
        <f>_xlfn.XLOOKUP(Survey!$F1884,sections[Start],sections[Test Section],,-1,1)</f>
        <v>6</v>
      </c>
      <c r="N1884" s="55">
        <f>_xlfn.XLOOKUP(Survey!$K1884,pipedata[ID],pipedata[WT])</f>
        <v>0.74</v>
      </c>
      <c r="O1884" s="56">
        <f>_xlfn.XLOOKUP(Survey!$K1884,pipedata[ID],pipedata[104%])</f>
        <v>2565.3333333333335</v>
      </c>
      <c r="P1884" s="57">
        <f t="shared" si="29"/>
        <v>1850</v>
      </c>
      <c r="Q1884" s="58">
        <f>_xlfn.MAXIFS(Survey!$G$2:$G$3647,Survey!$M$2:$M$3647,Survey!$M1884)-Survey!$G1884</f>
        <v>371.69104038710475</v>
      </c>
      <c r="R1884" s="59">
        <f>Survey!$P1884+(Survey!$Q1884*0.433)</f>
        <v>2010.9422204876164</v>
      </c>
    </row>
    <row r="1885" spans="1:18" x14ac:dyDescent="0.25">
      <c r="A1885" s="60" t="s">
        <v>17</v>
      </c>
      <c r="B1885" s="61" t="s">
        <v>22</v>
      </c>
      <c r="C1885" s="62" t="s">
        <v>19</v>
      </c>
      <c r="D1885" s="63">
        <v>240.90285929704405</v>
      </c>
      <c r="E1885" s="79">
        <v>1302209</v>
      </c>
      <c r="F1885" s="80">
        <v>1272984.0000000035</v>
      </c>
      <c r="G1885" s="66">
        <v>3361.1107569950882</v>
      </c>
      <c r="H1885" s="67">
        <v>2</v>
      </c>
      <c r="I1885" s="68" t="s">
        <v>20</v>
      </c>
      <c r="J1885" s="69">
        <v>40</v>
      </c>
      <c r="K1885" s="70">
        <v>2</v>
      </c>
      <c r="L1885" s="68">
        <v>1</v>
      </c>
      <c r="M1885" s="68">
        <f>_xlfn.XLOOKUP(Survey!$F1885,sections[Start],sections[Test Section],,-1,1)</f>
        <v>6</v>
      </c>
      <c r="N1885" s="55">
        <f>_xlfn.XLOOKUP(Survey!$K1885,pipedata[ID],pipedata[WT])</f>
        <v>0.74</v>
      </c>
      <c r="O1885" s="56">
        <f>_xlfn.XLOOKUP(Survey!$K1885,pipedata[ID],pipedata[104%])</f>
        <v>2565.3333333333335</v>
      </c>
      <c r="P1885" s="57">
        <f t="shared" si="29"/>
        <v>1850</v>
      </c>
      <c r="Q1885" s="58">
        <f>_xlfn.MAXIFS(Survey!$G$2:$G$3647,Survey!$M$2:$M$3647,Survey!$M1885)-Survey!$G1885</f>
        <v>373.3138832333284</v>
      </c>
      <c r="R1885" s="59">
        <f>Survey!$P1885+(Survey!$Q1885*0.433)</f>
        <v>2011.6449114400311</v>
      </c>
    </row>
    <row r="1886" spans="1:18" x14ac:dyDescent="0.25">
      <c r="A1886" s="71" t="s">
        <v>17</v>
      </c>
      <c r="B1886" s="72" t="s">
        <v>22</v>
      </c>
      <c r="C1886" s="73" t="s">
        <v>19</v>
      </c>
      <c r="D1886" s="74">
        <v>240.90992215775839</v>
      </c>
      <c r="E1886" s="81">
        <v>1302249</v>
      </c>
      <c r="F1886" s="82">
        <v>1273022.1428571464</v>
      </c>
      <c r="G1886" s="75">
        <v>3358.2356695222525</v>
      </c>
      <c r="H1886" s="76">
        <v>2</v>
      </c>
      <c r="I1886" s="54" t="s">
        <v>20</v>
      </c>
      <c r="J1886" s="77">
        <v>40</v>
      </c>
      <c r="K1886" s="78">
        <v>2</v>
      </c>
      <c r="L1886" s="54">
        <v>1</v>
      </c>
      <c r="M1886" s="54">
        <f>_xlfn.XLOOKUP(Survey!$F1886,sections[Start],sections[Test Section],,-1,1)</f>
        <v>6</v>
      </c>
      <c r="N1886" s="55">
        <f>_xlfn.XLOOKUP(Survey!$K1886,pipedata[ID],pipedata[WT])</f>
        <v>0.74</v>
      </c>
      <c r="O1886" s="56">
        <f>_xlfn.XLOOKUP(Survey!$K1886,pipedata[ID],pipedata[104%])</f>
        <v>2565.3333333333335</v>
      </c>
      <c r="P1886" s="57">
        <f t="shared" si="29"/>
        <v>1850</v>
      </c>
      <c r="Q1886" s="58">
        <f>_xlfn.MAXIFS(Survey!$G$2:$G$3647,Survey!$M$2:$M$3647,Survey!$M1886)-Survey!$G1886</f>
        <v>376.18897070616413</v>
      </c>
      <c r="R1886" s="59">
        <f>Survey!$P1886+(Survey!$Q1886*0.433)</f>
        <v>2012.8898243157691</v>
      </c>
    </row>
    <row r="1887" spans="1:18" x14ac:dyDescent="0.25">
      <c r="A1887" s="60" t="s">
        <v>17</v>
      </c>
      <c r="B1887" s="61" t="s">
        <v>22</v>
      </c>
      <c r="C1887" s="62" t="s">
        <v>19</v>
      </c>
      <c r="D1887" s="63">
        <v>240.91740896339198</v>
      </c>
      <c r="E1887" s="79">
        <v>1302289</v>
      </c>
      <c r="F1887" s="80">
        <v>1273060.2857142894</v>
      </c>
      <c r="G1887" s="66">
        <v>3353.5359654051822</v>
      </c>
      <c r="H1887" s="67">
        <v>2</v>
      </c>
      <c r="I1887" s="68" t="s">
        <v>20</v>
      </c>
      <c r="J1887" s="69">
        <v>40</v>
      </c>
      <c r="K1887" s="70">
        <v>2</v>
      </c>
      <c r="L1887" s="68">
        <v>1</v>
      </c>
      <c r="M1887" s="68">
        <f>_xlfn.XLOOKUP(Survey!$F1887,sections[Start],sections[Test Section],,-1,1)</f>
        <v>6</v>
      </c>
      <c r="N1887" s="55">
        <f>_xlfn.XLOOKUP(Survey!$K1887,pipedata[ID],pipedata[WT])</f>
        <v>0.74</v>
      </c>
      <c r="O1887" s="56">
        <f>_xlfn.XLOOKUP(Survey!$K1887,pipedata[ID],pipedata[104%])</f>
        <v>2565.3333333333335</v>
      </c>
      <c r="P1887" s="57">
        <f t="shared" si="29"/>
        <v>1850</v>
      </c>
      <c r="Q1887" s="58">
        <f>_xlfn.MAXIFS(Survey!$G$2:$G$3647,Survey!$M$2:$M$3647,Survey!$M1887)-Survey!$G1887</f>
        <v>380.8886748232344</v>
      </c>
      <c r="R1887" s="59">
        <f>Survey!$P1887+(Survey!$Q1887*0.433)</f>
        <v>2014.9247961984604</v>
      </c>
    </row>
    <row r="1888" spans="1:18" x14ac:dyDescent="0.25">
      <c r="A1888" s="71" t="s">
        <v>17</v>
      </c>
      <c r="B1888" s="72" t="s">
        <v>22</v>
      </c>
      <c r="C1888" s="73" t="s">
        <v>19</v>
      </c>
      <c r="D1888" s="74">
        <v>240.92545127116301</v>
      </c>
      <c r="E1888" s="81">
        <v>1302329</v>
      </c>
      <c r="F1888" s="82">
        <v>1273098.4285714324</v>
      </c>
      <c r="G1888" s="75">
        <v>3345.9095001918358</v>
      </c>
      <c r="H1888" s="76">
        <v>2</v>
      </c>
      <c r="I1888" s="54" t="s">
        <v>20</v>
      </c>
      <c r="J1888" s="77">
        <v>40</v>
      </c>
      <c r="K1888" s="78">
        <v>2</v>
      </c>
      <c r="L1888" s="54">
        <v>1</v>
      </c>
      <c r="M1888" s="54">
        <f>_xlfn.XLOOKUP(Survey!$F1888,sections[Start],sections[Test Section],,-1,1)</f>
        <v>6</v>
      </c>
      <c r="N1888" s="55">
        <f>_xlfn.XLOOKUP(Survey!$K1888,pipedata[ID],pipedata[WT])</f>
        <v>0.74</v>
      </c>
      <c r="O1888" s="56">
        <f>_xlfn.XLOOKUP(Survey!$K1888,pipedata[ID],pipedata[104%])</f>
        <v>2565.3333333333335</v>
      </c>
      <c r="P1888" s="57">
        <f t="shared" si="29"/>
        <v>1850</v>
      </c>
      <c r="Q1888" s="58">
        <f>_xlfn.MAXIFS(Survey!$G$2:$G$3647,Survey!$M$2:$M$3647,Survey!$M1888)-Survey!$G1888</f>
        <v>388.51514003658076</v>
      </c>
      <c r="R1888" s="59">
        <f>Survey!$P1888+(Survey!$Q1888*0.433)</f>
        <v>2018.2270556358394</v>
      </c>
    </row>
    <row r="1889" spans="1:18" x14ac:dyDescent="0.25">
      <c r="A1889" s="60" t="s">
        <v>17</v>
      </c>
      <c r="B1889" s="61" t="s">
        <v>22</v>
      </c>
      <c r="C1889" s="62" t="s">
        <v>19</v>
      </c>
      <c r="D1889" s="63">
        <v>240.93238257465924</v>
      </c>
      <c r="E1889" s="79">
        <v>1302369</v>
      </c>
      <c r="F1889" s="80">
        <v>1273136.5714285753</v>
      </c>
      <c r="G1889" s="66">
        <v>3339.1047552361188</v>
      </c>
      <c r="H1889" s="67">
        <v>2</v>
      </c>
      <c r="I1889" s="68" t="s">
        <v>20</v>
      </c>
      <c r="J1889" s="69">
        <v>40</v>
      </c>
      <c r="K1889" s="70">
        <v>2</v>
      </c>
      <c r="L1889" s="68">
        <v>1</v>
      </c>
      <c r="M1889" s="68">
        <f>_xlfn.XLOOKUP(Survey!$F1889,sections[Start],sections[Test Section],,-1,1)</f>
        <v>6</v>
      </c>
      <c r="N1889" s="55">
        <f>_xlfn.XLOOKUP(Survey!$K1889,pipedata[ID],pipedata[WT])</f>
        <v>0.74</v>
      </c>
      <c r="O1889" s="56">
        <f>_xlfn.XLOOKUP(Survey!$K1889,pipedata[ID],pipedata[104%])</f>
        <v>2565.3333333333335</v>
      </c>
      <c r="P1889" s="57">
        <f t="shared" si="29"/>
        <v>1850</v>
      </c>
      <c r="Q1889" s="58">
        <f>_xlfn.MAXIFS(Survey!$G$2:$G$3647,Survey!$M$2:$M$3647,Survey!$M1889)-Survey!$G1889</f>
        <v>395.31988499229783</v>
      </c>
      <c r="R1889" s="59">
        <f>Survey!$P1889+(Survey!$Q1889*0.433)</f>
        <v>2021.1735102016651</v>
      </c>
    </row>
    <row r="1890" spans="1:18" x14ac:dyDescent="0.25">
      <c r="A1890" s="71" t="s">
        <v>17</v>
      </c>
      <c r="B1890" s="72" t="s">
        <v>22</v>
      </c>
      <c r="C1890" s="73" t="s">
        <v>19</v>
      </c>
      <c r="D1890" s="74">
        <v>240.93999331170221</v>
      </c>
      <c r="E1890" s="81">
        <v>1302409</v>
      </c>
      <c r="F1890" s="82">
        <v>1273174.7142857183</v>
      </c>
      <c r="G1890" s="75">
        <v>3331.0700475160261</v>
      </c>
      <c r="H1890" s="76">
        <v>2</v>
      </c>
      <c r="I1890" s="54" t="s">
        <v>20</v>
      </c>
      <c r="J1890" s="77">
        <v>40</v>
      </c>
      <c r="K1890" s="78">
        <v>2</v>
      </c>
      <c r="L1890" s="54">
        <v>1</v>
      </c>
      <c r="M1890" s="54">
        <f>_xlfn.XLOOKUP(Survey!$F1890,sections[Start],sections[Test Section],,-1,1)</f>
        <v>6</v>
      </c>
      <c r="N1890" s="55">
        <f>_xlfn.XLOOKUP(Survey!$K1890,pipedata[ID],pipedata[WT])</f>
        <v>0.74</v>
      </c>
      <c r="O1890" s="56">
        <f>_xlfn.XLOOKUP(Survey!$K1890,pipedata[ID],pipedata[104%])</f>
        <v>2565.3333333333335</v>
      </c>
      <c r="P1890" s="57">
        <f t="shared" si="29"/>
        <v>1850</v>
      </c>
      <c r="Q1890" s="58">
        <f>_xlfn.MAXIFS(Survey!$G$2:$G$3647,Survey!$M$2:$M$3647,Survey!$M1890)-Survey!$G1890</f>
        <v>403.35459271239051</v>
      </c>
      <c r="R1890" s="59">
        <f>Survey!$P1890+(Survey!$Q1890*0.433)</f>
        <v>2024.652538644465</v>
      </c>
    </row>
    <row r="1891" spans="1:18" x14ac:dyDescent="0.25">
      <c r="A1891" s="60" t="s">
        <v>17</v>
      </c>
      <c r="B1891" s="61" t="s">
        <v>22</v>
      </c>
      <c r="C1891" s="62" t="s">
        <v>19</v>
      </c>
      <c r="D1891" s="63">
        <v>240.94735618592651</v>
      </c>
      <c r="E1891" s="79">
        <v>1302449</v>
      </c>
      <c r="F1891" s="80">
        <v>1273212.8571428612</v>
      </c>
      <c r="G1891" s="66">
        <v>3323.2243652567035</v>
      </c>
      <c r="H1891" s="67">
        <v>2</v>
      </c>
      <c r="I1891" s="68" t="s">
        <v>20</v>
      </c>
      <c r="J1891" s="69">
        <v>40</v>
      </c>
      <c r="K1891" s="70">
        <v>2</v>
      </c>
      <c r="L1891" s="68">
        <v>1</v>
      </c>
      <c r="M1891" s="68">
        <f>_xlfn.XLOOKUP(Survey!$F1891,sections[Start],sections[Test Section],,-1,1)</f>
        <v>6</v>
      </c>
      <c r="N1891" s="55">
        <f>_xlfn.XLOOKUP(Survey!$K1891,pipedata[ID],pipedata[WT])</f>
        <v>0.74</v>
      </c>
      <c r="O1891" s="56">
        <f>_xlfn.XLOOKUP(Survey!$K1891,pipedata[ID],pipedata[104%])</f>
        <v>2565.3333333333335</v>
      </c>
      <c r="P1891" s="57">
        <f t="shared" si="29"/>
        <v>1850</v>
      </c>
      <c r="Q1891" s="58">
        <f>_xlfn.MAXIFS(Survey!$G$2:$G$3647,Survey!$M$2:$M$3647,Survey!$M1891)-Survey!$G1891</f>
        <v>411.20027497171304</v>
      </c>
      <c r="R1891" s="59">
        <f>Survey!$P1891+(Survey!$Q1891*0.433)</f>
        <v>2028.0497190627518</v>
      </c>
    </row>
    <row r="1892" spans="1:18" x14ac:dyDescent="0.25">
      <c r="A1892" s="71" t="s">
        <v>17</v>
      </c>
      <c r="B1892" s="72" t="s">
        <v>22</v>
      </c>
      <c r="C1892" s="73" t="s">
        <v>19</v>
      </c>
      <c r="D1892" s="74">
        <v>240.95484299156007</v>
      </c>
      <c r="E1892" s="81">
        <v>1302489</v>
      </c>
      <c r="F1892" s="82">
        <v>1273251.0000000042</v>
      </c>
      <c r="G1892" s="75">
        <v>3316.3192275955603</v>
      </c>
      <c r="H1892" s="76">
        <v>2</v>
      </c>
      <c r="I1892" s="54" t="s">
        <v>20</v>
      </c>
      <c r="J1892" s="77">
        <v>40</v>
      </c>
      <c r="K1892" s="78">
        <v>2</v>
      </c>
      <c r="L1892" s="54">
        <v>1</v>
      </c>
      <c r="M1892" s="54">
        <f>_xlfn.XLOOKUP(Survey!$F1892,sections[Start],sections[Test Section],,-1,1)</f>
        <v>6</v>
      </c>
      <c r="N1892" s="55">
        <f>_xlfn.XLOOKUP(Survey!$K1892,pipedata[ID],pipedata[WT])</f>
        <v>0.74</v>
      </c>
      <c r="O1892" s="56">
        <f>_xlfn.XLOOKUP(Survey!$K1892,pipedata[ID],pipedata[104%])</f>
        <v>2565.3333333333335</v>
      </c>
      <c r="P1892" s="57">
        <f t="shared" si="29"/>
        <v>1850</v>
      </c>
      <c r="Q1892" s="58">
        <f>_xlfn.MAXIFS(Survey!$G$2:$G$3647,Survey!$M$2:$M$3647,Survey!$M1892)-Survey!$G1892</f>
        <v>418.10541263285631</v>
      </c>
      <c r="R1892" s="59">
        <f>Survey!$P1892+(Survey!$Q1892*0.433)</f>
        <v>2031.0396436700269</v>
      </c>
    </row>
    <row r="1893" spans="1:18" x14ac:dyDescent="0.25">
      <c r="A1893" s="60" t="s">
        <v>17</v>
      </c>
      <c r="B1893" s="61" t="s">
        <v>22</v>
      </c>
      <c r="C1893" s="62" t="s">
        <v>19</v>
      </c>
      <c r="D1893" s="63">
        <v>240.96232979719375</v>
      </c>
      <c r="E1893" s="79">
        <v>1302529</v>
      </c>
      <c r="F1893" s="80">
        <v>1273289.1428571471</v>
      </c>
      <c r="G1893" s="66">
        <v>3310.2592094625625</v>
      </c>
      <c r="H1893" s="67">
        <v>2</v>
      </c>
      <c r="I1893" s="68" t="s">
        <v>20</v>
      </c>
      <c r="J1893" s="69">
        <v>40</v>
      </c>
      <c r="K1893" s="70">
        <v>2</v>
      </c>
      <c r="L1893" s="68">
        <v>1</v>
      </c>
      <c r="M1893" s="68">
        <f>_xlfn.XLOOKUP(Survey!$F1893,sections[Start],sections[Test Section],,-1,1)</f>
        <v>6</v>
      </c>
      <c r="N1893" s="55">
        <f>_xlfn.XLOOKUP(Survey!$K1893,pipedata[ID],pipedata[WT])</f>
        <v>0.74</v>
      </c>
      <c r="O1893" s="56">
        <f>_xlfn.XLOOKUP(Survey!$K1893,pipedata[ID],pipedata[104%])</f>
        <v>2565.3333333333335</v>
      </c>
      <c r="P1893" s="57">
        <f t="shared" si="29"/>
        <v>1850</v>
      </c>
      <c r="Q1893" s="58">
        <f>_xlfn.MAXIFS(Survey!$G$2:$G$3647,Survey!$M$2:$M$3647,Survey!$M1893)-Survey!$G1893</f>
        <v>424.16543076585413</v>
      </c>
      <c r="R1893" s="59">
        <f>Survey!$P1893+(Survey!$Q1893*0.433)</f>
        <v>2033.6636315216149</v>
      </c>
    </row>
    <row r="1894" spans="1:18" x14ac:dyDescent="0.25">
      <c r="A1894" s="71" t="s">
        <v>17</v>
      </c>
      <c r="B1894" s="72" t="s">
        <v>22</v>
      </c>
      <c r="C1894" s="73" t="s">
        <v>19</v>
      </c>
      <c r="D1894" s="74">
        <v>240.96981660282728</v>
      </c>
      <c r="E1894" s="81">
        <v>1302569</v>
      </c>
      <c r="F1894" s="82">
        <v>1273327.2857142901</v>
      </c>
      <c r="G1894" s="75">
        <v>3304.9661558798853</v>
      </c>
      <c r="H1894" s="76">
        <v>2</v>
      </c>
      <c r="I1894" s="54" t="s">
        <v>20</v>
      </c>
      <c r="J1894" s="77">
        <v>40</v>
      </c>
      <c r="K1894" s="78">
        <v>2</v>
      </c>
      <c r="L1894" s="54">
        <v>1</v>
      </c>
      <c r="M1894" s="54">
        <f>_xlfn.XLOOKUP(Survey!$F1894,sections[Start],sections[Test Section],,-1,1)</f>
        <v>6</v>
      </c>
      <c r="N1894" s="55">
        <f>_xlfn.XLOOKUP(Survey!$K1894,pipedata[ID],pipedata[WT])</f>
        <v>0.74</v>
      </c>
      <c r="O1894" s="56">
        <f>_xlfn.XLOOKUP(Survey!$K1894,pipedata[ID],pipedata[104%])</f>
        <v>2565.3333333333335</v>
      </c>
      <c r="P1894" s="57">
        <f t="shared" si="29"/>
        <v>1850</v>
      </c>
      <c r="Q1894" s="58">
        <f>_xlfn.MAXIFS(Survey!$G$2:$G$3647,Survey!$M$2:$M$3647,Survey!$M1894)-Survey!$G1894</f>
        <v>429.45848434853133</v>
      </c>
      <c r="R1894" s="59">
        <f>Survey!$P1894+(Survey!$Q1894*0.433)</f>
        <v>2035.955523722914</v>
      </c>
    </row>
    <row r="1895" spans="1:18" x14ac:dyDescent="0.25">
      <c r="A1895" s="60" t="s">
        <v>17</v>
      </c>
      <c r="B1895" s="61" t="s">
        <v>22</v>
      </c>
      <c r="C1895" s="62" t="s">
        <v>19</v>
      </c>
      <c r="D1895" s="63">
        <v>240.97730340846081</v>
      </c>
      <c r="E1895" s="79">
        <v>1302609</v>
      </c>
      <c r="F1895" s="80">
        <v>1273365.4285714331</v>
      </c>
      <c r="G1895" s="66">
        <v>3298.8031797827111</v>
      </c>
      <c r="H1895" s="67">
        <v>2</v>
      </c>
      <c r="I1895" s="68" t="s">
        <v>20</v>
      </c>
      <c r="J1895" s="69">
        <v>40</v>
      </c>
      <c r="K1895" s="70">
        <v>2</v>
      </c>
      <c r="L1895" s="68">
        <v>1</v>
      </c>
      <c r="M1895" s="68">
        <f>_xlfn.XLOOKUP(Survey!$F1895,sections[Start],sections[Test Section],,-1,1)</f>
        <v>6</v>
      </c>
      <c r="N1895" s="55">
        <f>_xlfn.XLOOKUP(Survey!$K1895,pipedata[ID],pipedata[WT])</f>
        <v>0.74</v>
      </c>
      <c r="O1895" s="56">
        <f>_xlfn.XLOOKUP(Survey!$K1895,pipedata[ID],pipedata[104%])</f>
        <v>2565.3333333333335</v>
      </c>
      <c r="P1895" s="57">
        <f t="shared" si="29"/>
        <v>1850</v>
      </c>
      <c r="Q1895" s="58">
        <f>_xlfn.MAXIFS(Survey!$G$2:$G$3647,Survey!$M$2:$M$3647,Survey!$M1895)-Survey!$G1895</f>
        <v>435.62146044570545</v>
      </c>
      <c r="R1895" s="59">
        <f>Survey!$P1895+(Survey!$Q1895*0.433)</f>
        <v>2038.6240923729904</v>
      </c>
    </row>
    <row r="1896" spans="1:18" x14ac:dyDescent="0.25">
      <c r="A1896" s="71" t="s">
        <v>17</v>
      </c>
      <c r="B1896" s="72" t="s">
        <v>22</v>
      </c>
      <c r="C1896" s="73" t="s">
        <v>19</v>
      </c>
      <c r="D1896" s="74">
        <v>240.9847902140944</v>
      </c>
      <c r="E1896" s="81">
        <v>1302649</v>
      </c>
      <c r="F1896" s="82">
        <v>1273403.571428576</v>
      </c>
      <c r="G1896" s="75">
        <v>3289.1540785923821</v>
      </c>
      <c r="H1896" s="76">
        <v>2</v>
      </c>
      <c r="I1896" s="54" t="s">
        <v>20</v>
      </c>
      <c r="J1896" s="77">
        <v>40</v>
      </c>
      <c r="K1896" s="78">
        <v>2</v>
      </c>
      <c r="L1896" s="54">
        <v>1</v>
      </c>
      <c r="M1896" s="54">
        <f>_xlfn.XLOOKUP(Survey!$F1896,sections[Start],sections[Test Section],,-1,1)</f>
        <v>6</v>
      </c>
      <c r="N1896" s="55">
        <f>_xlfn.XLOOKUP(Survey!$K1896,pipedata[ID],pipedata[WT])</f>
        <v>0.74</v>
      </c>
      <c r="O1896" s="56">
        <f>_xlfn.XLOOKUP(Survey!$K1896,pipedata[ID],pipedata[104%])</f>
        <v>2565.3333333333335</v>
      </c>
      <c r="P1896" s="57">
        <f t="shared" si="29"/>
        <v>1850</v>
      </c>
      <c r="Q1896" s="58">
        <f>_xlfn.MAXIFS(Survey!$G$2:$G$3647,Survey!$M$2:$M$3647,Survey!$M1896)-Survey!$G1896</f>
        <v>445.27056163603447</v>
      </c>
      <c r="R1896" s="59">
        <f>Survey!$P1896+(Survey!$Q1896*0.433)</f>
        <v>2042.8021531884028</v>
      </c>
    </row>
    <row r="1897" spans="1:18" x14ac:dyDescent="0.25">
      <c r="A1897" s="60" t="s">
        <v>17</v>
      </c>
      <c r="B1897" s="61" t="s">
        <v>22</v>
      </c>
      <c r="C1897" s="62" t="s">
        <v>19</v>
      </c>
      <c r="D1897" s="63">
        <v>240.99234465764494</v>
      </c>
      <c r="E1897" s="79">
        <v>1302689</v>
      </c>
      <c r="F1897" s="80">
        <v>1273441.714285719</v>
      </c>
      <c r="G1897" s="66">
        <v>3280.2109695192344</v>
      </c>
      <c r="H1897" s="67">
        <v>2</v>
      </c>
      <c r="I1897" s="68" t="s">
        <v>20</v>
      </c>
      <c r="J1897" s="69">
        <v>40</v>
      </c>
      <c r="K1897" s="70">
        <v>2</v>
      </c>
      <c r="L1897" s="68">
        <v>1</v>
      </c>
      <c r="M1897" s="68">
        <f>_xlfn.XLOOKUP(Survey!$F1897,sections[Start],sections[Test Section],,-1,1)</f>
        <v>6</v>
      </c>
      <c r="N1897" s="55">
        <f>_xlfn.XLOOKUP(Survey!$K1897,pipedata[ID],pipedata[WT])</f>
        <v>0.74</v>
      </c>
      <c r="O1897" s="56">
        <f>_xlfn.XLOOKUP(Survey!$K1897,pipedata[ID],pipedata[104%])</f>
        <v>2565.3333333333335</v>
      </c>
      <c r="P1897" s="57">
        <f t="shared" si="29"/>
        <v>1850</v>
      </c>
      <c r="Q1897" s="58">
        <f>_xlfn.MAXIFS(Survey!$G$2:$G$3647,Survey!$M$2:$M$3647,Survey!$M1897)-Survey!$G1897</f>
        <v>454.21367070918222</v>
      </c>
      <c r="R1897" s="59">
        <f>Survey!$P1897+(Survey!$Q1897*0.433)</f>
        <v>2046.674519417076</v>
      </c>
    </row>
    <row r="1898" spans="1:18" x14ac:dyDescent="0.25">
      <c r="A1898" s="71" t="s">
        <v>17</v>
      </c>
      <c r="B1898" s="72" t="s">
        <v>22</v>
      </c>
      <c r="C1898" s="73" t="s">
        <v>19</v>
      </c>
      <c r="D1898" s="74">
        <v>240.99816147386079</v>
      </c>
      <c r="E1898" s="64">
        <v>1302729</v>
      </c>
      <c r="F1898" s="65">
        <v>1273479.8571428619</v>
      </c>
      <c r="G1898" s="75">
        <v>3267.8276094441039</v>
      </c>
      <c r="H1898" s="76">
        <v>2</v>
      </c>
      <c r="I1898" s="54" t="s">
        <v>20</v>
      </c>
      <c r="J1898" s="77">
        <v>40</v>
      </c>
      <c r="K1898" s="78">
        <v>2</v>
      </c>
      <c r="L1898" s="54">
        <v>1</v>
      </c>
      <c r="M1898" s="54">
        <f>_xlfn.XLOOKUP(Survey!$F1898,sections[Start],sections[Test Section],,-1,1)</f>
        <v>6</v>
      </c>
      <c r="N1898" s="55">
        <f>_xlfn.XLOOKUP(Survey!$K1898,pipedata[ID],pipedata[WT])</f>
        <v>0.74</v>
      </c>
      <c r="O1898" s="56">
        <f>_xlfn.XLOOKUP(Survey!$K1898,pipedata[ID],pipedata[104%])</f>
        <v>2565.3333333333335</v>
      </c>
      <c r="P1898" s="57">
        <f t="shared" si="29"/>
        <v>1850</v>
      </c>
      <c r="Q1898" s="58">
        <f>_xlfn.MAXIFS(Survey!$G$2:$G$3647,Survey!$M$2:$M$3647,Survey!$M1898)-Survey!$G1898</f>
        <v>466.59703078431266</v>
      </c>
      <c r="R1898" s="59">
        <f>Survey!$P1898+(Survey!$Q1898*0.433)</f>
        <v>2052.0365143296076</v>
      </c>
    </row>
    <row r="1899" spans="1:18" x14ac:dyDescent="0.25">
      <c r="A1899" s="60" t="s">
        <v>17</v>
      </c>
      <c r="B1899" s="61" t="s">
        <v>22</v>
      </c>
      <c r="C1899" s="62" t="s">
        <v>19</v>
      </c>
      <c r="D1899" s="63">
        <v>241.00688669818422</v>
      </c>
      <c r="E1899" s="64">
        <v>1302769</v>
      </c>
      <c r="F1899" s="65">
        <v>1273518.0000000049</v>
      </c>
      <c r="G1899" s="66">
        <v>3260.006609219964</v>
      </c>
      <c r="H1899" s="67">
        <v>2</v>
      </c>
      <c r="I1899" s="68" t="s">
        <v>20</v>
      </c>
      <c r="J1899" s="69">
        <v>40</v>
      </c>
      <c r="K1899" s="70">
        <v>2</v>
      </c>
      <c r="L1899" s="68">
        <v>1</v>
      </c>
      <c r="M1899" s="68">
        <f>_xlfn.XLOOKUP(Survey!$F1899,sections[Start],sections[Test Section],,-1,1)</f>
        <v>6</v>
      </c>
      <c r="N1899" s="55">
        <f>_xlfn.XLOOKUP(Survey!$K1899,pipedata[ID],pipedata[WT])</f>
        <v>0.74</v>
      </c>
      <c r="O1899" s="56">
        <f>_xlfn.XLOOKUP(Survey!$K1899,pipedata[ID],pipedata[104%])</f>
        <v>2565.3333333333335</v>
      </c>
      <c r="P1899" s="57">
        <f t="shared" si="29"/>
        <v>1850</v>
      </c>
      <c r="Q1899" s="58">
        <f>_xlfn.MAXIFS(Survey!$G$2:$G$3647,Survey!$M$2:$M$3647,Survey!$M1899)-Survey!$G1899</f>
        <v>474.41803100845254</v>
      </c>
      <c r="R1899" s="59">
        <f>Survey!$P1899+(Survey!$Q1899*0.433)</f>
        <v>2055.4230074266598</v>
      </c>
    </row>
    <row r="1900" spans="1:18" x14ac:dyDescent="0.25">
      <c r="A1900" s="71" t="s">
        <v>17</v>
      </c>
      <c r="B1900" s="72" t="s">
        <v>22</v>
      </c>
      <c r="C1900" s="73" t="s">
        <v>19</v>
      </c>
      <c r="D1900" s="74">
        <v>241.01270351440016</v>
      </c>
      <c r="E1900" s="81">
        <v>1302809</v>
      </c>
      <c r="F1900" s="82">
        <v>1273556.1428571478</v>
      </c>
      <c r="G1900" s="75">
        <v>3247.1764068713192</v>
      </c>
      <c r="H1900" s="76">
        <v>2</v>
      </c>
      <c r="I1900" s="54" t="s">
        <v>20</v>
      </c>
      <c r="J1900" s="77">
        <v>40</v>
      </c>
      <c r="K1900" s="78">
        <v>2</v>
      </c>
      <c r="L1900" s="54">
        <v>1</v>
      </c>
      <c r="M1900" s="54">
        <f>_xlfn.XLOOKUP(Survey!$F1900,sections[Start],sections[Test Section],,-1,1)</f>
        <v>6</v>
      </c>
      <c r="N1900" s="55">
        <f>_xlfn.XLOOKUP(Survey!$K1900,pipedata[ID],pipedata[WT])</f>
        <v>0.74</v>
      </c>
      <c r="O1900" s="56">
        <f>_xlfn.XLOOKUP(Survey!$K1900,pipedata[ID],pipedata[104%])</f>
        <v>2565.3333333333335</v>
      </c>
      <c r="P1900" s="57">
        <f t="shared" si="29"/>
        <v>1850</v>
      </c>
      <c r="Q1900" s="58">
        <f>_xlfn.MAXIFS(Survey!$G$2:$G$3647,Survey!$M$2:$M$3647,Survey!$M1900)-Survey!$G1900</f>
        <v>487.24823335709743</v>
      </c>
      <c r="R1900" s="59">
        <f>Survey!$P1900+(Survey!$Q1900*0.433)</f>
        <v>2060.9784850436231</v>
      </c>
    </row>
    <row r="1901" spans="1:18" x14ac:dyDescent="0.25">
      <c r="A1901" s="60" t="s">
        <v>17</v>
      </c>
      <c r="B1901" s="61" t="s">
        <v>22</v>
      </c>
      <c r="C1901" s="62" t="s">
        <v>19</v>
      </c>
      <c r="D1901" s="63">
        <v>241.02142873872373</v>
      </c>
      <c r="E1901" s="79">
        <v>1302849</v>
      </c>
      <c r="F1901" s="80">
        <v>1273594.2857142908</v>
      </c>
      <c r="G1901" s="66">
        <v>3236.0075466091885</v>
      </c>
      <c r="H1901" s="67">
        <v>2</v>
      </c>
      <c r="I1901" s="68" t="s">
        <v>20</v>
      </c>
      <c r="J1901" s="69">
        <v>40</v>
      </c>
      <c r="K1901" s="70">
        <v>2</v>
      </c>
      <c r="L1901" s="68">
        <v>1</v>
      </c>
      <c r="M1901" s="68">
        <f>_xlfn.XLOOKUP(Survey!$F1901,sections[Start],sections[Test Section],,-1,1)</f>
        <v>6</v>
      </c>
      <c r="N1901" s="55">
        <f>_xlfn.XLOOKUP(Survey!$K1901,pipedata[ID],pipedata[WT])</f>
        <v>0.74</v>
      </c>
      <c r="O1901" s="56">
        <f>_xlfn.XLOOKUP(Survey!$K1901,pipedata[ID],pipedata[104%])</f>
        <v>2565.3333333333335</v>
      </c>
      <c r="P1901" s="57">
        <f t="shared" si="29"/>
        <v>1850</v>
      </c>
      <c r="Q1901" s="58">
        <f>_xlfn.MAXIFS(Survey!$G$2:$G$3647,Survey!$M$2:$M$3647,Survey!$M1901)-Survey!$G1901</f>
        <v>498.41709361922813</v>
      </c>
      <c r="R1901" s="59">
        <f>Survey!$P1901+(Survey!$Q1901*0.433)</f>
        <v>2065.8146015371258</v>
      </c>
    </row>
    <row r="1902" spans="1:18" x14ac:dyDescent="0.25">
      <c r="A1902" s="71" t="s">
        <v>17</v>
      </c>
      <c r="B1902" s="72" t="s">
        <v>22</v>
      </c>
      <c r="C1902" s="73" t="s">
        <v>19</v>
      </c>
      <c r="D1902" s="74">
        <v>241.02724555493927</v>
      </c>
      <c r="E1902" s="81">
        <v>1302889</v>
      </c>
      <c r="F1902" s="82">
        <v>1273632.4285714338</v>
      </c>
      <c r="G1902" s="75">
        <v>3227.3899724433759</v>
      </c>
      <c r="H1902" s="76">
        <v>2</v>
      </c>
      <c r="I1902" s="54" t="s">
        <v>20</v>
      </c>
      <c r="J1902" s="77">
        <v>40</v>
      </c>
      <c r="K1902" s="78">
        <v>2</v>
      </c>
      <c r="L1902" s="54">
        <v>1</v>
      </c>
      <c r="M1902" s="54">
        <f>_xlfn.XLOOKUP(Survey!$F1902,sections[Start],sections[Test Section],,-1,1)</f>
        <v>6</v>
      </c>
      <c r="N1902" s="55">
        <f>_xlfn.XLOOKUP(Survey!$K1902,pipedata[ID],pipedata[WT])</f>
        <v>0.74</v>
      </c>
      <c r="O1902" s="56">
        <f>_xlfn.XLOOKUP(Survey!$K1902,pipedata[ID],pipedata[104%])</f>
        <v>2565.3333333333335</v>
      </c>
      <c r="P1902" s="57">
        <f t="shared" si="29"/>
        <v>1850</v>
      </c>
      <c r="Q1902" s="58">
        <f>_xlfn.MAXIFS(Survey!$G$2:$G$3647,Survey!$M$2:$M$3647,Survey!$M1902)-Survey!$G1902</f>
        <v>507.03466778504071</v>
      </c>
      <c r="R1902" s="59">
        <f>Survey!$P1902+(Survey!$Q1902*0.433)</f>
        <v>2069.5460111509228</v>
      </c>
    </row>
    <row r="1903" spans="1:18" x14ac:dyDescent="0.25">
      <c r="A1903" s="60" t="s">
        <v>17</v>
      </c>
      <c r="B1903" s="61" t="s">
        <v>22</v>
      </c>
      <c r="C1903" s="62" t="s">
        <v>19</v>
      </c>
      <c r="D1903" s="63">
        <v>241.03563116311221</v>
      </c>
      <c r="E1903" s="79">
        <v>1302929</v>
      </c>
      <c r="F1903" s="80">
        <v>1273670.5714285767</v>
      </c>
      <c r="G1903" s="66">
        <v>3221.8272736119743</v>
      </c>
      <c r="H1903" s="67">
        <v>2</v>
      </c>
      <c r="I1903" s="68" t="s">
        <v>20</v>
      </c>
      <c r="J1903" s="69">
        <v>40</v>
      </c>
      <c r="K1903" s="70">
        <v>2</v>
      </c>
      <c r="L1903" s="68">
        <v>1</v>
      </c>
      <c r="M1903" s="68">
        <f>_xlfn.XLOOKUP(Survey!$F1903,sections[Start],sections[Test Section],,-1,1)</f>
        <v>6</v>
      </c>
      <c r="N1903" s="55">
        <f>_xlfn.XLOOKUP(Survey!$K1903,pipedata[ID],pipedata[WT])</f>
        <v>0.74</v>
      </c>
      <c r="O1903" s="56">
        <f>_xlfn.XLOOKUP(Survey!$K1903,pipedata[ID],pipedata[104%])</f>
        <v>2565.3333333333335</v>
      </c>
      <c r="P1903" s="57">
        <f t="shared" si="29"/>
        <v>1850</v>
      </c>
      <c r="Q1903" s="58">
        <f>_xlfn.MAXIFS(Survey!$G$2:$G$3647,Survey!$M$2:$M$3647,Survey!$M1903)-Survey!$G1903</f>
        <v>512.59736661644229</v>
      </c>
      <c r="R1903" s="59">
        <f>Survey!$P1903+(Survey!$Q1903*0.433)</f>
        <v>2071.9546597449194</v>
      </c>
    </row>
    <row r="1904" spans="1:18" x14ac:dyDescent="0.25">
      <c r="A1904" s="71" t="s">
        <v>17</v>
      </c>
      <c r="B1904" s="72" t="s">
        <v>22</v>
      </c>
      <c r="C1904" s="73" t="s">
        <v>19</v>
      </c>
      <c r="D1904" s="74">
        <v>241.04391609834892</v>
      </c>
      <c r="E1904" s="81">
        <v>1302969</v>
      </c>
      <c r="F1904" s="82">
        <v>1273708.7142857197</v>
      </c>
      <c r="G1904" s="75">
        <v>3216.5277578981409</v>
      </c>
      <c r="H1904" s="76">
        <v>2</v>
      </c>
      <c r="I1904" s="54" t="s">
        <v>20</v>
      </c>
      <c r="J1904" s="77">
        <v>40</v>
      </c>
      <c r="K1904" s="78">
        <v>2</v>
      </c>
      <c r="L1904" s="54">
        <v>1</v>
      </c>
      <c r="M1904" s="54">
        <f>_xlfn.XLOOKUP(Survey!$F1904,sections[Start],sections[Test Section],,-1,1)</f>
        <v>6</v>
      </c>
      <c r="N1904" s="55">
        <f>_xlfn.XLOOKUP(Survey!$K1904,pipedata[ID],pipedata[WT])</f>
        <v>0.74</v>
      </c>
      <c r="O1904" s="56">
        <f>_xlfn.XLOOKUP(Survey!$K1904,pipedata[ID],pipedata[104%])</f>
        <v>2565.3333333333335</v>
      </c>
      <c r="P1904" s="57">
        <f t="shared" si="29"/>
        <v>1850</v>
      </c>
      <c r="Q1904" s="58">
        <f>_xlfn.MAXIFS(Survey!$G$2:$G$3647,Survey!$M$2:$M$3647,Survey!$M1904)-Survey!$G1904</f>
        <v>517.89688233027573</v>
      </c>
      <c r="R1904" s="59">
        <f>Survey!$P1904+(Survey!$Q1904*0.433)</f>
        <v>2074.2493500490095</v>
      </c>
    </row>
    <row r="1905" spans="1:18" x14ac:dyDescent="0.25">
      <c r="A1905" s="60" t="s">
        <v>17</v>
      </c>
      <c r="B1905" s="61" t="s">
        <v>22</v>
      </c>
      <c r="C1905" s="62" t="s">
        <v>19</v>
      </c>
      <c r="D1905" s="63">
        <v>241.05054972145899</v>
      </c>
      <c r="E1905" s="79">
        <v>1303009</v>
      </c>
      <c r="F1905" s="80">
        <v>1273746.8571428626</v>
      </c>
      <c r="G1905" s="66">
        <v>3212.7017894870924</v>
      </c>
      <c r="H1905" s="67">
        <v>2</v>
      </c>
      <c r="I1905" s="68" t="s">
        <v>20</v>
      </c>
      <c r="J1905" s="69">
        <v>40</v>
      </c>
      <c r="K1905" s="70">
        <v>2</v>
      </c>
      <c r="L1905" s="68">
        <v>1</v>
      </c>
      <c r="M1905" s="68">
        <f>_xlfn.XLOOKUP(Survey!$F1905,sections[Start],sections[Test Section],,-1,1)</f>
        <v>6</v>
      </c>
      <c r="N1905" s="55">
        <f>_xlfn.XLOOKUP(Survey!$K1905,pipedata[ID],pipedata[WT])</f>
        <v>0.74</v>
      </c>
      <c r="O1905" s="56">
        <f>_xlfn.XLOOKUP(Survey!$K1905,pipedata[ID],pipedata[104%])</f>
        <v>2565.3333333333335</v>
      </c>
      <c r="P1905" s="57">
        <f t="shared" si="29"/>
        <v>1850</v>
      </c>
      <c r="Q1905" s="58">
        <f>_xlfn.MAXIFS(Survey!$G$2:$G$3647,Survey!$M$2:$M$3647,Survey!$M1905)-Survey!$G1905</f>
        <v>521.72285074132424</v>
      </c>
      <c r="R1905" s="59">
        <f>Survey!$P1905+(Survey!$Q1905*0.433)</f>
        <v>2075.9059943709935</v>
      </c>
    </row>
    <row r="1906" spans="1:18" x14ac:dyDescent="0.25">
      <c r="A1906" s="71" t="s">
        <v>17</v>
      </c>
      <c r="B1906" s="72" t="s">
        <v>22</v>
      </c>
      <c r="C1906" s="73" t="s">
        <v>19</v>
      </c>
      <c r="D1906" s="74">
        <v>241.05835667991633</v>
      </c>
      <c r="E1906" s="81">
        <v>1303049</v>
      </c>
      <c r="F1906" s="82">
        <v>1273785.0000000056</v>
      </c>
      <c r="G1906" s="75">
        <v>3206.7595315276767</v>
      </c>
      <c r="H1906" s="76">
        <v>2</v>
      </c>
      <c r="I1906" s="54" t="s">
        <v>20</v>
      </c>
      <c r="J1906" s="77">
        <v>40</v>
      </c>
      <c r="K1906" s="78">
        <v>2</v>
      </c>
      <c r="L1906" s="54">
        <v>1</v>
      </c>
      <c r="M1906" s="54">
        <f>_xlfn.XLOOKUP(Survey!$F1906,sections[Start],sections[Test Section],,-1,1)</f>
        <v>6</v>
      </c>
      <c r="N1906" s="55">
        <f>_xlfn.XLOOKUP(Survey!$K1906,pipedata[ID],pipedata[WT])</f>
        <v>0.74</v>
      </c>
      <c r="O1906" s="56">
        <f>_xlfn.XLOOKUP(Survey!$K1906,pipedata[ID],pipedata[104%])</f>
        <v>2565.3333333333335</v>
      </c>
      <c r="P1906" s="57">
        <f t="shared" si="29"/>
        <v>1850</v>
      </c>
      <c r="Q1906" s="58">
        <f>_xlfn.MAXIFS(Survey!$G$2:$G$3647,Survey!$M$2:$M$3647,Survey!$M1906)-Survey!$G1906</f>
        <v>527.66510870073989</v>
      </c>
      <c r="R1906" s="59">
        <f>Survey!$P1906+(Survey!$Q1906*0.433)</f>
        <v>2078.4789920674202</v>
      </c>
    </row>
    <row r="1907" spans="1:18" x14ac:dyDescent="0.25">
      <c r="A1907" s="60" t="s">
        <v>17</v>
      </c>
      <c r="B1907" s="61" t="s">
        <v>22</v>
      </c>
      <c r="C1907" s="62" t="s">
        <v>19</v>
      </c>
      <c r="D1907" s="63">
        <v>241.06616363837398</v>
      </c>
      <c r="E1907" s="79">
        <v>1303089</v>
      </c>
      <c r="F1907" s="80">
        <v>1273823.1428571485</v>
      </c>
      <c r="G1907" s="66">
        <v>3201.6134455076312</v>
      </c>
      <c r="H1907" s="67">
        <v>2</v>
      </c>
      <c r="I1907" s="68" t="s">
        <v>20</v>
      </c>
      <c r="J1907" s="69">
        <v>40</v>
      </c>
      <c r="K1907" s="70">
        <v>2</v>
      </c>
      <c r="L1907" s="68">
        <v>1</v>
      </c>
      <c r="M1907" s="68">
        <f>_xlfn.XLOOKUP(Survey!$F1907,sections[Start],sections[Test Section],,-1,1)</f>
        <v>6</v>
      </c>
      <c r="N1907" s="55">
        <f>_xlfn.XLOOKUP(Survey!$K1907,pipedata[ID],pipedata[WT])</f>
        <v>0.74</v>
      </c>
      <c r="O1907" s="56">
        <f>_xlfn.XLOOKUP(Survey!$K1907,pipedata[ID],pipedata[104%])</f>
        <v>2565.3333333333335</v>
      </c>
      <c r="P1907" s="57">
        <f t="shared" si="29"/>
        <v>1850</v>
      </c>
      <c r="Q1907" s="58">
        <f>_xlfn.MAXIFS(Survey!$G$2:$G$3647,Survey!$M$2:$M$3647,Survey!$M1907)-Survey!$G1907</f>
        <v>532.81119472078535</v>
      </c>
      <c r="R1907" s="59">
        <f>Survey!$P1907+(Survey!$Q1907*0.433)</f>
        <v>2080.7072473141002</v>
      </c>
    </row>
    <row r="1908" spans="1:18" x14ac:dyDescent="0.25">
      <c r="A1908" s="71" t="s">
        <v>17</v>
      </c>
      <c r="B1908" s="72" t="s">
        <v>22</v>
      </c>
      <c r="C1908" s="73" t="s">
        <v>19</v>
      </c>
      <c r="D1908" s="74">
        <v>241.07345255349901</v>
      </c>
      <c r="E1908" s="81">
        <v>1303129</v>
      </c>
      <c r="F1908" s="82">
        <v>1273861.2857142915</v>
      </c>
      <c r="G1908" s="75">
        <v>3197.4773390360178</v>
      </c>
      <c r="H1908" s="76">
        <v>2</v>
      </c>
      <c r="I1908" s="54" t="s">
        <v>20</v>
      </c>
      <c r="J1908" s="77">
        <v>40</v>
      </c>
      <c r="K1908" s="78">
        <v>2</v>
      </c>
      <c r="L1908" s="54">
        <v>1</v>
      </c>
      <c r="M1908" s="54">
        <f>_xlfn.XLOOKUP(Survey!$F1908,sections[Start],sections[Test Section],,-1,1)</f>
        <v>6</v>
      </c>
      <c r="N1908" s="55">
        <f>_xlfn.XLOOKUP(Survey!$K1908,pipedata[ID],pipedata[WT])</f>
        <v>0.74</v>
      </c>
      <c r="O1908" s="56">
        <f>_xlfn.XLOOKUP(Survey!$K1908,pipedata[ID],pipedata[104%])</f>
        <v>2565.3333333333335</v>
      </c>
      <c r="P1908" s="57">
        <f t="shared" si="29"/>
        <v>1850</v>
      </c>
      <c r="Q1908" s="58">
        <f>_xlfn.MAXIFS(Survey!$G$2:$G$3647,Survey!$M$2:$M$3647,Survey!$M1908)-Survey!$G1908</f>
        <v>536.94730119239875</v>
      </c>
      <c r="R1908" s="59">
        <f>Survey!$P1908+(Survey!$Q1908*0.433)</f>
        <v>2082.4981814163089</v>
      </c>
    </row>
    <row r="1909" spans="1:18" x14ac:dyDescent="0.25">
      <c r="A1909" s="60" t="s">
        <v>17</v>
      </c>
      <c r="B1909" s="61" t="s">
        <v>22</v>
      </c>
      <c r="C1909" s="62" t="s">
        <v>19</v>
      </c>
      <c r="D1909" s="63">
        <v>241.07961269468845</v>
      </c>
      <c r="E1909" s="79">
        <v>1303169</v>
      </c>
      <c r="F1909" s="80">
        <v>1273899.4285714345</v>
      </c>
      <c r="G1909" s="66">
        <v>3188.3718924484106</v>
      </c>
      <c r="H1909" s="67">
        <v>2</v>
      </c>
      <c r="I1909" s="68" t="s">
        <v>20</v>
      </c>
      <c r="J1909" s="69">
        <v>40</v>
      </c>
      <c r="K1909" s="70">
        <v>2</v>
      </c>
      <c r="L1909" s="68">
        <v>1</v>
      </c>
      <c r="M1909" s="68">
        <f>_xlfn.XLOOKUP(Survey!$F1909,sections[Start],sections[Test Section],,-1,1)</f>
        <v>6</v>
      </c>
      <c r="N1909" s="55">
        <f>_xlfn.XLOOKUP(Survey!$K1909,pipedata[ID],pipedata[WT])</f>
        <v>0.74</v>
      </c>
      <c r="O1909" s="56">
        <f>_xlfn.XLOOKUP(Survey!$K1909,pipedata[ID],pipedata[104%])</f>
        <v>2565.3333333333335</v>
      </c>
      <c r="P1909" s="57">
        <f t="shared" si="29"/>
        <v>1850</v>
      </c>
      <c r="Q1909" s="58">
        <f>_xlfn.MAXIFS(Survey!$G$2:$G$3647,Survey!$M$2:$M$3647,Survey!$M1909)-Survey!$G1909</f>
        <v>546.05274778000603</v>
      </c>
      <c r="R1909" s="59">
        <f>Survey!$P1909+(Survey!$Q1909*0.433)</f>
        <v>2086.4408397887428</v>
      </c>
    </row>
    <row r="1910" spans="1:18" x14ac:dyDescent="0.25">
      <c r="A1910" s="71" t="s">
        <v>17</v>
      </c>
      <c r="B1910" s="72" t="s">
        <v>22</v>
      </c>
      <c r="C1910" s="73" t="s">
        <v>19</v>
      </c>
      <c r="D1910" s="74">
        <v>241.08763106469118</v>
      </c>
      <c r="E1910" s="81">
        <v>1303209</v>
      </c>
      <c r="F1910" s="82">
        <v>1273937.5714285774</v>
      </c>
      <c r="G1910" s="75">
        <v>3183.3035889453608</v>
      </c>
      <c r="H1910" s="76">
        <v>2</v>
      </c>
      <c r="I1910" s="54" t="s">
        <v>20</v>
      </c>
      <c r="J1910" s="77">
        <v>40</v>
      </c>
      <c r="K1910" s="78">
        <v>2</v>
      </c>
      <c r="L1910" s="54">
        <v>1</v>
      </c>
      <c r="M1910" s="54">
        <f>_xlfn.XLOOKUP(Survey!$F1910,sections[Start],sections[Test Section],,-1,1)</f>
        <v>6</v>
      </c>
      <c r="N1910" s="55">
        <f>_xlfn.XLOOKUP(Survey!$K1910,pipedata[ID],pipedata[WT])</f>
        <v>0.74</v>
      </c>
      <c r="O1910" s="56">
        <f>_xlfn.XLOOKUP(Survey!$K1910,pipedata[ID],pipedata[104%])</f>
        <v>2565.3333333333335</v>
      </c>
      <c r="P1910" s="57">
        <f t="shared" si="29"/>
        <v>1850</v>
      </c>
      <c r="Q1910" s="58">
        <f>_xlfn.MAXIFS(Survey!$G$2:$G$3647,Survey!$M$2:$M$3647,Survey!$M1910)-Survey!$G1910</f>
        <v>551.12105128305575</v>
      </c>
      <c r="R1910" s="59">
        <f>Survey!$P1910+(Survey!$Q1910*0.433)</f>
        <v>2088.6354152055633</v>
      </c>
    </row>
    <row r="1911" spans="1:18" x14ac:dyDescent="0.25">
      <c r="A1911" s="60" t="s">
        <v>17</v>
      </c>
      <c r="B1911" s="61" t="s">
        <v>22</v>
      </c>
      <c r="C1911" s="62" t="s">
        <v>19</v>
      </c>
      <c r="D1911" s="63">
        <v>241.095649434694</v>
      </c>
      <c r="E1911" s="79">
        <v>1303249</v>
      </c>
      <c r="F1911" s="80">
        <v>1273975.7142857204</v>
      </c>
      <c r="G1911" s="66">
        <v>3180.2927750084082</v>
      </c>
      <c r="H1911" s="67">
        <v>2</v>
      </c>
      <c r="I1911" s="68" t="s">
        <v>20</v>
      </c>
      <c r="J1911" s="69">
        <v>40</v>
      </c>
      <c r="K1911" s="70">
        <v>2</v>
      </c>
      <c r="L1911" s="68">
        <v>1</v>
      </c>
      <c r="M1911" s="68">
        <f>_xlfn.XLOOKUP(Survey!$F1911,sections[Start],sections[Test Section],,-1,1)</f>
        <v>6</v>
      </c>
      <c r="N1911" s="55">
        <f>_xlfn.XLOOKUP(Survey!$K1911,pipedata[ID],pipedata[WT])</f>
        <v>0.74</v>
      </c>
      <c r="O1911" s="56">
        <f>_xlfn.XLOOKUP(Survey!$K1911,pipedata[ID],pipedata[104%])</f>
        <v>2565.3333333333335</v>
      </c>
      <c r="P1911" s="57">
        <f t="shared" si="29"/>
        <v>1850</v>
      </c>
      <c r="Q1911" s="58">
        <f>_xlfn.MAXIFS(Survey!$G$2:$G$3647,Survey!$M$2:$M$3647,Survey!$M1911)-Survey!$G1911</f>
        <v>554.13186522000842</v>
      </c>
      <c r="R1911" s="59">
        <f>Survey!$P1911+(Survey!$Q1911*0.433)</f>
        <v>2089.9390976402638</v>
      </c>
    </row>
    <row r="1912" spans="1:18" x14ac:dyDescent="0.25">
      <c r="A1912" s="71" t="s">
        <v>17</v>
      </c>
      <c r="B1912" s="72" t="s">
        <v>22</v>
      </c>
      <c r="C1912" s="73" t="s">
        <v>19</v>
      </c>
      <c r="D1912" s="74">
        <v>241.10351215011073</v>
      </c>
      <c r="E1912" s="81">
        <v>1303289</v>
      </c>
      <c r="F1912" s="82">
        <v>1274013.8571428633</v>
      </c>
      <c r="G1912" s="75">
        <v>3170.8864759002399</v>
      </c>
      <c r="H1912" s="76">
        <v>2</v>
      </c>
      <c r="I1912" s="54" t="s">
        <v>20</v>
      </c>
      <c r="J1912" s="77">
        <v>40</v>
      </c>
      <c r="K1912" s="78">
        <v>2</v>
      </c>
      <c r="L1912" s="54">
        <v>1</v>
      </c>
      <c r="M1912" s="54">
        <f>_xlfn.XLOOKUP(Survey!$F1912,sections[Start],sections[Test Section],,-1,1)</f>
        <v>6</v>
      </c>
      <c r="N1912" s="55">
        <f>_xlfn.XLOOKUP(Survey!$K1912,pipedata[ID],pipedata[WT])</f>
        <v>0.74</v>
      </c>
      <c r="O1912" s="56">
        <f>_xlfn.XLOOKUP(Survey!$K1912,pipedata[ID],pipedata[104%])</f>
        <v>2565.3333333333335</v>
      </c>
      <c r="P1912" s="57">
        <f t="shared" si="29"/>
        <v>1850</v>
      </c>
      <c r="Q1912" s="58">
        <f>_xlfn.MAXIFS(Survey!$G$2:$G$3647,Survey!$M$2:$M$3647,Survey!$M1912)-Survey!$G1912</f>
        <v>563.53816432817666</v>
      </c>
      <c r="R1912" s="59">
        <f>Survey!$P1912+(Survey!$Q1912*0.433)</f>
        <v>2094.0120251541007</v>
      </c>
    </row>
    <row r="1913" spans="1:18" x14ac:dyDescent="0.25">
      <c r="A1913" s="60" t="s">
        <v>17</v>
      </c>
      <c r="B1913" s="61" t="s">
        <v>22</v>
      </c>
      <c r="C1913" s="62" t="s">
        <v>19</v>
      </c>
      <c r="D1913" s="63">
        <v>241.10901338469847</v>
      </c>
      <c r="E1913" s="79">
        <v>1303329</v>
      </c>
      <c r="F1913" s="80">
        <v>1274052.0000000063</v>
      </c>
      <c r="G1913" s="66">
        <v>3154.5026583184504</v>
      </c>
      <c r="H1913" s="67">
        <v>2</v>
      </c>
      <c r="I1913" s="68" t="s">
        <v>20</v>
      </c>
      <c r="J1913" s="69">
        <v>40</v>
      </c>
      <c r="K1913" s="70">
        <v>2</v>
      </c>
      <c r="L1913" s="68">
        <v>1</v>
      </c>
      <c r="M1913" s="68">
        <f>_xlfn.XLOOKUP(Survey!$F1913,sections[Start],sections[Test Section],,-1,1)</f>
        <v>6</v>
      </c>
      <c r="N1913" s="55">
        <f>_xlfn.XLOOKUP(Survey!$K1913,pipedata[ID],pipedata[WT])</f>
        <v>0.74</v>
      </c>
      <c r="O1913" s="56">
        <f>_xlfn.XLOOKUP(Survey!$K1913,pipedata[ID],pipedata[104%])</f>
        <v>2565.3333333333335</v>
      </c>
      <c r="P1913" s="57">
        <f t="shared" si="29"/>
        <v>1850</v>
      </c>
      <c r="Q1913" s="58">
        <f>_xlfn.MAXIFS(Survey!$G$2:$G$3647,Survey!$M$2:$M$3647,Survey!$M1913)-Survey!$G1913</f>
        <v>579.92198190996623</v>
      </c>
      <c r="R1913" s="59">
        <f>Survey!$P1913+(Survey!$Q1913*0.433)</f>
        <v>2101.1062181670154</v>
      </c>
    </row>
    <row r="1914" spans="1:18" x14ac:dyDescent="0.25">
      <c r="A1914" s="71" t="s">
        <v>17</v>
      </c>
      <c r="B1914" s="72" t="s">
        <v>22</v>
      </c>
      <c r="C1914" s="73" t="s">
        <v>19</v>
      </c>
      <c r="D1914" s="74">
        <v>241.11703175470123</v>
      </c>
      <c r="E1914" s="81">
        <v>1303369</v>
      </c>
      <c r="F1914" s="82">
        <v>1274090.1428571492</v>
      </c>
      <c r="G1914" s="75">
        <v>3139.7694686547852</v>
      </c>
      <c r="H1914" s="76">
        <v>2</v>
      </c>
      <c r="I1914" s="54" t="s">
        <v>20</v>
      </c>
      <c r="J1914" s="77">
        <v>40</v>
      </c>
      <c r="K1914" s="78">
        <v>2</v>
      </c>
      <c r="L1914" s="54">
        <v>1</v>
      </c>
      <c r="M1914" s="54">
        <f>_xlfn.XLOOKUP(Survey!$F1914,sections[Start],sections[Test Section],,-1,1)</f>
        <v>6</v>
      </c>
      <c r="N1914" s="55">
        <f>_xlfn.XLOOKUP(Survey!$K1914,pipedata[ID],pipedata[WT])</f>
        <v>0.74</v>
      </c>
      <c r="O1914" s="56">
        <f>_xlfn.XLOOKUP(Survey!$K1914,pipedata[ID],pipedata[104%])</f>
        <v>2565.3333333333335</v>
      </c>
      <c r="P1914" s="57">
        <f t="shared" si="29"/>
        <v>1850</v>
      </c>
      <c r="Q1914" s="58">
        <f>_xlfn.MAXIFS(Survey!$G$2:$G$3647,Survey!$M$2:$M$3647,Survey!$M1914)-Survey!$G1914</f>
        <v>594.65517157363138</v>
      </c>
      <c r="R1914" s="59">
        <f>Survey!$P1914+(Survey!$Q1914*0.433)</f>
        <v>2107.4856892913822</v>
      </c>
    </row>
    <row r="1915" spans="1:18" x14ac:dyDescent="0.25">
      <c r="A1915" s="60" t="s">
        <v>17</v>
      </c>
      <c r="B1915" s="61" t="s">
        <v>22</v>
      </c>
      <c r="C1915" s="62" t="s">
        <v>19</v>
      </c>
      <c r="D1915" s="63">
        <v>241.12237733470295</v>
      </c>
      <c r="E1915" s="79">
        <v>1303409</v>
      </c>
      <c r="F1915" s="80">
        <v>1274128.2857142922</v>
      </c>
      <c r="G1915" s="66">
        <v>3122.2145222122745</v>
      </c>
      <c r="H1915" s="67">
        <v>2</v>
      </c>
      <c r="I1915" s="68" t="s">
        <v>20</v>
      </c>
      <c r="J1915" s="69">
        <v>40</v>
      </c>
      <c r="K1915" s="70">
        <v>2</v>
      </c>
      <c r="L1915" s="68">
        <v>1</v>
      </c>
      <c r="M1915" s="68">
        <f>_xlfn.XLOOKUP(Survey!$F1915,sections[Start],sections[Test Section],,-1,1)</f>
        <v>6</v>
      </c>
      <c r="N1915" s="55">
        <f>_xlfn.XLOOKUP(Survey!$K1915,pipedata[ID],pipedata[WT])</f>
        <v>0.74</v>
      </c>
      <c r="O1915" s="56">
        <f>_xlfn.XLOOKUP(Survey!$K1915,pipedata[ID],pipedata[104%])</f>
        <v>2565.3333333333335</v>
      </c>
      <c r="P1915" s="57">
        <f t="shared" si="29"/>
        <v>1850</v>
      </c>
      <c r="Q1915" s="58">
        <f>_xlfn.MAXIFS(Survey!$G$2:$G$3647,Survey!$M$2:$M$3647,Survey!$M1915)-Survey!$G1915</f>
        <v>612.21011801614213</v>
      </c>
      <c r="R1915" s="59">
        <f>Survey!$P1915+(Survey!$Q1915*0.433)</f>
        <v>2115.0869811009898</v>
      </c>
    </row>
    <row r="1916" spans="1:18" x14ac:dyDescent="0.25">
      <c r="A1916" s="71" t="s">
        <v>17</v>
      </c>
      <c r="B1916" s="72" t="s">
        <v>22</v>
      </c>
      <c r="C1916" s="73" t="s">
        <v>19</v>
      </c>
      <c r="D1916" s="74">
        <v>241.13039570470579</v>
      </c>
      <c r="E1916" s="81">
        <v>1303449</v>
      </c>
      <c r="F1916" s="82">
        <v>1274166.4285714352</v>
      </c>
      <c r="G1916" s="75">
        <v>3100.6621456177659</v>
      </c>
      <c r="H1916" s="76">
        <v>2</v>
      </c>
      <c r="I1916" s="54" t="s">
        <v>20</v>
      </c>
      <c r="J1916" s="77">
        <v>40</v>
      </c>
      <c r="K1916" s="78">
        <v>2</v>
      </c>
      <c r="L1916" s="54">
        <v>1</v>
      </c>
      <c r="M1916" s="54">
        <f>_xlfn.XLOOKUP(Survey!$F1916,sections[Start],sections[Test Section],,-1,1)</f>
        <v>6</v>
      </c>
      <c r="N1916" s="55">
        <f>_xlfn.XLOOKUP(Survey!$K1916,pipedata[ID],pipedata[WT])</f>
        <v>0.74</v>
      </c>
      <c r="O1916" s="56">
        <f>_xlfn.XLOOKUP(Survey!$K1916,pipedata[ID],pipedata[104%])</f>
        <v>2565.3333333333335</v>
      </c>
      <c r="P1916" s="57">
        <f t="shared" si="29"/>
        <v>1850</v>
      </c>
      <c r="Q1916" s="58">
        <f>_xlfn.MAXIFS(Survey!$G$2:$G$3647,Survey!$M$2:$M$3647,Survey!$M1916)-Survey!$G1916</f>
        <v>633.76249461065072</v>
      </c>
      <c r="R1916" s="59">
        <f>Survey!$P1916+(Survey!$Q1916*0.433)</f>
        <v>2124.4191601664115</v>
      </c>
    </row>
    <row r="1917" spans="1:18" x14ac:dyDescent="0.25">
      <c r="A1917" s="60" t="s">
        <v>17</v>
      </c>
      <c r="B1917" s="61" t="s">
        <v>22</v>
      </c>
      <c r="C1917" s="62" t="s">
        <v>19</v>
      </c>
      <c r="D1917" s="63">
        <v>241.13574128470748</v>
      </c>
      <c r="E1917" s="79">
        <v>1303489</v>
      </c>
      <c r="F1917" s="80">
        <v>1274204.5714285781</v>
      </c>
      <c r="G1917" s="66">
        <v>3075.426308151476</v>
      </c>
      <c r="H1917" s="67">
        <v>2</v>
      </c>
      <c r="I1917" s="68" t="s">
        <v>20</v>
      </c>
      <c r="J1917" s="69">
        <v>40</v>
      </c>
      <c r="K1917" s="70">
        <v>2</v>
      </c>
      <c r="L1917" s="68">
        <v>1</v>
      </c>
      <c r="M1917" s="68">
        <f>_xlfn.XLOOKUP(Survey!$F1917,sections[Start],sections[Test Section],,-1,1)</f>
        <v>6</v>
      </c>
      <c r="N1917" s="55">
        <f>_xlfn.XLOOKUP(Survey!$K1917,pipedata[ID],pipedata[WT])</f>
        <v>0.74</v>
      </c>
      <c r="O1917" s="56">
        <f>_xlfn.XLOOKUP(Survey!$K1917,pipedata[ID],pipedata[104%])</f>
        <v>2565.3333333333335</v>
      </c>
      <c r="P1917" s="57">
        <f t="shared" si="29"/>
        <v>1850</v>
      </c>
      <c r="Q1917" s="58">
        <f>_xlfn.MAXIFS(Survey!$G$2:$G$3647,Survey!$M$2:$M$3647,Survey!$M1917)-Survey!$G1917</f>
        <v>658.99833207694064</v>
      </c>
      <c r="R1917" s="59">
        <f>Survey!$P1917+(Survey!$Q1917*0.433)</f>
        <v>2135.3462777893155</v>
      </c>
    </row>
    <row r="1918" spans="1:18" x14ac:dyDescent="0.25">
      <c r="A1918" s="71" t="s">
        <v>17</v>
      </c>
      <c r="B1918" s="72" t="s">
        <v>22</v>
      </c>
      <c r="C1918" s="73" t="s">
        <v>19</v>
      </c>
      <c r="D1918" s="74">
        <v>241.14375965471052</v>
      </c>
      <c r="E1918" s="81">
        <v>1303529</v>
      </c>
      <c r="F1918" s="82">
        <v>1274242.7142857211</v>
      </c>
      <c r="G1918" s="75">
        <v>3058.0444409729243</v>
      </c>
      <c r="H1918" s="76">
        <v>2</v>
      </c>
      <c r="I1918" s="54" t="s">
        <v>20</v>
      </c>
      <c r="J1918" s="77">
        <v>40</v>
      </c>
      <c r="K1918" s="78">
        <v>2</v>
      </c>
      <c r="L1918" s="54">
        <v>1</v>
      </c>
      <c r="M1918" s="54">
        <f>_xlfn.XLOOKUP(Survey!$F1918,sections[Start],sections[Test Section],,-1,1)</f>
        <v>6</v>
      </c>
      <c r="N1918" s="55">
        <f>_xlfn.XLOOKUP(Survey!$K1918,pipedata[ID],pipedata[WT])</f>
        <v>0.74</v>
      </c>
      <c r="O1918" s="56">
        <f>_xlfn.XLOOKUP(Survey!$K1918,pipedata[ID],pipedata[104%])</f>
        <v>2565.3333333333335</v>
      </c>
      <c r="P1918" s="57">
        <f t="shared" si="29"/>
        <v>1850</v>
      </c>
      <c r="Q1918" s="58">
        <f>_xlfn.MAXIFS(Survey!$G$2:$G$3647,Survey!$M$2:$M$3647,Survey!$M1918)-Survey!$G1918</f>
        <v>676.38019925549224</v>
      </c>
      <c r="R1918" s="59">
        <f>Survey!$P1918+(Survey!$Q1918*0.433)</f>
        <v>2142.8726262776281</v>
      </c>
    </row>
    <row r="1919" spans="1:18" x14ac:dyDescent="0.25">
      <c r="A1919" s="60" t="s">
        <v>17</v>
      </c>
      <c r="B1919" s="61" t="s">
        <v>22</v>
      </c>
      <c r="C1919" s="62" t="s">
        <v>19</v>
      </c>
      <c r="D1919" s="63">
        <v>241.14914211309338</v>
      </c>
      <c r="E1919" s="79">
        <v>1303569</v>
      </c>
      <c r="F1919" s="80">
        <v>1274280.857142864</v>
      </c>
      <c r="G1919" s="66">
        <v>3033.5501835880004</v>
      </c>
      <c r="H1919" s="67">
        <v>2</v>
      </c>
      <c r="I1919" s="68" t="s">
        <v>20</v>
      </c>
      <c r="J1919" s="69">
        <v>40</v>
      </c>
      <c r="K1919" s="70">
        <v>2</v>
      </c>
      <c r="L1919" s="68">
        <v>1</v>
      </c>
      <c r="M1919" s="68">
        <f>_xlfn.XLOOKUP(Survey!$F1919,sections[Start],sections[Test Section],,-1,1)</f>
        <v>6</v>
      </c>
      <c r="N1919" s="55">
        <f>_xlfn.XLOOKUP(Survey!$K1919,pipedata[ID],pipedata[WT])</f>
        <v>0.74</v>
      </c>
      <c r="O1919" s="56">
        <f>_xlfn.XLOOKUP(Survey!$K1919,pipedata[ID],pipedata[104%])</f>
        <v>2565.3333333333335</v>
      </c>
      <c r="P1919" s="57">
        <f t="shared" si="29"/>
        <v>1850</v>
      </c>
      <c r="Q1919" s="58">
        <f>_xlfn.MAXIFS(Survey!$G$2:$G$3647,Survey!$M$2:$M$3647,Survey!$M1919)-Survey!$G1919</f>
        <v>700.87445664041616</v>
      </c>
      <c r="R1919" s="59">
        <f>Survey!$P1919+(Survey!$Q1919*0.433)</f>
        <v>2153.4786397253001</v>
      </c>
    </row>
    <row r="1920" spans="1:18" x14ac:dyDescent="0.25">
      <c r="A1920" s="71" t="s">
        <v>17</v>
      </c>
      <c r="B1920" s="72" t="s">
        <v>22</v>
      </c>
      <c r="C1920" s="73" t="s">
        <v>19</v>
      </c>
      <c r="D1920" s="74">
        <v>241.1545103440325</v>
      </c>
      <c r="E1920" s="81">
        <v>1303609</v>
      </c>
      <c r="F1920" s="82">
        <v>1274319.000000007</v>
      </c>
      <c r="G1920" s="75">
        <v>3009.9403640463547</v>
      </c>
      <c r="H1920" s="76">
        <v>2</v>
      </c>
      <c r="I1920" s="54" t="s">
        <v>20</v>
      </c>
      <c r="J1920" s="77">
        <v>40</v>
      </c>
      <c r="K1920" s="78">
        <v>2</v>
      </c>
      <c r="L1920" s="54">
        <v>1</v>
      </c>
      <c r="M1920" s="54">
        <f>_xlfn.XLOOKUP(Survey!$F1920,sections[Start],sections[Test Section],,-1,1)</f>
        <v>6</v>
      </c>
      <c r="N1920" s="55">
        <f>_xlfn.XLOOKUP(Survey!$K1920,pipedata[ID],pipedata[WT])</f>
        <v>0.74</v>
      </c>
      <c r="O1920" s="56">
        <f>_xlfn.XLOOKUP(Survey!$K1920,pipedata[ID],pipedata[104%])</f>
        <v>2565.3333333333335</v>
      </c>
      <c r="P1920" s="57">
        <f t="shared" si="29"/>
        <v>1850</v>
      </c>
      <c r="Q1920" s="58">
        <f>_xlfn.MAXIFS(Survey!$G$2:$G$3647,Survey!$M$2:$M$3647,Survey!$M1920)-Survey!$G1920</f>
        <v>724.48427618206188</v>
      </c>
      <c r="R1920" s="59">
        <f>Survey!$P1920+(Survey!$Q1920*0.433)</f>
        <v>2163.7016915868326</v>
      </c>
    </row>
    <row r="1921" spans="1:18" x14ac:dyDescent="0.25">
      <c r="A1921" s="60" t="s">
        <v>17</v>
      </c>
      <c r="B1921" s="61" t="s">
        <v>22</v>
      </c>
      <c r="C1921" s="62" t="s">
        <v>19</v>
      </c>
      <c r="D1921" s="63">
        <v>241.16199610088674</v>
      </c>
      <c r="E1921" s="79">
        <v>1303649</v>
      </c>
      <c r="F1921" s="80">
        <v>1274357.1428571499</v>
      </c>
      <c r="G1921" s="66">
        <v>2990.3995258527248</v>
      </c>
      <c r="H1921" s="67">
        <v>2</v>
      </c>
      <c r="I1921" s="68" t="s">
        <v>20</v>
      </c>
      <c r="J1921" s="69">
        <v>40</v>
      </c>
      <c r="K1921" s="70">
        <v>2</v>
      </c>
      <c r="L1921" s="68">
        <v>1</v>
      </c>
      <c r="M1921" s="68">
        <f>_xlfn.XLOOKUP(Survey!$F1921,sections[Start],sections[Test Section],,-1,1)</f>
        <v>6</v>
      </c>
      <c r="N1921" s="55">
        <f>_xlfn.XLOOKUP(Survey!$K1921,pipedata[ID],pipedata[WT])</f>
        <v>0.74</v>
      </c>
      <c r="O1921" s="56">
        <f>_xlfn.XLOOKUP(Survey!$K1921,pipedata[ID],pipedata[104%])</f>
        <v>2565.3333333333335</v>
      </c>
      <c r="P1921" s="57">
        <f t="shared" si="29"/>
        <v>1850</v>
      </c>
      <c r="Q1921" s="58">
        <f>_xlfn.MAXIFS(Survey!$G$2:$G$3647,Survey!$M$2:$M$3647,Survey!$M1921)-Survey!$G1921</f>
        <v>744.02511437569183</v>
      </c>
      <c r="R1921" s="59">
        <f>Survey!$P1921+(Survey!$Q1921*0.433)</f>
        <v>2172.1628745246744</v>
      </c>
    </row>
    <row r="1922" spans="1:18" x14ac:dyDescent="0.25">
      <c r="A1922" s="71" t="s">
        <v>17</v>
      </c>
      <c r="B1922" s="72" t="s">
        <v>22</v>
      </c>
      <c r="C1922" s="73" t="s">
        <v>19</v>
      </c>
      <c r="D1922" s="74">
        <v>241.17001447088947</v>
      </c>
      <c r="E1922" s="81">
        <v>1303689</v>
      </c>
      <c r="F1922" s="82">
        <v>1274395.2857142929</v>
      </c>
      <c r="G1922" s="75">
        <v>2976.9561822504552</v>
      </c>
      <c r="H1922" s="76">
        <v>2</v>
      </c>
      <c r="I1922" s="54" t="s">
        <v>20</v>
      </c>
      <c r="J1922" s="77">
        <v>40</v>
      </c>
      <c r="K1922" s="78">
        <v>2</v>
      </c>
      <c r="L1922" s="54">
        <v>1</v>
      </c>
      <c r="M1922" s="54">
        <f>_xlfn.XLOOKUP(Survey!$F1922,sections[Start],sections[Test Section],,-1,1)</f>
        <v>6</v>
      </c>
      <c r="N1922" s="55">
        <f>_xlfn.XLOOKUP(Survey!$K1922,pipedata[ID],pipedata[WT])</f>
        <v>0.74</v>
      </c>
      <c r="O1922" s="56">
        <f>_xlfn.XLOOKUP(Survey!$K1922,pipedata[ID],pipedata[104%])</f>
        <v>2565.3333333333335</v>
      </c>
      <c r="P1922" s="57">
        <f t="shared" ref="P1922:P1985" si="30">IF(L1922=1,1850,IF(L1922=2,1850,2220))</f>
        <v>1850</v>
      </c>
      <c r="Q1922" s="58">
        <f>_xlfn.MAXIFS(Survey!$G$2:$G$3647,Survey!$M$2:$M$3647,Survey!$M1922)-Survey!$G1922</f>
        <v>757.46845797796141</v>
      </c>
      <c r="R1922" s="59">
        <f>Survey!$P1922+(Survey!$Q1922*0.433)</f>
        <v>2177.9838423044575</v>
      </c>
    </row>
    <row r="1923" spans="1:18" x14ac:dyDescent="0.25">
      <c r="A1923" s="60" t="s">
        <v>17</v>
      </c>
      <c r="B1923" s="61" t="s">
        <v>22</v>
      </c>
      <c r="C1923" s="62" t="s">
        <v>19</v>
      </c>
      <c r="D1923" s="63">
        <v>241.1775803164937</v>
      </c>
      <c r="E1923" s="79">
        <v>1303729</v>
      </c>
      <c r="F1923" s="80">
        <v>1274433.4285714359</v>
      </c>
      <c r="G1923" s="66">
        <v>2960.5136896856593</v>
      </c>
      <c r="H1923" s="67">
        <v>2</v>
      </c>
      <c r="I1923" s="68" t="s">
        <v>20</v>
      </c>
      <c r="J1923" s="69">
        <v>40</v>
      </c>
      <c r="K1923" s="70">
        <v>2</v>
      </c>
      <c r="L1923" s="68">
        <v>1</v>
      </c>
      <c r="M1923" s="68">
        <f>_xlfn.XLOOKUP(Survey!$F1923,sections[Start],sections[Test Section],,-1,1)</f>
        <v>6</v>
      </c>
      <c r="N1923" s="55">
        <f>_xlfn.XLOOKUP(Survey!$K1923,pipedata[ID],pipedata[WT])</f>
        <v>0.74</v>
      </c>
      <c r="O1923" s="56">
        <f>_xlfn.XLOOKUP(Survey!$K1923,pipedata[ID],pipedata[104%])</f>
        <v>2565.3333333333335</v>
      </c>
      <c r="P1923" s="57">
        <f t="shared" si="30"/>
        <v>1850</v>
      </c>
      <c r="Q1923" s="58">
        <f>_xlfn.MAXIFS(Survey!$G$2:$G$3647,Survey!$M$2:$M$3647,Survey!$M1923)-Survey!$G1923</f>
        <v>773.91095054275729</v>
      </c>
      <c r="R1923" s="59">
        <f>Survey!$P1923+(Survey!$Q1923*0.433)</f>
        <v>2185.103441585014</v>
      </c>
    </row>
    <row r="1924" spans="1:18" x14ac:dyDescent="0.25">
      <c r="A1924" s="71" t="s">
        <v>17</v>
      </c>
      <c r="B1924" s="72" t="s">
        <v>22</v>
      </c>
      <c r="C1924" s="73" t="s">
        <v>19</v>
      </c>
      <c r="D1924" s="74">
        <v>241.18337842089403</v>
      </c>
      <c r="E1924" s="81">
        <v>1303769</v>
      </c>
      <c r="F1924" s="82">
        <v>1274471.5714285788</v>
      </c>
      <c r="G1924" s="75">
        <v>2945.813823930584</v>
      </c>
      <c r="H1924" s="76">
        <v>2</v>
      </c>
      <c r="I1924" s="54" t="s">
        <v>20</v>
      </c>
      <c r="J1924" s="77">
        <v>40</v>
      </c>
      <c r="K1924" s="78">
        <v>2</v>
      </c>
      <c r="L1924" s="54">
        <v>1</v>
      </c>
      <c r="M1924" s="54">
        <f>_xlfn.XLOOKUP(Survey!$F1924,sections[Start],sections[Test Section],,-1,1)</f>
        <v>6</v>
      </c>
      <c r="N1924" s="55">
        <f>_xlfn.XLOOKUP(Survey!$K1924,pipedata[ID],pipedata[WT])</f>
        <v>0.74</v>
      </c>
      <c r="O1924" s="56">
        <f>_xlfn.XLOOKUP(Survey!$K1924,pipedata[ID],pipedata[104%])</f>
        <v>2565.3333333333335</v>
      </c>
      <c r="P1924" s="57">
        <f t="shared" si="30"/>
        <v>1850</v>
      </c>
      <c r="Q1924" s="58">
        <f>_xlfn.MAXIFS(Survey!$G$2:$G$3647,Survey!$M$2:$M$3647,Survey!$M1924)-Survey!$G1924</f>
        <v>788.61081629783257</v>
      </c>
      <c r="R1924" s="59">
        <f>Survey!$P1924+(Survey!$Q1924*0.433)</f>
        <v>2191.4684834569616</v>
      </c>
    </row>
    <row r="1925" spans="1:18" x14ac:dyDescent="0.25">
      <c r="A1925" s="60" t="s">
        <v>17</v>
      </c>
      <c r="B1925" s="61" t="s">
        <v>22</v>
      </c>
      <c r="C1925" s="62" t="s">
        <v>19</v>
      </c>
      <c r="D1925" s="63">
        <v>241.19139679089673</v>
      </c>
      <c r="E1925" s="79">
        <v>1303809</v>
      </c>
      <c r="F1925" s="80">
        <v>1274509.7142857218</v>
      </c>
      <c r="G1925" s="66">
        <v>2932.6107174583371</v>
      </c>
      <c r="H1925" s="67">
        <v>2</v>
      </c>
      <c r="I1925" s="68" t="s">
        <v>20</v>
      </c>
      <c r="J1925" s="69">
        <v>40</v>
      </c>
      <c r="K1925" s="70">
        <v>2</v>
      </c>
      <c r="L1925" s="68">
        <v>1</v>
      </c>
      <c r="M1925" s="68">
        <f>_xlfn.XLOOKUP(Survey!$F1925,sections[Start],sections[Test Section],,-1,1)</f>
        <v>6</v>
      </c>
      <c r="N1925" s="55">
        <f>_xlfn.XLOOKUP(Survey!$K1925,pipedata[ID],pipedata[WT])</f>
        <v>0.74</v>
      </c>
      <c r="O1925" s="56">
        <f>_xlfn.XLOOKUP(Survey!$K1925,pipedata[ID],pipedata[104%])</f>
        <v>2565.3333333333335</v>
      </c>
      <c r="P1925" s="57">
        <f t="shared" si="30"/>
        <v>1850</v>
      </c>
      <c r="Q1925" s="58">
        <f>_xlfn.MAXIFS(Survey!$G$2:$G$3647,Survey!$M$2:$M$3647,Survey!$M1925)-Survey!$G1925</f>
        <v>801.81392277007944</v>
      </c>
      <c r="R1925" s="59">
        <f>Survey!$P1925+(Survey!$Q1925*0.433)</f>
        <v>2197.1854285594445</v>
      </c>
    </row>
    <row r="1926" spans="1:18" x14ac:dyDescent="0.25">
      <c r="A1926" s="71" t="s">
        <v>17</v>
      </c>
      <c r="B1926" s="72" t="s">
        <v>22</v>
      </c>
      <c r="C1926" s="73" t="s">
        <v>19</v>
      </c>
      <c r="D1926" s="74">
        <v>241.19905324025044</v>
      </c>
      <c r="E1926" s="81">
        <v>1303849</v>
      </c>
      <c r="F1926" s="82">
        <v>1274547.8571428647</v>
      </c>
      <c r="G1926" s="75">
        <v>2923.7117766364013</v>
      </c>
      <c r="H1926" s="76">
        <v>2</v>
      </c>
      <c r="I1926" s="54" t="s">
        <v>20</v>
      </c>
      <c r="J1926" s="77">
        <v>40</v>
      </c>
      <c r="K1926" s="78">
        <v>2</v>
      </c>
      <c r="L1926" s="54">
        <v>1</v>
      </c>
      <c r="M1926" s="54">
        <f>_xlfn.XLOOKUP(Survey!$F1926,sections[Start],sections[Test Section],,-1,1)</f>
        <v>6</v>
      </c>
      <c r="N1926" s="55">
        <f>_xlfn.XLOOKUP(Survey!$K1926,pipedata[ID],pipedata[WT])</f>
        <v>0.74</v>
      </c>
      <c r="O1926" s="56">
        <f>_xlfn.XLOOKUP(Survey!$K1926,pipedata[ID],pipedata[104%])</f>
        <v>2565.3333333333335</v>
      </c>
      <c r="P1926" s="57">
        <f t="shared" si="30"/>
        <v>1850</v>
      </c>
      <c r="Q1926" s="58">
        <f>_xlfn.MAXIFS(Survey!$G$2:$G$3647,Survey!$M$2:$M$3647,Survey!$M1926)-Survey!$G1926</f>
        <v>810.71286359201531</v>
      </c>
      <c r="R1926" s="59">
        <f>Survey!$P1926+(Survey!$Q1926*0.433)</f>
        <v>2201.0386699353426</v>
      </c>
    </row>
    <row r="1927" spans="1:18" x14ac:dyDescent="0.25">
      <c r="A1927" s="60" t="s">
        <v>17</v>
      </c>
      <c r="B1927" s="61" t="s">
        <v>22</v>
      </c>
      <c r="C1927" s="62" t="s">
        <v>19</v>
      </c>
      <c r="D1927" s="63">
        <v>241.20476074090129</v>
      </c>
      <c r="E1927" s="64">
        <v>1303889</v>
      </c>
      <c r="F1927" s="65">
        <v>1274586.0000000077</v>
      </c>
      <c r="G1927" s="66">
        <v>2913.6578203669937</v>
      </c>
      <c r="H1927" s="67">
        <v>2</v>
      </c>
      <c r="I1927" s="68" t="s">
        <v>20</v>
      </c>
      <c r="J1927" s="69">
        <v>40</v>
      </c>
      <c r="K1927" s="70">
        <v>2</v>
      </c>
      <c r="L1927" s="68">
        <v>1</v>
      </c>
      <c r="M1927" s="68">
        <f>_xlfn.XLOOKUP(Survey!$F1927,sections[Start],sections[Test Section],,-1,1)</f>
        <v>6</v>
      </c>
      <c r="N1927" s="55">
        <f>_xlfn.XLOOKUP(Survey!$K1927,pipedata[ID],pipedata[WT])</f>
        <v>0.74</v>
      </c>
      <c r="O1927" s="56">
        <f>_xlfn.XLOOKUP(Survey!$K1927,pipedata[ID],pipedata[104%])</f>
        <v>2565.3333333333335</v>
      </c>
      <c r="P1927" s="57">
        <f t="shared" si="30"/>
        <v>1850</v>
      </c>
      <c r="Q1927" s="58">
        <f>_xlfn.MAXIFS(Survey!$G$2:$G$3647,Survey!$M$2:$M$3647,Survey!$M1927)-Survey!$G1927</f>
        <v>820.76681986142285</v>
      </c>
      <c r="R1927" s="59">
        <f>Survey!$P1927+(Survey!$Q1927*0.433)</f>
        <v>2205.392032999996</v>
      </c>
    </row>
    <row r="1928" spans="1:18" x14ac:dyDescent="0.25">
      <c r="A1928" s="71" t="s">
        <v>17</v>
      </c>
      <c r="B1928" s="72" t="s">
        <v>22</v>
      </c>
      <c r="C1928" s="73" t="s">
        <v>19</v>
      </c>
      <c r="D1928" s="74">
        <v>241.21277911090402</v>
      </c>
      <c r="E1928" s="81">
        <v>1303929</v>
      </c>
      <c r="F1928" s="82">
        <v>1274624.1428571506</v>
      </c>
      <c r="G1928" s="75">
        <v>2905.1658753005267</v>
      </c>
      <c r="H1928" s="76">
        <v>2</v>
      </c>
      <c r="I1928" s="54" t="s">
        <v>20</v>
      </c>
      <c r="J1928" s="77">
        <v>40</v>
      </c>
      <c r="K1928" s="78">
        <v>2</v>
      </c>
      <c r="L1928" s="54">
        <v>1</v>
      </c>
      <c r="M1928" s="54">
        <f>_xlfn.XLOOKUP(Survey!$F1928,sections[Start],sections[Test Section],,-1,1)</f>
        <v>6</v>
      </c>
      <c r="N1928" s="55">
        <f>_xlfn.XLOOKUP(Survey!$K1928,pipedata[ID],pipedata[WT])</f>
        <v>0.74</v>
      </c>
      <c r="O1928" s="56">
        <f>_xlfn.XLOOKUP(Survey!$K1928,pipedata[ID],pipedata[104%])</f>
        <v>2565.3333333333335</v>
      </c>
      <c r="P1928" s="57">
        <f t="shared" si="30"/>
        <v>1850</v>
      </c>
      <c r="Q1928" s="58">
        <f>_xlfn.MAXIFS(Survey!$G$2:$G$3647,Survey!$M$2:$M$3647,Survey!$M1928)-Survey!$G1928</f>
        <v>829.25876492788984</v>
      </c>
      <c r="R1928" s="59">
        <f>Survey!$P1928+(Survey!$Q1928*0.433)</f>
        <v>2209.0690452137765</v>
      </c>
    </row>
    <row r="1929" spans="1:18" x14ac:dyDescent="0.25">
      <c r="A1929" s="60" t="s">
        <v>17</v>
      </c>
      <c r="B1929" s="61" t="s">
        <v>22</v>
      </c>
      <c r="C1929" s="62" t="s">
        <v>19</v>
      </c>
      <c r="D1929" s="63">
        <v>241.22079748090675</v>
      </c>
      <c r="E1929" s="64">
        <v>1303969</v>
      </c>
      <c r="F1929" s="65">
        <v>1274662.2857142936</v>
      </c>
      <c r="G1929" s="66">
        <v>2898.2437552116717</v>
      </c>
      <c r="H1929" s="67">
        <v>2</v>
      </c>
      <c r="I1929" s="68" t="s">
        <v>20</v>
      </c>
      <c r="J1929" s="69">
        <v>40</v>
      </c>
      <c r="K1929" s="70">
        <v>2</v>
      </c>
      <c r="L1929" s="68">
        <v>1</v>
      </c>
      <c r="M1929" s="68">
        <f>_xlfn.XLOOKUP(Survey!$F1929,sections[Start],sections[Test Section],,-1,1)</f>
        <v>6</v>
      </c>
      <c r="N1929" s="55">
        <f>_xlfn.XLOOKUP(Survey!$K1929,pipedata[ID],pipedata[WT])</f>
        <v>0.74</v>
      </c>
      <c r="O1929" s="56">
        <f>_xlfn.XLOOKUP(Survey!$K1929,pipedata[ID],pipedata[104%])</f>
        <v>2565.3333333333335</v>
      </c>
      <c r="P1929" s="57">
        <f t="shared" si="30"/>
        <v>1850</v>
      </c>
      <c r="Q1929" s="58">
        <f>_xlfn.MAXIFS(Survey!$G$2:$G$3647,Survey!$M$2:$M$3647,Survey!$M1929)-Survey!$G1929</f>
        <v>836.18088501674492</v>
      </c>
      <c r="R1929" s="59">
        <f>Survey!$P1929+(Survey!$Q1929*0.433)</f>
        <v>2212.0663232122506</v>
      </c>
    </row>
    <row r="1930" spans="1:18" x14ac:dyDescent="0.25">
      <c r="A1930" s="71" t="s">
        <v>17</v>
      </c>
      <c r="B1930" s="72" t="s">
        <v>22</v>
      </c>
      <c r="C1930" s="73" t="s">
        <v>19</v>
      </c>
      <c r="D1930" s="74">
        <v>241.22857851041579</v>
      </c>
      <c r="E1930" s="81">
        <v>1304009</v>
      </c>
      <c r="F1930" s="82">
        <v>1274700.4285714366</v>
      </c>
      <c r="G1930" s="75">
        <v>2888.665595368594</v>
      </c>
      <c r="H1930" s="76">
        <v>2</v>
      </c>
      <c r="I1930" s="54" t="s">
        <v>20</v>
      </c>
      <c r="J1930" s="77">
        <v>40</v>
      </c>
      <c r="K1930" s="78">
        <v>2</v>
      </c>
      <c r="L1930" s="54">
        <v>1</v>
      </c>
      <c r="M1930" s="54">
        <f>_xlfn.XLOOKUP(Survey!$F1930,sections[Start],sections[Test Section],,-1,1)</f>
        <v>6</v>
      </c>
      <c r="N1930" s="55">
        <f>_xlfn.XLOOKUP(Survey!$K1930,pipedata[ID],pipedata[WT])</f>
        <v>0.74</v>
      </c>
      <c r="O1930" s="56">
        <f>_xlfn.XLOOKUP(Survey!$K1930,pipedata[ID],pipedata[104%])</f>
        <v>2565.3333333333335</v>
      </c>
      <c r="P1930" s="57">
        <f t="shared" si="30"/>
        <v>1850</v>
      </c>
      <c r="Q1930" s="58">
        <f>_xlfn.MAXIFS(Survey!$G$2:$G$3647,Survey!$M$2:$M$3647,Survey!$M1930)-Survey!$G1930</f>
        <v>845.75904485982255</v>
      </c>
      <c r="R1930" s="59">
        <f>Survey!$P1930+(Survey!$Q1930*0.433)</f>
        <v>2216.213666424303</v>
      </c>
    </row>
    <row r="1931" spans="1:18" x14ac:dyDescent="0.25">
      <c r="A1931" s="60" t="s">
        <v>17</v>
      </c>
      <c r="B1931" s="61" t="s">
        <v>22</v>
      </c>
      <c r="C1931" s="62" t="s">
        <v>19</v>
      </c>
      <c r="D1931" s="63">
        <v>241.23416143091117</v>
      </c>
      <c r="E1931" s="79">
        <v>1304049</v>
      </c>
      <c r="F1931" s="80">
        <v>1274738.5714285795</v>
      </c>
      <c r="G1931" s="66">
        <v>2880.8219612521771</v>
      </c>
      <c r="H1931" s="67">
        <v>2</v>
      </c>
      <c r="I1931" s="68" t="s">
        <v>20</v>
      </c>
      <c r="J1931" s="69">
        <v>40</v>
      </c>
      <c r="K1931" s="70">
        <v>2</v>
      </c>
      <c r="L1931" s="68">
        <v>1</v>
      </c>
      <c r="M1931" s="68">
        <f>_xlfn.XLOOKUP(Survey!$F1931,sections[Start],sections[Test Section],,-1,1)</f>
        <v>6</v>
      </c>
      <c r="N1931" s="55">
        <f>_xlfn.XLOOKUP(Survey!$K1931,pipedata[ID],pipedata[WT])</f>
        <v>0.74</v>
      </c>
      <c r="O1931" s="56">
        <f>_xlfn.XLOOKUP(Survey!$K1931,pipedata[ID],pipedata[104%])</f>
        <v>2565.3333333333335</v>
      </c>
      <c r="P1931" s="57">
        <f t="shared" si="30"/>
        <v>1850</v>
      </c>
      <c r="Q1931" s="58">
        <f>_xlfn.MAXIFS(Survey!$G$2:$G$3647,Survey!$M$2:$M$3647,Survey!$M1931)-Survey!$G1931</f>
        <v>853.60267897623953</v>
      </c>
      <c r="R1931" s="59">
        <f>Survey!$P1931+(Survey!$Q1931*0.433)</f>
        <v>2219.609959996712</v>
      </c>
    </row>
    <row r="1932" spans="1:18" x14ac:dyDescent="0.25">
      <c r="A1932" s="71" t="s">
        <v>17</v>
      </c>
      <c r="B1932" s="72" t="s">
        <v>22</v>
      </c>
      <c r="C1932" s="73" t="s">
        <v>19</v>
      </c>
      <c r="D1932" s="74">
        <v>241.24217980091393</v>
      </c>
      <c r="E1932" s="81">
        <v>1304089</v>
      </c>
      <c r="F1932" s="82">
        <v>1274776.7142857225</v>
      </c>
      <c r="G1932" s="75">
        <v>2876.0852471838425</v>
      </c>
      <c r="H1932" s="76">
        <v>2</v>
      </c>
      <c r="I1932" s="54" t="s">
        <v>20</v>
      </c>
      <c r="J1932" s="77">
        <v>40</v>
      </c>
      <c r="K1932" s="78">
        <v>2</v>
      </c>
      <c r="L1932" s="54">
        <v>1</v>
      </c>
      <c r="M1932" s="54">
        <f>_xlfn.XLOOKUP(Survey!$F1932,sections[Start],sections[Test Section],,-1,1)</f>
        <v>6</v>
      </c>
      <c r="N1932" s="55">
        <f>_xlfn.XLOOKUP(Survey!$K1932,pipedata[ID],pipedata[WT])</f>
        <v>0.74</v>
      </c>
      <c r="O1932" s="56">
        <f>_xlfn.XLOOKUP(Survey!$K1932,pipedata[ID],pipedata[104%])</f>
        <v>2565.3333333333335</v>
      </c>
      <c r="P1932" s="57">
        <f t="shared" si="30"/>
        <v>1850</v>
      </c>
      <c r="Q1932" s="58">
        <f>_xlfn.MAXIFS(Survey!$G$2:$G$3647,Survey!$M$2:$M$3647,Survey!$M1932)-Survey!$G1932</f>
        <v>858.33939304457408</v>
      </c>
      <c r="R1932" s="59">
        <f>Survey!$P1932+(Survey!$Q1932*0.433)</f>
        <v>2221.6609571883005</v>
      </c>
    </row>
    <row r="1933" spans="1:18" x14ac:dyDescent="0.25">
      <c r="A1933" s="60" t="s">
        <v>17</v>
      </c>
      <c r="B1933" s="61" t="s">
        <v>22</v>
      </c>
      <c r="C1933" s="62" t="s">
        <v>19</v>
      </c>
      <c r="D1933" s="63">
        <v>241.25019817091666</v>
      </c>
      <c r="E1933" s="79">
        <v>1304129</v>
      </c>
      <c r="F1933" s="80">
        <v>1274814.8571428654</v>
      </c>
      <c r="G1933" s="66">
        <v>2869.4207982904086</v>
      </c>
      <c r="H1933" s="67">
        <v>2</v>
      </c>
      <c r="I1933" s="68" t="s">
        <v>20</v>
      </c>
      <c r="J1933" s="69">
        <v>40</v>
      </c>
      <c r="K1933" s="70">
        <v>2</v>
      </c>
      <c r="L1933" s="68">
        <v>1</v>
      </c>
      <c r="M1933" s="68">
        <f>_xlfn.XLOOKUP(Survey!$F1933,sections[Start],sections[Test Section],,-1,1)</f>
        <v>6</v>
      </c>
      <c r="N1933" s="55">
        <f>_xlfn.XLOOKUP(Survey!$K1933,pipedata[ID],pipedata[WT])</f>
        <v>0.74</v>
      </c>
      <c r="O1933" s="56">
        <f>_xlfn.XLOOKUP(Survey!$K1933,pipedata[ID],pipedata[104%])</f>
        <v>2565.3333333333335</v>
      </c>
      <c r="P1933" s="57">
        <f t="shared" si="30"/>
        <v>1850</v>
      </c>
      <c r="Q1933" s="58">
        <f>_xlfn.MAXIFS(Survey!$G$2:$G$3647,Survey!$M$2:$M$3647,Survey!$M1933)-Survey!$G1933</f>
        <v>865.00384193800801</v>
      </c>
      <c r="R1933" s="59">
        <f>Survey!$P1933+(Survey!$Q1933*0.433)</f>
        <v>2224.5466635591574</v>
      </c>
    </row>
    <row r="1934" spans="1:18" x14ac:dyDescent="0.25">
      <c r="A1934" s="71" t="s">
        <v>17</v>
      </c>
      <c r="B1934" s="72" t="s">
        <v>22</v>
      </c>
      <c r="C1934" s="73" t="s">
        <v>19</v>
      </c>
      <c r="D1934" s="74">
        <v>241.25821654091962</v>
      </c>
      <c r="E1934" s="81">
        <v>1304169</v>
      </c>
      <c r="F1934" s="82">
        <v>1274853.0000000084</v>
      </c>
      <c r="G1934" s="75">
        <v>2864.6911856620759</v>
      </c>
      <c r="H1934" s="76">
        <v>2</v>
      </c>
      <c r="I1934" s="54" t="s">
        <v>20</v>
      </c>
      <c r="J1934" s="77">
        <v>40</v>
      </c>
      <c r="K1934" s="78">
        <v>2</v>
      </c>
      <c r="L1934" s="54">
        <v>1</v>
      </c>
      <c r="M1934" s="54">
        <f>_xlfn.XLOOKUP(Survey!$F1934,sections[Start],sections[Test Section],,-1,1)</f>
        <v>6</v>
      </c>
      <c r="N1934" s="55">
        <f>_xlfn.XLOOKUP(Survey!$K1934,pipedata[ID],pipedata[WT])</f>
        <v>0.74</v>
      </c>
      <c r="O1934" s="56">
        <f>_xlfn.XLOOKUP(Survey!$K1934,pipedata[ID],pipedata[104%])</f>
        <v>2565.3333333333335</v>
      </c>
      <c r="P1934" s="57">
        <f t="shared" si="30"/>
        <v>1850</v>
      </c>
      <c r="Q1934" s="58">
        <f>_xlfn.MAXIFS(Survey!$G$2:$G$3647,Survey!$M$2:$M$3647,Survey!$M1934)-Survey!$G1934</f>
        <v>869.7334545663407</v>
      </c>
      <c r="R1934" s="59">
        <f>Survey!$P1934+(Survey!$Q1934*0.433)</f>
        <v>2226.5945858272253</v>
      </c>
    </row>
    <row r="1935" spans="1:18" x14ac:dyDescent="0.25">
      <c r="A1935" s="60" t="s">
        <v>17</v>
      </c>
      <c r="B1935" s="61" t="s">
        <v>22</v>
      </c>
      <c r="C1935" s="62" t="s">
        <v>19</v>
      </c>
      <c r="D1935" s="63">
        <v>241.26615612698922</v>
      </c>
      <c r="E1935" s="79">
        <v>1304209</v>
      </c>
      <c r="F1935" s="80">
        <v>1274891.1428571513</v>
      </c>
      <c r="G1935" s="66">
        <v>2861.2618000591028</v>
      </c>
      <c r="H1935" s="67">
        <v>2</v>
      </c>
      <c r="I1935" s="68" t="s">
        <v>20</v>
      </c>
      <c r="J1935" s="69">
        <v>40</v>
      </c>
      <c r="K1935" s="70">
        <v>2</v>
      </c>
      <c r="L1935" s="68">
        <v>1</v>
      </c>
      <c r="M1935" s="68">
        <f>_xlfn.XLOOKUP(Survey!$F1935,sections[Start],sections[Test Section],,-1,1)</f>
        <v>6</v>
      </c>
      <c r="N1935" s="55">
        <f>_xlfn.XLOOKUP(Survey!$K1935,pipedata[ID],pipedata[WT])</f>
        <v>0.74</v>
      </c>
      <c r="O1935" s="56">
        <f>_xlfn.XLOOKUP(Survey!$K1935,pipedata[ID],pipedata[104%])</f>
        <v>2565.3333333333335</v>
      </c>
      <c r="P1935" s="57">
        <f t="shared" si="30"/>
        <v>1850</v>
      </c>
      <c r="Q1935" s="58">
        <f>_xlfn.MAXIFS(Survey!$G$2:$G$3647,Survey!$M$2:$M$3647,Survey!$M1935)-Survey!$G1935</f>
        <v>873.16284016931377</v>
      </c>
      <c r="R1935" s="59">
        <f>Survey!$P1935+(Survey!$Q1935*0.433)</f>
        <v>2228.0795097933128</v>
      </c>
    </row>
    <row r="1936" spans="1:18" x14ac:dyDescent="0.25">
      <c r="A1936" s="71" t="s">
        <v>17</v>
      </c>
      <c r="B1936" s="72" t="s">
        <v>22</v>
      </c>
      <c r="C1936" s="73" t="s">
        <v>19</v>
      </c>
      <c r="D1936" s="74">
        <v>241.27158049092461</v>
      </c>
      <c r="E1936" s="81">
        <v>1304249</v>
      </c>
      <c r="F1936" s="82">
        <v>1274929.2857142943</v>
      </c>
      <c r="G1936" s="75">
        <v>2859.06167304267</v>
      </c>
      <c r="H1936" s="76">
        <v>2</v>
      </c>
      <c r="I1936" s="54" t="s">
        <v>20</v>
      </c>
      <c r="J1936" s="77">
        <v>40</v>
      </c>
      <c r="K1936" s="78">
        <v>2</v>
      </c>
      <c r="L1936" s="54">
        <v>1</v>
      </c>
      <c r="M1936" s="54">
        <f>_xlfn.XLOOKUP(Survey!$F1936,sections[Start],sections[Test Section],,-1,1)</f>
        <v>6</v>
      </c>
      <c r="N1936" s="55">
        <f>_xlfn.XLOOKUP(Survey!$K1936,pipedata[ID],pipedata[WT])</f>
        <v>0.74</v>
      </c>
      <c r="O1936" s="56">
        <f>_xlfn.XLOOKUP(Survey!$K1936,pipedata[ID],pipedata[104%])</f>
        <v>2565.3333333333335</v>
      </c>
      <c r="P1936" s="57">
        <f t="shared" si="30"/>
        <v>1850</v>
      </c>
      <c r="Q1936" s="58">
        <f>_xlfn.MAXIFS(Survey!$G$2:$G$3647,Survey!$M$2:$M$3647,Survey!$M1936)-Survey!$G1936</f>
        <v>875.36296718574658</v>
      </c>
      <c r="R1936" s="59">
        <f>Survey!$P1936+(Survey!$Q1936*0.433)</f>
        <v>2229.0321647914284</v>
      </c>
    </row>
    <row r="1937" spans="1:18" x14ac:dyDescent="0.25">
      <c r="A1937" s="60" t="s">
        <v>17</v>
      </c>
      <c r="B1937" s="61" t="s">
        <v>22</v>
      </c>
      <c r="C1937" s="62" t="s">
        <v>19</v>
      </c>
      <c r="D1937" s="63">
        <v>241.27959886092779</v>
      </c>
      <c r="E1937" s="79">
        <v>1304289</v>
      </c>
      <c r="F1937" s="80">
        <v>1274967.4285714373</v>
      </c>
      <c r="G1937" s="66">
        <v>2860.884716986418</v>
      </c>
      <c r="H1937" s="67">
        <v>2</v>
      </c>
      <c r="I1937" s="68" t="s">
        <v>20</v>
      </c>
      <c r="J1937" s="69">
        <v>40</v>
      </c>
      <c r="K1937" s="70">
        <v>2</v>
      </c>
      <c r="L1937" s="68">
        <v>1</v>
      </c>
      <c r="M1937" s="68">
        <f>_xlfn.XLOOKUP(Survey!$F1937,sections[Start],sections[Test Section],,-1,1)</f>
        <v>6</v>
      </c>
      <c r="N1937" s="55">
        <f>_xlfn.XLOOKUP(Survey!$K1937,pipedata[ID],pipedata[WT])</f>
        <v>0.74</v>
      </c>
      <c r="O1937" s="56">
        <f>_xlfn.XLOOKUP(Survey!$K1937,pipedata[ID],pipedata[104%])</f>
        <v>2565.3333333333335</v>
      </c>
      <c r="P1937" s="57">
        <f t="shared" si="30"/>
        <v>1850</v>
      </c>
      <c r="Q1937" s="58">
        <f>_xlfn.MAXIFS(Survey!$G$2:$G$3647,Survey!$M$2:$M$3647,Survey!$M1937)-Survey!$G1937</f>
        <v>873.53992324199862</v>
      </c>
      <c r="R1937" s="59">
        <f>Survey!$P1937+(Survey!$Q1937*0.433)</f>
        <v>2228.2427867637853</v>
      </c>
    </row>
    <row r="1938" spans="1:18" x14ac:dyDescent="0.25">
      <c r="A1938" s="71" t="s">
        <v>17</v>
      </c>
      <c r="B1938" s="72" t="s">
        <v>22</v>
      </c>
      <c r="C1938" s="73" t="s">
        <v>19</v>
      </c>
      <c r="D1938" s="74">
        <v>241.28760015590018</v>
      </c>
      <c r="E1938" s="81">
        <v>1304329</v>
      </c>
      <c r="F1938" s="82">
        <v>1275005.5714285802</v>
      </c>
      <c r="G1938" s="75">
        <v>2855.3386988885422</v>
      </c>
      <c r="H1938" s="76">
        <v>2</v>
      </c>
      <c r="I1938" s="54" t="s">
        <v>20</v>
      </c>
      <c r="J1938" s="77">
        <v>40</v>
      </c>
      <c r="K1938" s="78">
        <v>2</v>
      </c>
      <c r="L1938" s="54">
        <v>1</v>
      </c>
      <c r="M1938" s="54">
        <f>_xlfn.XLOOKUP(Survey!$F1938,sections[Start],sections[Test Section],,-1,1)</f>
        <v>6</v>
      </c>
      <c r="N1938" s="55">
        <f>_xlfn.XLOOKUP(Survey!$K1938,pipedata[ID],pipedata[WT])</f>
        <v>0.74</v>
      </c>
      <c r="O1938" s="56">
        <f>_xlfn.XLOOKUP(Survey!$K1938,pipedata[ID],pipedata[104%])</f>
        <v>2565.3333333333335</v>
      </c>
      <c r="P1938" s="57">
        <f t="shared" si="30"/>
        <v>1850</v>
      </c>
      <c r="Q1938" s="58">
        <f>_xlfn.MAXIFS(Survey!$G$2:$G$3647,Survey!$M$2:$M$3647,Survey!$M1938)-Survey!$G1938</f>
        <v>879.08594133987435</v>
      </c>
      <c r="R1938" s="59">
        <f>Survey!$P1938+(Survey!$Q1938*0.433)</f>
        <v>2230.6442126001657</v>
      </c>
    </row>
    <row r="1939" spans="1:18" x14ac:dyDescent="0.25">
      <c r="A1939" s="60" t="s">
        <v>17</v>
      </c>
      <c r="B1939" s="61" t="s">
        <v>22</v>
      </c>
      <c r="C1939" s="62" t="s">
        <v>19</v>
      </c>
      <c r="D1939" s="63">
        <v>241.29589272033445</v>
      </c>
      <c r="E1939" s="79">
        <v>1304369</v>
      </c>
      <c r="F1939" s="80">
        <v>1275043.7142857232</v>
      </c>
      <c r="G1939" s="66">
        <v>2846.1643458066396</v>
      </c>
      <c r="H1939" s="67">
        <v>2</v>
      </c>
      <c r="I1939" s="68" t="s">
        <v>20</v>
      </c>
      <c r="J1939" s="69">
        <v>40</v>
      </c>
      <c r="K1939" s="70">
        <v>2</v>
      </c>
      <c r="L1939" s="68">
        <v>1</v>
      </c>
      <c r="M1939" s="68">
        <f>_xlfn.XLOOKUP(Survey!$F1939,sections[Start],sections[Test Section],,-1,1)</f>
        <v>6</v>
      </c>
      <c r="N1939" s="55">
        <f>_xlfn.XLOOKUP(Survey!$K1939,pipedata[ID],pipedata[WT])</f>
        <v>0.74</v>
      </c>
      <c r="O1939" s="56">
        <f>_xlfn.XLOOKUP(Survey!$K1939,pipedata[ID],pipedata[104%])</f>
        <v>2565.3333333333335</v>
      </c>
      <c r="P1939" s="57">
        <f t="shared" si="30"/>
        <v>1850</v>
      </c>
      <c r="Q1939" s="58">
        <f>_xlfn.MAXIFS(Survey!$G$2:$G$3647,Survey!$M$2:$M$3647,Survey!$M1939)-Survey!$G1939</f>
        <v>888.26029442177696</v>
      </c>
      <c r="R1939" s="59">
        <f>Survey!$P1939+(Survey!$Q1939*0.433)</f>
        <v>2234.6167074846294</v>
      </c>
    </row>
    <row r="1940" spans="1:18" x14ac:dyDescent="0.25">
      <c r="A1940" s="71" t="s">
        <v>17</v>
      </c>
      <c r="B1940" s="72" t="s">
        <v>22</v>
      </c>
      <c r="C1940" s="73" t="s">
        <v>19</v>
      </c>
      <c r="D1940" s="74">
        <v>241.30338782341303</v>
      </c>
      <c r="E1940" s="81">
        <v>1304409</v>
      </c>
      <c r="F1940" s="82">
        <v>1275081.8571428661</v>
      </c>
      <c r="G1940" s="75">
        <v>2835.854746171392</v>
      </c>
      <c r="H1940" s="76">
        <v>2</v>
      </c>
      <c r="I1940" s="54" t="s">
        <v>20</v>
      </c>
      <c r="J1940" s="77">
        <v>37</v>
      </c>
      <c r="K1940" s="78">
        <v>2</v>
      </c>
      <c r="L1940" s="54">
        <v>1</v>
      </c>
      <c r="M1940" s="54">
        <f>_xlfn.XLOOKUP(Survey!$F1940,sections[Start],sections[Test Section],,-1,1)</f>
        <v>6</v>
      </c>
      <c r="N1940" s="55">
        <f>_xlfn.XLOOKUP(Survey!$K1940,pipedata[ID],pipedata[WT])</f>
        <v>0.74</v>
      </c>
      <c r="O1940" s="56">
        <f>_xlfn.XLOOKUP(Survey!$K1940,pipedata[ID],pipedata[104%])</f>
        <v>2565.3333333333335</v>
      </c>
      <c r="P1940" s="57">
        <f t="shared" si="30"/>
        <v>1850</v>
      </c>
      <c r="Q1940" s="58">
        <f>_xlfn.MAXIFS(Survey!$G$2:$G$3647,Survey!$M$2:$M$3647,Survey!$M1940)-Survey!$G1940</f>
        <v>898.56989405702461</v>
      </c>
      <c r="R1940" s="59">
        <f>Survey!$P1940+(Survey!$Q1940*0.433)</f>
        <v>2239.0807641266915</v>
      </c>
    </row>
    <row r="1941" spans="1:18" x14ac:dyDescent="0.25">
      <c r="A1941" s="60" t="s">
        <v>17</v>
      </c>
      <c r="B1941" s="61" t="s">
        <v>22</v>
      </c>
      <c r="C1941" s="62" t="s">
        <v>19</v>
      </c>
      <c r="D1941" s="63">
        <v>241.31088292649122</v>
      </c>
      <c r="E1941" s="79">
        <v>1304446</v>
      </c>
      <c r="F1941" s="80">
        <v>1275120</v>
      </c>
      <c r="G1941" s="66">
        <v>2828.1963803072867</v>
      </c>
      <c r="H1941" s="67">
        <v>2</v>
      </c>
      <c r="I1941" s="68" t="s">
        <v>21</v>
      </c>
      <c r="J1941" s="69">
        <v>40</v>
      </c>
      <c r="K1941" s="70">
        <v>4</v>
      </c>
      <c r="L1941" s="68">
        <v>1</v>
      </c>
      <c r="M1941" s="68">
        <f>_xlfn.XLOOKUP(Survey!$F1941,sections[Start],sections[Test Section],,-1,1)</f>
        <v>6</v>
      </c>
      <c r="N1941" s="55">
        <f>_xlfn.XLOOKUP(Survey!$K1941,pipedata[ID],pipedata[WT])</f>
        <v>0.74</v>
      </c>
      <c r="O1941" s="56">
        <f>_xlfn.XLOOKUP(Survey!$K1941,pipedata[ID],pipedata[104%])</f>
        <v>2565.3333333333335</v>
      </c>
      <c r="P1941" s="57">
        <f t="shared" si="30"/>
        <v>1850</v>
      </c>
      <c r="Q1941" s="58">
        <f>_xlfn.MAXIFS(Survey!$G$2:$G$3647,Survey!$M$2:$M$3647,Survey!$M1941)-Survey!$G1941</f>
        <v>906.22825992112985</v>
      </c>
      <c r="R1941" s="59">
        <f>Survey!$P1941+(Survey!$Q1941*0.433)</f>
        <v>2242.3968365458491</v>
      </c>
    </row>
    <row r="1942" spans="1:18" x14ac:dyDescent="0.25">
      <c r="A1942" s="71" t="s">
        <v>17</v>
      </c>
      <c r="B1942" s="72" t="s">
        <v>22</v>
      </c>
      <c r="C1942" s="73" t="s">
        <v>19</v>
      </c>
      <c r="D1942" s="74">
        <v>241.31837802956986</v>
      </c>
      <c r="E1942" s="81">
        <v>1304486</v>
      </c>
      <c r="F1942" s="82">
        <v>1275160</v>
      </c>
      <c r="G1942" s="75">
        <v>2823.5694643874976</v>
      </c>
      <c r="H1942" s="76">
        <v>2</v>
      </c>
      <c r="I1942" s="54" t="s">
        <v>20</v>
      </c>
      <c r="J1942" s="77">
        <v>43</v>
      </c>
      <c r="K1942" s="78">
        <v>2</v>
      </c>
      <c r="L1942" s="54">
        <v>1</v>
      </c>
      <c r="M1942" s="54">
        <f>_xlfn.XLOOKUP(Survey!$F1942,sections[Start],sections[Test Section],,-1,1)</f>
        <v>6</v>
      </c>
      <c r="N1942" s="55">
        <f>_xlfn.XLOOKUP(Survey!$K1942,pipedata[ID],pipedata[WT])</f>
        <v>0.74</v>
      </c>
      <c r="O1942" s="56">
        <f>_xlfn.XLOOKUP(Survey!$K1942,pipedata[ID],pipedata[104%])</f>
        <v>2565.3333333333335</v>
      </c>
      <c r="P1942" s="57">
        <f t="shared" si="30"/>
        <v>1850</v>
      </c>
      <c r="Q1942" s="58">
        <f>_xlfn.MAXIFS(Survey!$G$2:$G$3647,Survey!$M$2:$M$3647,Survey!$M1942)-Survey!$G1942</f>
        <v>910.85517584091895</v>
      </c>
      <c r="R1942" s="59">
        <f>Survey!$P1942+(Survey!$Q1942*0.433)</f>
        <v>2244.4002911391181</v>
      </c>
    </row>
    <row r="1943" spans="1:18" x14ac:dyDescent="0.25">
      <c r="A1943" s="60" t="s">
        <v>17</v>
      </c>
      <c r="B1943" s="61" t="s">
        <v>22</v>
      </c>
      <c r="C1943" s="62" t="s">
        <v>19</v>
      </c>
      <c r="D1943" s="63">
        <v>241.32493718091069</v>
      </c>
      <c r="E1943" s="79">
        <v>1304529</v>
      </c>
      <c r="F1943" s="80">
        <v>1275198.7083333333</v>
      </c>
      <c r="G1943" s="66">
        <v>2828.4299064735051</v>
      </c>
      <c r="H1943" s="67">
        <v>2</v>
      </c>
      <c r="I1943" s="68" t="s">
        <v>20</v>
      </c>
      <c r="J1943" s="69">
        <v>40</v>
      </c>
      <c r="K1943" s="70">
        <v>2</v>
      </c>
      <c r="L1943" s="68">
        <v>1</v>
      </c>
      <c r="M1943" s="68">
        <f>_xlfn.XLOOKUP(Survey!$F1943,sections[Start],sections[Test Section],,-1,1)</f>
        <v>6</v>
      </c>
      <c r="N1943" s="55">
        <f>_xlfn.XLOOKUP(Survey!$K1943,pipedata[ID],pipedata[WT])</f>
        <v>0.74</v>
      </c>
      <c r="O1943" s="56">
        <f>_xlfn.XLOOKUP(Survey!$K1943,pipedata[ID],pipedata[104%])</f>
        <v>2565.3333333333335</v>
      </c>
      <c r="P1943" s="57">
        <f t="shared" si="30"/>
        <v>1850</v>
      </c>
      <c r="Q1943" s="58">
        <f>_xlfn.MAXIFS(Survey!$G$2:$G$3647,Survey!$M$2:$M$3647,Survey!$M1943)-Survey!$G1943</f>
        <v>905.99473375491152</v>
      </c>
      <c r="R1943" s="59">
        <f>Survey!$P1943+(Survey!$Q1943*0.433)</f>
        <v>2242.2957197158767</v>
      </c>
    </row>
    <row r="1944" spans="1:18" x14ac:dyDescent="0.25">
      <c r="A1944" s="71" t="s">
        <v>17</v>
      </c>
      <c r="B1944" s="72" t="s">
        <v>22</v>
      </c>
      <c r="C1944" s="73" t="s">
        <v>19</v>
      </c>
      <c r="D1944" s="74">
        <v>241.33323986937361</v>
      </c>
      <c r="E1944" s="81">
        <v>1304569</v>
      </c>
      <c r="F1944" s="82">
        <v>1275237.4166666665</v>
      </c>
      <c r="G1944" s="75">
        <v>2830.1729728170258</v>
      </c>
      <c r="H1944" s="76">
        <v>2</v>
      </c>
      <c r="I1944" s="54" t="s">
        <v>20</v>
      </c>
      <c r="J1944" s="77">
        <v>40</v>
      </c>
      <c r="K1944" s="78">
        <v>2</v>
      </c>
      <c r="L1944" s="54">
        <v>1</v>
      </c>
      <c r="M1944" s="54">
        <f>_xlfn.XLOOKUP(Survey!$F1944,sections[Start],sections[Test Section],,-1,1)</f>
        <v>6</v>
      </c>
      <c r="N1944" s="55">
        <f>_xlfn.XLOOKUP(Survey!$K1944,pipedata[ID],pipedata[WT])</f>
        <v>0.74</v>
      </c>
      <c r="O1944" s="56">
        <f>_xlfn.XLOOKUP(Survey!$K1944,pipedata[ID],pipedata[104%])</f>
        <v>2565.3333333333335</v>
      </c>
      <c r="P1944" s="57">
        <f t="shared" si="30"/>
        <v>1850</v>
      </c>
      <c r="Q1944" s="58">
        <f>_xlfn.MAXIFS(Survey!$G$2:$G$3647,Survey!$M$2:$M$3647,Survey!$M1944)-Survey!$G1944</f>
        <v>904.25166741139083</v>
      </c>
      <c r="R1944" s="59">
        <f>Survey!$P1944+(Survey!$Q1944*0.433)</f>
        <v>2241.5409719891322</v>
      </c>
    </row>
    <row r="1945" spans="1:18" x14ac:dyDescent="0.25">
      <c r="A1945" s="60" t="s">
        <v>17</v>
      </c>
      <c r="B1945" s="61" t="s">
        <v>22</v>
      </c>
      <c r="C1945" s="62" t="s">
        <v>19</v>
      </c>
      <c r="D1945" s="63">
        <v>241.34032331122242</v>
      </c>
      <c r="E1945" s="79">
        <v>1304609</v>
      </c>
      <c r="F1945" s="80">
        <v>1275276.1249999998</v>
      </c>
      <c r="G1945" s="66">
        <v>2828.2837101610207</v>
      </c>
      <c r="H1945" s="67">
        <v>2</v>
      </c>
      <c r="I1945" s="68" t="s">
        <v>20</v>
      </c>
      <c r="J1945" s="69">
        <v>40</v>
      </c>
      <c r="K1945" s="70">
        <v>2</v>
      </c>
      <c r="L1945" s="68">
        <v>1</v>
      </c>
      <c r="M1945" s="68">
        <f>_xlfn.XLOOKUP(Survey!$F1945,sections[Start],sections[Test Section],,-1,1)</f>
        <v>6</v>
      </c>
      <c r="N1945" s="55">
        <f>_xlfn.XLOOKUP(Survey!$K1945,pipedata[ID],pipedata[WT])</f>
        <v>0.74</v>
      </c>
      <c r="O1945" s="56">
        <f>_xlfn.XLOOKUP(Survey!$K1945,pipedata[ID],pipedata[104%])</f>
        <v>2565.3333333333335</v>
      </c>
      <c r="P1945" s="57">
        <f t="shared" si="30"/>
        <v>1850</v>
      </c>
      <c r="Q1945" s="58">
        <f>_xlfn.MAXIFS(Survey!$G$2:$G$3647,Survey!$M$2:$M$3647,Survey!$M1945)-Survey!$G1945</f>
        <v>906.14093006739586</v>
      </c>
      <c r="R1945" s="59">
        <f>Survey!$P1945+(Survey!$Q1945*0.433)</f>
        <v>2242.3590227191826</v>
      </c>
    </row>
    <row r="1946" spans="1:18" x14ac:dyDescent="0.25">
      <c r="A1946" s="71" t="s">
        <v>17</v>
      </c>
      <c r="B1946" s="72" t="s">
        <v>22</v>
      </c>
      <c r="C1946" s="73" t="s">
        <v>19</v>
      </c>
      <c r="D1946" s="74">
        <v>241.34740675307134</v>
      </c>
      <c r="E1946" s="81">
        <v>1304649</v>
      </c>
      <c r="F1946" s="82">
        <v>1275314.833333333</v>
      </c>
      <c r="G1946" s="75">
        <v>2826.009887882356</v>
      </c>
      <c r="H1946" s="76">
        <v>2</v>
      </c>
      <c r="I1946" s="54" t="s">
        <v>20</v>
      </c>
      <c r="J1946" s="77">
        <v>40</v>
      </c>
      <c r="K1946" s="78">
        <v>2</v>
      </c>
      <c r="L1946" s="54">
        <v>1</v>
      </c>
      <c r="M1946" s="54">
        <f>_xlfn.XLOOKUP(Survey!$F1946,sections[Start],sections[Test Section],,-1,1)</f>
        <v>6</v>
      </c>
      <c r="N1946" s="55">
        <f>_xlfn.XLOOKUP(Survey!$K1946,pipedata[ID],pipedata[WT])</f>
        <v>0.74</v>
      </c>
      <c r="O1946" s="56">
        <f>_xlfn.XLOOKUP(Survey!$K1946,pipedata[ID],pipedata[104%])</f>
        <v>2565.3333333333335</v>
      </c>
      <c r="P1946" s="57">
        <f t="shared" si="30"/>
        <v>1850</v>
      </c>
      <c r="Q1946" s="58">
        <f>_xlfn.MAXIFS(Survey!$G$2:$G$3647,Survey!$M$2:$M$3647,Survey!$M1946)-Survey!$G1946</f>
        <v>908.4147523460606</v>
      </c>
      <c r="R1946" s="59">
        <f>Survey!$P1946+(Survey!$Q1946*0.433)</f>
        <v>2243.3435877658444</v>
      </c>
    </row>
    <row r="1947" spans="1:18" x14ac:dyDescent="0.25">
      <c r="A1947" s="60" t="s">
        <v>17</v>
      </c>
      <c r="B1947" s="61" t="s">
        <v>22</v>
      </c>
      <c r="C1947" s="62" t="s">
        <v>19</v>
      </c>
      <c r="D1947" s="63">
        <v>241.35495445249521</v>
      </c>
      <c r="E1947" s="79">
        <v>1304689</v>
      </c>
      <c r="F1947" s="80">
        <v>1275353.5416666663</v>
      </c>
      <c r="G1947" s="66">
        <v>2823.8555468328468</v>
      </c>
      <c r="H1947" s="67">
        <v>2</v>
      </c>
      <c r="I1947" s="68" t="s">
        <v>20</v>
      </c>
      <c r="J1947" s="69">
        <v>40</v>
      </c>
      <c r="K1947" s="70">
        <v>2</v>
      </c>
      <c r="L1947" s="68">
        <v>1</v>
      </c>
      <c r="M1947" s="68">
        <f>_xlfn.XLOOKUP(Survey!$F1947,sections[Start],sections[Test Section],,-1,1)</f>
        <v>6</v>
      </c>
      <c r="N1947" s="55">
        <f>_xlfn.XLOOKUP(Survey!$K1947,pipedata[ID],pipedata[WT])</f>
        <v>0.74</v>
      </c>
      <c r="O1947" s="56">
        <f>_xlfn.XLOOKUP(Survey!$K1947,pipedata[ID],pipedata[104%])</f>
        <v>2565.3333333333335</v>
      </c>
      <c r="P1947" s="57">
        <f t="shared" si="30"/>
        <v>1850</v>
      </c>
      <c r="Q1947" s="58">
        <f>_xlfn.MAXIFS(Survey!$G$2:$G$3647,Survey!$M$2:$M$3647,Survey!$M1947)-Survey!$G1947</f>
        <v>910.56909339556978</v>
      </c>
      <c r="R1947" s="59">
        <f>Survey!$P1947+(Survey!$Q1947*0.433)</f>
        <v>2244.2764174402819</v>
      </c>
    </row>
    <row r="1948" spans="1:18" x14ac:dyDescent="0.25">
      <c r="A1948" s="71" t="s">
        <v>17</v>
      </c>
      <c r="B1948" s="72" t="s">
        <v>22</v>
      </c>
      <c r="C1948" s="73" t="s">
        <v>19</v>
      </c>
      <c r="D1948" s="74">
        <v>241.36237760804718</v>
      </c>
      <c r="E1948" s="81">
        <v>1304729</v>
      </c>
      <c r="F1948" s="82">
        <v>1275392.2499999995</v>
      </c>
      <c r="G1948" s="75">
        <v>2821.981046207281</v>
      </c>
      <c r="H1948" s="76">
        <v>2</v>
      </c>
      <c r="I1948" s="54" t="s">
        <v>20</v>
      </c>
      <c r="J1948" s="77">
        <v>40</v>
      </c>
      <c r="K1948" s="78">
        <v>2</v>
      </c>
      <c r="L1948" s="54">
        <v>1</v>
      </c>
      <c r="M1948" s="54">
        <f>_xlfn.XLOOKUP(Survey!$F1948,sections[Start],sections[Test Section],,-1,1)</f>
        <v>6</v>
      </c>
      <c r="N1948" s="55">
        <f>_xlfn.XLOOKUP(Survey!$K1948,pipedata[ID],pipedata[WT])</f>
        <v>0.74</v>
      </c>
      <c r="O1948" s="56">
        <f>_xlfn.XLOOKUP(Survey!$K1948,pipedata[ID],pipedata[104%])</f>
        <v>2565.3333333333335</v>
      </c>
      <c r="P1948" s="57">
        <f t="shared" si="30"/>
        <v>1850</v>
      </c>
      <c r="Q1948" s="58">
        <f>_xlfn.MAXIFS(Survey!$G$2:$G$3647,Survey!$M$2:$M$3647,Survey!$M1948)-Survey!$G1948</f>
        <v>912.4435940211356</v>
      </c>
      <c r="R1948" s="59">
        <f>Survey!$P1948+(Survey!$Q1948*0.433)</f>
        <v>2245.0880762111519</v>
      </c>
    </row>
    <row r="1949" spans="1:18" x14ac:dyDescent="0.25">
      <c r="A1949" s="60" t="s">
        <v>17</v>
      </c>
      <c r="B1949" s="61" t="s">
        <v>22</v>
      </c>
      <c r="C1949" s="62" t="s">
        <v>19</v>
      </c>
      <c r="D1949" s="63">
        <v>241.3710182259004</v>
      </c>
      <c r="E1949" s="79">
        <v>1304769</v>
      </c>
      <c r="F1949" s="80">
        <v>1275430.9583333328</v>
      </c>
      <c r="G1949" s="66">
        <v>2819.3921508119629</v>
      </c>
      <c r="H1949" s="67">
        <v>2</v>
      </c>
      <c r="I1949" s="68" t="s">
        <v>20</v>
      </c>
      <c r="J1949" s="69">
        <v>40</v>
      </c>
      <c r="K1949" s="70">
        <v>2</v>
      </c>
      <c r="L1949" s="68">
        <v>1</v>
      </c>
      <c r="M1949" s="68">
        <f>_xlfn.XLOOKUP(Survey!$F1949,sections[Start],sections[Test Section],,-1,1)</f>
        <v>6</v>
      </c>
      <c r="N1949" s="55">
        <f>_xlfn.XLOOKUP(Survey!$K1949,pipedata[ID],pipedata[WT])</f>
        <v>0.74</v>
      </c>
      <c r="O1949" s="56">
        <f>_xlfn.XLOOKUP(Survey!$K1949,pipedata[ID],pipedata[104%])</f>
        <v>2565.3333333333335</v>
      </c>
      <c r="P1949" s="57">
        <f t="shared" si="30"/>
        <v>1850</v>
      </c>
      <c r="Q1949" s="58">
        <f>_xlfn.MAXIFS(Survey!$G$2:$G$3647,Survey!$M$2:$M$3647,Survey!$M1949)-Survey!$G1949</f>
        <v>915.0324894164537</v>
      </c>
      <c r="R1949" s="59">
        <f>Survey!$P1949+(Survey!$Q1949*0.433)</f>
        <v>2246.2090679173243</v>
      </c>
    </row>
    <row r="1950" spans="1:18" x14ac:dyDescent="0.25">
      <c r="A1950" s="71" t="s">
        <v>17</v>
      </c>
      <c r="B1950" s="72" t="s">
        <v>22</v>
      </c>
      <c r="C1950" s="73" t="s">
        <v>19</v>
      </c>
      <c r="D1950" s="74">
        <v>241.37810166774918</v>
      </c>
      <c r="E1950" s="81">
        <v>1304809</v>
      </c>
      <c r="F1950" s="82">
        <v>1275469.666666666</v>
      </c>
      <c r="G1950" s="75">
        <v>2817.2608469000597</v>
      </c>
      <c r="H1950" s="76">
        <v>2</v>
      </c>
      <c r="I1950" s="54" t="s">
        <v>20</v>
      </c>
      <c r="J1950" s="77">
        <v>40</v>
      </c>
      <c r="K1950" s="78">
        <v>2</v>
      </c>
      <c r="L1950" s="54">
        <v>1</v>
      </c>
      <c r="M1950" s="54">
        <f>_xlfn.XLOOKUP(Survey!$F1950,sections[Start],sections[Test Section],,-1,1)</f>
        <v>6</v>
      </c>
      <c r="N1950" s="55">
        <f>_xlfn.XLOOKUP(Survey!$K1950,pipedata[ID],pipedata[WT])</f>
        <v>0.74</v>
      </c>
      <c r="O1950" s="56">
        <f>_xlfn.XLOOKUP(Survey!$K1950,pipedata[ID],pipedata[104%])</f>
        <v>2565.3333333333335</v>
      </c>
      <c r="P1950" s="57">
        <f t="shared" si="30"/>
        <v>1850</v>
      </c>
      <c r="Q1950" s="58">
        <f>_xlfn.MAXIFS(Survey!$G$2:$G$3647,Survey!$M$2:$M$3647,Survey!$M1950)-Survey!$G1950</f>
        <v>917.16379332835686</v>
      </c>
      <c r="R1950" s="59">
        <f>Survey!$P1950+(Survey!$Q1950*0.433)</f>
        <v>2247.1319225111783</v>
      </c>
    </row>
    <row r="1951" spans="1:18" x14ac:dyDescent="0.25">
      <c r="A1951" s="60" t="s">
        <v>17</v>
      </c>
      <c r="B1951" s="61" t="s">
        <v>22</v>
      </c>
      <c r="C1951" s="62" t="s">
        <v>19</v>
      </c>
      <c r="D1951" s="63">
        <v>241.38581903659514</v>
      </c>
      <c r="E1951" s="79">
        <v>1304849</v>
      </c>
      <c r="F1951" s="80">
        <v>1275508.3749999993</v>
      </c>
      <c r="G1951" s="66">
        <v>2815.4717181456572</v>
      </c>
      <c r="H1951" s="67">
        <v>2</v>
      </c>
      <c r="I1951" s="68" t="s">
        <v>20</v>
      </c>
      <c r="J1951" s="69">
        <v>40</v>
      </c>
      <c r="K1951" s="70">
        <v>2</v>
      </c>
      <c r="L1951" s="68">
        <v>1</v>
      </c>
      <c r="M1951" s="68">
        <f>_xlfn.XLOOKUP(Survey!$F1951,sections[Start],sections[Test Section],,-1,1)</f>
        <v>6</v>
      </c>
      <c r="N1951" s="55">
        <f>_xlfn.XLOOKUP(Survey!$K1951,pipedata[ID],pipedata[WT])</f>
        <v>0.74</v>
      </c>
      <c r="O1951" s="56">
        <f>_xlfn.XLOOKUP(Survey!$K1951,pipedata[ID],pipedata[104%])</f>
        <v>2565.3333333333335</v>
      </c>
      <c r="P1951" s="57">
        <f t="shared" si="30"/>
        <v>1850</v>
      </c>
      <c r="Q1951" s="58">
        <f>_xlfn.MAXIFS(Survey!$G$2:$G$3647,Survey!$M$2:$M$3647,Survey!$M1951)-Survey!$G1951</f>
        <v>918.95292208275941</v>
      </c>
      <c r="R1951" s="59">
        <f>Survey!$P1951+(Survey!$Q1951*0.433)</f>
        <v>2247.9066152618348</v>
      </c>
    </row>
    <row r="1952" spans="1:18" x14ac:dyDescent="0.25">
      <c r="A1952" s="71" t="s">
        <v>17</v>
      </c>
      <c r="B1952" s="72" t="s">
        <v>22</v>
      </c>
      <c r="C1952" s="73" t="s">
        <v>19</v>
      </c>
      <c r="D1952" s="74">
        <v>241.39301378019798</v>
      </c>
      <c r="E1952" s="81">
        <v>1304889</v>
      </c>
      <c r="F1952" s="82">
        <v>1275547.0833333326</v>
      </c>
      <c r="G1952" s="75">
        <v>2814.0268762647861</v>
      </c>
      <c r="H1952" s="76">
        <v>2</v>
      </c>
      <c r="I1952" s="54" t="s">
        <v>20</v>
      </c>
      <c r="J1952" s="77">
        <v>40</v>
      </c>
      <c r="K1952" s="78">
        <v>2</v>
      </c>
      <c r="L1952" s="54">
        <v>1</v>
      </c>
      <c r="M1952" s="54">
        <f>_xlfn.XLOOKUP(Survey!$F1952,sections[Start],sections[Test Section],,-1,1)</f>
        <v>6</v>
      </c>
      <c r="N1952" s="55">
        <f>_xlfn.XLOOKUP(Survey!$K1952,pipedata[ID],pipedata[WT])</f>
        <v>0.74</v>
      </c>
      <c r="O1952" s="56">
        <f>_xlfn.XLOOKUP(Survey!$K1952,pipedata[ID],pipedata[104%])</f>
        <v>2565.3333333333335</v>
      </c>
      <c r="P1952" s="57">
        <f t="shared" si="30"/>
        <v>1850</v>
      </c>
      <c r="Q1952" s="58">
        <f>_xlfn.MAXIFS(Survey!$G$2:$G$3647,Survey!$M$2:$M$3647,Survey!$M1952)-Survey!$G1952</f>
        <v>920.3977639636305</v>
      </c>
      <c r="R1952" s="59">
        <f>Survey!$P1952+(Survey!$Q1952*0.433)</f>
        <v>2248.5322317962518</v>
      </c>
    </row>
    <row r="1953" spans="1:18" x14ac:dyDescent="0.25">
      <c r="A1953" s="60" t="s">
        <v>17</v>
      </c>
      <c r="B1953" s="61" t="s">
        <v>22</v>
      </c>
      <c r="C1953" s="62" t="s">
        <v>19</v>
      </c>
      <c r="D1953" s="63">
        <v>241.39935700148237</v>
      </c>
      <c r="E1953" s="79">
        <v>1304929</v>
      </c>
      <c r="F1953" s="80">
        <v>1275585.7916666658</v>
      </c>
      <c r="G1953" s="66">
        <v>2812.2792084455864</v>
      </c>
      <c r="H1953" s="67">
        <v>2</v>
      </c>
      <c r="I1953" s="68" t="s">
        <v>20</v>
      </c>
      <c r="J1953" s="69">
        <v>40</v>
      </c>
      <c r="K1953" s="70">
        <v>2</v>
      </c>
      <c r="L1953" s="68">
        <v>1</v>
      </c>
      <c r="M1953" s="68">
        <f>_xlfn.XLOOKUP(Survey!$F1953,sections[Start],sections[Test Section],,-1,1)</f>
        <v>6</v>
      </c>
      <c r="N1953" s="55">
        <f>_xlfn.XLOOKUP(Survey!$K1953,pipedata[ID],pipedata[WT])</f>
        <v>0.74</v>
      </c>
      <c r="O1953" s="56">
        <f>_xlfn.XLOOKUP(Survey!$K1953,pipedata[ID],pipedata[104%])</f>
        <v>2565.3333333333335</v>
      </c>
      <c r="P1953" s="57">
        <f t="shared" si="30"/>
        <v>1850</v>
      </c>
      <c r="Q1953" s="58">
        <f>_xlfn.MAXIFS(Survey!$G$2:$G$3647,Survey!$M$2:$M$3647,Survey!$M1953)-Survey!$G1953</f>
        <v>922.1454317828302</v>
      </c>
      <c r="R1953" s="59">
        <f>Survey!$P1953+(Survey!$Q1953*0.433)</f>
        <v>2249.2889719619657</v>
      </c>
    </row>
    <row r="1954" spans="1:18" x14ac:dyDescent="0.25">
      <c r="A1954" s="71" t="s">
        <v>17</v>
      </c>
      <c r="B1954" s="72" t="s">
        <v>22</v>
      </c>
      <c r="C1954" s="73" t="s">
        <v>19</v>
      </c>
      <c r="D1954" s="74">
        <v>241.40887183340791</v>
      </c>
      <c r="E1954" s="81">
        <v>1304969</v>
      </c>
      <c r="F1954" s="82">
        <v>1275624.4999999991</v>
      </c>
      <c r="G1954" s="75">
        <v>2810.3961387471431</v>
      </c>
      <c r="H1954" s="76">
        <v>2</v>
      </c>
      <c r="I1954" s="54" t="s">
        <v>20</v>
      </c>
      <c r="J1954" s="77">
        <v>40</v>
      </c>
      <c r="K1954" s="78">
        <v>2</v>
      </c>
      <c r="L1954" s="54">
        <v>1</v>
      </c>
      <c r="M1954" s="54">
        <f>_xlfn.XLOOKUP(Survey!$F1954,sections[Start],sections[Test Section],,-1,1)</f>
        <v>6</v>
      </c>
      <c r="N1954" s="55">
        <f>_xlfn.XLOOKUP(Survey!$K1954,pipedata[ID],pipedata[WT])</f>
        <v>0.74</v>
      </c>
      <c r="O1954" s="56">
        <f>_xlfn.XLOOKUP(Survey!$K1954,pipedata[ID],pipedata[104%])</f>
        <v>2565.3333333333335</v>
      </c>
      <c r="P1954" s="57">
        <f t="shared" si="30"/>
        <v>1850</v>
      </c>
      <c r="Q1954" s="58">
        <f>_xlfn.MAXIFS(Survey!$G$2:$G$3647,Survey!$M$2:$M$3647,Survey!$M1954)-Survey!$G1954</f>
        <v>924.02850148127345</v>
      </c>
      <c r="R1954" s="59">
        <f>Survey!$P1954+(Survey!$Q1954*0.433)</f>
        <v>2250.1043411413912</v>
      </c>
    </row>
    <row r="1955" spans="1:18" x14ac:dyDescent="0.25">
      <c r="A1955" s="60" t="s">
        <v>17</v>
      </c>
      <c r="B1955" s="61" t="s">
        <v>22</v>
      </c>
      <c r="C1955" s="62" t="s">
        <v>19</v>
      </c>
      <c r="D1955" s="63">
        <v>241.41588002427568</v>
      </c>
      <c r="E1955" s="79">
        <v>1305009</v>
      </c>
      <c r="F1955" s="80">
        <v>1275663.2083333323</v>
      </c>
      <c r="G1955" s="66">
        <v>2808.3149374302056</v>
      </c>
      <c r="H1955" s="67">
        <v>2</v>
      </c>
      <c r="I1955" s="68" t="s">
        <v>20</v>
      </c>
      <c r="J1955" s="69">
        <v>40</v>
      </c>
      <c r="K1955" s="70">
        <v>2</v>
      </c>
      <c r="L1955" s="68">
        <v>1</v>
      </c>
      <c r="M1955" s="68">
        <f>_xlfn.XLOOKUP(Survey!$F1955,sections[Start],sections[Test Section],,-1,1)</f>
        <v>6</v>
      </c>
      <c r="N1955" s="55">
        <f>_xlfn.XLOOKUP(Survey!$K1955,pipedata[ID],pipedata[WT])</f>
        <v>0.74</v>
      </c>
      <c r="O1955" s="56">
        <f>_xlfn.XLOOKUP(Survey!$K1955,pipedata[ID],pipedata[104%])</f>
        <v>2565.3333333333335</v>
      </c>
      <c r="P1955" s="57">
        <f t="shared" si="30"/>
        <v>1850</v>
      </c>
      <c r="Q1955" s="58">
        <f>_xlfn.MAXIFS(Survey!$G$2:$G$3647,Survey!$M$2:$M$3647,Survey!$M1955)-Survey!$G1955</f>
        <v>926.10970279821095</v>
      </c>
      <c r="R1955" s="59">
        <f>Survey!$P1955+(Survey!$Q1955*0.433)</f>
        <v>2251.0055013116253</v>
      </c>
    </row>
    <row r="1956" spans="1:18" x14ac:dyDescent="0.25">
      <c r="A1956" s="71" t="s">
        <v>17</v>
      </c>
      <c r="B1956" s="72" t="s">
        <v>22</v>
      </c>
      <c r="C1956" s="73" t="s">
        <v>19</v>
      </c>
      <c r="D1956" s="74">
        <v>241.42296346612451</v>
      </c>
      <c r="E1956" s="81">
        <v>1305049</v>
      </c>
      <c r="F1956" s="82">
        <v>1275701.9166666656</v>
      </c>
      <c r="G1956" s="75">
        <v>2806.6189084092148</v>
      </c>
      <c r="H1956" s="76">
        <v>2</v>
      </c>
      <c r="I1956" s="54" t="s">
        <v>20</v>
      </c>
      <c r="J1956" s="77">
        <v>40</v>
      </c>
      <c r="K1956" s="78">
        <v>2</v>
      </c>
      <c r="L1956" s="54">
        <v>1</v>
      </c>
      <c r="M1956" s="54">
        <f>_xlfn.XLOOKUP(Survey!$F1956,sections[Start],sections[Test Section],,-1,1)</f>
        <v>6</v>
      </c>
      <c r="N1956" s="55">
        <f>_xlfn.XLOOKUP(Survey!$K1956,pipedata[ID],pipedata[WT])</f>
        <v>0.74</v>
      </c>
      <c r="O1956" s="56">
        <f>_xlfn.XLOOKUP(Survey!$K1956,pipedata[ID],pipedata[104%])</f>
        <v>2565.3333333333335</v>
      </c>
      <c r="P1956" s="57">
        <f t="shared" si="30"/>
        <v>1850</v>
      </c>
      <c r="Q1956" s="58">
        <f>_xlfn.MAXIFS(Survey!$G$2:$G$3647,Survey!$M$2:$M$3647,Survey!$M1956)-Survey!$G1956</f>
        <v>927.80573181920181</v>
      </c>
      <c r="R1956" s="59">
        <f>Survey!$P1956+(Survey!$Q1956*0.433)</f>
        <v>2251.7398818777142</v>
      </c>
    </row>
    <row r="1957" spans="1:18" x14ac:dyDescent="0.25">
      <c r="A1957" s="60" t="s">
        <v>17</v>
      </c>
      <c r="B1957" s="61" t="s">
        <v>22</v>
      </c>
      <c r="C1957" s="62" t="s">
        <v>19</v>
      </c>
      <c r="D1957" s="63">
        <v>241.43107310790097</v>
      </c>
      <c r="E1957" s="79">
        <v>1305089</v>
      </c>
      <c r="F1957" s="80">
        <v>1275740.6249999988</v>
      </c>
      <c r="G1957" s="66">
        <v>2805.4237452899292</v>
      </c>
      <c r="H1957" s="67">
        <v>2</v>
      </c>
      <c r="I1957" s="68" t="s">
        <v>20</v>
      </c>
      <c r="J1957" s="69">
        <v>40</v>
      </c>
      <c r="K1957" s="70">
        <v>2</v>
      </c>
      <c r="L1957" s="68">
        <v>1</v>
      </c>
      <c r="M1957" s="68">
        <f>_xlfn.XLOOKUP(Survey!$F1957,sections[Start],sections[Test Section],,-1,1)</f>
        <v>6</v>
      </c>
      <c r="N1957" s="55">
        <f>_xlfn.XLOOKUP(Survey!$K1957,pipedata[ID],pipedata[WT])</f>
        <v>0.74</v>
      </c>
      <c r="O1957" s="56">
        <f>_xlfn.XLOOKUP(Survey!$K1957,pipedata[ID],pipedata[104%])</f>
        <v>2565.3333333333335</v>
      </c>
      <c r="P1957" s="57">
        <f t="shared" si="30"/>
        <v>1850</v>
      </c>
      <c r="Q1957" s="58">
        <f>_xlfn.MAXIFS(Survey!$G$2:$G$3647,Survey!$M$2:$M$3647,Survey!$M1957)-Survey!$G1957</f>
        <v>929.00089493848736</v>
      </c>
      <c r="R1957" s="59">
        <f>Survey!$P1957+(Survey!$Q1957*0.433)</f>
        <v>2252.2573875083649</v>
      </c>
    </row>
    <row r="1958" spans="1:18" x14ac:dyDescent="0.25">
      <c r="A1958" s="71" t="s">
        <v>17</v>
      </c>
      <c r="B1958" s="72" t="s">
        <v>22</v>
      </c>
      <c r="C1958" s="73" t="s">
        <v>19</v>
      </c>
      <c r="D1958" s="74">
        <v>241.43741632918443</v>
      </c>
      <c r="E1958" s="81">
        <v>1305129</v>
      </c>
      <c r="F1958" s="82">
        <v>1275779.3333333321</v>
      </c>
      <c r="G1958" s="75">
        <v>2803.937428875247</v>
      </c>
      <c r="H1958" s="76">
        <v>2</v>
      </c>
      <c r="I1958" s="54" t="s">
        <v>20</v>
      </c>
      <c r="J1958" s="77">
        <v>40</v>
      </c>
      <c r="K1958" s="78">
        <v>2</v>
      </c>
      <c r="L1958" s="54">
        <v>1</v>
      </c>
      <c r="M1958" s="54">
        <f>_xlfn.XLOOKUP(Survey!$F1958,sections[Start],sections[Test Section],,-1,1)</f>
        <v>6</v>
      </c>
      <c r="N1958" s="55">
        <f>_xlfn.XLOOKUP(Survey!$K1958,pipedata[ID],pipedata[WT])</f>
        <v>0.74</v>
      </c>
      <c r="O1958" s="56">
        <f>_xlfn.XLOOKUP(Survey!$K1958,pipedata[ID],pipedata[104%])</f>
        <v>2565.3333333333335</v>
      </c>
      <c r="P1958" s="57">
        <f t="shared" si="30"/>
        <v>1850</v>
      </c>
      <c r="Q1958" s="58">
        <f>_xlfn.MAXIFS(Survey!$G$2:$G$3647,Survey!$M$2:$M$3647,Survey!$M1958)-Survey!$G1958</f>
        <v>930.48721135316964</v>
      </c>
      <c r="R1958" s="59">
        <f>Survey!$P1958+(Survey!$Q1958*0.433)</f>
        <v>2252.9009625159224</v>
      </c>
    </row>
    <row r="1959" spans="1:18" x14ac:dyDescent="0.25">
      <c r="A1959" s="60" t="s">
        <v>17</v>
      </c>
      <c r="B1959" s="61" t="s">
        <v>22</v>
      </c>
      <c r="C1959" s="62" t="s">
        <v>19</v>
      </c>
      <c r="D1959" s="63">
        <v>241.44657493895474</v>
      </c>
      <c r="E1959" s="79">
        <v>1305169</v>
      </c>
      <c r="F1959" s="80">
        <v>1275818.0416666653</v>
      </c>
      <c r="G1959" s="66">
        <v>2801.5753330983221</v>
      </c>
      <c r="H1959" s="67">
        <v>2</v>
      </c>
      <c r="I1959" s="68" t="s">
        <v>20</v>
      </c>
      <c r="J1959" s="69">
        <v>40</v>
      </c>
      <c r="K1959" s="70">
        <v>2</v>
      </c>
      <c r="L1959" s="68">
        <v>1</v>
      </c>
      <c r="M1959" s="68">
        <f>_xlfn.XLOOKUP(Survey!$F1959,sections[Start],sections[Test Section],,-1,1)</f>
        <v>6</v>
      </c>
      <c r="N1959" s="55">
        <f>_xlfn.XLOOKUP(Survey!$K1959,pipedata[ID],pipedata[WT])</f>
        <v>0.74</v>
      </c>
      <c r="O1959" s="56">
        <f>_xlfn.XLOOKUP(Survey!$K1959,pipedata[ID],pipedata[104%])</f>
        <v>2565.3333333333335</v>
      </c>
      <c r="P1959" s="57">
        <f t="shared" si="30"/>
        <v>1850</v>
      </c>
      <c r="Q1959" s="58">
        <f>_xlfn.MAXIFS(Survey!$G$2:$G$3647,Survey!$M$2:$M$3647,Survey!$M1959)-Survey!$G1959</f>
        <v>932.84930713009453</v>
      </c>
      <c r="R1959" s="59">
        <f>Survey!$P1959+(Survey!$Q1959*0.433)</f>
        <v>2253.9237499873311</v>
      </c>
    </row>
    <row r="1960" spans="1:18" x14ac:dyDescent="0.25">
      <c r="A1960" s="71" t="s">
        <v>17</v>
      </c>
      <c r="B1960" s="72" t="s">
        <v>22</v>
      </c>
      <c r="C1960" s="73" t="s">
        <v>19</v>
      </c>
      <c r="D1960" s="74">
        <v>241.4536583808036</v>
      </c>
      <c r="E1960" s="81">
        <v>1305209</v>
      </c>
      <c r="F1960" s="82">
        <v>1275856.7499999986</v>
      </c>
      <c r="G1960" s="75">
        <v>2800.2098263503008</v>
      </c>
      <c r="H1960" s="76">
        <v>2</v>
      </c>
      <c r="I1960" s="54" t="s">
        <v>20</v>
      </c>
      <c r="J1960" s="77">
        <v>40</v>
      </c>
      <c r="K1960" s="78">
        <v>2</v>
      </c>
      <c r="L1960" s="54">
        <v>1</v>
      </c>
      <c r="M1960" s="54">
        <f>_xlfn.XLOOKUP(Survey!$F1960,sections[Start],sections[Test Section],,-1,1)</f>
        <v>6</v>
      </c>
      <c r="N1960" s="55">
        <f>_xlfn.XLOOKUP(Survey!$K1960,pipedata[ID],pipedata[WT])</f>
        <v>0.74</v>
      </c>
      <c r="O1960" s="56">
        <f>_xlfn.XLOOKUP(Survey!$K1960,pipedata[ID],pipedata[104%])</f>
        <v>2565.3333333333335</v>
      </c>
      <c r="P1960" s="57">
        <f t="shared" si="30"/>
        <v>1850</v>
      </c>
      <c r="Q1960" s="58">
        <f>_xlfn.MAXIFS(Survey!$G$2:$G$3647,Survey!$M$2:$M$3647,Survey!$M1960)-Survey!$G1960</f>
        <v>934.21481387811582</v>
      </c>
      <c r="R1960" s="59">
        <f>Survey!$P1960+(Survey!$Q1960*0.433)</f>
        <v>2254.515014409224</v>
      </c>
    </row>
    <row r="1961" spans="1:18" x14ac:dyDescent="0.25">
      <c r="A1961" s="60" t="s">
        <v>17</v>
      </c>
      <c r="B1961" s="61" t="s">
        <v>22</v>
      </c>
      <c r="C1961" s="62" t="s">
        <v>19</v>
      </c>
      <c r="D1961" s="63">
        <v>241.46074182265241</v>
      </c>
      <c r="E1961" s="79">
        <v>1305249</v>
      </c>
      <c r="F1961" s="80">
        <v>1275895.4583333319</v>
      </c>
      <c r="G1961" s="66">
        <v>2797.9170621236412</v>
      </c>
      <c r="H1961" s="67">
        <v>2</v>
      </c>
      <c r="I1961" s="68" t="s">
        <v>20</v>
      </c>
      <c r="J1961" s="69">
        <v>40</v>
      </c>
      <c r="K1961" s="70">
        <v>2</v>
      </c>
      <c r="L1961" s="68">
        <v>1</v>
      </c>
      <c r="M1961" s="68">
        <f>_xlfn.XLOOKUP(Survey!$F1961,sections[Start],sections[Test Section],,-1,1)</f>
        <v>6</v>
      </c>
      <c r="N1961" s="55">
        <f>_xlfn.XLOOKUP(Survey!$K1961,pipedata[ID],pipedata[WT])</f>
        <v>0.74</v>
      </c>
      <c r="O1961" s="56">
        <f>_xlfn.XLOOKUP(Survey!$K1961,pipedata[ID],pipedata[104%])</f>
        <v>2565.3333333333335</v>
      </c>
      <c r="P1961" s="57">
        <f t="shared" si="30"/>
        <v>1850</v>
      </c>
      <c r="Q1961" s="58">
        <f>_xlfn.MAXIFS(Survey!$G$2:$G$3647,Survey!$M$2:$M$3647,Survey!$M1961)-Survey!$G1961</f>
        <v>936.50757810477535</v>
      </c>
      <c r="R1961" s="59">
        <f>Survey!$P1961+(Survey!$Q1961*0.433)</f>
        <v>2255.5077813193675</v>
      </c>
    </row>
    <row r="1962" spans="1:18" x14ac:dyDescent="0.25">
      <c r="A1962" s="71" t="s">
        <v>17</v>
      </c>
      <c r="B1962" s="72" t="s">
        <v>22</v>
      </c>
      <c r="C1962" s="73" t="s">
        <v>19</v>
      </c>
      <c r="D1962" s="74">
        <v>241.4691324356024</v>
      </c>
      <c r="E1962" s="81">
        <v>1305289</v>
      </c>
      <c r="F1962" s="82">
        <v>1275934.1666666651</v>
      </c>
      <c r="G1962" s="75">
        <v>2796.5593328557197</v>
      </c>
      <c r="H1962" s="76">
        <v>2</v>
      </c>
      <c r="I1962" s="54" t="s">
        <v>20</v>
      </c>
      <c r="J1962" s="77">
        <v>40</v>
      </c>
      <c r="K1962" s="78">
        <v>2</v>
      </c>
      <c r="L1962" s="54">
        <v>1</v>
      </c>
      <c r="M1962" s="54">
        <f>_xlfn.XLOOKUP(Survey!$F1962,sections[Start],sections[Test Section],,-1,1)</f>
        <v>6</v>
      </c>
      <c r="N1962" s="55">
        <f>_xlfn.XLOOKUP(Survey!$K1962,pipedata[ID],pipedata[WT])</f>
        <v>0.74</v>
      </c>
      <c r="O1962" s="56">
        <f>_xlfn.XLOOKUP(Survey!$K1962,pipedata[ID],pipedata[104%])</f>
        <v>2565.3333333333335</v>
      </c>
      <c r="P1962" s="57">
        <f t="shared" si="30"/>
        <v>1850</v>
      </c>
      <c r="Q1962" s="58">
        <f>_xlfn.MAXIFS(Survey!$G$2:$G$3647,Survey!$M$2:$M$3647,Survey!$M1962)-Survey!$G1962</f>
        <v>937.86530737269686</v>
      </c>
      <c r="R1962" s="59">
        <f>Survey!$P1962+(Survey!$Q1962*0.433)</f>
        <v>2256.095678092378</v>
      </c>
    </row>
    <row r="1963" spans="1:18" x14ac:dyDescent="0.25">
      <c r="A1963" s="60" t="s">
        <v>17</v>
      </c>
      <c r="B1963" s="61" t="s">
        <v>22</v>
      </c>
      <c r="C1963" s="62" t="s">
        <v>19</v>
      </c>
      <c r="D1963" s="63">
        <v>241.47547565688615</v>
      </c>
      <c r="E1963" s="79">
        <v>1305329</v>
      </c>
      <c r="F1963" s="80">
        <v>1275972.8749999984</v>
      </c>
      <c r="G1963" s="66">
        <v>2793.0336327577011</v>
      </c>
      <c r="H1963" s="67">
        <v>2</v>
      </c>
      <c r="I1963" s="68" t="s">
        <v>20</v>
      </c>
      <c r="J1963" s="69">
        <v>40</v>
      </c>
      <c r="K1963" s="70">
        <v>2</v>
      </c>
      <c r="L1963" s="68">
        <v>1</v>
      </c>
      <c r="M1963" s="68">
        <f>_xlfn.XLOOKUP(Survey!$F1963,sections[Start],sections[Test Section],,-1,1)</f>
        <v>6</v>
      </c>
      <c r="N1963" s="55">
        <f>_xlfn.XLOOKUP(Survey!$K1963,pipedata[ID],pipedata[WT])</f>
        <v>0.74</v>
      </c>
      <c r="O1963" s="56">
        <f>_xlfn.XLOOKUP(Survey!$K1963,pipedata[ID],pipedata[104%])</f>
        <v>2565.3333333333335</v>
      </c>
      <c r="P1963" s="57">
        <f t="shared" si="30"/>
        <v>1850</v>
      </c>
      <c r="Q1963" s="58">
        <f>_xlfn.MAXIFS(Survey!$G$2:$G$3647,Survey!$M$2:$M$3647,Survey!$M1963)-Survey!$G1963</f>
        <v>941.39100747071552</v>
      </c>
      <c r="R1963" s="59">
        <f>Survey!$P1963+(Survey!$Q1963*0.433)</f>
        <v>2257.6223062348199</v>
      </c>
    </row>
    <row r="1964" spans="1:18" x14ac:dyDescent="0.25">
      <c r="A1964" s="71" t="s">
        <v>17</v>
      </c>
      <c r="B1964" s="72" t="s">
        <v>22</v>
      </c>
      <c r="C1964" s="73" t="s">
        <v>19</v>
      </c>
      <c r="D1964" s="74">
        <v>241.48435329548192</v>
      </c>
      <c r="E1964" s="81">
        <v>1305369</v>
      </c>
      <c r="F1964" s="82">
        <v>1276011.5833333316</v>
      </c>
      <c r="G1964" s="75">
        <v>2792.6248399488441</v>
      </c>
      <c r="H1964" s="76">
        <v>2</v>
      </c>
      <c r="I1964" s="54" t="s">
        <v>20</v>
      </c>
      <c r="J1964" s="77">
        <v>51</v>
      </c>
      <c r="K1964" s="78">
        <v>2</v>
      </c>
      <c r="L1964" s="54">
        <v>1</v>
      </c>
      <c r="M1964" s="54">
        <f>_xlfn.XLOOKUP(Survey!$F1964,sections[Start],sections[Test Section],,-1,1)</f>
        <v>6</v>
      </c>
      <c r="N1964" s="55">
        <f>_xlfn.XLOOKUP(Survey!$K1964,pipedata[ID],pipedata[WT])</f>
        <v>0.74</v>
      </c>
      <c r="O1964" s="56">
        <f>_xlfn.XLOOKUP(Survey!$K1964,pipedata[ID],pipedata[104%])</f>
        <v>2565.3333333333335</v>
      </c>
      <c r="P1964" s="57">
        <f t="shared" si="30"/>
        <v>1850</v>
      </c>
      <c r="Q1964" s="58">
        <f>_xlfn.MAXIFS(Survey!$G$2:$G$3647,Survey!$M$2:$M$3647,Survey!$M1964)-Survey!$G1964</f>
        <v>941.79980027957254</v>
      </c>
      <c r="R1964" s="59">
        <f>Survey!$P1964+(Survey!$Q1964*0.433)</f>
        <v>2257.799313521055</v>
      </c>
    </row>
    <row r="1965" spans="1:18" x14ac:dyDescent="0.25">
      <c r="A1965" s="60" t="s">
        <v>17</v>
      </c>
      <c r="B1965" s="61" t="s">
        <v>22</v>
      </c>
      <c r="C1965" s="62" t="s">
        <v>19</v>
      </c>
      <c r="D1965" s="63">
        <v>241.49173688967775</v>
      </c>
      <c r="E1965" s="79">
        <v>1305420</v>
      </c>
      <c r="F1965" s="80">
        <v>1276089</v>
      </c>
      <c r="G1965" s="66">
        <v>2790.8188984979452</v>
      </c>
      <c r="H1965" s="67">
        <v>2</v>
      </c>
      <c r="I1965" s="68" t="s">
        <v>21</v>
      </c>
      <c r="J1965" s="69">
        <v>40</v>
      </c>
      <c r="K1965" s="70">
        <v>4</v>
      </c>
      <c r="L1965" s="68">
        <v>1</v>
      </c>
      <c r="M1965" s="68">
        <f>_xlfn.XLOOKUP(Survey!$F1965,sections[Start],sections[Test Section],,-1,1)</f>
        <v>6</v>
      </c>
      <c r="N1965" s="55">
        <f>_xlfn.XLOOKUP(Survey!$K1965,pipedata[ID],pipedata[WT])</f>
        <v>0.74</v>
      </c>
      <c r="O1965" s="56">
        <f>_xlfn.XLOOKUP(Survey!$K1965,pipedata[ID],pipedata[104%])</f>
        <v>2565.3333333333335</v>
      </c>
      <c r="P1965" s="57">
        <f t="shared" si="30"/>
        <v>1850</v>
      </c>
      <c r="Q1965" s="58">
        <f>_xlfn.MAXIFS(Survey!$G$2:$G$3647,Survey!$M$2:$M$3647,Survey!$M1965)-Survey!$G1965</f>
        <v>943.60574173047144</v>
      </c>
      <c r="R1965" s="59">
        <f>Survey!$P1965+(Survey!$Q1965*0.433)</f>
        <v>2258.5812861692939</v>
      </c>
    </row>
    <row r="1966" spans="1:18" x14ac:dyDescent="0.25">
      <c r="A1966" s="71" t="s">
        <v>17</v>
      </c>
      <c r="B1966" s="72" t="s">
        <v>22</v>
      </c>
      <c r="C1966" s="73" t="s">
        <v>19</v>
      </c>
      <c r="D1966" s="74">
        <v>241.49852017917996</v>
      </c>
      <c r="E1966" s="81">
        <v>1305460</v>
      </c>
      <c r="F1966" s="82">
        <v>1276129</v>
      </c>
      <c r="G1966" s="75">
        <v>2784.6667687625609</v>
      </c>
      <c r="H1966" s="76">
        <v>2</v>
      </c>
      <c r="I1966" s="54" t="s">
        <v>20</v>
      </c>
      <c r="J1966" s="77">
        <v>29</v>
      </c>
      <c r="K1966" s="78">
        <v>2</v>
      </c>
      <c r="L1966" s="54">
        <v>1</v>
      </c>
      <c r="M1966" s="54">
        <f>_xlfn.XLOOKUP(Survey!$F1966,sections[Start],sections[Test Section],,-1,1)</f>
        <v>6</v>
      </c>
      <c r="N1966" s="55">
        <f>_xlfn.XLOOKUP(Survey!$K1966,pipedata[ID],pipedata[WT])</f>
        <v>0.74</v>
      </c>
      <c r="O1966" s="56">
        <f>_xlfn.XLOOKUP(Survey!$K1966,pipedata[ID],pipedata[104%])</f>
        <v>2565.3333333333335</v>
      </c>
      <c r="P1966" s="57">
        <f t="shared" si="30"/>
        <v>1850</v>
      </c>
      <c r="Q1966" s="58">
        <f>_xlfn.MAXIFS(Survey!$G$2:$G$3647,Survey!$M$2:$M$3647,Survey!$M1966)-Survey!$G1966</f>
        <v>949.75787146585571</v>
      </c>
      <c r="R1966" s="59">
        <f>Survey!$P1966+(Survey!$Q1966*0.433)</f>
        <v>2261.2451583447155</v>
      </c>
    </row>
    <row r="1967" spans="1:18" x14ac:dyDescent="0.25">
      <c r="A1967" s="60" t="s">
        <v>17</v>
      </c>
      <c r="B1967" s="61" t="s">
        <v>22</v>
      </c>
      <c r="C1967" s="62" t="s">
        <v>19</v>
      </c>
      <c r="D1967" s="63">
        <v>241.50645491952918</v>
      </c>
      <c r="E1967" s="79">
        <v>1305489</v>
      </c>
      <c r="F1967" s="80">
        <v>1276167.0333333334</v>
      </c>
      <c r="G1967" s="66">
        <v>2798.8942051514464</v>
      </c>
      <c r="H1967" s="67">
        <v>2</v>
      </c>
      <c r="I1967" s="68" t="s">
        <v>20</v>
      </c>
      <c r="J1967" s="69">
        <v>40</v>
      </c>
      <c r="K1967" s="70">
        <v>2</v>
      </c>
      <c r="L1967" s="68">
        <v>1</v>
      </c>
      <c r="M1967" s="68">
        <f>_xlfn.XLOOKUP(Survey!$F1967,sections[Start],sections[Test Section],,-1,1)</f>
        <v>6</v>
      </c>
      <c r="N1967" s="55">
        <f>_xlfn.XLOOKUP(Survey!$K1967,pipedata[ID],pipedata[WT])</f>
        <v>0.74</v>
      </c>
      <c r="O1967" s="56">
        <f>_xlfn.XLOOKUP(Survey!$K1967,pipedata[ID],pipedata[104%])</f>
        <v>2565.3333333333335</v>
      </c>
      <c r="P1967" s="57">
        <f t="shared" si="30"/>
        <v>1850</v>
      </c>
      <c r="Q1967" s="58">
        <f>_xlfn.MAXIFS(Survey!$G$2:$G$3647,Survey!$M$2:$M$3647,Survey!$M1967)-Survey!$G1967</f>
        <v>935.53043507697021</v>
      </c>
      <c r="R1967" s="59">
        <f>Survey!$P1967+(Survey!$Q1967*0.433)</f>
        <v>2255.084678388328</v>
      </c>
    </row>
    <row r="1968" spans="1:18" x14ac:dyDescent="0.25">
      <c r="A1968" s="71" t="s">
        <v>17</v>
      </c>
      <c r="B1968" s="72" t="s">
        <v>22</v>
      </c>
      <c r="C1968" s="73" t="s">
        <v>19</v>
      </c>
      <c r="D1968" s="74">
        <v>241.51336236298539</v>
      </c>
      <c r="E1968" s="81">
        <v>1305529</v>
      </c>
      <c r="F1968" s="82">
        <v>1276205.0666666669</v>
      </c>
      <c r="G1968" s="75">
        <v>2809.3720619064352</v>
      </c>
      <c r="H1968" s="76">
        <v>2</v>
      </c>
      <c r="I1968" s="54" t="s">
        <v>20</v>
      </c>
      <c r="J1968" s="77">
        <v>40</v>
      </c>
      <c r="K1968" s="78">
        <v>2</v>
      </c>
      <c r="L1968" s="54">
        <v>1</v>
      </c>
      <c r="M1968" s="54">
        <f>_xlfn.XLOOKUP(Survey!$F1968,sections[Start],sections[Test Section],,-1,1)</f>
        <v>6</v>
      </c>
      <c r="N1968" s="55">
        <f>_xlfn.XLOOKUP(Survey!$K1968,pipedata[ID],pipedata[WT])</f>
        <v>0.74</v>
      </c>
      <c r="O1968" s="56">
        <f>_xlfn.XLOOKUP(Survey!$K1968,pipedata[ID],pipedata[104%])</f>
        <v>2565.3333333333335</v>
      </c>
      <c r="P1968" s="57">
        <f t="shared" si="30"/>
        <v>1850</v>
      </c>
      <c r="Q1968" s="58">
        <f>_xlfn.MAXIFS(Survey!$G$2:$G$3647,Survey!$M$2:$M$3647,Survey!$M1968)-Survey!$G1968</f>
        <v>925.0525783219814</v>
      </c>
      <c r="R1968" s="59">
        <f>Survey!$P1968+(Survey!$Q1968*0.433)</f>
        <v>2250.5477664134178</v>
      </c>
    </row>
    <row r="1969" spans="1:18" x14ac:dyDescent="0.25">
      <c r="A1969" s="60" t="s">
        <v>17</v>
      </c>
      <c r="B1969" s="61" t="s">
        <v>22</v>
      </c>
      <c r="C1969" s="62" t="s">
        <v>19</v>
      </c>
      <c r="D1969" s="63">
        <v>241.52097817824918</v>
      </c>
      <c r="E1969" s="79">
        <v>1305569</v>
      </c>
      <c r="F1969" s="80">
        <v>1276243.1000000003</v>
      </c>
      <c r="G1969" s="66">
        <v>2815.3040926002327</v>
      </c>
      <c r="H1969" s="67">
        <v>2</v>
      </c>
      <c r="I1969" s="68" t="s">
        <v>20</v>
      </c>
      <c r="J1969" s="69">
        <v>40</v>
      </c>
      <c r="K1969" s="70">
        <v>2</v>
      </c>
      <c r="L1969" s="68">
        <v>1</v>
      </c>
      <c r="M1969" s="68">
        <f>_xlfn.XLOOKUP(Survey!$F1969,sections[Start],sections[Test Section],,-1,1)</f>
        <v>6</v>
      </c>
      <c r="N1969" s="55">
        <f>_xlfn.XLOOKUP(Survey!$K1969,pipedata[ID],pipedata[WT])</f>
        <v>0.74</v>
      </c>
      <c r="O1969" s="56">
        <f>_xlfn.XLOOKUP(Survey!$K1969,pipedata[ID],pipedata[104%])</f>
        <v>2565.3333333333335</v>
      </c>
      <c r="P1969" s="57">
        <f t="shared" si="30"/>
        <v>1850</v>
      </c>
      <c r="Q1969" s="58">
        <f>_xlfn.MAXIFS(Survey!$G$2:$G$3647,Survey!$M$2:$M$3647,Survey!$M1969)-Survey!$G1969</f>
        <v>919.12054762818389</v>
      </c>
      <c r="R1969" s="59">
        <f>Survey!$P1969+(Survey!$Q1969*0.433)</f>
        <v>2247.9791971230038</v>
      </c>
    </row>
    <row r="1970" spans="1:18" x14ac:dyDescent="0.25">
      <c r="A1970" s="71" t="s">
        <v>17</v>
      </c>
      <c r="B1970" s="72" t="s">
        <v>22</v>
      </c>
      <c r="C1970" s="73" t="s">
        <v>19</v>
      </c>
      <c r="D1970" s="74">
        <v>241.52717724989935</v>
      </c>
      <c r="E1970" s="81">
        <v>1305609</v>
      </c>
      <c r="F1970" s="82">
        <v>1276281.1333333338</v>
      </c>
      <c r="G1970" s="75">
        <v>2823.6068090402223</v>
      </c>
      <c r="H1970" s="76">
        <v>2</v>
      </c>
      <c r="I1970" s="54" t="s">
        <v>20</v>
      </c>
      <c r="J1970" s="77">
        <v>40</v>
      </c>
      <c r="K1970" s="78">
        <v>2</v>
      </c>
      <c r="L1970" s="54">
        <v>1</v>
      </c>
      <c r="M1970" s="54">
        <f>_xlfn.XLOOKUP(Survey!$F1970,sections[Start],sections[Test Section],,-1,1)</f>
        <v>6</v>
      </c>
      <c r="N1970" s="55">
        <f>_xlfn.XLOOKUP(Survey!$K1970,pipedata[ID],pipedata[WT])</f>
        <v>0.74</v>
      </c>
      <c r="O1970" s="56">
        <f>_xlfn.XLOOKUP(Survey!$K1970,pipedata[ID],pipedata[104%])</f>
        <v>2565.3333333333335</v>
      </c>
      <c r="P1970" s="57">
        <f t="shared" si="30"/>
        <v>1850</v>
      </c>
      <c r="Q1970" s="58">
        <f>_xlfn.MAXIFS(Survey!$G$2:$G$3647,Survey!$M$2:$M$3647,Survey!$M1970)-Survey!$G1970</f>
        <v>910.8178311881943</v>
      </c>
      <c r="R1970" s="59">
        <f>Survey!$P1970+(Survey!$Q1970*0.433)</f>
        <v>2244.3841209044881</v>
      </c>
    </row>
    <row r="1971" spans="1:18" x14ac:dyDescent="0.25">
      <c r="A1971" s="60" t="s">
        <v>17</v>
      </c>
      <c r="B1971" s="61" t="s">
        <v>22</v>
      </c>
      <c r="C1971" s="62" t="s">
        <v>19</v>
      </c>
      <c r="D1971" s="63">
        <v>241.53529566306457</v>
      </c>
      <c r="E1971" s="79">
        <v>1305649</v>
      </c>
      <c r="F1971" s="80">
        <v>1276319.1666666672</v>
      </c>
      <c r="G1971" s="66">
        <v>2830.6236317685029</v>
      </c>
      <c r="H1971" s="67">
        <v>2</v>
      </c>
      <c r="I1971" s="68" t="s">
        <v>20</v>
      </c>
      <c r="J1971" s="69">
        <v>40</v>
      </c>
      <c r="K1971" s="70">
        <v>2</v>
      </c>
      <c r="L1971" s="68">
        <v>1</v>
      </c>
      <c r="M1971" s="68">
        <f>_xlfn.XLOOKUP(Survey!$F1971,sections[Start],sections[Test Section],,-1,1)</f>
        <v>6</v>
      </c>
      <c r="N1971" s="55">
        <f>_xlfn.XLOOKUP(Survey!$K1971,pipedata[ID],pipedata[WT])</f>
        <v>0.74</v>
      </c>
      <c r="O1971" s="56">
        <f>_xlfn.XLOOKUP(Survey!$K1971,pipedata[ID],pipedata[104%])</f>
        <v>2565.3333333333335</v>
      </c>
      <c r="P1971" s="57">
        <f t="shared" si="30"/>
        <v>1850</v>
      </c>
      <c r="Q1971" s="58">
        <f>_xlfn.MAXIFS(Survey!$G$2:$G$3647,Survey!$M$2:$M$3647,Survey!$M1971)-Survey!$G1971</f>
        <v>903.80100845991365</v>
      </c>
      <c r="R1971" s="59">
        <f>Survey!$P1971+(Survey!$Q1971*0.433)</f>
        <v>2241.3458366631426</v>
      </c>
    </row>
    <row r="1972" spans="1:18" x14ac:dyDescent="0.25">
      <c r="A1972" s="71" t="s">
        <v>17</v>
      </c>
      <c r="B1972" s="72" t="s">
        <v>22</v>
      </c>
      <c r="C1972" s="73" t="s">
        <v>19</v>
      </c>
      <c r="D1972" s="74">
        <v>241.54347708295916</v>
      </c>
      <c r="E1972" s="81">
        <v>1305689</v>
      </c>
      <c r="F1972" s="82">
        <v>1276357.2000000007</v>
      </c>
      <c r="G1972" s="75">
        <v>2840.135723942984</v>
      </c>
      <c r="H1972" s="76">
        <v>2</v>
      </c>
      <c r="I1972" s="54" t="s">
        <v>20</v>
      </c>
      <c r="J1972" s="77">
        <v>40</v>
      </c>
      <c r="K1972" s="78">
        <v>2</v>
      </c>
      <c r="L1972" s="54">
        <v>1</v>
      </c>
      <c r="M1972" s="54">
        <f>_xlfn.XLOOKUP(Survey!$F1972,sections[Start],sections[Test Section],,-1,1)</f>
        <v>6</v>
      </c>
      <c r="N1972" s="55">
        <f>_xlfn.XLOOKUP(Survey!$K1972,pipedata[ID],pipedata[WT])</f>
        <v>0.74</v>
      </c>
      <c r="O1972" s="56">
        <f>_xlfn.XLOOKUP(Survey!$K1972,pipedata[ID],pipedata[104%])</f>
        <v>2565.3333333333335</v>
      </c>
      <c r="P1972" s="57">
        <f t="shared" si="30"/>
        <v>1850</v>
      </c>
      <c r="Q1972" s="58">
        <f>_xlfn.MAXIFS(Survey!$G$2:$G$3647,Survey!$M$2:$M$3647,Survey!$M1972)-Survey!$G1972</f>
        <v>894.28891628543261</v>
      </c>
      <c r="R1972" s="59">
        <f>Survey!$P1972+(Survey!$Q1972*0.433)</f>
        <v>2237.2271007515924</v>
      </c>
    </row>
    <row r="1973" spans="1:18" x14ac:dyDescent="0.25">
      <c r="A1973" s="60" t="s">
        <v>17</v>
      </c>
      <c r="B1973" s="61" t="s">
        <v>22</v>
      </c>
      <c r="C1973" s="62" t="s">
        <v>19</v>
      </c>
      <c r="D1973" s="63">
        <v>241.54961314788005</v>
      </c>
      <c r="E1973" s="79">
        <v>1305729</v>
      </c>
      <c r="F1973" s="80">
        <v>1276395.2333333341</v>
      </c>
      <c r="G1973" s="66">
        <v>2844.9169208280182</v>
      </c>
      <c r="H1973" s="67">
        <v>2</v>
      </c>
      <c r="I1973" s="68" t="s">
        <v>20</v>
      </c>
      <c r="J1973" s="69">
        <v>40</v>
      </c>
      <c r="K1973" s="70">
        <v>2</v>
      </c>
      <c r="L1973" s="68">
        <v>1</v>
      </c>
      <c r="M1973" s="68">
        <f>_xlfn.XLOOKUP(Survey!$F1973,sections[Start],sections[Test Section],,-1,1)</f>
        <v>6</v>
      </c>
      <c r="N1973" s="55">
        <f>_xlfn.XLOOKUP(Survey!$K1973,pipedata[ID],pipedata[WT])</f>
        <v>0.74</v>
      </c>
      <c r="O1973" s="56">
        <f>_xlfn.XLOOKUP(Survey!$K1973,pipedata[ID],pipedata[104%])</f>
        <v>2565.3333333333335</v>
      </c>
      <c r="P1973" s="57">
        <f t="shared" si="30"/>
        <v>1850</v>
      </c>
      <c r="Q1973" s="58">
        <f>_xlfn.MAXIFS(Survey!$G$2:$G$3647,Survey!$M$2:$M$3647,Survey!$M1973)-Survey!$G1973</f>
        <v>889.5077194003984</v>
      </c>
      <c r="R1973" s="59">
        <f>Survey!$P1973+(Survey!$Q1973*0.433)</f>
        <v>2235.1568425003725</v>
      </c>
    </row>
    <row r="1974" spans="1:18" x14ac:dyDescent="0.25">
      <c r="A1974" s="71" t="s">
        <v>17</v>
      </c>
      <c r="B1974" s="72" t="s">
        <v>22</v>
      </c>
      <c r="C1974" s="73" t="s">
        <v>19</v>
      </c>
      <c r="D1974" s="74">
        <v>241.55826074545485</v>
      </c>
      <c r="E1974" s="81">
        <v>1305769</v>
      </c>
      <c r="F1974" s="82">
        <v>1276433.2666666675</v>
      </c>
      <c r="G1974" s="75">
        <v>2852.9055731593016</v>
      </c>
      <c r="H1974" s="76">
        <v>2</v>
      </c>
      <c r="I1974" s="54" t="s">
        <v>20</v>
      </c>
      <c r="J1974" s="77">
        <v>40</v>
      </c>
      <c r="K1974" s="78">
        <v>2</v>
      </c>
      <c r="L1974" s="54">
        <v>1</v>
      </c>
      <c r="M1974" s="54">
        <f>_xlfn.XLOOKUP(Survey!$F1974,sections[Start],sections[Test Section],,-1,1)</f>
        <v>6</v>
      </c>
      <c r="N1974" s="55">
        <f>_xlfn.XLOOKUP(Survey!$K1974,pipedata[ID],pipedata[WT])</f>
        <v>0.74</v>
      </c>
      <c r="O1974" s="56">
        <f>_xlfn.XLOOKUP(Survey!$K1974,pipedata[ID],pipedata[104%])</f>
        <v>2565.3333333333335</v>
      </c>
      <c r="P1974" s="57">
        <f t="shared" si="30"/>
        <v>1850</v>
      </c>
      <c r="Q1974" s="58">
        <f>_xlfn.MAXIFS(Survey!$G$2:$G$3647,Survey!$M$2:$M$3647,Survey!$M1974)-Survey!$G1974</f>
        <v>881.51906706911495</v>
      </c>
      <c r="R1974" s="59">
        <f>Survey!$P1974+(Survey!$Q1974*0.433)</f>
        <v>2231.6977560409268</v>
      </c>
    </row>
    <row r="1975" spans="1:18" x14ac:dyDescent="0.25">
      <c r="A1975" s="60" t="s">
        <v>17</v>
      </c>
      <c r="B1975" s="61" t="s">
        <v>22</v>
      </c>
      <c r="C1975" s="62" t="s">
        <v>19</v>
      </c>
      <c r="D1975" s="63">
        <v>241.56516818891149</v>
      </c>
      <c r="E1975" s="79">
        <v>1305809</v>
      </c>
      <c r="F1975" s="80">
        <v>1276471.300000001</v>
      </c>
      <c r="G1975" s="66">
        <v>2863.3234970027788</v>
      </c>
      <c r="H1975" s="67">
        <v>2</v>
      </c>
      <c r="I1975" s="68" t="s">
        <v>20</v>
      </c>
      <c r="J1975" s="69">
        <v>40</v>
      </c>
      <c r="K1975" s="70">
        <v>2</v>
      </c>
      <c r="L1975" s="68">
        <v>1</v>
      </c>
      <c r="M1975" s="68">
        <f>_xlfn.XLOOKUP(Survey!$F1975,sections[Start],sections[Test Section],,-1,1)</f>
        <v>6</v>
      </c>
      <c r="N1975" s="55">
        <f>_xlfn.XLOOKUP(Survey!$K1975,pipedata[ID],pipedata[WT])</f>
        <v>0.74</v>
      </c>
      <c r="O1975" s="56">
        <f>_xlfn.XLOOKUP(Survey!$K1975,pipedata[ID],pipedata[104%])</f>
        <v>2565.3333333333335</v>
      </c>
      <c r="P1975" s="57">
        <f t="shared" si="30"/>
        <v>1850</v>
      </c>
      <c r="Q1975" s="58">
        <f>_xlfn.MAXIFS(Survey!$G$2:$G$3647,Survey!$M$2:$M$3647,Survey!$M1975)-Survey!$G1975</f>
        <v>871.10114322563777</v>
      </c>
      <c r="R1975" s="59">
        <f>Survey!$P1975+(Survey!$Q1975*0.433)</f>
        <v>2227.1867950167011</v>
      </c>
    </row>
    <row r="1976" spans="1:18" x14ac:dyDescent="0.25">
      <c r="A1976" s="71" t="s">
        <v>17</v>
      </c>
      <c r="B1976" s="72" t="s">
        <v>22</v>
      </c>
      <c r="C1976" s="73" t="s">
        <v>19</v>
      </c>
      <c r="D1976" s="74">
        <v>241.57216494526295</v>
      </c>
      <c r="E1976" s="81">
        <v>1305849</v>
      </c>
      <c r="F1976" s="82">
        <v>1276509.3333333344</v>
      </c>
      <c r="G1976" s="75">
        <v>2875.724820468351</v>
      </c>
      <c r="H1976" s="76">
        <v>2</v>
      </c>
      <c r="I1976" s="54" t="s">
        <v>20</v>
      </c>
      <c r="J1976" s="77">
        <v>40</v>
      </c>
      <c r="K1976" s="78">
        <v>2</v>
      </c>
      <c r="L1976" s="54">
        <v>1</v>
      </c>
      <c r="M1976" s="54">
        <f>_xlfn.XLOOKUP(Survey!$F1976,sections[Start],sections[Test Section],,-1,1)</f>
        <v>6</v>
      </c>
      <c r="N1976" s="55">
        <f>_xlfn.XLOOKUP(Survey!$K1976,pipedata[ID],pipedata[WT])</f>
        <v>0.74</v>
      </c>
      <c r="O1976" s="56">
        <f>_xlfn.XLOOKUP(Survey!$K1976,pipedata[ID],pipedata[104%])</f>
        <v>2565.3333333333335</v>
      </c>
      <c r="P1976" s="57">
        <f t="shared" si="30"/>
        <v>1850</v>
      </c>
      <c r="Q1976" s="58">
        <f>_xlfn.MAXIFS(Survey!$G$2:$G$3647,Survey!$M$2:$M$3647,Survey!$M1976)-Survey!$G1976</f>
        <v>858.69981976006557</v>
      </c>
      <c r="R1976" s="59">
        <f>Survey!$P1976+(Survey!$Q1976*0.433)</f>
        <v>2221.8170219561084</v>
      </c>
    </row>
    <row r="1977" spans="1:18" x14ac:dyDescent="0.25">
      <c r="A1977" s="60" t="s">
        <v>17</v>
      </c>
      <c r="B1977" s="61" t="s">
        <v>22</v>
      </c>
      <c r="C1977" s="62" t="s">
        <v>19</v>
      </c>
      <c r="D1977" s="63">
        <v>241.57898307582496</v>
      </c>
      <c r="E1977" s="79">
        <v>1305889</v>
      </c>
      <c r="F1977" s="80">
        <v>1276547.3666666679</v>
      </c>
      <c r="G1977" s="66">
        <v>2888.0106088241937</v>
      </c>
      <c r="H1977" s="67">
        <v>2</v>
      </c>
      <c r="I1977" s="68" t="s">
        <v>20</v>
      </c>
      <c r="J1977" s="69">
        <v>40</v>
      </c>
      <c r="K1977" s="70">
        <v>2</v>
      </c>
      <c r="L1977" s="68">
        <v>1</v>
      </c>
      <c r="M1977" s="68">
        <f>_xlfn.XLOOKUP(Survey!$F1977,sections[Start],sections[Test Section],,-1,1)</f>
        <v>6</v>
      </c>
      <c r="N1977" s="55">
        <f>_xlfn.XLOOKUP(Survey!$K1977,pipedata[ID],pipedata[WT])</f>
        <v>0.74</v>
      </c>
      <c r="O1977" s="56">
        <f>_xlfn.XLOOKUP(Survey!$K1977,pipedata[ID],pipedata[104%])</f>
        <v>2565.3333333333335</v>
      </c>
      <c r="P1977" s="57">
        <f t="shared" si="30"/>
        <v>1850</v>
      </c>
      <c r="Q1977" s="58">
        <f>_xlfn.MAXIFS(Survey!$G$2:$G$3647,Survey!$M$2:$M$3647,Survey!$M1977)-Survey!$G1977</f>
        <v>846.4140314042229</v>
      </c>
      <c r="R1977" s="59">
        <f>Survey!$P1977+(Survey!$Q1977*0.433)</f>
        <v>2216.4972755980284</v>
      </c>
    </row>
    <row r="1978" spans="1:18" x14ac:dyDescent="0.25">
      <c r="A1978" s="71" t="s">
        <v>17</v>
      </c>
      <c r="B1978" s="72" t="s">
        <v>22</v>
      </c>
      <c r="C1978" s="73" t="s">
        <v>19</v>
      </c>
      <c r="D1978" s="74">
        <v>241.58721234727847</v>
      </c>
      <c r="E1978" s="81">
        <v>1305929</v>
      </c>
      <c r="F1978" s="82">
        <v>1276585.4000000013</v>
      </c>
      <c r="G1978" s="75">
        <v>2900.3148550210335</v>
      </c>
      <c r="H1978" s="76">
        <v>2</v>
      </c>
      <c r="I1978" s="54" t="s">
        <v>20</v>
      </c>
      <c r="J1978" s="77">
        <v>40</v>
      </c>
      <c r="K1978" s="78">
        <v>2</v>
      </c>
      <c r="L1978" s="54">
        <v>1</v>
      </c>
      <c r="M1978" s="54">
        <f>_xlfn.XLOOKUP(Survey!$F1978,sections[Start],sections[Test Section],,-1,1)</f>
        <v>6</v>
      </c>
      <c r="N1978" s="55">
        <f>_xlfn.XLOOKUP(Survey!$K1978,pipedata[ID],pipedata[WT])</f>
        <v>0.74</v>
      </c>
      <c r="O1978" s="56">
        <f>_xlfn.XLOOKUP(Survey!$K1978,pipedata[ID],pipedata[104%])</f>
        <v>2565.3333333333335</v>
      </c>
      <c r="P1978" s="57">
        <f t="shared" si="30"/>
        <v>1850</v>
      </c>
      <c r="Q1978" s="58">
        <f>_xlfn.MAXIFS(Survey!$G$2:$G$3647,Survey!$M$2:$M$3647,Survey!$M1978)-Survey!$G1978</f>
        <v>834.10978520738308</v>
      </c>
      <c r="R1978" s="59">
        <f>Survey!$P1978+(Survey!$Q1978*0.433)</f>
        <v>2211.169536994797</v>
      </c>
    </row>
    <row r="1979" spans="1:18" x14ac:dyDescent="0.25">
      <c r="A1979" s="60" t="s">
        <v>17</v>
      </c>
      <c r="B1979" s="61" t="s">
        <v>22</v>
      </c>
      <c r="C1979" s="62" t="s">
        <v>19</v>
      </c>
      <c r="D1979" s="63">
        <v>241.59461095730018</v>
      </c>
      <c r="E1979" s="79">
        <v>1305969</v>
      </c>
      <c r="F1979" s="80">
        <v>1276623.4333333347</v>
      </c>
      <c r="G1979" s="66">
        <v>2910.1621865165757</v>
      </c>
      <c r="H1979" s="67">
        <v>2</v>
      </c>
      <c r="I1979" s="68" t="s">
        <v>20</v>
      </c>
      <c r="J1979" s="69">
        <v>40</v>
      </c>
      <c r="K1979" s="70">
        <v>2</v>
      </c>
      <c r="L1979" s="68">
        <v>1</v>
      </c>
      <c r="M1979" s="68">
        <f>_xlfn.XLOOKUP(Survey!$F1979,sections[Start],sections[Test Section],,-1,1)</f>
        <v>6</v>
      </c>
      <c r="N1979" s="55">
        <f>_xlfn.XLOOKUP(Survey!$K1979,pipedata[ID],pipedata[WT])</f>
        <v>0.74</v>
      </c>
      <c r="O1979" s="56">
        <f>_xlfn.XLOOKUP(Survey!$K1979,pipedata[ID],pipedata[104%])</f>
        <v>2565.3333333333335</v>
      </c>
      <c r="P1979" s="57">
        <f t="shared" si="30"/>
        <v>1850</v>
      </c>
      <c r="Q1979" s="58">
        <f>_xlfn.MAXIFS(Survey!$G$2:$G$3647,Survey!$M$2:$M$3647,Survey!$M1979)-Survey!$G1979</f>
        <v>824.26245371184086</v>
      </c>
      <c r="R1979" s="59">
        <f>Survey!$P1979+(Survey!$Q1979*0.433)</f>
        <v>2206.9056424572273</v>
      </c>
    </row>
    <row r="1980" spans="1:18" x14ac:dyDescent="0.25">
      <c r="A1980" s="71" t="s">
        <v>17</v>
      </c>
      <c r="B1980" s="72" t="s">
        <v>22</v>
      </c>
      <c r="C1980" s="73" t="s">
        <v>19</v>
      </c>
      <c r="D1980" s="74">
        <v>241.60074702222107</v>
      </c>
      <c r="E1980" s="81">
        <v>1306009</v>
      </c>
      <c r="F1980" s="82">
        <v>1276661.4666666682</v>
      </c>
      <c r="G1980" s="75">
        <v>2922.9836560360882</v>
      </c>
      <c r="H1980" s="76">
        <v>2</v>
      </c>
      <c r="I1980" s="54" t="s">
        <v>20</v>
      </c>
      <c r="J1980" s="77">
        <v>40</v>
      </c>
      <c r="K1980" s="78">
        <v>2</v>
      </c>
      <c r="L1980" s="54">
        <v>1</v>
      </c>
      <c r="M1980" s="54">
        <f>_xlfn.XLOOKUP(Survey!$F1980,sections[Start],sections[Test Section],,-1,1)</f>
        <v>6</v>
      </c>
      <c r="N1980" s="55">
        <f>_xlfn.XLOOKUP(Survey!$K1980,pipedata[ID],pipedata[WT])</f>
        <v>0.74</v>
      </c>
      <c r="O1980" s="56">
        <f>_xlfn.XLOOKUP(Survey!$K1980,pipedata[ID],pipedata[104%])</f>
        <v>2565.3333333333335</v>
      </c>
      <c r="P1980" s="57">
        <f t="shared" si="30"/>
        <v>1850</v>
      </c>
      <c r="Q1980" s="58">
        <f>_xlfn.MAXIFS(Survey!$G$2:$G$3647,Survey!$M$2:$M$3647,Survey!$M1980)-Survey!$G1980</f>
        <v>811.44098419232841</v>
      </c>
      <c r="R1980" s="59">
        <f>Survey!$P1980+(Survey!$Q1980*0.433)</f>
        <v>2201.3539461552782</v>
      </c>
    </row>
    <row r="1981" spans="1:18" x14ac:dyDescent="0.25">
      <c r="A1981" s="60" t="s">
        <v>17</v>
      </c>
      <c r="B1981" s="61" t="s">
        <v>22</v>
      </c>
      <c r="C1981" s="62" t="s">
        <v>19</v>
      </c>
      <c r="D1981" s="63">
        <v>241.6089284421156</v>
      </c>
      <c r="E1981" s="79">
        <v>1306049</v>
      </c>
      <c r="F1981" s="80">
        <v>1276699.5000000016</v>
      </c>
      <c r="G1981" s="66">
        <v>2934.0160074165351</v>
      </c>
      <c r="H1981" s="67">
        <v>2</v>
      </c>
      <c r="I1981" s="68" t="s">
        <v>20</v>
      </c>
      <c r="J1981" s="69">
        <v>40</v>
      </c>
      <c r="K1981" s="70">
        <v>2</v>
      </c>
      <c r="L1981" s="68">
        <v>1</v>
      </c>
      <c r="M1981" s="68">
        <f>_xlfn.XLOOKUP(Survey!$F1981,sections[Start],sections[Test Section],,-1,1)</f>
        <v>6</v>
      </c>
      <c r="N1981" s="55">
        <f>_xlfn.XLOOKUP(Survey!$K1981,pipedata[ID],pipedata[WT])</f>
        <v>0.74</v>
      </c>
      <c r="O1981" s="56">
        <f>_xlfn.XLOOKUP(Survey!$K1981,pipedata[ID],pipedata[104%])</f>
        <v>2565.3333333333335</v>
      </c>
      <c r="P1981" s="57">
        <f t="shared" si="30"/>
        <v>1850</v>
      </c>
      <c r="Q1981" s="58">
        <f>_xlfn.MAXIFS(Survey!$G$2:$G$3647,Survey!$M$2:$M$3647,Survey!$M1981)-Survey!$G1981</f>
        <v>800.40863281188149</v>
      </c>
      <c r="R1981" s="59">
        <f>Survey!$P1981+(Survey!$Q1981*0.433)</f>
        <v>2196.5769380075449</v>
      </c>
    </row>
    <row r="1982" spans="1:18" x14ac:dyDescent="0.25">
      <c r="A1982" s="71" t="s">
        <v>17</v>
      </c>
      <c r="B1982" s="72" t="s">
        <v>22</v>
      </c>
      <c r="C1982" s="73" t="s">
        <v>19</v>
      </c>
      <c r="D1982" s="74">
        <v>241.61506450703664</v>
      </c>
      <c r="E1982" s="81">
        <v>1306089</v>
      </c>
      <c r="F1982" s="82">
        <v>1276737.5333333351</v>
      </c>
      <c r="G1982" s="75">
        <v>2945.7562501361958</v>
      </c>
      <c r="H1982" s="76">
        <v>2</v>
      </c>
      <c r="I1982" s="54" t="s">
        <v>20</v>
      </c>
      <c r="J1982" s="77">
        <v>40</v>
      </c>
      <c r="K1982" s="78">
        <v>2</v>
      </c>
      <c r="L1982" s="54">
        <v>1</v>
      </c>
      <c r="M1982" s="54">
        <f>_xlfn.XLOOKUP(Survey!$F1982,sections[Start],sections[Test Section],,-1,1)</f>
        <v>6</v>
      </c>
      <c r="N1982" s="55">
        <f>_xlfn.XLOOKUP(Survey!$K1982,pipedata[ID],pipedata[WT])</f>
        <v>0.74</v>
      </c>
      <c r="O1982" s="56">
        <f>_xlfn.XLOOKUP(Survey!$K1982,pipedata[ID],pipedata[104%])</f>
        <v>2565.3333333333335</v>
      </c>
      <c r="P1982" s="57">
        <f t="shared" si="30"/>
        <v>1850</v>
      </c>
      <c r="Q1982" s="58">
        <f>_xlfn.MAXIFS(Survey!$G$2:$G$3647,Survey!$M$2:$M$3647,Survey!$M1982)-Survey!$G1982</f>
        <v>788.66839009222076</v>
      </c>
      <c r="R1982" s="59">
        <f>Survey!$P1982+(Survey!$Q1982*0.433)</f>
        <v>2191.4934129099315</v>
      </c>
    </row>
    <row r="1983" spans="1:18" x14ac:dyDescent="0.25">
      <c r="A1983" s="60" t="s">
        <v>17</v>
      </c>
      <c r="B1983" s="61" t="s">
        <v>22</v>
      </c>
      <c r="C1983" s="62" t="s">
        <v>19</v>
      </c>
      <c r="D1983" s="63">
        <v>241.62324597349485</v>
      </c>
      <c r="E1983" s="79">
        <v>1306129</v>
      </c>
      <c r="F1983" s="80">
        <v>1276775.5666666685</v>
      </c>
      <c r="G1983" s="66">
        <v>2956.6415397696628</v>
      </c>
      <c r="H1983" s="67">
        <v>2</v>
      </c>
      <c r="I1983" s="68" t="s">
        <v>20</v>
      </c>
      <c r="J1983" s="69">
        <v>40</v>
      </c>
      <c r="K1983" s="70">
        <v>2</v>
      </c>
      <c r="L1983" s="68">
        <v>1</v>
      </c>
      <c r="M1983" s="68">
        <f>_xlfn.XLOOKUP(Survey!$F1983,sections[Start],sections[Test Section],,-1,1)</f>
        <v>6</v>
      </c>
      <c r="N1983" s="55">
        <f>_xlfn.XLOOKUP(Survey!$K1983,pipedata[ID],pipedata[WT])</f>
        <v>0.74</v>
      </c>
      <c r="O1983" s="56">
        <f>_xlfn.XLOOKUP(Survey!$K1983,pipedata[ID],pipedata[104%])</f>
        <v>2565.3333333333335</v>
      </c>
      <c r="P1983" s="57">
        <f t="shared" si="30"/>
        <v>1850</v>
      </c>
      <c r="Q1983" s="58">
        <f>_xlfn.MAXIFS(Survey!$G$2:$G$3647,Survey!$M$2:$M$3647,Survey!$M1983)-Survey!$G1983</f>
        <v>777.78310045875378</v>
      </c>
      <c r="R1983" s="59">
        <f>Survey!$P1983+(Survey!$Q1983*0.433)</f>
        <v>2186.7800824986402</v>
      </c>
    </row>
    <row r="1984" spans="1:18" x14ac:dyDescent="0.25">
      <c r="A1984" s="71" t="s">
        <v>17</v>
      </c>
      <c r="B1984" s="72" t="s">
        <v>22</v>
      </c>
      <c r="C1984" s="73" t="s">
        <v>19</v>
      </c>
      <c r="D1984" s="74">
        <v>241.63050873867937</v>
      </c>
      <c r="E1984" s="81">
        <v>1306169</v>
      </c>
      <c r="F1984" s="82">
        <v>1276813.600000002</v>
      </c>
      <c r="G1984" s="75">
        <v>2964.7434391260067</v>
      </c>
      <c r="H1984" s="76">
        <v>2</v>
      </c>
      <c r="I1984" s="54" t="s">
        <v>20</v>
      </c>
      <c r="J1984" s="77">
        <v>40</v>
      </c>
      <c r="K1984" s="78">
        <v>2</v>
      </c>
      <c r="L1984" s="54">
        <v>1</v>
      </c>
      <c r="M1984" s="54">
        <f>_xlfn.XLOOKUP(Survey!$F1984,sections[Start],sections[Test Section],,-1,1)</f>
        <v>6</v>
      </c>
      <c r="N1984" s="55">
        <f>_xlfn.XLOOKUP(Survey!$K1984,pipedata[ID],pipedata[WT])</f>
        <v>0.74</v>
      </c>
      <c r="O1984" s="56">
        <f>_xlfn.XLOOKUP(Survey!$K1984,pipedata[ID],pipedata[104%])</f>
        <v>2565.3333333333335</v>
      </c>
      <c r="P1984" s="57">
        <f t="shared" si="30"/>
        <v>1850</v>
      </c>
      <c r="Q1984" s="58">
        <f>_xlfn.MAXIFS(Survey!$G$2:$G$3647,Survey!$M$2:$M$3647,Survey!$M1984)-Survey!$G1984</f>
        <v>769.68120110240989</v>
      </c>
      <c r="R1984" s="59">
        <f>Survey!$P1984+(Survey!$Q1984*0.433)</f>
        <v>2183.2719600773435</v>
      </c>
    </row>
    <row r="1985" spans="1:18" x14ac:dyDescent="0.25">
      <c r="A1985" s="60" t="s">
        <v>17</v>
      </c>
      <c r="B1985" s="61" t="s">
        <v>22</v>
      </c>
      <c r="C1985" s="62" t="s">
        <v>19</v>
      </c>
      <c r="D1985" s="63">
        <v>241.6370608604085</v>
      </c>
      <c r="E1985" s="79">
        <v>1306209</v>
      </c>
      <c r="F1985" s="80">
        <v>1276851.6333333354</v>
      </c>
      <c r="G1985" s="66">
        <v>2975.137192560167</v>
      </c>
      <c r="H1985" s="67">
        <v>2</v>
      </c>
      <c r="I1985" s="68" t="s">
        <v>20</v>
      </c>
      <c r="J1985" s="69">
        <v>40</v>
      </c>
      <c r="K1985" s="70">
        <v>2</v>
      </c>
      <c r="L1985" s="68">
        <v>1</v>
      </c>
      <c r="M1985" s="68">
        <f>_xlfn.XLOOKUP(Survey!$F1985,sections[Start],sections[Test Section],,-1,1)</f>
        <v>6</v>
      </c>
      <c r="N1985" s="55">
        <f>_xlfn.XLOOKUP(Survey!$K1985,pipedata[ID],pipedata[WT])</f>
        <v>0.74</v>
      </c>
      <c r="O1985" s="56">
        <f>_xlfn.XLOOKUP(Survey!$K1985,pipedata[ID],pipedata[104%])</f>
        <v>2565.3333333333335</v>
      </c>
      <c r="P1985" s="57">
        <f t="shared" si="30"/>
        <v>1850</v>
      </c>
      <c r="Q1985" s="58">
        <f>_xlfn.MAXIFS(Survey!$G$2:$G$3647,Survey!$M$2:$M$3647,Survey!$M1985)-Survey!$G1985</f>
        <v>759.28744766824957</v>
      </c>
      <c r="R1985" s="59">
        <f>Survey!$P1985+(Survey!$Q1985*0.433)</f>
        <v>2178.7714648403521</v>
      </c>
    </row>
    <row r="1986" spans="1:18" x14ac:dyDescent="0.25">
      <c r="A1986" s="71" t="s">
        <v>17</v>
      </c>
      <c r="B1986" s="72" t="s">
        <v>22</v>
      </c>
      <c r="C1986" s="73" t="s">
        <v>19</v>
      </c>
      <c r="D1986" s="74">
        <v>241.64555614069519</v>
      </c>
      <c r="E1986" s="81">
        <v>1306249</v>
      </c>
      <c r="F1986" s="82">
        <v>1276889.6666666688</v>
      </c>
      <c r="G1986" s="75">
        <v>2979.0988462936393</v>
      </c>
      <c r="H1986" s="76">
        <v>2</v>
      </c>
      <c r="I1986" s="54" t="s">
        <v>20</v>
      </c>
      <c r="J1986" s="77">
        <v>40</v>
      </c>
      <c r="K1986" s="78">
        <v>2</v>
      </c>
      <c r="L1986" s="54">
        <v>1</v>
      </c>
      <c r="M1986" s="54">
        <f>_xlfn.XLOOKUP(Survey!$F1986,sections[Start],sections[Test Section],,-1,1)</f>
        <v>6</v>
      </c>
      <c r="N1986" s="55">
        <f>_xlfn.XLOOKUP(Survey!$K1986,pipedata[ID],pipedata[WT])</f>
        <v>0.74</v>
      </c>
      <c r="O1986" s="56">
        <f>_xlfn.XLOOKUP(Survey!$K1986,pipedata[ID],pipedata[104%])</f>
        <v>2565.3333333333335</v>
      </c>
      <c r="P1986" s="57">
        <f t="shared" ref="P1986:P2049" si="31">IF(L1986=1,1850,IF(L1986=2,1850,2220))</f>
        <v>1850</v>
      </c>
      <c r="Q1986" s="58">
        <f>_xlfn.MAXIFS(Survey!$G$2:$G$3647,Survey!$M$2:$M$3647,Survey!$M1986)-Survey!$G1986</f>
        <v>755.32579393477727</v>
      </c>
      <c r="R1986" s="59">
        <f>Survey!$P1986+(Survey!$Q1986*0.433)</f>
        <v>2177.0560687737584</v>
      </c>
    </row>
    <row r="1987" spans="1:18" x14ac:dyDescent="0.25">
      <c r="A1987" s="60" t="s">
        <v>17</v>
      </c>
      <c r="B1987" s="61" t="s">
        <v>22</v>
      </c>
      <c r="C1987" s="62" t="s">
        <v>19</v>
      </c>
      <c r="D1987" s="63">
        <v>241.65279721559006</v>
      </c>
      <c r="E1987" s="79">
        <v>1306289</v>
      </c>
      <c r="F1987" s="80">
        <v>1276927.7000000023</v>
      </c>
      <c r="G1987" s="66">
        <v>2980.8575652368427</v>
      </c>
      <c r="H1987" s="67">
        <v>2</v>
      </c>
      <c r="I1987" s="68" t="s">
        <v>20</v>
      </c>
      <c r="J1987" s="69">
        <v>40</v>
      </c>
      <c r="K1987" s="70">
        <v>2</v>
      </c>
      <c r="L1987" s="68">
        <v>1</v>
      </c>
      <c r="M1987" s="68">
        <f>_xlfn.XLOOKUP(Survey!$F1987,sections[Start],sections[Test Section],,-1,1)</f>
        <v>6</v>
      </c>
      <c r="N1987" s="55">
        <f>_xlfn.XLOOKUP(Survey!$K1987,pipedata[ID],pipedata[WT])</f>
        <v>0.74</v>
      </c>
      <c r="O1987" s="56">
        <f>_xlfn.XLOOKUP(Survey!$K1987,pipedata[ID],pipedata[104%])</f>
        <v>2565.3333333333335</v>
      </c>
      <c r="P1987" s="57">
        <f t="shared" si="31"/>
        <v>1850</v>
      </c>
      <c r="Q1987" s="58">
        <f>_xlfn.MAXIFS(Survey!$G$2:$G$3647,Survey!$M$2:$M$3647,Survey!$M1987)-Survey!$G1987</f>
        <v>753.56707499157392</v>
      </c>
      <c r="R1987" s="59">
        <f>Survey!$P1987+(Survey!$Q1987*0.433)</f>
        <v>2176.2945434713515</v>
      </c>
    </row>
    <row r="1988" spans="1:18" x14ac:dyDescent="0.25">
      <c r="A1988" s="71" t="s">
        <v>17</v>
      </c>
      <c r="B1988" s="72" t="s">
        <v>22</v>
      </c>
      <c r="C1988" s="73" t="s">
        <v>19</v>
      </c>
      <c r="D1988" s="74">
        <v>241.65977478523467</v>
      </c>
      <c r="E1988" s="81">
        <v>1306329</v>
      </c>
      <c r="F1988" s="82">
        <v>1276965.7333333357</v>
      </c>
      <c r="G1988" s="75">
        <v>2982.9411811212544</v>
      </c>
      <c r="H1988" s="76">
        <v>2</v>
      </c>
      <c r="I1988" s="54" t="s">
        <v>20</v>
      </c>
      <c r="J1988" s="77">
        <v>40</v>
      </c>
      <c r="K1988" s="78">
        <v>2</v>
      </c>
      <c r="L1988" s="54">
        <v>1</v>
      </c>
      <c r="M1988" s="54">
        <f>_xlfn.XLOOKUP(Survey!$F1988,sections[Start],sections[Test Section],,-1,1)</f>
        <v>6</v>
      </c>
      <c r="N1988" s="55">
        <f>_xlfn.XLOOKUP(Survey!$K1988,pipedata[ID],pipedata[WT])</f>
        <v>0.74</v>
      </c>
      <c r="O1988" s="56">
        <f>_xlfn.XLOOKUP(Survey!$K1988,pipedata[ID],pipedata[104%])</f>
        <v>2565.3333333333335</v>
      </c>
      <c r="P1988" s="57">
        <f t="shared" si="31"/>
        <v>1850</v>
      </c>
      <c r="Q1988" s="58">
        <f>_xlfn.MAXIFS(Survey!$G$2:$G$3647,Survey!$M$2:$M$3647,Survey!$M1988)-Survey!$G1988</f>
        <v>751.48345910716216</v>
      </c>
      <c r="R1988" s="59">
        <f>Survey!$P1988+(Survey!$Q1988*0.433)</f>
        <v>2175.3923377934011</v>
      </c>
    </row>
    <row r="1989" spans="1:18" x14ac:dyDescent="0.25">
      <c r="A1989" s="60" t="s">
        <v>17</v>
      </c>
      <c r="B1989" s="61" t="s">
        <v>22</v>
      </c>
      <c r="C1989" s="62" t="s">
        <v>19</v>
      </c>
      <c r="D1989" s="63">
        <v>241.66785487110377</v>
      </c>
      <c r="E1989" s="79">
        <v>1306369</v>
      </c>
      <c r="F1989" s="80">
        <v>1277003.7666666692</v>
      </c>
      <c r="G1989" s="66">
        <v>2985.0833717931628</v>
      </c>
      <c r="H1989" s="67">
        <v>2</v>
      </c>
      <c r="I1989" s="68" t="s">
        <v>20</v>
      </c>
      <c r="J1989" s="69">
        <v>40</v>
      </c>
      <c r="K1989" s="70">
        <v>2</v>
      </c>
      <c r="L1989" s="68">
        <v>1</v>
      </c>
      <c r="M1989" s="68">
        <f>_xlfn.XLOOKUP(Survey!$F1989,sections[Start],sections[Test Section],,-1,1)</f>
        <v>6</v>
      </c>
      <c r="N1989" s="55">
        <f>_xlfn.XLOOKUP(Survey!$K1989,pipedata[ID],pipedata[WT])</f>
        <v>0.74</v>
      </c>
      <c r="O1989" s="56">
        <f>_xlfn.XLOOKUP(Survey!$K1989,pipedata[ID],pipedata[104%])</f>
        <v>2565.3333333333335</v>
      </c>
      <c r="P1989" s="57">
        <f t="shared" si="31"/>
        <v>1850</v>
      </c>
      <c r="Q1989" s="58">
        <f>_xlfn.MAXIFS(Survey!$G$2:$G$3647,Survey!$M$2:$M$3647,Survey!$M1989)-Survey!$G1989</f>
        <v>749.34126843525382</v>
      </c>
      <c r="R1989" s="59">
        <f>Survey!$P1989+(Survey!$Q1989*0.433)</f>
        <v>2174.4647692324647</v>
      </c>
    </row>
    <row r="1990" spans="1:18" x14ac:dyDescent="0.25">
      <c r="A1990" s="71" t="s">
        <v>17</v>
      </c>
      <c r="B1990" s="72" t="s">
        <v>22</v>
      </c>
      <c r="C1990" s="73" t="s">
        <v>19</v>
      </c>
      <c r="D1990" s="74">
        <v>241.67463951584605</v>
      </c>
      <c r="E1990" s="81">
        <v>1306409</v>
      </c>
      <c r="F1990" s="82">
        <v>1277041.8000000026</v>
      </c>
      <c r="G1990" s="75">
        <v>2986.6528129524195</v>
      </c>
      <c r="H1990" s="76">
        <v>2</v>
      </c>
      <c r="I1990" s="54" t="s">
        <v>20</v>
      </c>
      <c r="J1990" s="77">
        <v>40</v>
      </c>
      <c r="K1990" s="78">
        <v>2</v>
      </c>
      <c r="L1990" s="54">
        <v>1</v>
      </c>
      <c r="M1990" s="54">
        <f>_xlfn.XLOOKUP(Survey!$F1990,sections[Start],sections[Test Section],,-1,1)</f>
        <v>6</v>
      </c>
      <c r="N1990" s="55">
        <f>_xlfn.XLOOKUP(Survey!$K1990,pipedata[ID],pipedata[WT])</f>
        <v>0.74</v>
      </c>
      <c r="O1990" s="56">
        <f>_xlfn.XLOOKUP(Survey!$K1990,pipedata[ID],pipedata[104%])</f>
        <v>2565.3333333333335</v>
      </c>
      <c r="P1990" s="57">
        <f t="shared" si="31"/>
        <v>1850</v>
      </c>
      <c r="Q1990" s="58">
        <f>_xlfn.MAXIFS(Survey!$G$2:$G$3647,Survey!$M$2:$M$3647,Survey!$M1990)-Survey!$G1990</f>
        <v>747.77182727599711</v>
      </c>
      <c r="R1990" s="59">
        <f>Survey!$P1990+(Survey!$Q1990*0.433)</f>
        <v>2173.7852012105068</v>
      </c>
    </row>
    <row r="1991" spans="1:18" x14ac:dyDescent="0.25">
      <c r="A1991" s="60" t="s">
        <v>17</v>
      </c>
      <c r="B1991" s="61" t="s">
        <v>22</v>
      </c>
      <c r="C1991" s="62" t="s">
        <v>19</v>
      </c>
      <c r="D1991" s="63">
        <v>241.68326377825898</v>
      </c>
      <c r="E1991" s="79">
        <v>1306449</v>
      </c>
      <c r="F1991" s="80">
        <v>1277079.833333336</v>
      </c>
      <c r="G1991" s="66">
        <v>2986.1725653207159</v>
      </c>
      <c r="H1991" s="67">
        <v>2</v>
      </c>
      <c r="I1991" s="68" t="s">
        <v>20</v>
      </c>
      <c r="J1991" s="69">
        <v>40</v>
      </c>
      <c r="K1991" s="70">
        <v>2</v>
      </c>
      <c r="L1991" s="68">
        <v>1</v>
      </c>
      <c r="M1991" s="68">
        <f>_xlfn.XLOOKUP(Survey!$F1991,sections[Start],sections[Test Section],,-1,1)</f>
        <v>6</v>
      </c>
      <c r="N1991" s="55">
        <f>_xlfn.XLOOKUP(Survey!$K1991,pipedata[ID],pipedata[WT])</f>
        <v>0.74</v>
      </c>
      <c r="O1991" s="56">
        <f>_xlfn.XLOOKUP(Survey!$K1991,pipedata[ID],pipedata[104%])</f>
        <v>2565.3333333333335</v>
      </c>
      <c r="P1991" s="57">
        <f t="shared" si="31"/>
        <v>1850</v>
      </c>
      <c r="Q1991" s="58">
        <f>_xlfn.MAXIFS(Survey!$G$2:$G$3647,Survey!$M$2:$M$3647,Survey!$M1991)-Survey!$G1991</f>
        <v>748.25207490770072</v>
      </c>
      <c r="R1991" s="59">
        <f>Survey!$P1991+(Survey!$Q1991*0.433)</f>
        <v>2173.9931484350345</v>
      </c>
    </row>
    <row r="1992" spans="1:18" x14ac:dyDescent="0.25">
      <c r="A1992" s="71" t="s">
        <v>17</v>
      </c>
      <c r="B1992" s="72" t="s">
        <v>22</v>
      </c>
      <c r="C1992" s="73" t="s">
        <v>19</v>
      </c>
      <c r="D1992" s="74">
        <v>241.69039556781851</v>
      </c>
      <c r="E1992" s="81">
        <v>1306489</v>
      </c>
      <c r="F1992" s="82">
        <v>1277117.8666666695</v>
      </c>
      <c r="G1992" s="75">
        <v>2981.1165759227706</v>
      </c>
      <c r="H1992" s="76">
        <v>2</v>
      </c>
      <c r="I1992" s="54" t="s">
        <v>20</v>
      </c>
      <c r="J1992" s="77">
        <v>40</v>
      </c>
      <c r="K1992" s="78">
        <v>2</v>
      </c>
      <c r="L1992" s="54">
        <v>1</v>
      </c>
      <c r="M1992" s="54">
        <f>_xlfn.XLOOKUP(Survey!$F1992,sections[Start],sections[Test Section],,-1,1)</f>
        <v>6</v>
      </c>
      <c r="N1992" s="55">
        <f>_xlfn.XLOOKUP(Survey!$K1992,pipedata[ID],pipedata[WT])</f>
        <v>0.74</v>
      </c>
      <c r="O1992" s="56">
        <f>_xlfn.XLOOKUP(Survey!$K1992,pipedata[ID],pipedata[104%])</f>
        <v>2565.3333333333335</v>
      </c>
      <c r="P1992" s="57">
        <f t="shared" si="31"/>
        <v>1850</v>
      </c>
      <c r="Q1992" s="58">
        <f>_xlfn.MAXIFS(Survey!$G$2:$G$3647,Survey!$M$2:$M$3647,Survey!$M1992)-Survey!$G1992</f>
        <v>753.30806430564598</v>
      </c>
      <c r="R1992" s="59">
        <f>Survey!$P1992+(Survey!$Q1992*0.433)</f>
        <v>2176.1823918443447</v>
      </c>
    </row>
    <row r="1993" spans="1:18" x14ac:dyDescent="0.25">
      <c r="A1993" s="60" t="s">
        <v>17</v>
      </c>
      <c r="B1993" s="61" t="s">
        <v>22</v>
      </c>
      <c r="C1993" s="62" t="s">
        <v>19</v>
      </c>
      <c r="D1993" s="63">
        <v>241.69693661176265</v>
      </c>
      <c r="E1993" s="79">
        <v>1306529</v>
      </c>
      <c r="F1993" s="80">
        <v>1277155.9000000029</v>
      </c>
      <c r="G1993" s="66">
        <v>2973.421980041036</v>
      </c>
      <c r="H1993" s="67">
        <v>2</v>
      </c>
      <c r="I1993" s="68" t="s">
        <v>20</v>
      </c>
      <c r="J1993" s="69">
        <v>40</v>
      </c>
      <c r="K1993" s="70">
        <v>2</v>
      </c>
      <c r="L1993" s="68">
        <v>1</v>
      </c>
      <c r="M1993" s="68">
        <f>_xlfn.XLOOKUP(Survey!$F1993,sections[Start],sections[Test Section],,-1,1)</f>
        <v>6</v>
      </c>
      <c r="N1993" s="55">
        <f>_xlfn.XLOOKUP(Survey!$K1993,pipedata[ID],pipedata[WT])</f>
        <v>0.74</v>
      </c>
      <c r="O1993" s="56">
        <f>_xlfn.XLOOKUP(Survey!$K1993,pipedata[ID],pipedata[104%])</f>
        <v>2565.3333333333335</v>
      </c>
      <c r="P1993" s="57">
        <f t="shared" si="31"/>
        <v>1850</v>
      </c>
      <c r="Q1993" s="58">
        <f>_xlfn.MAXIFS(Survey!$G$2:$G$3647,Survey!$M$2:$M$3647,Survey!$M1993)-Survey!$G1993</f>
        <v>761.00266018738057</v>
      </c>
      <c r="R1993" s="59">
        <f>Survey!$P1993+(Survey!$Q1993*0.433)</f>
        <v>2179.5141518611358</v>
      </c>
    </row>
    <row r="1994" spans="1:18" x14ac:dyDescent="0.25">
      <c r="A1994" s="71" t="s">
        <v>17</v>
      </c>
      <c r="B1994" s="72" t="s">
        <v>22</v>
      </c>
      <c r="C1994" s="73" t="s">
        <v>19</v>
      </c>
      <c r="D1994" s="74">
        <v>241.7052765027664</v>
      </c>
      <c r="E1994" s="81">
        <v>1306569</v>
      </c>
      <c r="F1994" s="82">
        <v>1277193.9333333364</v>
      </c>
      <c r="G1994" s="75">
        <v>2966.4793261720001</v>
      </c>
      <c r="H1994" s="76">
        <v>2</v>
      </c>
      <c r="I1994" s="54" t="s">
        <v>20</v>
      </c>
      <c r="J1994" s="77">
        <v>55</v>
      </c>
      <c r="K1994" s="78">
        <v>2</v>
      </c>
      <c r="L1994" s="54">
        <v>1</v>
      </c>
      <c r="M1994" s="54">
        <f>_xlfn.XLOOKUP(Survey!$F1994,sections[Start],sections[Test Section],,-1,1)</f>
        <v>6</v>
      </c>
      <c r="N1994" s="55">
        <f>_xlfn.XLOOKUP(Survey!$K1994,pipedata[ID],pipedata[WT])</f>
        <v>0.74</v>
      </c>
      <c r="O1994" s="56">
        <f>_xlfn.XLOOKUP(Survey!$K1994,pipedata[ID],pipedata[104%])</f>
        <v>2565.3333333333335</v>
      </c>
      <c r="P1994" s="57">
        <f t="shared" si="31"/>
        <v>1850</v>
      </c>
      <c r="Q1994" s="58">
        <f>_xlfn.MAXIFS(Survey!$G$2:$G$3647,Survey!$M$2:$M$3647,Survey!$M1994)-Survey!$G1994</f>
        <v>767.94531405641646</v>
      </c>
      <c r="R1994" s="59">
        <f>Survey!$P1994+(Survey!$Q1994*0.433)</f>
        <v>2182.5203209864285</v>
      </c>
    </row>
    <row r="1995" spans="1:18" x14ac:dyDescent="0.25">
      <c r="A1995" s="60" t="s">
        <v>17</v>
      </c>
      <c r="B1995" s="61" t="s">
        <v>22</v>
      </c>
      <c r="C1995" s="62" t="s">
        <v>19</v>
      </c>
      <c r="D1995" s="63">
        <v>241.71199508040823</v>
      </c>
      <c r="E1995" s="79">
        <v>1306624</v>
      </c>
      <c r="F1995" s="80">
        <v>1277270</v>
      </c>
      <c r="G1995" s="66">
        <v>2952.2882601999936</v>
      </c>
      <c r="H1995" s="67">
        <v>7</v>
      </c>
      <c r="I1995" s="68" t="s">
        <v>20</v>
      </c>
      <c r="J1995" s="69">
        <v>5</v>
      </c>
      <c r="K1995" s="70">
        <v>7</v>
      </c>
      <c r="L1995" s="68">
        <v>1</v>
      </c>
      <c r="M1995" s="68">
        <f>_xlfn.XLOOKUP(Survey!$F1995,sections[Start],sections[Test Section],,-1,1)</f>
        <v>6</v>
      </c>
      <c r="N1995" s="55">
        <f>_xlfn.XLOOKUP(Survey!$K1995,pipedata[ID],pipedata[WT])</f>
        <v>0</v>
      </c>
      <c r="O1995" s="56">
        <f>_xlfn.XLOOKUP(Survey!$K1995,pipedata[ID],pipedata[104%])</f>
        <v>1539.2</v>
      </c>
      <c r="P1995" s="57">
        <f t="shared" si="31"/>
        <v>1850</v>
      </c>
      <c r="Q1995" s="58">
        <f>_xlfn.MAXIFS(Survey!$G$2:$G$3647,Survey!$M$2:$M$3647,Survey!$M1995)-Survey!$G1995</f>
        <v>782.13638002842299</v>
      </c>
      <c r="R1995" s="59">
        <f>Survey!$P1995+(Survey!$Q1995*0.433)</f>
        <v>2188.6650525523073</v>
      </c>
    </row>
    <row r="1996" spans="1:18" x14ac:dyDescent="0.25">
      <c r="A1996" s="71" t="s">
        <v>17</v>
      </c>
      <c r="B1996" s="72" t="s">
        <v>22</v>
      </c>
      <c r="C1996" s="73" t="s">
        <v>19</v>
      </c>
      <c r="D1996" s="74">
        <v>241.72017462912515</v>
      </c>
      <c r="E1996" s="81">
        <v>1306629</v>
      </c>
      <c r="F1996" s="82">
        <v>1277275</v>
      </c>
      <c r="G1996" s="75">
        <v>2951.8823616585969</v>
      </c>
      <c r="H1996" s="76">
        <v>2</v>
      </c>
      <c r="I1996" s="54" t="s">
        <v>20</v>
      </c>
      <c r="J1996" s="77">
        <v>60</v>
      </c>
      <c r="K1996" s="78">
        <v>2</v>
      </c>
      <c r="L1996" s="54">
        <v>1</v>
      </c>
      <c r="M1996" s="54">
        <f>_xlfn.XLOOKUP(Survey!$F1996,sections[Start],sections[Test Section],,-1,1)</f>
        <v>6</v>
      </c>
      <c r="N1996" s="55">
        <f>_xlfn.XLOOKUP(Survey!$K1996,pipedata[ID],pipedata[WT])</f>
        <v>0.74</v>
      </c>
      <c r="O1996" s="56">
        <f>_xlfn.XLOOKUP(Survey!$K1996,pipedata[ID],pipedata[104%])</f>
        <v>2565.3333333333335</v>
      </c>
      <c r="P1996" s="57">
        <f t="shared" si="31"/>
        <v>1850</v>
      </c>
      <c r="Q1996" s="58">
        <f>_xlfn.MAXIFS(Survey!$G$2:$G$3647,Survey!$M$2:$M$3647,Survey!$M1996)-Survey!$G1996</f>
        <v>782.5422785698197</v>
      </c>
      <c r="R1996" s="59">
        <f>Survey!$P1996+(Survey!$Q1996*0.433)</f>
        <v>2188.8408066207321</v>
      </c>
    </row>
    <row r="1997" spans="1:18" x14ac:dyDescent="0.25">
      <c r="A1997" s="60" t="s">
        <v>17</v>
      </c>
      <c r="B1997" s="61" t="s">
        <v>22</v>
      </c>
      <c r="C1997" s="62" t="s">
        <v>19</v>
      </c>
      <c r="D1997" s="63">
        <v>241.7277665370793</v>
      </c>
      <c r="E1997" s="79">
        <v>1306689</v>
      </c>
      <c r="F1997" s="80">
        <v>1277314.1698113207</v>
      </c>
      <c r="G1997" s="66">
        <v>2944.3863375787209</v>
      </c>
      <c r="H1997" s="67">
        <v>2</v>
      </c>
      <c r="I1997" s="68" t="s">
        <v>20</v>
      </c>
      <c r="J1997" s="69">
        <v>40</v>
      </c>
      <c r="K1997" s="70">
        <v>2</v>
      </c>
      <c r="L1997" s="68">
        <v>1</v>
      </c>
      <c r="M1997" s="68">
        <f>_xlfn.XLOOKUP(Survey!$F1997,sections[Start],sections[Test Section],,-1,1)</f>
        <v>6</v>
      </c>
      <c r="N1997" s="55">
        <f>_xlfn.XLOOKUP(Survey!$K1997,pipedata[ID],pipedata[WT])</f>
        <v>0.74</v>
      </c>
      <c r="O1997" s="56">
        <f>_xlfn.XLOOKUP(Survey!$K1997,pipedata[ID],pipedata[104%])</f>
        <v>2565.3333333333335</v>
      </c>
      <c r="P1997" s="57">
        <f t="shared" si="31"/>
        <v>1850</v>
      </c>
      <c r="Q1997" s="58">
        <f>_xlfn.MAXIFS(Survey!$G$2:$G$3647,Survey!$M$2:$M$3647,Survey!$M1997)-Survey!$G1997</f>
        <v>790.03830264969565</v>
      </c>
      <c r="R1997" s="59">
        <f>Survey!$P1997+(Survey!$Q1997*0.433)</f>
        <v>2192.0865850473183</v>
      </c>
    </row>
    <row r="1998" spans="1:18" x14ac:dyDescent="0.25">
      <c r="A1998" s="71" t="s">
        <v>17</v>
      </c>
      <c r="B1998" s="72" t="s">
        <v>22</v>
      </c>
      <c r="C1998" s="73" t="s">
        <v>19</v>
      </c>
      <c r="D1998" s="74">
        <v>241.73541073143582</v>
      </c>
      <c r="E1998" s="81">
        <v>1306729</v>
      </c>
      <c r="F1998" s="82">
        <v>1277353.3396226414</v>
      </c>
      <c r="G1998" s="75">
        <v>2932.9783270257744</v>
      </c>
      <c r="H1998" s="76">
        <v>2</v>
      </c>
      <c r="I1998" s="54" t="s">
        <v>20</v>
      </c>
      <c r="J1998" s="77">
        <v>40</v>
      </c>
      <c r="K1998" s="78">
        <v>2</v>
      </c>
      <c r="L1998" s="54">
        <v>1</v>
      </c>
      <c r="M1998" s="54">
        <f>_xlfn.XLOOKUP(Survey!$F1998,sections[Start],sections[Test Section],,-1,1)</f>
        <v>6</v>
      </c>
      <c r="N1998" s="55">
        <f>_xlfn.XLOOKUP(Survey!$K1998,pipedata[ID],pipedata[WT])</f>
        <v>0.74</v>
      </c>
      <c r="O1998" s="56">
        <f>_xlfn.XLOOKUP(Survey!$K1998,pipedata[ID],pipedata[104%])</f>
        <v>2565.3333333333335</v>
      </c>
      <c r="P1998" s="57">
        <f t="shared" si="31"/>
        <v>1850</v>
      </c>
      <c r="Q1998" s="58">
        <f>_xlfn.MAXIFS(Survey!$G$2:$G$3647,Survey!$M$2:$M$3647,Survey!$M1998)-Survey!$G1998</f>
        <v>801.44631320264216</v>
      </c>
      <c r="R1998" s="59">
        <f>Survey!$P1998+(Survey!$Q1998*0.433)</f>
        <v>2197.0262536167438</v>
      </c>
    </row>
    <row r="1999" spans="1:18" x14ac:dyDescent="0.25">
      <c r="A1999" s="60" t="s">
        <v>17</v>
      </c>
      <c r="B1999" s="61" t="s">
        <v>22</v>
      </c>
      <c r="C1999" s="62" t="s">
        <v>19</v>
      </c>
      <c r="D1999" s="63">
        <v>241.74150265902259</v>
      </c>
      <c r="E1999" s="79">
        <v>1306769</v>
      </c>
      <c r="F1999" s="80">
        <v>1277392.5094339622</v>
      </c>
      <c r="G1999" s="66">
        <v>2919.8127402305781</v>
      </c>
      <c r="H1999" s="67">
        <v>2</v>
      </c>
      <c r="I1999" s="68" t="s">
        <v>20</v>
      </c>
      <c r="J1999" s="69">
        <v>40</v>
      </c>
      <c r="K1999" s="70">
        <v>2</v>
      </c>
      <c r="L1999" s="68">
        <v>1</v>
      </c>
      <c r="M1999" s="68">
        <f>_xlfn.XLOOKUP(Survey!$F1999,sections[Start],sections[Test Section],,-1,1)</f>
        <v>6</v>
      </c>
      <c r="N1999" s="55">
        <f>_xlfn.XLOOKUP(Survey!$K1999,pipedata[ID],pipedata[WT])</f>
        <v>0.74</v>
      </c>
      <c r="O1999" s="56">
        <f>_xlfn.XLOOKUP(Survey!$K1999,pipedata[ID],pipedata[104%])</f>
        <v>2565.3333333333335</v>
      </c>
      <c r="P1999" s="57">
        <f t="shared" si="31"/>
        <v>1850</v>
      </c>
      <c r="Q1999" s="58">
        <f>_xlfn.MAXIFS(Survey!$G$2:$G$3647,Survey!$M$2:$M$3647,Survey!$M1999)-Survey!$G1999</f>
        <v>814.61189999783846</v>
      </c>
      <c r="R1999" s="59">
        <f>Survey!$P1999+(Survey!$Q1999*0.433)</f>
        <v>2202.726952699064</v>
      </c>
    </row>
    <row r="2000" spans="1:18" x14ac:dyDescent="0.25">
      <c r="A2000" s="71" t="s">
        <v>17</v>
      </c>
      <c r="B2000" s="72" t="s">
        <v>22</v>
      </c>
      <c r="C2000" s="73" t="s">
        <v>19</v>
      </c>
      <c r="D2000" s="74">
        <v>241.74962522913901</v>
      </c>
      <c r="E2000" s="81">
        <v>1306809</v>
      </c>
      <c r="F2000" s="82">
        <v>1277431.6792452829</v>
      </c>
      <c r="G2000" s="75">
        <v>2907.2287410194535</v>
      </c>
      <c r="H2000" s="76">
        <v>2</v>
      </c>
      <c r="I2000" s="54" t="s">
        <v>20</v>
      </c>
      <c r="J2000" s="77">
        <v>40</v>
      </c>
      <c r="K2000" s="78">
        <v>2</v>
      </c>
      <c r="L2000" s="54">
        <v>1</v>
      </c>
      <c r="M2000" s="54">
        <f>_xlfn.XLOOKUP(Survey!$F2000,sections[Start],sections[Test Section],,-1,1)</f>
        <v>6</v>
      </c>
      <c r="N2000" s="55">
        <f>_xlfn.XLOOKUP(Survey!$K2000,pipedata[ID],pipedata[WT])</f>
        <v>0.74</v>
      </c>
      <c r="O2000" s="56">
        <f>_xlfn.XLOOKUP(Survey!$K2000,pipedata[ID],pipedata[104%])</f>
        <v>2565.3333333333335</v>
      </c>
      <c r="P2000" s="57">
        <f t="shared" si="31"/>
        <v>1850</v>
      </c>
      <c r="Q2000" s="58">
        <f>_xlfn.MAXIFS(Survey!$G$2:$G$3647,Survey!$M$2:$M$3647,Survey!$M2000)-Survey!$G2000</f>
        <v>827.19589920896306</v>
      </c>
      <c r="R2000" s="59">
        <f>Survey!$P2000+(Survey!$Q2000*0.433)</f>
        <v>2208.1758243574809</v>
      </c>
    </row>
    <row r="2001" spans="1:18" x14ac:dyDescent="0.25">
      <c r="A2001" s="60" t="s">
        <v>17</v>
      </c>
      <c r="B2001" s="61" t="s">
        <v>22</v>
      </c>
      <c r="C2001" s="62" t="s">
        <v>19</v>
      </c>
      <c r="D2001" s="63">
        <v>241.75623619190719</v>
      </c>
      <c r="E2001" s="79">
        <v>1306849</v>
      </c>
      <c r="F2001" s="80">
        <v>1277470.8490566036</v>
      </c>
      <c r="G2001" s="66">
        <v>2895.4148360295444</v>
      </c>
      <c r="H2001" s="67">
        <v>2</v>
      </c>
      <c r="I2001" s="68" t="s">
        <v>20</v>
      </c>
      <c r="J2001" s="69">
        <v>40</v>
      </c>
      <c r="K2001" s="70">
        <v>2</v>
      </c>
      <c r="L2001" s="68">
        <v>1</v>
      </c>
      <c r="M2001" s="68">
        <f>_xlfn.XLOOKUP(Survey!$F2001,sections[Start],sections[Test Section],,-1,1)</f>
        <v>6</v>
      </c>
      <c r="N2001" s="55">
        <f>_xlfn.XLOOKUP(Survey!$K2001,pipedata[ID],pipedata[WT])</f>
        <v>0.74</v>
      </c>
      <c r="O2001" s="56">
        <f>_xlfn.XLOOKUP(Survey!$K2001,pipedata[ID],pipedata[104%])</f>
        <v>2565.3333333333335</v>
      </c>
      <c r="P2001" s="57">
        <f t="shared" si="31"/>
        <v>1850</v>
      </c>
      <c r="Q2001" s="58">
        <f>_xlfn.MAXIFS(Survey!$G$2:$G$3647,Survey!$M$2:$M$3647,Survey!$M2001)-Survey!$G2001</f>
        <v>839.00980419887219</v>
      </c>
      <c r="R2001" s="59">
        <f>Survey!$P2001+(Survey!$Q2001*0.433)</f>
        <v>2213.2912452181117</v>
      </c>
    </row>
    <row r="2002" spans="1:18" x14ac:dyDescent="0.25">
      <c r="A2002" s="71" t="s">
        <v>17</v>
      </c>
      <c r="B2002" s="72" t="s">
        <v>22</v>
      </c>
      <c r="C2002" s="73" t="s">
        <v>19</v>
      </c>
      <c r="D2002" s="74">
        <v>241.76383972684209</v>
      </c>
      <c r="E2002" s="81">
        <v>1306889</v>
      </c>
      <c r="F2002" s="82">
        <v>1277510.0188679243</v>
      </c>
      <c r="G2002" s="75">
        <v>2884.2847684831995</v>
      </c>
      <c r="H2002" s="76">
        <v>2</v>
      </c>
      <c r="I2002" s="54" t="s">
        <v>20</v>
      </c>
      <c r="J2002" s="77">
        <v>40</v>
      </c>
      <c r="K2002" s="78">
        <v>2</v>
      </c>
      <c r="L2002" s="54">
        <v>1</v>
      </c>
      <c r="M2002" s="54">
        <f>_xlfn.XLOOKUP(Survey!$F2002,sections[Start],sections[Test Section],,-1,1)</f>
        <v>6</v>
      </c>
      <c r="N2002" s="55">
        <f>_xlfn.XLOOKUP(Survey!$K2002,pipedata[ID],pipedata[WT])</f>
        <v>0.74</v>
      </c>
      <c r="O2002" s="56">
        <f>_xlfn.XLOOKUP(Survey!$K2002,pipedata[ID],pipedata[104%])</f>
        <v>2565.3333333333335</v>
      </c>
      <c r="P2002" s="57">
        <f t="shared" si="31"/>
        <v>1850</v>
      </c>
      <c r="Q2002" s="58">
        <f>_xlfn.MAXIFS(Survey!$G$2:$G$3647,Survey!$M$2:$M$3647,Survey!$M2002)-Survey!$G2002</f>
        <v>850.13987174521708</v>
      </c>
      <c r="R2002" s="59">
        <f>Survey!$P2002+(Survey!$Q2002*0.433)</f>
        <v>2218.1105644656791</v>
      </c>
    </row>
    <row r="2003" spans="1:18" x14ac:dyDescent="0.25">
      <c r="A2003" s="60" t="s">
        <v>17</v>
      </c>
      <c r="B2003" s="61" t="s">
        <v>22</v>
      </c>
      <c r="C2003" s="62" t="s">
        <v>19</v>
      </c>
      <c r="D2003" s="63">
        <v>241.77142000781535</v>
      </c>
      <c r="E2003" s="79">
        <v>1306929</v>
      </c>
      <c r="F2003" s="80">
        <v>1277549.1886792451</v>
      </c>
      <c r="G2003" s="66">
        <v>2875.7339055083976</v>
      </c>
      <c r="H2003" s="67">
        <v>2</v>
      </c>
      <c r="I2003" s="68" t="s">
        <v>20</v>
      </c>
      <c r="J2003" s="69">
        <v>40</v>
      </c>
      <c r="K2003" s="70">
        <v>2</v>
      </c>
      <c r="L2003" s="68">
        <v>1</v>
      </c>
      <c r="M2003" s="68">
        <f>_xlfn.XLOOKUP(Survey!$F2003,sections[Start],sections[Test Section],,-1,1)</f>
        <v>6</v>
      </c>
      <c r="N2003" s="55">
        <f>_xlfn.XLOOKUP(Survey!$K2003,pipedata[ID],pipedata[WT])</f>
        <v>0.74</v>
      </c>
      <c r="O2003" s="56">
        <f>_xlfn.XLOOKUP(Survey!$K2003,pipedata[ID],pipedata[104%])</f>
        <v>2565.3333333333335</v>
      </c>
      <c r="P2003" s="57">
        <f t="shared" si="31"/>
        <v>1850</v>
      </c>
      <c r="Q2003" s="58">
        <f>_xlfn.MAXIFS(Survey!$G$2:$G$3647,Survey!$M$2:$M$3647,Survey!$M2003)-Survey!$G2003</f>
        <v>858.69073472001901</v>
      </c>
      <c r="R2003" s="59">
        <f>Survey!$P2003+(Survey!$Q2003*0.433)</f>
        <v>2221.8130881337684</v>
      </c>
    </row>
    <row r="2004" spans="1:18" x14ac:dyDescent="0.25">
      <c r="A2004" s="71" t="s">
        <v>17</v>
      </c>
      <c r="B2004" s="72" t="s">
        <v>22</v>
      </c>
      <c r="C2004" s="73" t="s">
        <v>19</v>
      </c>
      <c r="D2004" s="74">
        <v>241.77901191576944</v>
      </c>
      <c r="E2004" s="81">
        <v>1306969</v>
      </c>
      <c r="F2004" s="82">
        <v>1277588.3584905658</v>
      </c>
      <c r="G2004" s="75">
        <v>2866.2108847032919</v>
      </c>
      <c r="H2004" s="76">
        <v>2</v>
      </c>
      <c r="I2004" s="54" t="s">
        <v>20</v>
      </c>
      <c r="J2004" s="77">
        <v>40</v>
      </c>
      <c r="K2004" s="78">
        <v>2</v>
      </c>
      <c r="L2004" s="54">
        <v>1</v>
      </c>
      <c r="M2004" s="54">
        <f>_xlfn.XLOOKUP(Survey!$F2004,sections[Start],sections[Test Section],,-1,1)</f>
        <v>6</v>
      </c>
      <c r="N2004" s="55">
        <f>_xlfn.XLOOKUP(Survey!$K2004,pipedata[ID],pipedata[WT])</f>
        <v>0.74</v>
      </c>
      <c r="O2004" s="56">
        <f>_xlfn.XLOOKUP(Survey!$K2004,pipedata[ID],pipedata[104%])</f>
        <v>2565.3333333333335</v>
      </c>
      <c r="P2004" s="57">
        <f t="shared" si="31"/>
        <v>1850</v>
      </c>
      <c r="Q2004" s="58">
        <f>_xlfn.MAXIFS(Survey!$G$2:$G$3647,Survey!$M$2:$M$3647,Survey!$M2004)-Survey!$G2004</f>
        <v>868.21375552512472</v>
      </c>
      <c r="R2004" s="59">
        <f>Survey!$P2004+(Survey!$Q2004*0.433)</f>
        <v>2225.9365561423792</v>
      </c>
    </row>
    <row r="2005" spans="1:18" x14ac:dyDescent="0.25">
      <c r="A2005" s="60" t="s">
        <v>17</v>
      </c>
      <c r="B2005" s="61" t="s">
        <v>22</v>
      </c>
      <c r="C2005" s="62" t="s">
        <v>19</v>
      </c>
      <c r="D2005" s="63">
        <v>241.78660382372354</v>
      </c>
      <c r="E2005" s="79">
        <v>1307009</v>
      </c>
      <c r="F2005" s="80">
        <v>1277627.5283018865</v>
      </c>
      <c r="G2005" s="66">
        <v>2857.9097659085628</v>
      </c>
      <c r="H2005" s="67">
        <v>2</v>
      </c>
      <c r="I2005" s="68" t="s">
        <v>20</v>
      </c>
      <c r="J2005" s="69">
        <v>40</v>
      </c>
      <c r="K2005" s="70">
        <v>2</v>
      </c>
      <c r="L2005" s="68">
        <v>1</v>
      </c>
      <c r="M2005" s="68">
        <f>_xlfn.XLOOKUP(Survey!$F2005,sections[Start],sections[Test Section],,-1,1)</f>
        <v>6</v>
      </c>
      <c r="N2005" s="55">
        <f>_xlfn.XLOOKUP(Survey!$K2005,pipedata[ID],pipedata[WT])</f>
        <v>0.74</v>
      </c>
      <c r="O2005" s="56">
        <f>_xlfn.XLOOKUP(Survey!$K2005,pipedata[ID],pipedata[104%])</f>
        <v>2565.3333333333335</v>
      </c>
      <c r="P2005" s="57">
        <f t="shared" si="31"/>
        <v>1850</v>
      </c>
      <c r="Q2005" s="58">
        <f>_xlfn.MAXIFS(Survey!$G$2:$G$3647,Survey!$M$2:$M$3647,Survey!$M2005)-Survey!$G2005</f>
        <v>876.51487431985379</v>
      </c>
      <c r="R2005" s="59">
        <f>Survey!$P2005+(Survey!$Q2005*0.433)</f>
        <v>2229.5309405804965</v>
      </c>
    </row>
    <row r="2006" spans="1:18" x14ac:dyDescent="0.25">
      <c r="A2006" s="71" t="s">
        <v>17</v>
      </c>
      <c r="B2006" s="72" t="s">
        <v>22</v>
      </c>
      <c r="C2006" s="73" t="s">
        <v>19</v>
      </c>
      <c r="D2006" s="74">
        <v>241.79429936477734</v>
      </c>
      <c r="E2006" s="81">
        <v>1307049</v>
      </c>
      <c r="F2006" s="82">
        <v>1277666.6981132072</v>
      </c>
      <c r="G2006" s="75">
        <v>2852.8176111307762</v>
      </c>
      <c r="H2006" s="76">
        <v>2</v>
      </c>
      <c r="I2006" s="54" t="s">
        <v>20</v>
      </c>
      <c r="J2006" s="77">
        <v>40</v>
      </c>
      <c r="K2006" s="78">
        <v>2</v>
      </c>
      <c r="L2006" s="54">
        <v>1</v>
      </c>
      <c r="M2006" s="54">
        <f>_xlfn.XLOOKUP(Survey!$F2006,sections[Start],sections[Test Section],,-1,1)</f>
        <v>6</v>
      </c>
      <c r="N2006" s="55">
        <f>_xlfn.XLOOKUP(Survey!$K2006,pipedata[ID],pipedata[WT])</f>
        <v>0.74</v>
      </c>
      <c r="O2006" s="56">
        <f>_xlfn.XLOOKUP(Survey!$K2006,pipedata[ID],pipedata[104%])</f>
        <v>2565.3333333333335</v>
      </c>
      <c r="P2006" s="57">
        <f t="shared" si="31"/>
        <v>1850</v>
      </c>
      <c r="Q2006" s="58">
        <f>_xlfn.MAXIFS(Survey!$G$2:$G$3647,Survey!$M$2:$M$3647,Survey!$M2006)-Survey!$G2006</f>
        <v>881.60702909764041</v>
      </c>
      <c r="R2006" s="59">
        <f>Survey!$P2006+(Survey!$Q2006*0.433)</f>
        <v>2231.7358435992783</v>
      </c>
    </row>
    <row r="2007" spans="1:18" x14ac:dyDescent="0.25">
      <c r="A2007" s="60" t="s">
        <v>17</v>
      </c>
      <c r="B2007" s="61" t="s">
        <v>22</v>
      </c>
      <c r="C2007" s="62" t="s">
        <v>19</v>
      </c>
      <c r="D2007" s="63">
        <v>241.80178763963178</v>
      </c>
      <c r="E2007" s="79">
        <v>1307089</v>
      </c>
      <c r="F2007" s="80">
        <v>1277705.867924528</v>
      </c>
      <c r="G2007" s="66">
        <v>2848.5452718256633</v>
      </c>
      <c r="H2007" s="67">
        <v>2</v>
      </c>
      <c r="I2007" s="68" t="s">
        <v>20</v>
      </c>
      <c r="J2007" s="69">
        <v>40</v>
      </c>
      <c r="K2007" s="70">
        <v>2</v>
      </c>
      <c r="L2007" s="68">
        <v>1</v>
      </c>
      <c r="M2007" s="68">
        <f>_xlfn.XLOOKUP(Survey!$F2007,sections[Start],sections[Test Section],,-1,1)</f>
        <v>6</v>
      </c>
      <c r="N2007" s="55">
        <f>_xlfn.XLOOKUP(Survey!$K2007,pipedata[ID],pipedata[WT])</f>
        <v>0.74</v>
      </c>
      <c r="O2007" s="56">
        <f>_xlfn.XLOOKUP(Survey!$K2007,pipedata[ID],pipedata[104%])</f>
        <v>2565.3333333333335</v>
      </c>
      <c r="P2007" s="57">
        <f t="shared" si="31"/>
        <v>1850</v>
      </c>
      <c r="Q2007" s="58">
        <f>_xlfn.MAXIFS(Survey!$G$2:$G$3647,Survey!$M$2:$M$3647,Survey!$M2007)-Survey!$G2007</f>
        <v>885.87936840275324</v>
      </c>
      <c r="R2007" s="59">
        <f>Survey!$P2007+(Survey!$Q2007*0.433)</f>
        <v>2233.5857665183921</v>
      </c>
    </row>
    <row r="2008" spans="1:18" x14ac:dyDescent="0.25">
      <c r="A2008" s="71" t="s">
        <v>17</v>
      </c>
      <c r="B2008" s="72" t="s">
        <v>22</v>
      </c>
      <c r="C2008" s="73" t="s">
        <v>19</v>
      </c>
      <c r="D2008" s="74">
        <v>241.80937954758588</v>
      </c>
      <c r="E2008" s="81">
        <v>1307129</v>
      </c>
      <c r="F2008" s="82">
        <v>1277745.0377358487</v>
      </c>
      <c r="G2008" s="75">
        <v>2845.8313751362152</v>
      </c>
      <c r="H2008" s="76">
        <v>2</v>
      </c>
      <c r="I2008" s="54" t="s">
        <v>20</v>
      </c>
      <c r="J2008" s="77">
        <v>40</v>
      </c>
      <c r="K2008" s="78">
        <v>2</v>
      </c>
      <c r="L2008" s="54">
        <v>1</v>
      </c>
      <c r="M2008" s="54">
        <f>_xlfn.XLOOKUP(Survey!$F2008,sections[Start],sections[Test Section],,-1,1)</f>
        <v>6</v>
      </c>
      <c r="N2008" s="55">
        <f>_xlfn.XLOOKUP(Survey!$K2008,pipedata[ID],pipedata[WT])</f>
        <v>0.74</v>
      </c>
      <c r="O2008" s="56">
        <f>_xlfn.XLOOKUP(Survey!$K2008,pipedata[ID],pipedata[104%])</f>
        <v>2565.3333333333335</v>
      </c>
      <c r="P2008" s="57">
        <f t="shared" si="31"/>
        <v>1850</v>
      </c>
      <c r="Q2008" s="58">
        <f>_xlfn.MAXIFS(Survey!$G$2:$G$3647,Survey!$M$2:$M$3647,Survey!$M2008)-Survey!$G2008</f>
        <v>888.59326509220136</v>
      </c>
      <c r="R2008" s="59">
        <f>Survey!$P2008+(Survey!$Q2008*0.433)</f>
        <v>2234.760883784923</v>
      </c>
    </row>
    <row r="2009" spans="1:18" x14ac:dyDescent="0.25">
      <c r="A2009" s="60" t="s">
        <v>17</v>
      </c>
      <c r="B2009" s="61" t="s">
        <v>22</v>
      </c>
      <c r="C2009" s="62" t="s">
        <v>19</v>
      </c>
      <c r="D2009" s="63">
        <v>241.81697145553997</v>
      </c>
      <c r="E2009" s="79">
        <v>1307169</v>
      </c>
      <c r="F2009" s="80">
        <v>1277784.2075471694</v>
      </c>
      <c r="G2009" s="66">
        <v>2842.4268738839255</v>
      </c>
      <c r="H2009" s="67">
        <v>2</v>
      </c>
      <c r="I2009" s="68" t="s">
        <v>20</v>
      </c>
      <c r="J2009" s="69">
        <v>40</v>
      </c>
      <c r="K2009" s="70">
        <v>2</v>
      </c>
      <c r="L2009" s="68">
        <v>1</v>
      </c>
      <c r="M2009" s="68">
        <f>_xlfn.XLOOKUP(Survey!$F2009,sections[Start],sections[Test Section],,-1,1)</f>
        <v>6</v>
      </c>
      <c r="N2009" s="55">
        <f>_xlfn.XLOOKUP(Survey!$K2009,pipedata[ID],pipedata[WT])</f>
        <v>0.74</v>
      </c>
      <c r="O2009" s="56">
        <f>_xlfn.XLOOKUP(Survey!$K2009,pipedata[ID],pipedata[104%])</f>
        <v>2565.3333333333335</v>
      </c>
      <c r="P2009" s="57">
        <f t="shared" si="31"/>
        <v>1850</v>
      </c>
      <c r="Q2009" s="58">
        <f>_xlfn.MAXIFS(Survey!$G$2:$G$3647,Survey!$M$2:$M$3647,Survey!$M2009)-Survey!$G2009</f>
        <v>891.99776634449108</v>
      </c>
      <c r="R2009" s="59">
        <f>Survey!$P2009+(Survey!$Q2009*0.433)</f>
        <v>2236.2350328271646</v>
      </c>
    </row>
    <row r="2010" spans="1:18" x14ac:dyDescent="0.25">
      <c r="A2010" s="71" t="s">
        <v>17</v>
      </c>
      <c r="B2010" s="72" t="s">
        <v>22</v>
      </c>
      <c r="C2010" s="73" t="s">
        <v>19</v>
      </c>
      <c r="D2010" s="74">
        <v>241.82456336349409</v>
      </c>
      <c r="E2010" s="81">
        <v>1307209</v>
      </c>
      <c r="F2010" s="82">
        <v>1277823.3773584901</v>
      </c>
      <c r="G2010" s="75">
        <v>2841.1749463241949</v>
      </c>
      <c r="H2010" s="76">
        <v>2</v>
      </c>
      <c r="I2010" s="54" t="s">
        <v>20</v>
      </c>
      <c r="J2010" s="77">
        <v>40</v>
      </c>
      <c r="K2010" s="78">
        <v>2</v>
      </c>
      <c r="L2010" s="54">
        <v>1</v>
      </c>
      <c r="M2010" s="54">
        <f>_xlfn.XLOOKUP(Survey!$F2010,sections[Start],sections[Test Section],,-1,1)</f>
        <v>6</v>
      </c>
      <c r="N2010" s="55">
        <f>_xlfn.XLOOKUP(Survey!$K2010,pipedata[ID],pipedata[WT])</f>
        <v>0.74</v>
      </c>
      <c r="O2010" s="56">
        <f>_xlfn.XLOOKUP(Survey!$K2010,pipedata[ID],pipedata[104%])</f>
        <v>2565.3333333333335</v>
      </c>
      <c r="P2010" s="57">
        <f t="shared" si="31"/>
        <v>1850</v>
      </c>
      <c r="Q2010" s="58">
        <f>_xlfn.MAXIFS(Survey!$G$2:$G$3647,Survey!$M$2:$M$3647,Survey!$M2010)-Survey!$G2010</f>
        <v>893.24969390422166</v>
      </c>
      <c r="R2010" s="59">
        <f>Survey!$P2010+(Survey!$Q2010*0.433)</f>
        <v>2236.7771174605277</v>
      </c>
    </row>
    <row r="2011" spans="1:18" x14ac:dyDescent="0.25">
      <c r="A2011" s="60" t="s">
        <v>17</v>
      </c>
      <c r="B2011" s="61" t="s">
        <v>22</v>
      </c>
      <c r="C2011" s="62" t="s">
        <v>19</v>
      </c>
      <c r="D2011" s="63">
        <v>241.83085093029976</v>
      </c>
      <c r="E2011" s="79">
        <v>1307249</v>
      </c>
      <c r="F2011" s="80">
        <v>1277862.5471698109</v>
      </c>
      <c r="G2011" s="66">
        <v>2840.467007113723</v>
      </c>
      <c r="H2011" s="67">
        <v>2</v>
      </c>
      <c r="I2011" s="68" t="s">
        <v>20</v>
      </c>
      <c r="J2011" s="69">
        <v>40</v>
      </c>
      <c r="K2011" s="70">
        <v>2</v>
      </c>
      <c r="L2011" s="68">
        <v>1</v>
      </c>
      <c r="M2011" s="68">
        <f>_xlfn.XLOOKUP(Survey!$F2011,sections[Start],sections[Test Section],,-1,1)</f>
        <v>6</v>
      </c>
      <c r="N2011" s="55">
        <f>_xlfn.XLOOKUP(Survey!$K2011,pipedata[ID],pipedata[WT])</f>
        <v>0.74</v>
      </c>
      <c r="O2011" s="56">
        <f>_xlfn.XLOOKUP(Survey!$K2011,pipedata[ID],pipedata[104%])</f>
        <v>2565.3333333333335</v>
      </c>
      <c r="P2011" s="57">
        <f t="shared" si="31"/>
        <v>1850</v>
      </c>
      <c r="Q2011" s="58">
        <f>_xlfn.MAXIFS(Survey!$G$2:$G$3647,Survey!$M$2:$M$3647,Survey!$M2011)-Survey!$G2011</f>
        <v>893.95763311469364</v>
      </c>
      <c r="R2011" s="59">
        <f>Survey!$P2011+(Survey!$Q2011*0.433)</f>
        <v>2237.0836551386624</v>
      </c>
    </row>
    <row r="2012" spans="1:18" x14ac:dyDescent="0.25">
      <c r="A2012" s="71" t="s">
        <v>17</v>
      </c>
      <c r="B2012" s="72" t="s">
        <v>22</v>
      </c>
      <c r="C2012" s="73" t="s">
        <v>19</v>
      </c>
      <c r="D2012" s="74">
        <v>241.83897350041579</v>
      </c>
      <c r="E2012" s="81">
        <v>1307289</v>
      </c>
      <c r="F2012" s="82">
        <v>1277901.7169811316</v>
      </c>
      <c r="G2012" s="75">
        <v>2840.243450987999</v>
      </c>
      <c r="H2012" s="76">
        <v>2</v>
      </c>
      <c r="I2012" s="54" t="s">
        <v>20</v>
      </c>
      <c r="J2012" s="77">
        <v>40</v>
      </c>
      <c r="K2012" s="78">
        <v>2</v>
      </c>
      <c r="L2012" s="54">
        <v>1</v>
      </c>
      <c r="M2012" s="54">
        <f>_xlfn.XLOOKUP(Survey!$F2012,sections[Start],sections[Test Section],,-1,1)</f>
        <v>6</v>
      </c>
      <c r="N2012" s="55">
        <f>_xlfn.XLOOKUP(Survey!$K2012,pipedata[ID],pipedata[WT])</f>
        <v>0.74</v>
      </c>
      <c r="O2012" s="56">
        <f>_xlfn.XLOOKUP(Survey!$K2012,pipedata[ID],pipedata[104%])</f>
        <v>2565.3333333333335</v>
      </c>
      <c r="P2012" s="57">
        <f t="shared" si="31"/>
        <v>1850</v>
      </c>
      <c r="Q2012" s="58">
        <f>_xlfn.MAXIFS(Survey!$G$2:$G$3647,Survey!$M$2:$M$3647,Survey!$M2012)-Survey!$G2012</f>
        <v>894.18118924041755</v>
      </c>
      <c r="R2012" s="59">
        <f>Survey!$P2012+(Survey!$Q2012*0.433)</f>
        <v>2237.1804549411008</v>
      </c>
    </row>
    <row r="2013" spans="1:18" x14ac:dyDescent="0.25">
      <c r="A2013" s="60" t="s">
        <v>17</v>
      </c>
      <c r="B2013" s="61" t="s">
        <v>22</v>
      </c>
      <c r="C2013" s="62" t="s">
        <v>19</v>
      </c>
      <c r="D2013" s="63">
        <v>241.84709607053185</v>
      </c>
      <c r="E2013" s="79">
        <v>1307329</v>
      </c>
      <c r="F2013" s="80">
        <v>1277940.8867924523</v>
      </c>
      <c r="G2013" s="66">
        <v>2841.4719877875577</v>
      </c>
      <c r="H2013" s="67">
        <v>2</v>
      </c>
      <c r="I2013" s="68" t="s">
        <v>20</v>
      </c>
      <c r="J2013" s="69">
        <v>40</v>
      </c>
      <c r="K2013" s="70">
        <v>2</v>
      </c>
      <c r="L2013" s="68">
        <v>1</v>
      </c>
      <c r="M2013" s="68">
        <f>_xlfn.XLOOKUP(Survey!$F2013,sections[Start],sections[Test Section],,-1,1)</f>
        <v>6</v>
      </c>
      <c r="N2013" s="55">
        <f>_xlfn.XLOOKUP(Survey!$K2013,pipedata[ID],pipedata[WT])</f>
        <v>0.74</v>
      </c>
      <c r="O2013" s="56">
        <f>_xlfn.XLOOKUP(Survey!$K2013,pipedata[ID],pipedata[104%])</f>
        <v>2565.3333333333335</v>
      </c>
      <c r="P2013" s="57">
        <f t="shared" si="31"/>
        <v>1850</v>
      </c>
      <c r="Q2013" s="58">
        <f>_xlfn.MAXIFS(Survey!$G$2:$G$3647,Survey!$M$2:$M$3647,Survey!$M2013)-Survey!$G2013</f>
        <v>892.95265244085886</v>
      </c>
      <c r="R2013" s="59">
        <f>Survey!$P2013+(Survey!$Q2013*0.433)</f>
        <v>2236.6484985068919</v>
      </c>
    </row>
    <row r="2014" spans="1:18" x14ac:dyDescent="0.25">
      <c r="A2014" s="71" t="s">
        <v>17</v>
      </c>
      <c r="B2014" s="72" t="s">
        <v>22</v>
      </c>
      <c r="C2014" s="73" t="s">
        <v>19</v>
      </c>
      <c r="D2014" s="74">
        <v>241.85467862985277</v>
      </c>
      <c r="E2014" s="81">
        <v>1307369</v>
      </c>
      <c r="F2014" s="82">
        <v>1277980.056603773</v>
      </c>
      <c r="G2014" s="75">
        <v>2845.1495401977563</v>
      </c>
      <c r="H2014" s="76">
        <v>2</v>
      </c>
      <c r="I2014" s="54" t="s">
        <v>20</v>
      </c>
      <c r="J2014" s="77">
        <v>40</v>
      </c>
      <c r="K2014" s="78">
        <v>2</v>
      </c>
      <c r="L2014" s="54">
        <v>1</v>
      </c>
      <c r="M2014" s="54">
        <f>_xlfn.XLOOKUP(Survey!$F2014,sections[Start],sections[Test Section],,-1,1)</f>
        <v>6</v>
      </c>
      <c r="N2014" s="55">
        <f>_xlfn.XLOOKUP(Survey!$K2014,pipedata[ID],pipedata[WT])</f>
        <v>0.74</v>
      </c>
      <c r="O2014" s="56">
        <f>_xlfn.XLOOKUP(Survey!$K2014,pipedata[ID],pipedata[104%])</f>
        <v>2565.3333333333335</v>
      </c>
      <c r="P2014" s="57">
        <f t="shared" si="31"/>
        <v>1850</v>
      </c>
      <c r="Q2014" s="58">
        <f>_xlfn.MAXIFS(Survey!$G$2:$G$3647,Survey!$M$2:$M$3647,Survey!$M2014)-Survey!$G2014</f>
        <v>889.27510003066027</v>
      </c>
      <c r="R2014" s="59">
        <f>Survey!$P2014+(Survey!$Q2014*0.433)</f>
        <v>2235.0561183132759</v>
      </c>
    </row>
    <row r="2015" spans="1:18" x14ac:dyDescent="0.25">
      <c r="A2015" s="60" t="s">
        <v>17</v>
      </c>
      <c r="B2015" s="61" t="s">
        <v>22</v>
      </c>
      <c r="C2015" s="62" t="s">
        <v>19</v>
      </c>
      <c r="D2015" s="63">
        <v>241.86180496168905</v>
      </c>
      <c r="E2015" s="79">
        <v>1307409</v>
      </c>
      <c r="F2015" s="80">
        <v>1278019.2264150938</v>
      </c>
      <c r="G2015" s="66">
        <v>2846.433454740667</v>
      </c>
      <c r="H2015" s="67">
        <v>2</v>
      </c>
      <c r="I2015" s="68" t="s">
        <v>20</v>
      </c>
      <c r="J2015" s="69">
        <v>40</v>
      </c>
      <c r="K2015" s="70">
        <v>2</v>
      </c>
      <c r="L2015" s="68">
        <v>1</v>
      </c>
      <c r="M2015" s="68">
        <f>_xlfn.XLOOKUP(Survey!$F2015,sections[Start],sections[Test Section],,-1,1)</f>
        <v>6</v>
      </c>
      <c r="N2015" s="55">
        <f>_xlfn.XLOOKUP(Survey!$K2015,pipedata[ID],pipedata[WT])</f>
        <v>0.74</v>
      </c>
      <c r="O2015" s="56">
        <f>_xlfn.XLOOKUP(Survey!$K2015,pipedata[ID],pipedata[104%])</f>
        <v>2565.3333333333335</v>
      </c>
      <c r="P2015" s="57">
        <f t="shared" si="31"/>
        <v>1850</v>
      </c>
      <c r="Q2015" s="58">
        <f>_xlfn.MAXIFS(Survey!$G$2:$G$3647,Survey!$M$2:$M$3647,Survey!$M2015)-Survey!$G2015</f>
        <v>887.99118548774959</v>
      </c>
      <c r="R2015" s="59">
        <f>Survey!$P2015+(Survey!$Q2015*0.433)</f>
        <v>2234.5001833161955</v>
      </c>
    </row>
    <row r="2016" spans="1:18" x14ac:dyDescent="0.25">
      <c r="A2016" s="71" t="s">
        <v>17</v>
      </c>
      <c r="B2016" s="72" t="s">
        <v>22</v>
      </c>
      <c r="C2016" s="73" t="s">
        <v>19</v>
      </c>
      <c r="D2016" s="74">
        <v>241.86840242363502</v>
      </c>
      <c r="E2016" s="81">
        <v>1307449</v>
      </c>
      <c r="F2016" s="82">
        <v>1278058.3962264145</v>
      </c>
      <c r="G2016" s="75">
        <v>2844.6279296545981</v>
      </c>
      <c r="H2016" s="76">
        <v>2</v>
      </c>
      <c r="I2016" s="54" t="s">
        <v>20</v>
      </c>
      <c r="J2016" s="77">
        <v>40</v>
      </c>
      <c r="K2016" s="78">
        <v>2</v>
      </c>
      <c r="L2016" s="54">
        <v>1</v>
      </c>
      <c r="M2016" s="54">
        <f>_xlfn.XLOOKUP(Survey!$F2016,sections[Start],sections[Test Section],,-1,1)</f>
        <v>6</v>
      </c>
      <c r="N2016" s="55">
        <f>_xlfn.XLOOKUP(Survey!$K2016,pipedata[ID],pipedata[WT])</f>
        <v>0.74</v>
      </c>
      <c r="O2016" s="56">
        <f>_xlfn.XLOOKUP(Survey!$K2016,pipedata[ID],pipedata[104%])</f>
        <v>2565.3333333333335</v>
      </c>
      <c r="P2016" s="57">
        <f t="shared" si="31"/>
        <v>1850</v>
      </c>
      <c r="Q2016" s="58">
        <f>_xlfn.MAXIFS(Survey!$G$2:$G$3647,Survey!$M$2:$M$3647,Survey!$M2016)-Survey!$G2016</f>
        <v>889.79671057381847</v>
      </c>
      <c r="R2016" s="59">
        <f>Survey!$P2016+(Survey!$Q2016*0.433)</f>
        <v>2235.2819756784634</v>
      </c>
    </row>
    <row r="2017" spans="1:18" x14ac:dyDescent="0.25">
      <c r="A2017" s="60" t="s">
        <v>17</v>
      </c>
      <c r="B2017" s="61" t="s">
        <v>22</v>
      </c>
      <c r="C2017" s="62" t="s">
        <v>19</v>
      </c>
      <c r="D2017" s="63">
        <v>241.87706618864226</v>
      </c>
      <c r="E2017" s="79">
        <v>1307489</v>
      </c>
      <c r="F2017" s="80">
        <v>1278097.5660377352</v>
      </c>
      <c r="G2017" s="66">
        <v>2839.1996938482107</v>
      </c>
      <c r="H2017" s="67">
        <v>2</v>
      </c>
      <c r="I2017" s="68" t="s">
        <v>20</v>
      </c>
      <c r="J2017" s="69">
        <v>40</v>
      </c>
      <c r="K2017" s="70">
        <v>2</v>
      </c>
      <c r="L2017" s="68">
        <v>1</v>
      </c>
      <c r="M2017" s="68">
        <f>_xlfn.XLOOKUP(Survey!$F2017,sections[Start],sections[Test Section],,-1,1)</f>
        <v>6</v>
      </c>
      <c r="N2017" s="55">
        <f>_xlfn.XLOOKUP(Survey!$K2017,pipedata[ID],pipedata[WT])</f>
        <v>0.74</v>
      </c>
      <c r="O2017" s="56">
        <f>_xlfn.XLOOKUP(Survey!$K2017,pipedata[ID],pipedata[104%])</f>
        <v>2565.3333333333335</v>
      </c>
      <c r="P2017" s="57">
        <f t="shared" si="31"/>
        <v>1850</v>
      </c>
      <c r="Q2017" s="58">
        <f>_xlfn.MAXIFS(Survey!$G$2:$G$3647,Survey!$M$2:$M$3647,Survey!$M2017)-Survey!$G2017</f>
        <v>895.22494638020589</v>
      </c>
      <c r="R2017" s="59">
        <f>Survey!$P2017+(Survey!$Q2017*0.433)</f>
        <v>2237.6324017826291</v>
      </c>
    </row>
    <row r="2018" spans="1:18" x14ac:dyDescent="0.25">
      <c r="A2018" s="71" t="s">
        <v>17</v>
      </c>
      <c r="B2018" s="72" t="s">
        <v>22</v>
      </c>
      <c r="C2018" s="73" t="s">
        <v>19</v>
      </c>
      <c r="D2018" s="74">
        <v>241.88425197662244</v>
      </c>
      <c r="E2018" s="81">
        <v>1307529</v>
      </c>
      <c r="F2018" s="82">
        <v>1278136.7358490559</v>
      </c>
      <c r="G2018" s="75">
        <v>2827.2734573457669</v>
      </c>
      <c r="H2018" s="76">
        <v>2</v>
      </c>
      <c r="I2018" s="54" t="s">
        <v>20</v>
      </c>
      <c r="J2018" s="77">
        <v>40</v>
      </c>
      <c r="K2018" s="78">
        <v>2</v>
      </c>
      <c r="L2018" s="54">
        <v>1</v>
      </c>
      <c r="M2018" s="54">
        <f>_xlfn.XLOOKUP(Survey!$F2018,sections[Start],sections[Test Section],,-1,1)</f>
        <v>6</v>
      </c>
      <c r="N2018" s="55">
        <f>_xlfn.XLOOKUP(Survey!$K2018,pipedata[ID],pipedata[WT])</f>
        <v>0.74</v>
      </c>
      <c r="O2018" s="56">
        <f>_xlfn.XLOOKUP(Survey!$K2018,pipedata[ID],pipedata[104%])</f>
        <v>2565.3333333333335</v>
      </c>
      <c r="P2018" s="57">
        <f t="shared" si="31"/>
        <v>1850</v>
      </c>
      <c r="Q2018" s="58">
        <f>_xlfn.MAXIFS(Survey!$G$2:$G$3647,Survey!$M$2:$M$3647,Survey!$M2018)-Survey!$G2018</f>
        <v>907.15118288264966</v>
      </c>
      <c r="R2018" s="59">
        <f>Survey!$P2018+(Survey!$Q2018*0.433)</f>
        <v>2242.7964621881874</v>
      </c>
    </row>
    <row r="2019" spans="1:18" x14ac:dyDescent="0.25">
      <c r="A2019" s="60" t="s">
        <v>17</v>
      </c>
      <c r="B2019" s="61" t="s">
        <v>22</v>
      </c>
      <c r="C2019" s="62" t="s">
        <v>19</v>
      </c>
      <c r="D2019" s="63">
        <v>241.8916193910664</v>
      </c>
      <c r="E2019" s="79">
        <v>1307569</v>
      </c>
      <c r="F2019" s="80">
        <v>1278175.9056603767</v>
      </c>
      <c r="G2019" s="66">
        <v>2816.6628078109306</v>
      </c>
      <c r="H2019" s="67">
        <v>2</v>
      </c>
      <c r="I2019" s="68" t="s">
        <v>20</v>
      </c>
      <c r="J2019" s="69">
        <v>40</v>
      </c>
      <c r="K2019" s="70">
        <v>2</v>
      </c>
      <c r="L2019" s="68">
        <v>1</v>
      </c>
      <c r="M2019" s="68">
        <f>_xlfn.XLOOKUP(Survey!$F2019,sections[Start],sections[Test Section],,-1,1)</f>
        <v>6</v>
      </c>
      <c r="N2019" s="55">
        <f>_xlfn.XLOOKUP(Survey!$K2019,pipedata[ID],pipedata[WT])</f>
        <v>0.74</v>
      </c>
      <c r="O2019" s="56">
        <f>_xlfn.XLOOKUP(Survey!$K2019,pipedata[ID],pipedata[104%])</f>
        <v>2565.3333333333335</v>
      </c>
      <c r="P2019" s="57">
        <f t="shared" si="31"/>
        <v>1850</v>
      </c>
      <c r="Q2019" s="58">
        <f>_xlfn.MAXIFS(Survey!$G$2:$G$3647,Survey!$M$2:$M$3647,Survey!$M2019)-Survey!$G2019</f>
        <v>917.76183241748595</v>
      </c>
      <c r="R2019" s="59">
        <f>Survey!$P2019+(Survey!$Q2019*0.433)</f>
        <v>2247.3908734367715</v>
      </c>
    </row>
    <row r="2020" spans="1:18" x14ac:dyDescent="0.25">
      <c r="A2020" s="71" t="s">
        <v>17</v>
      </c>
      <c r="B2020" s="72" t="s">
        <v>22</v>
      </c>
      <c r="C2020" s="73" t="s">
        <v>19</v>
      </c>
      <c r="D2020" s="74">
        <v>241.89816104786948</v>
      </c>
      <c r="E2020" s="81">
        <v>1307609</v>
      </c>
      <c r="F2020" s="82">
        <v>1278215.0754716974</v>
      </c>
      <c r="G2020" s="75">
        <v>2807.2815978197659</v>
      </c>
      <c r="H2020" s="76">
        <v>2</v>
      </c>
      <c r="I2020" s="54" t="s">
        <v>20</v>
      </c>
      <c r="J2020" s="77">
        <v>40</v>
      </c>
      <c r="K2020" s="78">
        <v>2</v>
      </c>
      <c r="L2020" s="54">
        <v>1</v>
      </c>
      <c r="M2020" s="54">
        <f>_xlfn.XLOOKUP(Survey!$F2020,sections[Start],sections[Test Section],,-1,1)</f>
        <v>6</v>
      </c>
      <c r="N2020" s="55">
        <f>_xlfn.XLOOKUP(Survey!$K2020,pipedata[ID],pipedata[WT])</f>
        <v>0.74</v>
      </c>
      <c r="O2020" s="56">
        <f>_xlfn.XLOOKUP(Survey!$K2020,pipedata[ID],pipedata[104%])</f>
        <v>2565.3333333333335</v>
      </c>
      <c r="P2020" s="57">
        <f t="shared" si="31"/>
        <v>1850</v>
      </c>
      <c r="Q2020" s="58">
        <f>_xlfn.MAXIFS(Survey!$G$2:$G$3647,Survey!$M$2:$M$3647,Survey!$M2020)-Survey!$G2020</f>
        <v>927.14304240865067</v>
      </c>
      <c r="R2020" s="59">
        <f>Survey!$P2020+(Survey!$Q2020*0.433)</f>
        <v>2251.4529373629457</v>
      </c>
    </row>
    <row r="2021" spans="1:18" x14ac:dyDescent="0.25">
      <c r="A2021" s="60" t="s">
        <v>17</v>
      </c>
      <c r="B2021" s="61" t="s">
        <v>22</v>
      </c>
      <c r="C2021" s="62" t="s">
        <v>19</v>
      </c>
      <c r="D2021" s="63">
        <v>241.90617259349062</v>
      </c>
      <c r="E2021" s="79">
        <v>1307649</v>
      </c>
      <c r="F2021" s="80">
        <v>1278254.2452830181</v>
      </c>
      <c r="G2021" s="66">
        <v>2799.0168295616108</v>
      </c>
      <c r="H2021" s="67">
        <v>2</v>
      </c>
      <c r="I2021" s="68" t="s">
        <v>20</v>
      </c>
      <c r="J2021" s="69">
        <v>40</v>
      </c>
      <c r="K2021" s="70">
        <v>2</v>
      </c>
      <c r="L2021" s="68">
        <v>1</v>
      </c>
      <c r="M2021" s="68">
        <f>_xlfn.XLOOKUP(Survey!$F2021,sections[Start],sections[Test Section],,-1,1)</f>
        <v>6</v>
      </c>
      <c r="N2021" s="55">
        <f>_xlfn.XLOOKUP(Survey!$K2021,pipedata[ID],pipedata[WT])</f>
        <v>0.74</v>
      </c>
      <c r="O2021" s="56">
        <f>_xlfn.XLOOKUP(Survey!$K2021,pipedata[ID],pipedata[104%])</f>
        <v>2565.3333333333335</v>
      </c>
      <c r="P2021" s="57">
        <f t="shared" si="31"/>
        <v>1850</v>
      </c>
      <c r="Q2021" s="58">
        <f>_xlfn.MAXIFS(Survey!$G$2:$G$3647,Survey!$M$2:$M$3647,Survey!$M2021)-Survey!$G2021</f>
        <v>935.40781066680574</v>
      </c>
      <c r="R2021" s="59">
        <f>Survey!$P2021+(Survey!$Q2021*0.433)</f>
        <v>2255.031582018727</v>
      </c>
    </row>
    <row r="2022" spans="1:18" x14ac:dyDescent="0.25">
      <c r="A2022" s="71" t="s">
        <v>17</v>
      </c>
      <c r="B2022" s="72" t="s">
        <v>22</v>
      </c>
      <c r="C2022" s="73" t="s">
        <v>19</v>
      </c>
      <c r="D2022" s="74">
        <v>241.91405712929489</v>
      </c>
      <c r="E2022" s="81">
        <v>1307689</v>
      </c>
      <c r="F2022" s="82">
        <v>1278293.4150943388</v>
      </c>
      <c r="G2022" s="75">
        <v>2790.162896107146</v>
      </c>
      <c r="H2022" s="76">
        <v>2</v>
      </c>
      <c r="I2022" s="54" t="s">
        <v>20</v>
      </c>
      <c r="J2022" s="77">
        <v>40</v>
      </c>
      <c r="K2022" s="78">
        <v>2</v>
      </c>
      <c r="L2022" s="54">
        <v>1</v>
      </c>
      <c r="M2022" s="54">
        <f>_xlfn.XLOOKUP(Survey!$F2022,sections[Start],sections[Test Section],,-1,1)</f>
        <v>6</v>
      </c>
      <c r="N2022" s="55">
        <f>_xlfn.XLOOKUP(Survey!$K2022,pipedata[ID],pipedata[WT])</f>
        <v>0.74</v>
      </c>
      <c r="O2022" s="56">
        <f>_xlfn.XLOOKUP(Survey!$K2022,pipedata[ID],pipedata[104%])</f>
        <v>2565.3333333333335</v>
      </c>
      <c r="P2022" s="57">
        <f t="shared" si="31"/>
        <v>1850</v>
      </c>
      <c r="Q2022" s="58">
        <f>_xlfn.MAXIFS(Survey!$G$2:$G$3647,Survey!$M$2:$M$3647,Survey!$M2022)-Survey!$G2022</f>
        <v>944.26174412127057</v>
      </c>
      <c r="R2022" s="59">
        <f>Survey!$P2022+(Survey!$Q2022*0.433)</f>
        <v>2258.8653352045103</v>
      </c>
    </row>
    <row r="2023" spans="1:18" x14ac:dyDescent="0.25">
      <c r="A2023" s="60" t="s">
        <v>17</v>
      </c>
      <c r="B2023" s="61" t="s">
        <v>22</v>
      </c>
      <c r="C2023" s="62" t="s">
        <v>19</v>
      </c>
      <c r="D2023" s="63">
        <v>241.92001457756737</v>
      </c>
      <c r="E2023" s="79">
        <v>1307729</v>
      </c>
      <c r="F2023" s="80">
        <v>1278332.5849056595</v>
      </c>
      <c r="G2023" s="66">
        <v>2782.2292526958981</v>
      </c>
      <c r="H2023" s="67">
        <v>2</v>
      </c>
      <c r="I2023" s="68" t="s">
        <v>20</v>
      </c>
      <c r="J2023" s="69">
        <v>40</v>
      </c>
      <c r="K2023" s="70">
        <v>2</v>
      </c>
      <c r="L2023" s="68">
        <v>1</v>
      </c>
      <c r="M2023" s="68">
        <f>_xlfn.XLOOKUP(Survey!$F2023,sections[Start],sections[Test Section],,-1,1)</f>
        <v>6</v>
      </c>
      <c r="N2023" s="55">
        <f>_xlfn.XLOOKUP(Survey!$K2023,pipedata[ID],pipedata[WT])</f>
        <v>0.74</v>
      </c>
      <c r="O2023" s="56">
        <f>_xlfn.XLOOKUP(Survey!$K2023,pipedata[ID],pipedata[104%])</f>
        <v>2565.3333333333335</v>
      </c>
      <c r="P2023" s="57">
        <f t="shared" si="31"/>
        <v>1850</v>
      </c>
      <c r="Q2023" s="58">
        <f>_xlfn.MAXIFS(Survey!$G$2:$G$3647,Survey!$M$2:$M$3647,Survey!$M2023)-Survey!$G2023</f>
        <v>952.19538753251845</v>
      </c>
      <c r="R2023" s="59">
        <f>Survey!$P2023+(Survey!$Q2023*0.433)</f>
        <v>2262.3006028015807</v>
      </c>
    </row>
    <row r="2024" spans="1:18" x14ac:dyDescent="0.25">
      <c r="A2024" s="71" t="s">
        <v>17</v>
      </c>
      <c r="B2024" s="72" t="s">
        <v>22</v>
      </c>
      <c r="C2024" s="73" t="s">
        <v>19</v>
      </c>
      <c r="D2024" s="74">
        <v>241.92778863163201</v>
      </c>
      <c r="E2024" s="81">
        <v>1307769</v>
      </c>
      <c r="F2024" s="82">
        <v>1278371.7547169803</v>
      </c>
      <c r="G2024" s="75">
        <v>2775.8146876999813</v>
      </c>
      <c r="H2024" s="76">
        <v>2</v>
      </c>
      <c r="I2024" s="54" t="s">
        <v>20</v>
      </c>
      <c r="J2024" s="77">
        <v>40</v>
      </c>
      <c r="K2024" s="78">
        <v>2</v>
      </c>
      <c r="L2024" s="54">
        <v>1</v>
      </c>
      <c r="M2024" s="54">
        <f>_xlfn.XLOOKUP(Survey!$F2024,sections[Start],sections[Test Section],,-1,1)</f>
        <v>6</v>
      </c>
      <c r="N2024" s="55">
        <f>_xlfn.XLOOKUP(Survey!$K2024,pipedata[ID],pipedata[WT])</f>
        <v>0.74</v>
      </c>
      <c r="O2024" s="56">
        <f>_xlfn.XLOOKUP(Survey!$K2024,pipedata[ID],pipedata[104%])</f>
        <v>2565.3333333333335</v>
      </c>
      <c r="P2024" s="57">
        <f t="shared" si="31"/>
        <v>1850</v>
      </c>
      <c r="Q2024" s="58">
        <f>_xlfn.MAXIFS(Survey!$G$2:$G$3647,Survey!$M$2:$M$3647,Survey!$M2024)-Survey!$G2024</f>
        <v>958.60995252843531</v>
      </c>
      <c r="R2024" s="59">
        <f>Survey!$P2024+(Survey!$Q2024*0.433)</f>
        <v>2265.0781094448125</v>
      </c>
    </row>
    <row r="2025" spans="1:18" x14ac:dyDescent="0.25">
      <c r="A2025" s="60" t="s">
        <v>17</v>
      </c>
      <c r="B2025" s="61" t="s">
        <v>22</v>
      </c>
      <c r="C2025" s="62" t="s">
        <v>19</v>
      </c>
      <c r="D2025" s="63">
        <v>241.93556268569665</v>
      </c>
      <c r="E2025" s="79">
        <v>1307809</v>
      </c>
      <c r="F2025" s="80">
        <v>1278410.924528301</v>
      </c>
      <c r="G2025" s="66">
        <v>2769.6974140155985</v>
      </c>
      <c r="H2025" s="67">
        <v>2</v>
      </c>
      <c r="I2025" s="68" t="s">
        <v>20</v>
      </c>
      <c r="J2025" s="69">
        <v>40</v>
      </c>
      <c r="K2025" s="70">
        <v>2</v>
      </c>
      <c r="L2025" s="68">
        <v>1</v>
      </c>
      <c r="M2025" s="68">
        <f>_xlfn.XLOOKUP(Survey!$F2025,sections[Start],sections[Test Section],,-1,1)</f>
        <v>6</v>
      </c>
      <c r="N2025" s="55">
        <f>_xlfn.XLOOKUP(Survey!$K2025,pipedata[ID],pipedata[WT])</f>
        <v>0.74</v>
      </c>
      <c r="O2025" s="56">
        <f>_xlfn.XLOOKUP(Survey!$K2025,pipedata[ID],pipedata[104%])</f>
        <v>2565.3333333333335</v>
      </c>
      <c r="P2025" s="57">
        <f t="shared" si="31"/>
        <v>1850</v>
      </c>
      <c r="Q2025" s="58">
        <f>_xlfn.MAXIFS(Survey!$G$2:$G$3647,Survey!$M$2:$M$3647,Survey!$M2025)-Survey!$G2025</f>
        <v>964.7272262128181</v>
      </c>
      <c r="R2025" s="59">
        <f>Survey!$P2025+(Survey!$Q2025*0.433)</f>
        <v>2267.7268889501502</v>
      </c>
    </row>
    <row r="2026" spans="1:18" x14ac:dyDescent="0.25">
      <c r="A2026" s="71" t="s">
        <v>17</v>
      </c>
      <c r="B2026" s="72" t="s">
        <v>22</v>
      </c>
      <c r="C2026" s="73" t="s">
        <v>19</v>
      </c>
      <c r="D2026" s="74">
        <v>241.94333673976169</v>
      </c>
      <c r="E2026" s="81">
        <v>1307849</v>
      </c>
      <c r="F2026" s="82">
        <v>1278450.0943396217</v>
      </c>
      <c r="G2026" s="75">
        <v>2763.5544744971835</v>
      </c>
      <c r="H2026" s="76">
        <v>2</v>
      </c>
      <c r="I2026" s="54" t="s">
        <v>20</v>
      </c>
      <c r="J2026" s="77">
        <v>40</v>
      </c>
      <c r="K2026" s="78">
        <v>2</v>
      </c>
      <c r="L2026" s="54">
        <v>1</v>
      </c>
      <c r="M2026" s="54">
        <f>_xlfn.XLOOKUP(Survey!$F2026,sections[Start],sections[Test Section],,-1,1)</f>
        <v>6</v>
      </c>
      <c r="N2026" s="55">
        <f>_xlfn.XLOOKUP(Survey!$K2026,pipedata[ID],pipedata[WT])</f>
        <v>0.74</v>
      </c>
      <c r="O2026" s="56">
        <f>_xlfn.XLOOKUP(Survey!$K2026,pipedata[ID],pipedata[104%])</f>
        <v>2565.3333333333335</v>
      </c>
      <c r="P2026" s="57">
        <f t="shared" si="31"/>
        <v>1850</v>
      </c>
      <c r="Q2026" s="58">
        <f>_xlfn.MAXIFS(Survey!$G$2:$G$3647,Survey!$M$2:$M$3647,Survey!$M2026)-Survey!$G2026</f>
        <v>970.8701657312331</v>
      </c>
      <c r="R2026" s="59">
        <f>Survey!$P2026+(Survey!$Q2026*0.433)</f>
        <v>2270.3867817616238</v>
      </c>
    </row>
    <row r="2027" spans="1:18" x14ac:dyDescent="0.25">
      <c r="A2027" s="60" t="s">
        <v>17</v>
      </c>
      <c r="B2027" s="61" t="s">
        <v>22</v>
      </c>
      <c r="C2027" s="62" t="s">
        <v>19</v>
      </c>
      <c r="D2027" s="63">
        <v>241.95118045040417</v>
      </c>
      <c r="E2027" s="79">
        <v>1307889</v>
      </c>
      <c r="F2027" s="80">
        <v>1278489.2641509424</v>
      </c>
      <c r="G2027" s="66">
        <v>2757.9245465130243</v>
      </c>
      <c r="H2027" s="67">
        <v>2</v>
      </c>
      <c r="I2027" s="68" t="s">
        <v>20</v>
      </c>
      <c r="J2027" s="69">
        <v>40</v>
      </c>
      <c r="K2027" s="70">
        <v>2</v>
      </c>
      <c r="L2027" s="68">
        <v>1</v>
      </c>
      <c r="M2027" s="68">
        <f>_xlfn.XLOOKUP(Survey!$F2027,sections[Start],sections[Test Section],,-1,1)</f>
        <v>6</v>
      </c>
      <c r="N2027" s="55">
        <f>_xlfn.XLOOKUP(Survey!$K2027,pipedata[ID],pipedata[WT])</f>
        <v>0.74</v>
      </c>
      <c r="O2027" s="56">
        <f>_xlfn.XLOOKUP(Survey!$K2027,pipedata[ID],pipedata[104%])</f>
        <v>2565.3333333333335</v>
      </c>
      <c r="P2027" s="57">
        <f t="shared" si="31"/>
        <v>1850</v>
      </c>
      <c r="Q2027" s="58">
        <f>_xlfn.MAXIFS(Survey!$G$2:$G$3647,Survey!$M$2:$M$3647,Survey!$M2027)-Survey!$G2027</f>
        <v>976.50009371539227</v>
      </c>
      <c r="R2027" s="59">
        <f>Survey!$P2027+(Survey!$Q2027*0.433)</f>
        <v>2272.8245405787648</v>
      </c>
    </row>
    <row r="2028" spans="1:18" x14ac:dyDescent="0.25">
      <c r="A2028" s="71" t="s">
        <v>17</v>
      </c>
      <c r="B2028" s="72" t="s">
        <v>22</v>
      </c>
      <c r="C2028" s="73" t="s">
        <v>19</v>
      </c>
      <c r="D2028" s="74">
        <v>241.95893169639783</v>
      </c>
      <c r="E2028" s="81">
        <v>1307929</v>
      </c>
      <c r="F2028" s="82">
        <v>1278528.4339622632</v>
      </c>
      <c r="G2028" s="75">
        <v>2753.5033329274802</v>
      </c>
      <c r="H2028" s="76">
        <v>2</v>
      </c>
      <c r="I2028" s="54" t="s">
        <v>20</v>
      </c>
      <c r="J2028" s="77">
        <v>40</v>
      </c>
      <c r="K2028" s="78">
        <v>2</v>
      </c>
      <c r="L2028" s="54">
        <v>1</v>
      </c>
      <c r="M2028" s="54">
        <f>_xlfn.XLOOKUP(Survey!$F2028,sections[Start],sections[Test Section],,-1,1)</f>
        <v>6</v>
      </c>
      <c r="N2028" s="55">
        <f>_xlfn.XLOOKUP(Survey!$K2028,pipedata[ID],pipedata[WT])</f>
        <v>0.74</v>
      </c>
      <c r="O2028" s="56">
        <f>_xlfn.XLOOKUP(Survey!$K2028,pipedata[ID],pipedata[104%])</f>
        <v>2565.3333333333335</v>
      </c>
      <c r="P2028" s="57">
        <f t="shared" si="31"/>
        <v>1850</v>
      </c>
      <c r="Q2028" s="58">
        <f>_xlfn.MAXIFS(Survey!$G$2:$G$3647,Survey!$M$2:$M$3647,Survey!$M2028)-Survey!$G2028</f>
        <v>980.92130730093641</v>
      </c>
      <c r="R2028" s="59">
        <f>Survey!$P2028+(Survey!$Q2028*0.433)</f>
        <v>2274.7389260613054</v>
      </c>
    </row>
    <row r="2029" spans="1:18" x14ac:dyDescent="0.25">
      <c r="A2029" s="60" t="s">
        <v>17</v>
      </c>
      <c r="B2029" s="61" t="s">
        <v>22</v>
      </c>
      <c r="C2029" s="62" t="s">
        <v>19</v>
      </c>
      <c r="D2029" s="63">
        <v>241.96478446207303</v>
      </c>
      <c r="E2029" s="79">
        <v>1307969</v>
      </c>
      <c r="F2029" s="80">
        <v>1278567.6037735839</v>
      </c>
      <c r="G2029" s="66">
        <v>2751.4413189362072</v>
      </c>
      <c r="H2029" s="67">
        <v>2</v>
      </c>
      <c r="I2029" s="68" t="s">
        <v>20</v>
      </c>
      <c r="J2029" s="69">
        <v>40</v>
      </c>
      <c r="K2029" s="70">
        <v>2</v>
      </c>
      <c r="L2029" s="68">
        <v>1</v>
      </c>
      <c r="M2029" s="68">
        <f>_xlfn.XLOOKUP(Survey!$F2029,sections[Start],sections[Test Section],,-1,1)</f>
        <v>6</v>
      </c>
      <c r="N2029" s="55">
        <f>_xlfn.XLOOKUP(Survey!$K2029,pipedata[ID],pipedata[WT])</f>
        <v>0.74</v>
      </c>
      <c r="O2029" s="56">
        <f>_xlfn.XLOOKUP(Survey!$K2029,pipedata[ID],pipedata[104%])</f>
        <v>2565.3333333333335</v>
      </c>
      <c r="P2029" s="57">
        <f t="shared" si="31"/>
        <v>1850</v>
      </c>
      <c r="Q2029" s="58">
        <f>_xlfn.MAXIFS(Survey!$G$2:$G$3647,Survey!$M$2:$M$3647,Survey!$M2029)-Survey!$G2029</f>
        <v>982.98332129220944</v>
      </c>
      <c r="R2029" s="59">
        <f>Survey!$P2029+(Survey!$Q2029*0.433)</f>
        <v>2275.6317781195266</v>
      </c>
    </row>
    <row r="2030" spans="1:18" x14ac:dyDescent="0.25">
      <c r="A2030" s="71" t="s">
        <v>17</v>
      </c>
      <c r="B2030" s="72" t="s">
        <v>22</v>
      </c>
      <c r="C2030" s="73" t="s">
        <v>19</v>
      </c>
      <c r="D2030" s="74">
        <v>241.97258814963999</v>
      </c>
      <c r="E2030" s="81">
        <v>1308009</v>
      </c>
      <c r="F2030" s="82">
        <v>1278606.7735849046</v>
      </c>
      <c r="G2030" s="75">
        <v>2748.2512477622331</v>
      </c>
      <c r="H2030" s="76">
        <v>2</v>
      </c>
      <c r="I2030" s="54" t="s">
        <v>20</v>
      </c>
      <c r="J2030" s="77">
        <v>40</v>
      </c>
      <c r="K2030" s="78">
        <v>2</v>
      </c>
      <c r="L2030" s="54">
        <v>1</v>
      </c>
      <c r="M2030" s="54">
        <f>_xlfn.XLOOKUP(Survey!$F2030,sections[Start],sections[Test Section],,-1,1)</f>
        <v>6</v>
      </c>
      <c r="N2030" s="55">
        <f>_xlfn.XLOOKUP(Survey!$K2030,pipedata[ID],pipedata[WT])</f>
        <v>0.74</v>
      </c>
      <c r="O2030" s="56">
        <f>_xlfn.XLOOKUP(Survey!$K2030,pipedata[ID],pipedata[104%])</f>
        <v>2565.3333333333335</v>
      </c>
      <c r="P2030" s="57">
        <f t="shared" si="31"/>
        <v>1850</v>
      </c>
      <c r="Q2030" s="58">
        <f>_xlfn.MAXIFS(Survey!$G$2:$G$3647,Survey!$M$2:$M$3647,Survey!$M2030)-Survey!$G2030</f>
        <v>986.17339246618349</v>
      </c>
      <c r="R2030" s="59">
        <f>Survey!$P2030+(Survey!$Q2030*0.433)</f>
        <v>2277.0130789378572</v>
      </c>
    </row>
    <row r="2031" spans="1:18" x14ac:dyDescent="0.25">
      <c r="A2031" s="60" t="s">
        <v>17</v>
      </c>
      <c r="B2031" s="61" t="s">
        <v>22</v>
      </c>
      <c r="C2031" s="62" t="s">
        <v>19</v>
      </c>
      <c r="D2031" s="63">
        <v>241.98039183720689</v>
      </c>
      <c r="E2031" s="79">
        <v>1308049</v>
      </c>
      <c r="F2031" s="80">
        <v>1278645.9433962253</v>
      </c>
      <c r="G2031" s="66">
        <v>2746.1782163302828</v>
      </c>
      <c r="H2031" s="67">
        <v>2</v>
      </c>
      <c r="I2031" s="68" t="s">
        <v>20</v>
      </c>
      <c r="J2031" s="69">
        <v>40</v>
      </c>
      <c r="K2031" s="70">
        <v>2</v>
      </c>
      <c r="L2031" s="68">
        <v>1</v>
      </c>
      <c r="M2031" s="68">
        <f>_xlfn.XLOOKUP(Survey!$F2031,sections[Start],sections[Test Section],,-1,1)</f>
        <v>6</v>
      </c>
      <c r="N2031" s="55">
        <f>_xlfn.XLOOKUP(Survey!$K2031,pipedata[ID],pipedata[WT])</f>
        <v>0.74</v>
      </c>
      <c r="O2031" s="56">
        <f>_xlfn.XLOOKUP(Survey!$K2031,pipedata[ID],pipedata[104%])</f>
        <v>2565.3333333333335</v>
      </c>
      <c r="P2031" s="57">
        <f t="shared" si="31"/>
        <v>1850</v>
      </c>
      <c r="Q2031" s="58">
        <f>_xlfn.MAXIFS(Survey!$G$2:$G$3647,Survey!$M$2:$M$3647,Survey!$M2031)-Survey!$G2031</f>
        <v>988.2464238981338</v>
      </c>
      <c r="R2031" s="59">
        <f>Survey!$P2031+(Survey!$Q2031*0.433)</f>
        <v>2277.9107015478921</v>
      </c>
    </row>
    <row r="2032" spans="1:18" x14ac:dyDescent="0.25">
      <c r="A2032" s="71" t="s">
        <v>17</v>
      </c>
      <c r="B2032" s="72" t="s">
        <v>22</v>
      </c>
      <c r="C2032" s="73" t="s">
        <v>19</v>
      </c>
      <c r="D2032" s="74">
        <v>241.9881955247738</v>
      </c>
      <c r="E2032" s="81">
        <v>1308089</v>
      </c>
      <c r="F2032" s="82">
        <v>1278685.1132075461</v>
      </c>
      <c r="G2032" s="75">
        <v>2746.1946436488479</v>
      </c>
      <c r="H2032" s="76">
        <v>2</v>
      </c>
      <c r="I2032" s="54" t="s">
        <v>20</v>
      </c>
      <c r="J2032" s="77">
        <v>40</v>
      </c>
      <c r="K2032" s="78">
        <v>2</v>
      </c>
      <c r="L2032" s="54">
        <v>1</v>
      </c>
      <c r="M2032" s="54">
        <f>_xlfn.XLOOKUP(Survey!$F2032,sections[Start],sections[Test Section],,-1,1)</f>
        <v>6</v>
      </c>
      <c r="N2032" s="55">
        <f>_xlfn.XLOOKUP(Survey!$K2032,pipedata[ID],pipedata[WT])</f>
        <v>0.74</v>
      </c>
      <c r="O2032" s="56">
        <f>_xlfn.XLOOKUP(Survey!$K2032,pipedata[ID],pipedata[104%])</f>
        <v>2565.3333333333335</v>
      </c>
      <c r="P2032" s="57">
        <f t="shared" si="31"/>
        <v>1850</v>
      </c>
      <c r="Q2032" s="58">
        <f>_xlfn.MAXIFS(Survey!$G$2:$G$3647,Survey!$M$2:$M$3647,Survey!$M2032)-Survey!$G2032</f>
        <v>988.22999657956871</v>
      </c>
      <c r="R2032" s="59">
        <f>Survey!$P2032+(Survey!$Q2032*0.433)</f>
        <v>2277.9035885189533</v>
      </c>
    </row>
    <row r="2033" spans="1:18" x14ac:dyDescent="0.25">
      <c r="A2033" s="60" t="s">
        <v>17</v>
      </c>
      <c r="B2033" s="61" t="s">
        <v>22</v>
      </c>
      <c r="C2033" s="62" t="s">
        <v>19</v>
      </c>
      <c r="D2033" s="63">
        <v>241.99599921234071</v>
      </c>
      <c r="E2033" s="79">
        <v>1308129</v>
      </c>
      <c r="F2033" s="80">
        <v>1278724.2830188668</v>
      </c>
      <c r="G2033" s="66">
        <v>2746.4639002718236</v>
      </c>
      <c r="H2033" s="67">
        <v>2</v>
      </c>
      <c r="I2033" s="68" t="s">
        <v>20</v>
      </c>
      <c r="J2033" s="69">
        <v>40</v>
      </c>
      <c r="K2033" s="70">
        <v>2</v>
      </c>
      <c r="L2033" s="68">
        <v>1</v>
      </c>
      <c r="M2033" s="68">
        <f>_xlfn.XLOOKUP(Survey!$F2033,sections[Start],sections[Test Section],,-1,1)</f>
        <v>6</v>
      </c>
      <c r="N2033" s="55">
        <f>_xlfn.XLOOKUP(Survey!$K2033,pipedata[ID],pipedata[WT])</f>
        <v>0.74</v>
      </c>
      <c r="O2033" s="56">
        <f>_xlfn.XLOOKUP(Survey!$K2033,pipedata[ID],pipedata[104%])</f>
        <v>2565.3333333333335</v>
      </c>
      <c r="P2033" s="57">
        <f t="shared" si="31"/>
        <v>1850</v>
      </c>
      <c r="Q2033" s="58">
        <f>_xlfn.MAXIFS(Survey!$G$2:$G$3647,Survey!$M$2:$M$3647,Survey!$M2033)-Survey!$G2033</f>
        <v>987.96073995659299</v>
      </c>
      <c r="R2033" s="59">
        <f>Survey!$P2033+(Survey!$Q2033*0.433)</f>
        <v>2277.7870004012048</v>
      </c>
    </row>
    <row r="2034" spans="1:18" x14ac:dyDescent="0.25">
      <c r="A2034" s="71" t="s">
        <v>17</v>
      </c>
      <c r="B2034" s="72" t="s">
        <v>22</v>
      </c>
      <c r="C2034" s="73" t="s">
        <v>19</v>
      </c>
      <c r="D2034" s="74">
        <v>242.00380289990756</v>
      </c>
      <c r="E2034" s="81">
        <v>1308169</v>
      </c>
      <c r="F2034" s="82">
        <v>1278763.4528301875</v>
      </c>
      <c r="G2034" s="75">
        <v>2747.7334959009663</v>
      </c>
      <c r="H2034" s="76">
        <v>2</v>
      </c>
      <c r="I2034" s="54" t="s">
        <v>20</v>
      </c>
      <c r="J2034" s="77">
        <v>40</v>
      </c>
      <c r="K2034" s="78">
        <v>2</v>
      </c>
      <c r="L2034" s="54">
        <v>1</v>
      </c>
      <c r="M2034" s="54">
        <f>_xlfn.XLOOKUP(Survey!$F2034,sections[Start],sections[Test Section],,-1,1)</f>
        <v>6</v>
      </c>
      <c r="N2034" s="55">
        <f>_xlfn.XLOOKUP(Survey!$K2034,pipedata[ID],pipedata[WT])</f>
        <v>0.74</v>
      </c>
      <c r="O2034" s="56">
        <f>_xlfn.XLOOKUP(Survey!$K2034,pipedata[ID],pipedata[104%])</f>
        <v>2565.3333333333335</v>
      </c>
      <c r="P2034" s="57">
        <f t="shared" si="31"/>
        <v>1850</v>
      </c>
      <c r="Q2034" s="58">
        <f>_xlfn.MAXIFS(Survey!$G$2:$G$3647,Survey!$M$2:$M$3647,Survey!$M2034)-Survey!$G2034</f>
        <v>986.69114432745027</v>
      </c>
      <c r="R2034" s="59">
        <f>Survey!$P2034+(Survey!$Q2034*0.433)</f>
        <v>2277.2372654937858</v>
      </c>
    </row>
    <row r="2035" spans="1:18" x14ac:dyDescent="0.25">
      <c r="A2035" s="60" t="s">
        <v>17</v>
      </c>
      <c r="B2035" s="61" t="s">
        <v>22</v>
      </c>
      <c r="C2035" s="62" t="s">
        <v>19</v>
      </c>
      <c r="D2035" s="63">
        <v>242.01160658747452</v>
      </c>
      <c r="E2035" s="79">
        <v>1308209</v>
      </c>
      <c r="F2035" s="80">
        <v>1278802.6226415082</v>
      </c>
      <c r="G2035" s="66">
        <v>2752.7843874888604</v>
      </c>
      <c r="H2035" s="67">
        <v>2</v>
      </c>
      <c r="I2035" s="68" t="s">
        <v>20</v>
      </c>
      <c r="J2035" s="69">
        <v>40</v>
      </c>
      <c r="K2035" s="70">
        <v>2</v>
      </c>
      <c r="L2035" s="68">
        <v>1</v>
      </c>
      <c r="M2035" s="68">
        <f>_xlfn.XLOOKUP(Survey!$F2035,sections[Start],sections[Test Section],,-1,1)</f>
        <v>6</v>
      </c>
      <c r="N2035" s="55">
        <f>_xlfn.XLOOKUP(Survey!$K2035,pipedata[ID],pipedata[WT])</f>
        <v>0.74</v>
      </c>
      <c r="O2035" s="56">
        <f>_xlfn.XLOOKUP(Survey!$K2035,pipedata[ID],pipedata[104%])</f>
        <v>2565.3333333333335</v>
      </c>
      <c r="P2035" s="57">
        <f t="shared" si="31"/>
        <v>1850</v>
      </c>
      <c r="Q2035" s="58">
        <f>_xlfn.MAXIFS(Survey!$G$2:$G$3647,Survey!$M$2:$M$3647,Survey!$M2035)-Survey!$G2035</f>
        <v>981.64025273955622</v>
      </c>
      <c r="R2035" s="59">
        <f>Survey!$P2035+(Survey!$Q2035*0.433)</f>
        <v>2275.0502294362277</v>
      </c>
    </row>
    <row r="2036" spans="1:18" x14ac:dyDescent="0.25">
      <c r="A2036" s="71" t="s">
        <v>17</v>
      </c>
      <c r="B2036" s="72" t="s">
        <v>22</v>
      </c>
      <c r="C2036" s="73" t="s">
        <v>19</v>
      </c>
      <c r="D2036" s="74">
        <v>242.01848592905475</v>
      </c>
      <c r="E2036" s="81">
        <v>1308249</v>
      </c>
      <c r="F2036" s="82">
        <v>1278841.792452829</v>
      </c>
      <c r="G2036" s="75">
        <v>2760.2212205730261</v>
      </c>
      <c r="H2036" s="76">
        <v>2</v>
      </c>
      <c r="I2036" s="54" t="s">
        <v>20</v>
      </c>
      <c r="J2036" s="77">
        <v>40</v>
      </c>
      <c r="K2036" s="78">
        <v>2</v>
      </c>
      <c r="L2036" s="54">
        <v>1</v>
      </c>
      <c r="M2036" s="54">
        <f>_xlfn.XLOOKUP(Survey!$F2036,sections[Start],sections[Test Section],,-1,1)</f>
        <v>6</v>
      </c>
      <c r="N2036" s="55">
        <f>_xlfn.XLOOKUP(Survey!$K2036,pipedata[ID],pipedata[WT])</f>
        <v>0.74</v>
      </c>
      <c r="O2036" s="56">
        <f>_xlfn.XLOOKUP(Survey!$K2036,pipedata[ID],pipedata[104%])</f>
        <v>2565.3333333333335</v>
      </c>
      <c r="P2036" s="57">
        <f t="shared" si="31"/>
        <v>1850</v>
      </c>
      <c r="Q2036" s="58">
        <f>_xlfn.MAXIFS(Survey!$G$2:$G$3647,Survey!$M$2:$M$3647,Survey!$M2036)-Survey!$G2036</f>
        <v>974.20341965539046</v>
      </c>
      <c r="R2036" s="59">
        <f>Survey!$P2036+(Survey!$Q2036*0.433)</f>
        <v>2271.8300807107839</v>
      </c>
    </row>
    <row r="2037" spans="1:18" x14ac:dyDescent="0.25">
      <c r="A2037" s="60" t="s">
        <v>17</v>
      </c>
      <c r="B2037" s="61" t="s">
        <v>22</v>
      </c>
      <c r="C2037" s="62" t="s">
        <v>19</v>
      </c>
      <c r="D2037" s="63">
        <v>242.02625998311944</v>
      </c>
      <c r="E2037" s="79">
        <v>1308289</v>
      </c>
      <c r="F2037" s="80">
        <v>1278880.9622641497</v>
      </c>
      <c r="G2037" s="66">
        <v>2766.1009941651746</v>
      </c>
      <c r="H2037" s="67">
        <v>2</v>
      </c>
      <c r="I2037" s="68" t="s">
        <v>20</v>
      </c>
      <c r="J2037" s="69">
        <v>40</v>
      </c>
      <c r="K2037" s="70">
        <v>2</v>
      </c>
      <c r="L2037" s="68">
        <v>1</v>
      </c>
      <c r="M2037" s="68">
        <f>_xlfn.XLOOKUP(Survey!$F2037,sections[Start],sections[Test Section],,-1,1)</f>
        <v>6</v>
      </c>
      <c r="N2037" s="55">
        <f>_xlfn.XLOOKUP(Survey!$K2037,pipedata[ID],pipedata[WT])</f>
        <v>0.74</v>
      </c>
      <c r="O2037" s="56">
        <f>_xlfn.XLOOKUP(Survey!$K2037,pipedata[ID],pipedata[104%])</f>
        <v>2565.3333333333335</v>
      </c>
      <c r="P2037" s="57">
        <f t="shared" si="31"/>
        <v>1850</v>
      </c>
      <c r="Q2037" s="58">
        <f>_xlfn.MAXIFS(Survey!$G$2:$G$3647,Survey!$M$2:$M$3647,Survey!$M2037)-Survey!$G2037</f>
        <v>968.32364606324199</v>
      </c>
      <c r="R2037" s="59">
        <f>Survey!$P2037+(Survey!$Q2037*0.433)</f>
        <v>2269.2841387453836</v>
      </c>
    </row>
    <row r="2038" spans="1:18" x14ac:dyDescent="0.25">
      <c r="A2038" s="71" t="s">
        <v>17</v>
      </c>
      <c r="B2038" s="72" t="s">
        <v>22</v>
      </c>
      <c r="C2038" s="73" t="s">
        <v>19</v>
      </c>
      <c r="D2038" s="74">
        <v>242.03403403718411</v>
      </c>
      <c r="E2038" s="81">
        <v>1308329</v>
      </c>
      <c r="F2038" s="82">
        <v>1278920.1320754704</v>
      </c>
      <c r="G2038" s="75">
        <v>2764.5233941037613</v>
      </c>
      <c r="H2038" s="76">
        <v>2</v>
      </c>
      <c r="I2038" s="54" t="s">
        <v>20</v>
      </c>
      <c r="J2038" s="77">
        <v>40</v>
      </c>
      <c r="K2038" s="78">
        <v>2</v>
      </c>
      <c r="L2038" s="54">
        <v>1</v>
      </c>
      <c r="M2038" s="54">
        <f>_xlfn.XLOOKUP(Survey!$F2038,sections[Start],sections[Test Section],,-1,1)</f>
        <v>6</v>
      </c>
      <c r="N2038" s="55">
        <f>_xlfn.XLOOKUP(Survey!$K2038,pipedata[ID],pipedata[WT])</f>
        <v>0.74</v>
      </c>
      <c r="O2038" s="56">
        <f>_xlfn.XLOOKUP(Survey!$K2038,pipedata[ID],pipedata[104%])</f>
        <v>2565.3333333333335</v>
      </c>
      <c r="P2038" s="57">
        <f t="shared" si="31"/>
        <v>1850</v>
      </c>
      <c r="Q2038" s="58">
        <f>_xlfn.MAXIFS(Survey!$G$2:$G$3647,Survey!$M$2:$M$3647,Survey!$M2038)-Survey!$G2038</f>
        <v>969.90124612465524</v>
      </c>
      <c r="R2038" s="59">
        <f>Survey!$P2038+(Survey!$Q2038*0.433)</f>
        <v>2269.9672395719758</v>
      </c>
    </row>
    <row r="2039" spans="1:18" x14ac:dyDescent="0.25">
      <c r="A2039" s="60" t="s">
        <v>17</v>
      </c>
      <c r="B2039" s="61" t="s">
        <v>22</v>
      </c>
      <c r="C2039" s="62" t="s">
        <v>19</v>
      </c>
      <c r="D2039" s="63">
        <v>242.04180809124875</v>
      </c>
      <c r="E2039" s="79">
        <v>1308369</v>
      </c>
      <c r="F2039" s="80">
        <v>1278959.3018867911</v>
      </c>
      <c r="G2039" s="66">
        <v>2761.8895389623904</v>
      </c>
      <c r="H2039" s="67">
        <v>2</v>
      </c>
      <c r="I2039" s="68" t="s">
        <v>20</v>
      </c>
      <c r="J2039" s="69">
        <v>40</v>
      </c>
      <c r="K2039" s="70">
        <v>2</v>
      </c>
      <c r="L2039" s="68">
        <v>1</v>
      </c>
      <c r="M2039" s="68">
        <f>_xlfn.XLOOKUP(Survey!$F2039,sections[Start],sections[Test Section],,-1,1)</f>
        <v>6</v>
      </c>
      <c r="N2039" s="55">
        <f>_xlfn.XLOOKUP(Survey!$K2039,pipedata[ID],pipedata[WT])</f>
        <v>0.74</v>
      </c>
      <c r="O2039" s="56">
        <f>_xlfn.XLOOKUP(Survey!$K2039,pipedata[ID],pipedata[104%])</f>
        <v>2565.3333333333335</v>
      </c>
      <c r="P2039" s="57">
        <f t="shared" si="31"/>
        <v>1850</v>
      </c>
      <c r="Q2039" s="58">
        <f>_xlfn.MAXIFS(Survey!$G$2:$G$3647,Survey!$M$2:$M$3647,Survey!$M2039)-Survey!$G2039</f>
        <v>972.53510126602623</v>
      </c>
      <c r="R2039" s="59">
        <f>Survey!$P2039+(Survey!$Q2039*0.433)</f>
        <v>2271.1076988481891</v>
      </c>
    </row>
    <row r="2040" spans="1:18" x14ac:dyDescent="0.25">
      <c r="A2040" s="71" t="s">
        <v>17</v>
      </c>
      <c r="B2040" s="72" t="s">
        <v>22</v>
      </c>
      <c r="C2040" s="73" t="s">
        <v>19</v>
      </c>
      <c r="D2040" s="74">
        <v>242.0486741034172</v>
      </c>
      <c r="E2040" s="81">
        <v>1308409</v>
      </c>
      <c r="F2040" s="82">
        <v>1278998.4716981119</v>
      </c>
      <c r="G2040" s="75">
        <v>2757.0769443774857</v>
      </c>
      <c r="H2040" s="76">
        <v>2</v>
      </c>
      <c r="I2040" s="54" t="s">
        <v>20</v>
      </c>
      <c r="J2040" s="77">
        <v>40</v>
      </c>
      <c r="K2040" s="78">
        <v>2</v>
      </c>
      <c r="L2040" s="54">
        <v>1</v>
      </c>
      <c r="M2040" s="54">
        <f>_xlfn.XLOOKUP(Survey!$F2040,sections[Start],sections[Test Section],,-1,1)</f>
        <v>6</v>
      </c>
      <c r="N2040" s="55">
        <f>_xlfn.XLOOKUP(Survey!$K2040,pipedata[ID],pipedata[WT])</f>
        <v>0.74</v>
      </c>
      <c r="O2040" s="56">
        <f>_xlfn.XLOOKUP(Survey!$K2040,pipedata[ID],pipedata[104%])</f>
        <v>2565.3333333333335</v>
      </c>
      <c r="P2040" s="57">
        <f t="shared" si="31"/>
        <v>1850</v>
      </c>
      <c r="Q2040" s="58">
        <f>_xlfn.MAXIFS(Survey!$G$2:$G$3647,Survey!$M$2:$M$3647,Survey!$M2040)-Survey!$G2040</f>
        <v>977.3476958509309</v>
      </c>
      <c r="R2040" s="59">
        <f>Survey!$P2040+(Survey!$Q2040*0.433)</f>
        <v>2273.1915523034531</v>
      </c>
    </row>
    <row r="2041" spans="1:18" x14ac:dyDescent="0.25">
      <c r="A2041" s="60" t="s">
        <v>17</v>
      </c>
      <c r="B2041" s="61" t="s">
        <v>22</v>
      </c>
      <c r="C2041" s="62" t="s">
        <v>19</v>
      </c>
      <c r="D2041" s="63">
        <v>242.05647779098408</v>
      </c>
      <c r="E2041" s="79">
        <v>1308449</v>
      </c>
      <c r="F2041" s="80">
        <v>1279037.6415094326</v>
      </c>
      <c r="G2041" s="66">
        <v>2749.794752341616</v>
      </c>
      <c r="H2041" s="67">
        <v>2</v>
      </c>
      <c r="I2041" s="68" t="s">
        <v>20</v>
      </c>
      <c r="J2041" s="69">
        <v>40</v>
      </c>
      <c r="K2041" s="70">
        <v>2</v>
      </c>
      <c r="L2041" s="68">
        <v>1</v>
      </c>
      <c r="M2041" s="68">
        <f>_xlfn.XLOOKUP(Survey!$F2041,sections[Start],sections[Test Section],,-1,1)</f>
        <v>6</v>
      </c>
      <c r="N2041" s="55">
        <f>_xlfn.XLOOKUP(Survey!$K2041,pipedata[ID],pipedata[WT])</f>
        <v>0.74</v>
      </c>
      <c r="O2041" s="56">
        <f>_xlfn.XLOOKUP(Survey!$K2041,pipedata[ID],pipedata[104%])</f>
        <v>2565.3333333333335</v>
      </c>
      <c r="P2041" s="57">
        <f t="shared" si="31"/>
        <v>1850</v>
      </c>
      <c r="Q2041" s="58">
        <f>_xlfn.MAXIFS(Survey!$G$2:$G$3647,Survey!$M$2:$M$3647,Survey!$M2041)-Survey!$G2041</f>
        <v>984.62988788680059</v>
      </c>
      <c r="R2041" s="59">
        <f>Survey!$P2041+(Survey!$Q2041*0.433)</f>
        <v>2276.3447414549846</v>
      </c>
    </row>
    <row r="2042" spans="1:18" x14ac:dyDescent="0.25">
      <c r="A2042" s="71" t="s">
        <v>17</v>
      </c>
      <c r="B2042" s="72" t="s">
        <v>22</v>
      </c>
      <c r="C2042" s="73" t="s">
        <v>19</v>
      </c>
      <c r="D2042" s="74">
        <v>242.06253890208799</v>
      </c>
      <c r="E2042" s="81">
        <v>1308489</v>
      </c>
      <c r="F2042" s="82">
        <v>1279076.8113207533</v>
      </c>
      <c r="G2042" s="75">
        <v>2742.0137273725504</v>
      </c>
      <c r="H2042" s="76">
        <v>2</v>
      </c>
      <c r="I2042" s="54" t="s">
        <v>20</v>
      </c>
      <c r="J2042" s="77">
        <v>40</v>
      </c>
      <c r="K2042" s="78">
        <v>2</v>
      </c>
      <c r="L2042" s="54">
        <v>1</v>
      </c>
      <c r="M2042" s="54">
        <f>_xlfn.XLOOKUP(Survey!$F2042,sections[Start],sections[Test Section],,-1,1)</f>
        <v>6</v>
      </c>
      <c r="N2042" s="55">
        <f>_xlfn.XLOOKUP(Survey!$K2042,pipedata[ID],pipedata[WT])</f>
        <v>0.74</v>
      </c>
      <c r="O2042" s="56">
        <f>_xlfn.XLOOKUP(Survey!$K2042,pipedata[ID],pipedata[104%])</f>
        <v>2565.3333333333335</v>
      </c>
      <c r="P2042" s="57">
        <f t="shared" si="31"/>
        <v>1850</v>
      </c>
      <c r="Q2042" s="58">
        <f>_xlfn.MAXIFS(Survey!$G$2:$G$3647,Survey!$M$2:$M$3647,Survey!$M2042)-Survey!$G2042</f>
        <v>992.41091285586617</v>
      </c>
      <c r="R2042" s="59">
        <f>Survey!$P2042+(Survey!$Q2042*0.433)</f>
        <v>2279.7139252665902</v>
      </c>
    </row>
    <row r="2043" spans="1:18" x14ac:dyDescent="0.25">
      <c r="A2043" s="60" t="s">
        <v>17</v>
      </c>
      <c r="B2043" s="61" t="s">
        <v>22</v>
      </c>
      <c r="C2043" s="62" t="s">
        <v>19</v>
      </c>
      <c r="D2043" s="63">
        <v>242.07159067686888</v>
      </c>
      <c r="E2043" s="79">
        <v>1308529</v>
      </c>
      <c r="F2043" s="80">
        <v>1279115.981132074</v>
      </c>
      <c r="G2043" s="66">
        <v>2734.4050679352113</v>
      </c>
      <c r="H2043" s="67">
        <v>2</v>
      </c>
      <c r="I2043" s="68" t="s">
        <v>20</v>
      </c>
      <c r="J2043" s="69">
        <v>40</v>
      </c>
      <c r="K2043" s="70">
        <v>2</v>
      </c>
      <c r="L2043" s="68">
        <v>1</v>
      </c>
      <c r="M2043" s="68">
        <f>_xlfn.XLOOKUP(Survey!$F2043,sections[Start],sections[Test Section],,-1,1)</f>
        <v>6</v>
      </c>
      <c r="N2043" s="55">
        <f>_xlfn.XLOOKUP(Survey!$K2043,pipedata[ID],pipedata[WT])</f>
        <v>0.74</v>
      </c>
      <c r="O2043" s="56">
        <f>_xlfn.XLOOKUP(Survey!$K2043,pipedata[ID],pipedata[104%])</f>
        <v>2565.3333333333335</v>
      </c>
      <c r="P2043" s="57">
        <f t="shared" si="31"/>
        <v>1850</v>
      </c>
      <c r="Q2043" s="58">
        <f>_xlfn.MAXIFS(Survey!$G$2:$G$3647,Survey!$M$2:$M$3647,Survey!$M2043)-Survey!$G2043</f>
        <v>1000.0195722932053</v>
      </c>
      <c r="R2043" s="59">
        <f>Survey!$P2043+(Survey!$Q2043*0.433)</f>
        <v>2283.0084748029581</v>
      </c>
    </row>
    <row r="2044" spans="1:18" x14ac:dyDescent="0.25">
      <c r="A2044" s="71" t="s">
        <v>17</v>
      </c>
      <c r="B2044" s="72" t="s">
        <v>22</v>
      </c>
      <c r="C2044" s="73" t="s">
        <v>19</v>
      </c>
      <c r="D2044" s="74">
        <v>242.07808701021736</v>
      </c>
      <c r="E2044" s="81">
        <v>1308569</v>
      </c>
      <c r="F2044" s="82">
        <v>1279155.1509433948</v>
      </c>
      <c r="G2044" s="75">
        <v>2729.1809783122294</v>
      </c>
      <c r="H2044" s="76">
        <v>2</v>
      </c>
      <c r="I2044" s="54" t="s">
        <v>20</v>
      </c>
      <c r="J2044" s="77">
        <v>40</v>
      </c>
      <c r="K2044" s="78">
        <v>2</v>
      </c>
      <c r="L2044" s="54">
        <v>1</v>
      </c>
      <c r="M2044" s="54">
        <f>_xlfn.XLOOKUP(Survey!$F2044,sections[Start],sections[Test Section],,-1,1)</f>
        <v>6</v>
      </c>
      <c r="N2044" s="55">
        <f>_xlfn.XLOOKUP(Survey!$K2044,pipedata[ID],pipedata[WT])</f>
        <v>0.74</v>
      </c>
      <c r="O2044" s="56">
        <f>_xlfn.XLOOKUP(Survey!$K2044,pipedata[ID],pipedata[104%])</f>
        <v>2565.3333333333335</v>
      </c>
      <c r="P2044" s="57">
        <f t="shared" si="31"/>
        <v>1850</v>
      </c>
      <c r="Q2044" s="58">
        <f>_xlfn.MAXIFS(Survey!$G$2:$G$3647,Survey!$M$2:$M$3647,Survey!$M2044)-Survey!$G2044</f>
        <v>1005.2436619161872</v>
      </c>
      <c r="R2044" s="59">
        <f>Survey!$P2044+(Survey!$Q2044*0.433)</f>
        <v>2285.2705056097093</v>
      </c>
    </row>
    <row r="2045" spans="1:18" x14ac:dyDescent="0.25">
      <c r="A2045" s="60" t="s">
        <v>17</v>
      </c>
      <c r="B2045" s="61" t="s">
        <v>22</v>
      </c>
      <c r="C2045" s="62" t="s">
        <v>19</v>
      </c>
      <c r="D2045" s="63">
        <v>242.08586106428194</v>
      </c>
      <c r="E2045" s="79">
        <v>1308609</v>
      </c>
      <c r="F2045" s="80">
        <v>1279194.3207547155</v>
      </c>
      <c r="G2045" s="66">
        <v>2721.8443393632224</v>
      </c>
      <c r="H2045" s="67">
        <v>2</v>
      </c>
      <c r="I2045" s="68" t="s">
        <v>20</v>
      </c>
      <c r="J2045" s="69">
        <v>40</v>
      </c>
      <c r="K2045" s="70">
        <v>2</v>
      </c>
      <c r="L2045" s="68">
        <v>1</v>
      </c>
      <c r="M2045" s="68">
        <f>_xlfn.XLOOKUP(Survey!$F2045,sections[Start],sections[Test Section],,-1,1)</f>
        <v>6</v>
      </c>
      <c r="N2045" s="55">
        <f>_xlfn.XLOOKUP(Survey!$K2045,pipedata[ID],pipedata[WT])</f>
        <v>0.74</v>
      </c>
      <c r="O2045" s="56">
        <f>_xlfn.XLOOKUP(Survey!$K2045,pipedata[ID],pipedata[104%])</f>
        <v>2565.3333333333335</v>
      </c>
      <c r="P2045" s="57">
        <f t="shared" si="31"/>
        <v>1850</v>
      </c>
      <c r="Q2045" s="58">
        <f>_xlfn.MAXIFS(Survey!$G$2:$G$3647,Survey!$M$2:$M$3647,Survey!$M2045)-Survey!$G2045</f>
        <v>1012.5803008651942</v>
      </c>
      <c r="R2045" s="59">
        <f>Survey!$P2045+(Survey!$Q2045*0.433)</f>
        <v>2288.4472702746289</v>
      </c>
    </row>
    <row r="2046" spans="1:18" x14ac:dyDescent="0.25">
      <c r="A2046" s="71" t="s">
        <v>17</v>
      </c>
      <c r="B2046" s="72" t="s">
        <v>22</v>
      </c>
      <c r="C2046" s="73" t="s">
        <v>19</v>
      </c>
      <c r="D2046" s="74">
        <v>242.09363511834707</v>
      </c>
      <c r="E2046" s="81">
        <v>1308649</v>
      </c>
      <c r="F2046" s="82">
        <v>1279233.4905660362</v>
      </c>
      <c r="G2046" s="75">
        <v>2716.648870946975</v>
      </c>
      <c r="H2046" s="76">
        <v>2</v>
      </c>
      <c r="I2046" s="54" t="s">
        <v>20</v>
      </c>
      <c r="J2046" s="77">
        <v>40</v>
      </c>
      <c r="K2046" s="78">
        <v>2</v>
      </c>
      <c r="L2046" s="54">
        <v>1</v>
      </c>
      <c r="M2046" s="54">
        <f>_xlfn.XLOOKUP(Survey!$F2046,sections[Start],sections[Test Section],,-1,1)</f>
        <v>6</v>
      </c>
      <c r="N2046" s="55">
        <f>_xlfn.XLOOKUP(Survey!$K2046,pipedata[ID],pipedata[WT])</f>
        <v>0.74</v>
      </c>
      <c r="O2046" s="56">
        <f>_xlfn.XLOOKUP(Survey!$K2046,pipedata[ID],pipedata[104%])</f>
        <v>2565.3333333333335</v>
      </c>
      <c r="P2046" s="57">
        <f t="shared" si="31"/>
        <v>1850</v>
      </c>
      <c r="Q2046" s="58">
        <f>_xlfn.MAXIFS(Survey!$G$2:$G$3647,Survey!$M$2:$M$3647,Survey!$M2046)-Survey!$G2046</f>
        <v>1017.7757692814416</v>
      </c>
      <c r="R2046" s="59">
        <f>Survey!$P2046+(Survey!$Q2046*0.433)</f>
        <v>2290.6969080988642</v>
      </c>
    </row>
    <row r="2047" spans="1:18" x14ac:dyDescent="0.25">
      <c r="A2047" s="60" t="s">
        <v>17</v>
      </c>
      <c r="B2047" s="61" t="s">
        <v>22</v>
      </c>
      <c r="C2047" s="62" t="s">
        <v>19</v>
      </c>
      <c r="D2047" s="63">
        <v>242.10140917241185</v>
      </c>
      <c r="E2047" s="79">
        <v>1308689</v>
      </c>
      <c r="F2047" s="80">
        <v>1279272.6603773569</v>
      </c>
      <c r="G2047" s="66">
        <v>2712.3625647590602</v>
      </c>
      <c r="H2047" s="67">
        <v>2</v>
      </c>
      <c r="I2047" s="68" t="s">
        <v>20</v>
      </c>
      <c r="J2047" s="69">
        <v>52</v>
      </c>
      <c r="K2047" s="70">
        <v>2</v>
      </c>
      <c r="L2047" s="68">
        <v>1</v>
      </c>
      <c r="M2047" s="68">
        <f>_xlfn.XLOOKUP(Survey!$F2047,sections[Start],sections[Test Section],,-1,1)</f>
        <v>6</v>
      </c>
      <c r="N2047" s="55">
        <f>_xlfn.XLOOKUP(Survey!$K2047,pipedata[ID],pipedata[WT])</f>
        <v>0.74</v>
      </c>
      <c r="O2047" s="56">
        <f>_xlfn.XLOOKUP(Survey!$K2047,pipedata[ID],pipedata[104%])</f>
        <v>2565.3333333333335</v>
      </c>
      <c r="P2047" s="57">
        <f t="shared" si="31"/>
        <v>1850</v>
      </c>
      <c r="Q2047" s="58">
        <f>_xlfn.MAXIFS(Survey!$G$2:$G$3647,Survey!$M$2:$M$3647,Survey!$M2047)-Survey!$G2047</f>
        <v>1022.0620754693564</v>
      </c>
      <c r="R2047" s="59">
        <f>Survey!$P2047+(Survey!$Q2047*0.433)</f>
        <v>2292.5528786782315</v>
      </c>
    </row>
    <row r="2048" spans="1:18" x14ac:dyDescent="0.25">
      <c r="A2048" s="71" t="s">
        <v>17</v>
      </c>
      <c r="B2048" s="72" t="s">
        <v>22</v>
      </c>
      <c r="C2048" s="73" t="s">
        <v>19</v>
      </c>
      <c r="D2048" s="74">
        <v>242.10905963548382</v>
      </c>
      <c r="E2048" s="81">
        <v>1308741</v>
      </c>
      <c r="F2048" s="82">
        <v>1279351</v>
      </c>
      <c r="G2048" s="75">
        <v>2699.2115815266716</v>
      </c>
      <c r="H2048" s="76">
        <v>2</v>
      </c>
      <c r="I2048" s="54" t="s">
        <v>21</v>
      </c>
      <c r="J2048" s="77">
        <v>40</v>
      </c>
      <c r="K2048" s="78">
        <v>4</v>
      </c>
      <c r="L2048" s="54">
        <v>1</v>
      </c>
      <c r="M2048" s="54">
        <f>_xlfn.XLOOKUP(Survey!$F2048,sections[Start],sections[Test Section],,-1,1)</f>
        <v>6</v>
      </c>
      <c r="N2048" s="55">
        <f>_xlfn.XLOOKUP(Survey!$K2048,pipedata[ID],pipedata[WT])</f>
        <v>0.74</v>
      </c>
      <c r="O2048" s="56">
        <f>_xlfn.XLOOKUP(Survey!$K2048,pipedata[ID],pipedata[104%])</f>
        <v>2565.3333333333335</v>
      </c>
      <c r="P2048" s="57">
        <f t="shared" si="31"/>
        <v>1850</v>
      </c>
      <c r="Q2048" s="58">
        <f>_xlfn.MAXIFS(Survey!$G$2:$G$3647,Survey!$M$2:$M$3647,Survey!$M2048)-Survey!$G2048</f>
        <v>1035.213058701745</v>
      </c>
      <c r="R2048" s="59">
        <f>Survey!$P2048+(Survey!$Q2048*0.433)</f>
        <v>2298.2472544178554</v>
      </c>
    </row>
    <row r="2049" spans="1:18" x14ac:dyDescent="0.25">
      <c r="A2049" s="60" t="s">
        <v>17</v>
      </c>
      <c r="B2049" s="61" t="s">
        <v>22</v>
      </c>
      <c r="C2049" s="62" t="s">
        <v>19</v>
      </c>
      <c r="D2049" s="63">
        <v>242.11500544773594</v>
      </c>
      <c r="E2049" s="79">
        <v>1308781</v>
      </c>
      <c r="F2049" s="80">
        <v>1279391</v>
      </c>
      <c r="G2049" s="66">
        <v>2695.9307135868744</v>
      </c>
      <c r="H2049" s="67">
        <v>2</v>
      </c>
      <c r="I2049" s="68" t="s">
        <v>20</v>
      </c>
      <c r="J2049" s="69">
        <v>28</v>
      </c>
      <c r="K2049" s="70">
        <v>2</v>
      </c>
      <c r="L2049" s="68">
        <v>1</v>
      </c>
      <c r="M2049" s="68">
        <f>_xlfn.XLOOKUP(Survey!$F2049,sections[Start],sections[Test Section],,-1,1)</f>
        <v>6</v>
      </c>
      <c r="N2049" s="55">
        <f>_xlfn.XLOOKUP(Survey!$K2049,pipedata[ID],pipedata[WT])</f>
        <v>0.74</v>
      </c>
      <c r="O2049" s="56">
        <f>_xlfn.XLOOKUP(Survey!$K2049,pipedata[ID],pipedata[104%])</f>
        <v>2565.3333333333335</v>
      </c>
      <c r="P2049" s="57">
        <f t="shared" si="31"/>
        <v>1850</v>
      </c>
      <c r="Q2049" s="58">
        <f>_xlfn.MAXIFS(Survey!$G$2:$G$3647,Survey!$M$2:$M$3647,Survey!$M2049)-Survey!$G2049</f>
        <v>1038.4939266415422</v>
      </c>
      <c r="R2049" s="59">
        <f>Survey!$P2049+(Survey!$Q2049*0.433)</f>
        <v>2299.6678702357876</v>
      </c>
    </row>
    <row r="2050" spans="1:18" x14ac:dyDescent="0.25">
      <c r="A2050" s="71" t="s">
        <v>17</v>
      </c>
      <c r="B2050" s="72" t="s">
        <v>22</v>
      </c>
      <c r="C2050" s="73" t="s">
        <v>19</v>
      </c>
      <c r="D2050" s="74">
        <v>242.12280913530284</v>
      </c>
      <c r="E2050" s="81">
        <v>1308809</v>
      </c>
      <c r="F2050" s="82">
        <v>1279431.25</v>
      </c>
      <c r="G2050" s="75">
        <v>2697.9344848949272</v>
      </c>
      <c r="H2050" s="76">
        <v>2</v>
      </c>
      <c r="I2050" s="54" t="s">
        <v>20</v>
      </c>
      <c r="J2050" s="77">
        <v>40</v>
      </c>
      <c r="K2050" s="78">
        <v>2</v>
      </c>
      <c r="L2050" s="54">
        <v>1</v>
      </c>
      <c r="M2050" s="54">
        <f>_xlfn.XLOOKUP(Survey!$F2050,sections[Start],sections[Test Section],,-1,1)</f>
        <v>6</v>
      </c>
      <c r="N2050" s="55">
        <f>_xlfn.XLOOKUP(Survey!$K2050,pipedata[ID],pipedata[WT])</f>
        <v>0.74</v>
      </c>
      <c r="O2050" s="56">
        <f>_xlfn.XLOOKUP(Survey!$K2050,pipedata[ID],pipedata[104%])</f>
        <v>2565.3333333333335</v>
      </c>
      <c r="P2050" s="57">
        <f t="shared" ref="P2050:P2113" si="32">IF(L2050=1,1850,IF(L2050=2,1850,2220))</f>
        <v>1850</v>
      </c>
      <c r="Q2050" s="58">
        <f>_xlfn.MAXIFS(Survey!$G$2:$G$3647,Survey!$M$2:$M$3647,Survey!$M2050)-Survey!$G2050</f>
        <v>1036.4901553334894</v>
      </c>
      <c r="R2050" s="59">
        <f>Survey!$P2050+(Survey!$Q2050*0.433)</f>
        <v>2298.800237259401</v>
      </c>
    </row>
    <row r="2051" spans="1:18" x14ac:dyDescent="0.25">
      <c r="A2051" s="60" t="s">
        <v>17</v>
      </c>
      <c r="B2051" s="61" t="s">
        <v>22</v>
      </c>
      <c r="C2051" s="62" t="s">
        <v>19</v>
      </c>
      <c r="D2051" s="63">
        <v>242.13048399578719</v>
      </c>
      <c r="E2051" s="79">
        <v>1308849</v>
      </c>
      <c r="F2051" s="80">
        <v>1279471.5</v>
      </c>
      <c r="G2051" s="66">
        <v>2699.1218614682798</v>
      </c>
      <c r="H2051" s="67">
        <v>2</v>
      </c>
      <c r="I2051" s="68" t="s">
        <v>20</v>
      </c>
      <c r="J2051" s="69">
        <v>40</v>
      </c>
      <c r="K2051" s="70">
        <v>2</v>
      </c>
      <c r="L2051" s="68">
        <v>1</v>
      </c>
      <c r="M2051" s="68">
        <f>_xlfn.XLOOKUP(Survey!$F2051,sections[Start],sections[Test Section],,-1,1)</f>
        <v>6</v>
      </c>
      <c r="N2051" s="55">
        <f>_xlfn.XLOOKUP(Survey!$K2051,pipedata[ID],pipedata[WT])</f>
        <v>0.74</v>
      </c>
      <c r="O2051" s="56">
        <f>_xlfn.XLOOKUP(Survey!$K2051,pipedata[ID],pipedata[104%])</f>
        <v>2565.3333333333335</v>
      </c>
      <c r="P2051" s="57">
        <f t="shared" si="32"/>
        <v>1850</v>
      </c>
      <c r="Q2051" s="58">
        <f>_xlfn.MAXIFS(Survey!$G$2:$G$3647,Survey!$M$2:$M$3647,Survey!$M2051)-Survey!$G2051</f>
        <v>1035.3027787601368</v>
      </c>
      <c r="R2051" s="59">
        <f>Survey!$P2051+(Survey!$Q2051*0.433)</f>
        <v>2298.2861032031392</v>
      </c>
    </row>
    <row r="2052" spans="1:18" x14ac:dyDescent="0.25">
      <c r="A2052" s="71" t="s">
        <v>17</v>
      </c>
      <c r="B2052" s="72" t="s">
        <v>22</v>
      </c>
      <c r="C2052" s="73" t="s">
        <v>19</v>
      </c>
      <c r="D2052" s="74">
        <v>242.13807635939378</v>
      </c>
      <c r="E2052" s="81">
        <v>1308889</v>
      </c>
      <c r="F2052" s="82">
        <v>1279511.75</v>
      </c>
      <c r="G2052" s="75">
        <v>2697.3069815260078</v>
      </c>
      <c r="H2052" s="76">
        <v>2</v>
      </c>
      <c r="I2052" s="54" t="s">
        <v>20</v>
      </c>
      <c r="J2052" s="77">
        <v>40</v>
      </c>
      <c r="K2052" s="78">
        <v>2</v>
      </c>
      <c r="L2052" s="54">
        <v>1</v>
      </c>
      <c r="M2052" s="54">
        <f>_xlfn.XLOOKUP(Survey!$F2052,sections[Start],sections[Test Section],,-1,1)</f>
        <v>6</v>
      </c>
      <c r="N2052" s="55">
        <f>_xlfn.XLOOKUP(Survey!$K2052,pipedata[ID],pipedata[WT])</f>
        <v>0.74</v>
      </c>
      <c r="O2052" s="56">
        <f>_xlfn.XLOOKUP(Survey!$K2052,pipedata[ID],pipedata[104%])</f>
        <v>2565.3333333333335</v>
      </c>
      <c r="P2052" s="57">
        <f t="shared" si="32"/>
        <v>1850</v>
      </c>
      <c r="Q2052" s="58">
        <f>_xlfn.MAXIFS(Survey!$G$2:$G$3647,Survey!$M$2:$M$3647,Survey!$M2052)-Survey!$G2052</f>
        <v>1037.1176587024088</v>
      </c>
      <c r="R2052" s="59">
        <f>Survey!$P2052+(Survey!$Q2052*0.433)</f>
        <v>2299.0719462181432</v>
      </c>
    </row>
    <row r="2053" spans="1:18" x14ac:dyDescent="0.25">
      <c r="A2053" s="60" t="s">
        <v>17</v>
      </c>
      <c r="B2053" s="61" t="s">
        <v>22</v>
      </c>
      <c r="C2053" s="62" t="s">
        <v>19</v>
      </c>
      <c r="D2053" s="63">
        <v>242.14644516360593</v>
      </c>
      <c r="E2053" s="79">
        <v>1308929</v>
      </c>
      <c r="F2053" s="80">
        <v>1279552</v>
      </c>
      <c r="G2053" s="66">
        <v>2696.5089784551883</v>
      </c>
      <c r="H2053" s="67">
        <v>2</v>
      </c>
      <c r="I2053" s="68" t="s">
        <v>20</v>
      </c>
      <c r="J2053" s="69">
        <v>40</v>
      </c>
      <c r="K2053" s="70">
        <v>2</v>
      </c>
      <c r="L2053" s="68">
        <v>1</v>
      </c>
      <c r="M2053" s="68">
        <f>_xlfn.XLOOKUP(Survey!$F2053,sections[Start],sections[Test Section],,-1,1)</f>
        <v>6</v>
      </c>
      <c r="N2053" s="55">
        <f>_xlfn.XLOOKUP(Survey!$K2053,pipedata[ID],pipedata[WT])</f>
        <v>0.74</v>
      </c>
      <c r="O2053" s="56">
        <f>_xlfn.XLOOKUP(Survey!$K2053,pipedata[ID],pipedata[104%])</f>
        <v>2565.3333333333335</v>
      </c>
      <c r="P2053" s="57">
        <f t="shared" si="32"/>
        <v>1850</v>
      </c>
      <c r="Q2053" s="58">
        <f>_xlfn.MAXIFS(Survey!$G$2:$G$3647,Survey!$M$2:$M$3647,Survey!$M2053)-Survey!$G2053</f>
        <v>1037.9156617732283</v>
      </c>
      <c r="R2053" s="59">
        <f>Survey!$P2053+(Survey!$Q2053*0.433)</f>
        <v>2299.4174815478077</v>
      </c>
    </row>
    <row r="2054" spans="1:18" x14ac:dyDescent="0.25">
      <c r="A2054" s="71" t="s">
        <v>17</v>
      </c>
      <c r="B2054" s="72" t="s">
        <v>22</v>
      </c>
      <c r="C2054" s="73" t="s">
        <v>19</v>
      </c>
      <c r="D2054" s="74">
        <v>242.15356579936235</v>
      </c>
      <c r="E2054" s="81">
        <v>1308969</v>
      </c>
      <c r="F2054" s="82">
        <v>1279592.25</v>
      </c>
      <c r="G2054" s="75">
        <v>2693.1159834800601</v>
      </c>
      <c r="H2054" s="76">
        <v>2</v>
      </c>
      <c r="I2054" s="54" t="s">
        <v>20</v>
      </c>
      <c r="J2054" s="77">
        <v>40</v>
      </c>
      <c r="K2054" s="78">
        <v>2</v>
      </c>
      <c r="L2054" s="54">
        <v>1</v>
      </c>
      <c r="M2054" s="54">
        <f>_xlfn.XLOOKUP(Survey!$F2054,sections[Start],sections[Test Section],,-1,1)</f>
        <v>6</v>
      </c>
      <c r="N2054" s="55">
        <f>_xlfn.XLOOKUP(Survey!$K2054,pipedata[ID],pipedata[WT])</f>
        <v>0.74</v>
      </c>
      <c r="O2054" s="56">
        <f>_xlfn.XLOOKUP(Survey!$K2054,pipedata[ID],pipedata[104%])</f>
        <v>2565.3333333333335</v>
      </c>
      <c r="P2054" s="57">
        <f t="shared" si="32"/>
        <v>1850</v>
      </c>
      <c r="Q2054" s="58">
        <f>_xlfn.MAXIFS(Survey!$G$2:$G$3647,Survey!$M$2:$M$3647,Survey!$M2054)-Survey!$G2054</f>
        <v>1041.3086567483565</v>
      </c>
      <c r="R2054" s="59">
        <f>Survey!$P2054+(Survey!$Q2054*0.433)</f>
        <v>2300.8866483720385</v>
      </c>
    </row>
    <row r="2055" spans="1:18" x14ac:dyDescent="0.25">
      <c r="A2055" s="60" t="s">
        <v>17</v>
      </c>
      <c r="B2055" s="61" t="s">
        <v>22</v>
      </c>
      <c r="C2055" s="62" t="s">
        <v>19</v>
      </c>
      <c r="D2055" s="63">
        <v>242.16085345021375</v>
      </c>
      <c r="E2055" s="79">
        <v>1309009</v>
      </c>
      <c r="F2055" s="80">
        <v>1279632.5</v>
      </c>
      <c r="G2055" s="66">
        <v>2689.5028225468886</v>
      </c>
      <c r="H2055" s="67">
        <v>2</v>
      </c>
      <c r="I2055" s="68" t="s">
        <v>20</v>
      </c>
      <c r="J2055" s="69">
        <v>56</v>
      </c>
      <c r="K2055" s="70">
        <v>2</v>
      </c>
      <c r="L2055" s="68">
        <v>1</v>
      </c>
      <c r="M2055" s="68">
        <f>_xlfn.XLOOKUP(Survey!$F2055,sections[Start],sections[Test Section],,-1,1)</f>
        <v>6</v>
      </c>
      <c r="N2055" s="55">
        <f>_xlfn.XLOOKUP(Survey!$K2055,pipedata[ID],pipedata[WT])</f>
        <v>0.74</v>
      </c>
      <c r="O2055" s="56">
        <f>_xlfn.XLOOKUP(Survey!$K2055,pipedata[ID],pipedata[104%])</f>
        <v>2565.3333333333335</v>
      </c>
      <c r="P2055" s="57">
        <f t="shared" si="32"/>
        <v>1850</v>
      </c>
      <c r="Q2055" s="58">
        <f>_xlfn.MAXIFS(Survey!$G$2:$G$3647,Survey!$M$2:$M$3647,Survey!$M2055)-Survey!$G2055</f>
        <v>1044.921817681528</v>
      </c>
      <c r="R2055" s="59">
        <f>Survey!$P2055+(Survey!$Q2055*0.433)</f>
        <v>2302.4511470561015</v>
      </c>
    </row>
    <row r="2056" spans="1:18" x14ac:dyDescent="0.25">
      <c r="A2056" s="71" t="s">
        <v>17</v>
      </c>
      <c r="B2056" s="72" t="s">
        <v>22</v>
      </c>
      <c r="C2056" s="73" t="s">
        <v>19</v>
      </c>
      <c r="D2056" s="74">
        <v>242.16844581382034</v>
      </c>
      <c r="E2056" s="81">
        <v>1309065</v>
      </c>
      <c r="F2056" s="82">
        <v>1279713</v>
      </c>
      <c r="G2056" s="75">
        <v>2686.1894238502837</v>
      </c>
      <c r="H2056" s="76">
        <v>2</v>
      </c>
      <c r="I2056" s="54" t="s">
        <v>21</v>
      </c>
      <c r="J2056" s="77">
        <v>24</v>
      </c>
      <c r="K2056" s="78">
        <v>4</v>
      </c>
      <c r="L2056" s="54">
        <v>1</v>
      </c>
      <c r="M2056" s="54">
        <f>_xlfn.XLOOKUP(Survey!$F2056,sections[Start],sections[Test Section],,-1,1)</f>
        <v>6</v>
      </c>
      <c r="N2056" s="55">
        <f>_xlfn.XLOOKUP(Survey!$K2056,pipedata[ID],pipedata[WT])</f>
        <v>0.74</v>
      </c>
      <c r="O2056" s="56">
        <f>_xlfn.XLOOKUP(Survey!$K2056,pipedata[ID],pipedata[104%])</f>
        <v>2565.3333333333335</v>
      </c>
      <c r="P2056" s="57">
        <f t="shared" si="32"/>
        <v>1850</v>
      </c>
      <c r="Q2056" s="58">
        <f>_xlfn.MAXIFS(Survey!$G$2:$G$3647,Survey!$M$2:$M$3647,Survey!$M2056)-Survey!$G2056</f>
        <v>1048.2352163781329</v>
      </c>
      <c r="R2056" s="59">
        <f>Survey!$P2056+(Survey!$Q2056*0.433)</f>
        <v>2303.8858486917316</v>
      </c>
    </row>
    <row r="2057" spans="1:18" x14ac:dyDescent="0.25">
      <c r="A2057" s="60" t="s">
        <v>17</v>
      </c>
      <c r="B2057" s="61" t="s">
        <v>22</v>
      </c>
      <c r="C2057" s="62" t="s">
        <v>19</v>
      </c>
      <c r="D2057" s="63">
        <v>242.17670786557056</v>
      </c>
      <c r="E2057" s="79">
        <v>1309089</v>
      </c>
      <c r="F2057" s="80">
        <v>1279749.6666666667</v>
      </c>
      <c r="G2057" s="66">
        <v>2684.673978235357</v>
      </c>
      <c r="H2057" s="67">
        <v>2</v>
      </c>
      <c r="I2057" s="68" t="s">
        <v>21</v>
      </c>
      <c r="J2057" s="69">
        <v>40</v>
      </c>
      <c r="K2057" s="70">
        <v>4</v>
      </c>
      <c r="L2057" s="68">
        <v>1</v>
      </c>
      <c r="M2057" s="68">
        <f>_xlfn.XLOOKUP(Survey!$F2057,sections[Start],sections[Test Section],,-1,1)</f>
        <v>6</v>
      </c>
      <c r="N2057" s="55">
        <f>_xlfn.XLOOKUP(Survey!$K2057,pipedata[ID],pipedata[WT])</f>
        <v>0.74</v>
      </c>
      <c r="O2057" s="56">
        <f>_xlfn.XLOOKUP(Survey!$K2057,pipedata[ID],pipedata[104%])</f>
        <v>2565.3333333333335</v>
      </c>
      <c r="P2057" s="57">
        <f t="shared" si="32"/>
        <v>1850</v>
      </c>
      <c r="Q2057" s="58">
        <f>_xlfn.MAXIFS(Survey!$G$2:$G$3647,Survey!$M$2:$M$3647,Survey!$M2057)-Survey!$G2057</f>
        <v>1049.7506619930596</v>
      </c>
      <c r="R2057" s="59">
        <f>Survey!$P2057+(Survey!$Q2057*0.433)</f>
        <v>2304.5420366429948</v>
      </c>
    </row>
    <row r="2058" spans="1:18" x14ac:dyDescent="0.25">
      <c r="A2058" s="71" t="s">
        <v>17</v>
      </c>
      <c r="B2058" s="72" t="s">
        <v>22</v>
      </c>
      <c r="C2058" s="73" t="s">
        <v>19</v>
      </c>
      <c r="D2058" s="74">
        <v>242.18382850132687</v>
      </c>
      <c r="E2058" s="81">
        <v>1309129</v>
      </c>
      <c r="F2058" s="82">
        <v>1279786.3333333335</v>
      </c>
      <c r="G2058" s="75">
        <v>2683.4455643972351</v>
      </c>
      <c r="H2058" s="76">
        <v>2</v>
      </c>
      <c r="I2058" s="54" t="s">
        <v>21</v>
      </c>
      <c r="J2058" s="77">
        <v>56</v>
      </c>
      <c r="K2058" s="78">
        <v>4</v>
      </c>
      <c r="L2058" s="54">
        <v>1</v>
      </c>
      <c r="M2058" s="54">
        <f>_xlfn.XLOOKUP(Survey!$F2058,sections[Start],sections[Test Section],,-1,1)</f>
        <v>6</v>
      </c>
      <c r="N2058" s="55">
        <f>_xlfn.XLOOKUP(Survey!$K2058,pipedata[ID],pipedata[WT])</f>
        <v>0.74</v>
      </c>
      <c r="O2058" s="56">
        <f>_xlfn.XLOOKUP(Survey!$K2058,pipedata[ID],pipedata[104%])</f>
        <v>2565.3333333333335</v>
      </c>
      <c r="P2058" s="57">
        <f t="shared" si="32"/>
        <v>1850</v>
      </c>
      <c r="Q2058" s="58">
        <f>_xlfn.MAXIFS(Survey!$G$2:$G$3647,Survey!$M$2:$M$3647,Survey!$M2058)-Survey!$G2058</f>
        <v>1050.9790758311815</v>
      </c>
      <c r="R2058" s="59">
        <f>Survey!$P2058+(Survey!$Q2058*0.433)</f>
        <v>2305.0739398349015</v>
      </c>
    </row>
    <row r="2059" spans="1:18" x14ac:dyDescent="0.25">
      <c r="A2059" s="60" t="s">
        <v>17</v>
      </c>
      <c r="B2059" s="61" t="s">
        <v>22</v>
      </c>
      <c r="C2059" s="62" t="s">
        <v>19</v>
      </c>
      <c r="D2059" s="63">
        <v>242.1912229046402</v>
      </c>
      <c r="E2059" s="79">
        <v>1309185</v>
      </c>
      <c r="F2059" s="80">
        <v>1279823</v>
      </c>
      <c r="G2059" s="66">
        <v>2682.501016683872</v>
      </c>
      <c r="H2059" s="67">
        <v>2</v>
      </c>
      <c r="I2059" s="68" t="s">
        <v>20</v>
      </c>
      <c r="J2059" s="69">
        <v>24</v>
      </c>
      <c r="K2059" s="70">
        <v>2</v>
      </c>
      <c r="L2059" s="68">
        <v>1</v>
      </c>
      <c r="M2059" s="68">
        <f>_xlfn.XLOOKUP(Survey!$F2059,sections[Start],sections[Test Section],,-1,1)</f>
        <v>6</v>
      </c>
      <c r="N2059" s="55">
        <f>_xlfn.XLOOKUP(Survey!$K2059,pipedata[ID],pipedata[WT])</f>
        <v>0.74</v>
      </c>
      <c r="O2059" s="56">
        <f>_xlfn.XLOOKUP(Survey!$K2059,pipedata[ID],pipedata[104%])</f>
        <v>2565.3333333333335</v>
      </c>
      <c r="P2059" s="57">
        <f t="shared" si="32"/>
        <v>1850</v>
      </c>
      <c r="Q2059" s="58">
        <f>_xlfn.MAXIFS(Survey!$G$2:$G$3647,Survey!$M$2:$M$3647,Survey!$M2059)-Survey!$G2059</f>
        <v>1051.9236235445446</v>
      </c>
      <c r="R2059" s="59">
        <f>Survey!$P2059+(Survey!$Q2059*0.433)</f>
        <v>2305.4829289947879</v>
      </c>
    </row>
    <row r="2060" spans="1:18" x14ac:dyDescent="0.25">
      <c r="A2060" s="71" t="s">
        <v>17</v>
      </c>
      <c r="B2060" s="72" t="s">
        <v>22</v>
      </c>
      <c r="C2060" s="73" t="s">
        <v>19</v>
      </c>
      <c r="D2060" s="74">
        <v>242.19881526824685</v>
      </c>
      <c r="E2060" s="81">
        <v>1309209</v>
      </c>
      <c r="F2060" s="82">
        <v>1279860.7777777778</v>
      </c>
      <c r="G2060" s="75">
        <v>2681.1942215676509</v>
      </c>
      <c r="H2060" s="76">
        <v>2</v>
      </c>
      <c r="I2060" s="54" t="s">
        <v>20</v>
      </c>
      <c r="J2060" s="77">
        <v>40</v>
      </c>
      <c r="K2060" s="78">
        <v>2</v>
      </c>
      <c r="L2060" s="54">
        <v>1</v>
      </c>
      <c r="M2060" s="54">
        <f>_xlfn.XLOOKUP(Survey!$F2060,sections[Start],sections[Test Section],,-1,1)</f>
        <v>6</v>
      </c>
      <c r="N2060" s="55">
        <f>_xlfn.XLOOKUP(Survey!$K2060,pipedata[ID],pipedata[WT])</f>
        <v>0.74</v>
      </c>
      <c r="O2060" s="56">
        <f>_xlfn.XLOOKUP(Survey!$K2060,pipedata[ID],pipedata[104%])</f>
        <v>2565.3333333333335</v>
      </c>
      <c r="P2060" s="57">
        <f t="shared" si="32"/>
        <v>1850</v>
      </c>
      <c r="Q2060" s="58">
        <f>_xlfn.MAXIFS(Survey!$G$2:$G$3647,Survey!$M$2:$M$3647,Survey!$M2060)-Survey!$G2060</f>
        <v>1053.2304186607657</v>
      </c>
      <c r="R2060" s="59">
        <f>Survey!$P2060+(Survey!$Q2060*0.433)</f>
        <v>2306.0487712801114</v>
      </c>
    </row>
    <row r="2061" spans="1:18" x14ac:dyDescent="0.25">
      <c r="A2061" s="60" t="s">
        <v>17</v>
      </c>
      <c r="B2061" s="61" t="s">
        <v>22</v>
      </c>
      <c r="C2061" s="62" t="s">
        <v>19</v>
      </c>
      <c r="D2061" s="63">
        <v>242.206970567535</v>
      </c>
      <c r="E2061" s="79">
        <v>1309249</v>
      </c>
      <c r="F2061" s="80">
        <v>1279898.5555555555</v>
      </c>
      <c r="G2061" s="66">
        <v>2679.878740437649</v>
      </c>
      <c r="H2061" s="67">
        <v>2</v>
      </c>
      <c r="I2061" s="68" t="s">
        <v>20</v>
      </c>
      <c r="J2061" s="69">
        <v>40</v>
      </c>
      <c r="K2061" s="70">
        <v>2</v>
      </c>
      <c r="L2061" s="68">
        <v>1</v>
      </c>
      <c r="M2061" s="68">
        <f>_xlfn.XLOOKUP(Survey!$F2061,sections[Start],sections[Test Section],,-1,1)</f>
        <v>6</v>
      </c>
      <c r="N2061" s="55">
        <f>_xlfn.XLOOKUP(Survey!$K2061,pipedata[ID],pipedata[WT])</f>
        <v>0.74</v>
      </c>
      <c r="O2061" s="56">
        <f>_xlfn.XLOOKUP(Survey!$K2061,pipedata[ID],pipedata[104%])</f>
        <v>2565.3333333333335</v>
      </c>
      <c r="P2061" s="57">
        <f t="shared" si="32"/>
        <v>1850</v>
      </c>
      <c r="Q2061" s="58">
        <f>_xlfn.MAXIFS(Survey!$G$2:$G$3647,Survey!$M$2:$M$3647,Survey!$M2061)-Survey!$G2061</f>
        <v>1054.5458997907676</v>
      </c>
      <c r="R2061" s="59">
        <f>Survey!$P2061+(Survey!$Q2061*0.433)</f>
        <v>2306.6183746094025</v>
      </c>
    </row>
    <row r="2062" spans="1:18" x14ac:dyDescent="0.25">
      <c r="A2062" s="71" t="s">
        <v>17</v>
      </c>
      <c r="B2062" s="72" t="s">
        <v>22</v>
      </c>
      <c r="C2062" s="73" t="s">
        <v>19</v>
      </c>
      <c r="D2062" s="74">
        <v>242.21409120329136</v>
      </c>
      <c r="E2062" s="81">
        <v>1309289</v>
      </c>
      <c r="F2062" s="82">
        <v>1279936.3333333333</v>
      </c>
      <c r="G2062" s="75">
        <v>2679.6795486271421</v>
      </c>
      <c r="H2062" s="76">
        <v>2</v>
      </c>
      <c r="I2062" s="54" t="s">
        <v>20</v>
      </c>
      <c r="J2062" s="77">
        <v>40</v>
      </c>
      <c r="K2062" s="78">
        <v>2</v>
      </c>
      <c r="L2062" s="54">
        <v>1</v>
      </c>
      <c r="M2062" s="54">
        <f>_xlfn.XLOOKUP(Survey!$F2062,sections[Start],sections[Test Section],,-1,1)</f>
        <v>6</v>
      </c>
      <c r="N2062" s="55">
        <f>_xlfn.XLOOKUP(Survey!$K2062,pipedata[ID],pipedata[WT])</f>
        <v>0.74</v>
      </c>
      <c r="O2062" s="56">
        <f>_xlfn.XLOOKUP(Survey!$K2062,pipedata[ID],pipedata[104%])</f>
        <v>2565.3333333333335</v>
      </c>
      <c r="P2062" s="57">
        <f t="shared" si="32"/>
        <v>1850</v>
      </c>
      <c r="Q2062" s="58">
        <f>_xlfn.MAXIFS(Survey!$G$2:$G$3647,Survey!$M$2:$M$3647,Survey!$M2062)-Survey!$G2062</f>
        <v>1054.7450916012745</v>
      </c>
      <c r="R2062" s="59">
        <f>Survey!$P2062+(Survey!$Q2062*0.433)</f>
        <v>2306.7046246633518</v>
      </c>
    </row>
    <row r="2063" spans="1:18" x14ac:dyDescent="0.25">
      <c r="A2063" s="60" t="s">
        <v>17</v>
      </c>
      <c r="B2063" s="61" t="s">
        <v>22</v>
      </c>
      <c r="C2063" s="62" t="s">
        <v>19</v>
      </c>
      <c r="D2063" s="63">
        <v>242.22159235906662</v>
      </c>
      <c r="E2063" s="79">
        <v>1309329</v>
      </c>
      <c r="F2063" s="80">
        <v>1279974.111111111</v>
      </c>
      <c r="G2063" s="66">
        <v>2678.0987805858285</v>
      </c>
      <c r="H2063" s="67">
        <v>2</v>
      </c>
      <c r="I2063" s="68" t="s">
        <v>20</v>
      </c>
      <c r="J2063" s="69">
        <v>40</v>
      </c>
      <c r="K2063" s="70">
        <v>2</v>
      </c>
      <c r="L2063" s="68">
        <v>1</v>
      </c>
      <c r="M2063" s="68">
        <f>_xlfn.XLOOKUP(Survey!$F2063,sections[Start],sections[Test Section],,-1,1)</f>
        <v>6</v>
      </c>
      <c r="N2063" s="55">
        <f>_xlfn.XLOOKUP(Survey!$K2063,pipedata[ID],pipedata[WT])</f>
        <v>0.74</v>
      </c>
      <c r="O2063" s="56">
        <f>_xlfn.XLOOKUP(Survey!$K2063,pipedata[ID],pipedata[104%])</f>
        <v>2565.3333333333335</v>
      </c>
      <c r="P2063" s="57">
        <f t="shared" si="32"/>
        <v>1850</v>
      </c>
      <c r="Q2063" s="58">
        <f>_xlfn.MAXIFS(Survey!$G$2:$G$3647,Survey!$M$2:$M$3647,Survey!$M2063)-Survey!$G2063</f>
        <v>1056.3258596425881</v>
      </c>
      <c r="R2063" s="59">
        <f>Survey!$P2063+(Survey!$Q2063*0.433)</f>
        <v>2307.3890972252407</v>
      </c>
    </row>
    <row r="2064" spans="1:18" x14ac:dyDescent="0.25">
      <c r="A2064" s="71" t="s">
        <v>17</v>
      </c>
      <c r="B2064" s="72" t="s">
        <v>22</v>
      </c>
      <c r="C2064" s="73" t="s">
        <v>19</v>
      </c>
      <c r="D2064" s="74">
        <v>242.22918472267321</v>
      </c>
      <c r="E2064" s="81">
        <v>1309369</v>
      </c>
      <c r="F2064" s="82">
        <v>1280011.8888888888</v>
      </c>
      <c r="G2064" s="75">
        <v>2677.4349385253613</v>
      </c>
      <c r="H2064" s="76">
        <v>2</v>
      </c>
      <c r="I2064" s="54" t="s">
        <v>20</v>
      </c>
      <c r="J2064" s="77">
        <v>40</v>
      </c>
      <c r="K2064" s="78">
        <v>2</v>
      </c>
      <c r="L2064" s="54">
        <v>1</v>
      </c>
      <c r="M2064" s="54">
        <f>_xlfn.XLOOKUP(Survey!$F2064,sections[Start],sections[Test Section],,-1,1)</f>
        <v>6</v>
      </c>
      <c r="N2064" s="55">
        <f>_xlfn.XLOOKUP(Survey!$K2064,pipedata[ID],pipedata[WT])</f>
        <v>0.74</v>
      </c>
      <c r="O2064" s="56">
        <f>_xlfn.XLOOKUP(Survey!$K2064,pipedata[ID],pipedata[104%])</f>
        <v>2565.3333333333335</v>
      </c>
      <c r="P2064" s="57">
        <f t="shared" si="32"/>
        <v>1850</v>
      </c>
      <c r="Q2064" s="58">
        <f>_xlfn.MAXIFS(Survey!$G$2:$G$3647,Survey!$M$2:$M$3647,Survey!$M2064)-Survey!$G2064</f>
        <v>1056.9897017030553</v>
      </c>
      <c r="R2064" s="59">
        <f>Survey!$P2064+(Survey!$Q2064*0.433)</f>
        <v>2307.6765408374231</v>
      </c>
    </row>
    <row r="2065" spans="1:18" x14ac:dyDescent="0.25">
      <c r="A2065" s="60" t="s">
        <v>17</v>
      </c>
      <c r="B2065" s="61" t="s">
        <v>22</v>
      </c>
      <c r="C2065" s="62" t="s">
        <v>19</v>
      </c>
      <c r="D2065" s="63">
        <v>242.23723326949946</v>
      </c>
      <c r="E2065" s="79">
        <v>1309409</v>
      </c>
      <c r="F2065" s="80">
        <v>1280049.6666666665</v>
      </c>
      <c r="G2065" s="66">
        <v>2677.7170952152792</v>
      </c>
      <c r="H2065" s="67">
        <v>2</v>
      </c>
      <c r="I2065" s="68" t="s">
        <v>20</v>
      </c>
      <c r="J2065" s="69">
        <v>40</v>
      </c>
      <c r="K2065" s="70">
        <v>2</v>
      </c>
      <c r="L2065" s="68">
        <v>1</v>
      </c>
      <c r="M2065" s="68">
        <f>_xlfn.XLOOKUP(Survey!$F2065,sections[Start],sections[Test Section],,-1,1)</f>
        <v>6</v>
      </c>
      <c r="N2065" s="55">
        <f>_xlfn.XLOOKUP(Survey!$K2065,pipedata[ID],pipedata[WT])</f>
        <v>0.74</v>
      </c>
      <c r="O2065" s="56">
        <f>_xlfn.XLOOKUP(Survey!$K2065,pipedata[ID],pipedata[104%])</f>
        <v>2565.3333333333335</v>
      </c>
      <c r="P2065" s="57">
        <f t="shared" si="32"/>
        <v>1850</v>
      </c>
      <c r="Q2065" s="58">
        <f>_xlfn.MAXIFS(Survey!$G$2:$G$3647,Survey!$M$2:$M$3647,Survey!$M2065)-Survey!$G2065</f>
        <v>1056.7075450131374</v>
      </c>
      <c r="R2065" s="59">
        <f>Survey!$P2065+(Survey!$Q2065*0.433)</f>
        <v>2307.5543669906883</v>
      </c>
    </row>
    <row r="2066" spans="1:18" x14ac:dyDescent="0.25">
      <c r="A2066" s="71" t="s">
        <v>17</v>
      </c>
      <c r="B2066" s="72" t="s">
        <v>22</v>
      </c>
      <c r="C2066" s="73" t="s">
        <v>19</v>
      </c>
      <c r="D2066" s="74">
        <v>242.24436944988648</v>
      </c>
      <c r="E2066" s="81">
        <v>1309449</v>
      </c>
      <c r="F2066" s="82">
        <v>1280087.4444444443</v>
      </c>
      <c r="G2066" s="75">
        <v>2678.3256447524241</v>
      </c>
      <c r="H2066" s="76">
        <v>2</v>
      </c>
      <c r="I2066" s="54" t="s">
        <v>20</v>
      </c>
      <c r="J2066" s="77">
        <v>40</v>
      </c>
      <c r="K2066" s="78">
        <v>2</v>
      </c>
      <c r="L2066" s="54">
        <v>1</v>
      </c>
      <c r="M2066" s="54">
        <f>_xlfn.XLOOKUP(Survey!$F2066,sections[Start],sections[Test Section],,-1,1)</f>
        <v>6</v>
      </c>
      <c r="N2066" s="55">
        <f>_xlfn.XLOOKUP(Survey!$K2066,pipedata[ID],pipedata[WT])</f>
        <v>0.74</v>
      </c>
      <c r="O2066" s="56">
        <f>_xlfn.XLOOKUP(Survey!$K2066,pipedata[ID],pipedata[104%])</f>
        <v>2565.3333333333335</v>
      </c>
      <c r="P2066" s="57">
        <f t="shared" si="32"/>
        <v>1850</v>
      </c>
      <c r="Q2066" s="58">
        <f>_xlfn.MAXIFS(Survey!$G$2:$G$3647,Survey!$M$2:$M$3647,Survey!$M2066)-Survey!$G2066</f>
        <v>1056.0989954759925</v>
      </c>
      <c r="R2066" s="59">
        <f>Survey!$P2066+(Survey!$Q2066*0.433)</f>
        <v>2307.2908650411046</v>
      </c>
    </row>
    <row r="2067" spans="1:18" x14ac:dyDescent="0.25">
      <c r="A2067" s="60" t="s">
        <v>17</v>
      </c>
      <c r="B2067" s="61" t="s">
        <v>22</v>
      </c>
      <c r="C2067" s="62" t="s">
        <v>19</v>
      </c>
      <c r="D2067" s="63">
        <v>242.25196181349315</v>
      </c>
      <c r="E2067" s="79">
        <v>1309489</v>
      </c>
      <c r="F2067" s="80">
        <v>1280125.222222222</v>
      </c>
      <c r="G2067" s="66">
        <v>2678.032214749554</v>
      </c>
      <c r="H2067" s="67">
        <v>2</v>
      </c>
      <c r="I2067" s="68" t="s">
        <v>20</v>
      </c>
      <c r="J2067" s="69">
        <v>39</v>
      </c>
      <c r="K2067" s="70">
        <v>2</v>
      </c>
      <c r="L2067" s="68">
        <v>1</v>
      </c>
      <c r="M2067" s="68">
        <f>_xlfn.XLOOKUP(Survey!$F2067,sections[Start],sections[Test Section],,-1,1)</f>
        <v>6</v>
      </c>
      <c r="N2067" s="55">
        <f>_xlfn.XLOOKUP(Survey!$K2067,pipedata[ID],pipedata[WT])</f>
        <v>0.74</v>
      </c>
      <c r="O2067" s="56">
        <f>_xlfn.XLOOKUP(Survey!$K2067,pipedata[ID],pipedata[104%])</f>
        <v>2565.3333333333335</v>
      </c>
      <c r="P2067" s="57">
        <f t="shared" si="32"/>
        <v>1850</v>
      </c>
      <c r="Q2067" s="58">
        <f>_xlfn.MAXIFS(Survey!$G$2:$G$3647,Survey!$M$2:$M$3647,Survey!$M2067)-Survey!$G2067</f>
        <v>1056.3924254788626</v>
      </c>
      <c r="R2067" s="59">
        <f>Survey!$P2067+(Survey!$Q2067*0.433)</f>
        <v>2307.4179202323476</v>
      </c>
    </row>
    <row r="2068" spans="1:18" x14ac:dyDescent="0.25">
      <c r="A2068" s="71" t="s">
        <v>17</v>
      </c>
      <c r="B2068" s="72" t="s">
        <v>22</v>
      </c>
      <c r="C2068" s="73" t="s">
        <v>19</v>
      </c>
      <c r="D2068" s="74">
        <v>242.25955417709972</v>
      </c>
      <c r="E2068" s="81">
        <v>1309528</v>
      </c>
      <c r="F2068" s="82">
        <v>1280163</v>
      </c>
      <c r="G2068" s="75">
        <v>2677.0593059439148</v>
      </c>
      <c r="H2068" s="76">
        <v>2</v>
      </c>
      <c r="I2068" s="54" t="s">
        <v>21</v>
      </c>
      <c r="J2068" s="77">
        <v>40</v>
      </c>
      <c r="K2068" s="78">
        <v>4</v>
      </c>
      <c r="L2068" s="54">
        <v>1</v>
      </c>
      <c r="M2068" s="54">
        <f>_xlfn.XLOOKUP(Survey!$F2068,sections[Start],sections[Test Section],,-1,1)</f>
        <v>6</v>
      </c>
      <c r="N2068" s="55">
        <f>_xlfn.XLOOKUP(Survey!$K2068,pipedata[ID],pipedata[WT])</f>
        <v>0.74</v>
      </c>
      <c r="O2068" s="56">
        <f>_xlfn.XLOOKUP(Survey!$K2068,pipedata[ID],pipedata[104%])</f>
        <v>2565.3333333333335</v>
      </c>
      <c r="P2068" s="57">
        <f t="shared" si="32"/>
        <v>1850</v>
      </c>
      <c r="Q2068" s="58">
        <f>_xlfn.MAXIFS(Survey!$G$2:$G$3647,Survey!$M$2:$M$3647,Survey!$M2068)-Survey!$G2068</f>
        <v>1057.3653342845018</v>
      </c>
      <c r="R2068" s="59">
        <f>Survey!$P2068+(Survey!$Q2068*0.433)</f>
        <v>2307.8391897451893</v>
      </c>
    </row>
    <row r="2069" spans="1:18" x14ac:dyDescent="0.25">
      <c r="A2069" s="60" t="s">
        <v>17</v>
      </c>
      <c r="B2069" s="61" t="s">
        <v>22</v>
      </c>
      <c r="C2069" s="62" t="s">
        <v>19</v>
      </c>
      <c r="D2069" s="63">
        <v>242.26749597146409</v>
      </c>
      <c r="E2069" s="79">
        <v>1309568</v>
      </c>
      <c r="F2069" s="80">
        <v>1280203</v>
      </c>
      <c r="G2069" s="66">
        <v>2674.477183455102</v>
      </c>
      <c r="H2069" s="67">
        <v>2</v>
      </c>
      <c r="I2069" s="68" t="s">
        <v>20</v>
      </c>
      <c r="J2069" s="69">
        <v>41</v>
      </c>
      <c r="K2069" s="70">
        <v>2</v>
      </c>
      <c r="L2069" s="68">
        <v>1</v>
      </c>
      <c r="M2069" s="68">
        <f>_xlfn.XLOOKUP(Survey!$F2069,sections[Start],sections[Test Section],,-1,1)</f>
        <v>6</v>
      </c>
      <c r="N2069" s="55">
        <f>_xlfn.XLOOKUP(Survey!$K2069,pipedata[ID],pipedata[WT])</f>
        <v>0.74</v>
      </c>
      <c r="O2069" s="56">
        <f>_xlfn.XLOOKUP(Survey!$K2069,pipedata[ID],pipedata[104%])</f>
        <v>2565.3333333333335</v>
      </c>
      <c r="P2069" s="57">
        <f t="shared" si="32"/>
        <v>1850</v>
      </c>
      <c r="Q2069" s="58">
        <f>_xlfn.MAXIFS(Survey!$G$2:$G$3647,Survey!$M$2:$M$3647,Survey!$M2069)-Survey!$G2069</f>
        <v>1059.9474567733146</v>
      </c>
      <c r="R2069" s="59">
        <f>Survey!$P2069+(Survey!$Q2069*0.433)</f>
        <v>2308.9572487828455</v>
      </c>
    </row>
    <row r="2070" spans="1:18" x14ac:dyDescent="0.25">
      <c r="A2070" s="71" t="s">
        <v>17</v>
      </c>
      <c r="B2070" s="72" t="s">
        <v>22</v>
      </c>
      <c r="C2070" s="73" t="s">
        <v>19</v>
      </c>
      <c r="D2070" s="74">
        <v>242.27473890431295</v>
      </c>
      <c r="E2070" s="81">
        <v>1309609</v>
      </c>
      <c r="F2070" s="82">
        <v>1280240.3333333333</v>
      </c>
      <c r="G2070" s="75">
        <v>2683.1993207587825</v>
      </c>
      <c r="H2070" s="76">
        <v>2</v>
      </c>
      <c r="I2070" s="54" t="s">
        <v>20</v>
      </c>
      <c r="J2070" s="77">
        <v>40</v>
      </c>
      <c r="K2070" s="78">
        <v>2</v>
      </c>
      <c r="L2070" s="54">
        <v>1</v>
      </c>
      <c r="M2070" s="54">
        <f>_xlfn.XLOOKUP(Survey!$F2070,sections[Start],sections[Test Section],,-1,1)</f>
        <v>6</v>
      </c>
      <c r="N2070" s="55">
        <f>_xlfn.XLOOKUP(Survey!$K2070,pipedata[ID],pipedata[WT])</f>
        <v>0.74</v>
      </c>
      <c r="O2070" s="56">
        <f>_xlfn.XLOOKUP(Survey!$K2070,pipedata[ID],pipedata[104%])</f>
        <v>2565.3333333333335</v>
      </c>
      <c r="P2070" s="57">
        <f t="shared" si="32"/>
        <v>1850</v>
      </c>
      <c r="Q2070" s="58">
        <f>_xlfn.MAXIFS(Survey!$G$2:$G$3647,Survey!$M$2:$M$3647,Survey!$M2070)-Survey!$G2070</f>
        <v>1051.2253194696341</v>
      </c>
      <c r="R2070" s="59">
        <f>Survey!$P2070+(Survey!$Q2070*0.433)</f>
        <v>2305.1805633303516</v>
      </c>
    </row>
    <row r="2071" spans="1:18" x14ac:dyDescent="0.25">
      <c r="A2071" s="60" t="s">
        <v>17</v>
      </c>
      <c r="B2071" s="61" t="s">
        <v>22</v>
      </c>
      <c r="C2071" s="62" t="s">
        <v>19</v>
      </c>
      <c r="D2071" s="63">
        <v>242.28233126791955</v>
      </c>
      <c r="E2071" s="79">
        <v>1309649</v>
      </c>
      <c r="F2071" s="80">
        <v>1280277.6666666665</v>
      </c>
      <c r="G2071" s="66">
        <v>2690.2663077638595</v>
      </c>
      <c r="H2071" s="67">
        <v>2</v>
      </c>
      <c r="I2071" s="68" t="s">
        <v>20</v>
      </c>
      <c r="J2071" s="69">
        <v>40</v>
      </c>
      <c r="K2071" s="70">
        <v>2</v>
      </c>
      <c r="L2071" s="68">
        <v>1</v>
      </c>
      <c r="M2071" s="68">
        <f>_xlfn.XLOOKUP(Survey!$F2071,sections[Start],sections[Test Section],,-1,1)</f>
        <v>6</v>
      </c>
      <c r="N2071" s="55">
        <f>_xlfn.XLOOKUP(Survey!$K2071,pipedata[ID],pipedata[WT])</f>
        <v>0.74</v>
      </c>
      <c r="O2071" s="56">
        <f>_xlfn.XLOOKUP(Survey!$K2071,pipedata[ID],pipedata[104%])</f>
        <v>2565.3333333333335</v>
      </c>
      <c r="P2071" s="57">
        <f t="shared" si="32"/>
        <v>1850</v>
      </c>
      <c r="Q2071" s="58">
        <f>_xlfn.MAXIFS(Survey!$G$2:$G$3647,Survey!$M$2:$M$3647,Survey!$M2071)-Survey!$G2071</f>
        <v>1044.1583324645571</v>
      </c>
      <c r="R2071" s="59">
        <f>Survey!$P2071+(Survey!$Q2071*0.433)</f>
        <v>2302.1205579571533</v>
      </c>
    </row>
    <row r="2072" spans="1:18" x14ac:dyDescent="0.25">
      <c r="A2072" s="71" t="s">
        <v>17</v>
      </c>
      <c r="B2072" s="72" t="s">
        <v>22</v>
      </c>
      <c r="C2072" s="73" t="s">
        <v>19</v>
      </c>
      <c r="D2072" s="74">
        <v>242.28992363152616</v>
      </c>
      <c r="E2072" s="81">
        <v>1309689</v>
      </c>
      <c r="F2072" s="82">
        <v>1280314.9999999998</v>
      </c>
      <c r="G2072" s="75">
        <v>2695.3650513235038</v>
      </c>
      <c r="H2072" s="76">
        <v>2</v>
      </c>
      <c r="I2072" s="54" t="s">
        <v>20</v>
      </c>
      <c r="J2072" s="77">
        <v>40</v>
      </c>
      <c r="K2072" s="78">
        <v>2</v>
      </c>
      <c r="L2072" s="54">
        <v>1</v>
      </c>
      <c r="M2072" s="54">
        <f>_xlfn.XLOOKUP(Survey!$F2072,sections[Start],sections[Test Section],,-1,1)</f>
        <v>6</v>
      </c>
      <c r="N2072" s="55">
        <f>_xlfn.XLOOKUP(Survey!$K2072,pipedata[ID],pipedata[WT])</f>
        <v>0.74</v>
      </c>
      <c r="O2072" s="56">
        <f>_xlfn.XLOOKUP(Survey!$K2072,pipedata[ID],pipedata[104%])</f>
        <v>2565.3333333333335</v>
      </c>
      <c r="P2072" s="57">
        <f t="shared" si="32"/>
        <v>1850</v>
      </c>
      <c r="Q2072" s="58">
        <f>_xlfn.MAXIFS(Survey!$G$2:$G$3647,Survey!$M$2:$M$3647,Survey!$M2072)-Survey!$G2072</f>
        <v>1039.0595889049127</v>
      </c>
      <c r="R2072" s="59">
        <f>Survey!$P2072+(Survey!$Q2072*0.433)</f>
        <v>2299.9128019958271</v>
      </c>
    </row>
    <row r="2073" spans="1:18" x14ac:dyDescent="0.25">
      <c r="A2073" s="60" t="s">
        <v>17</v>
      </c>
      <c r="B2073" s="61" t="s">
        <v>22</v>
      </c>
      <c r="C2073" s="62" t="s">
        <v>19</v>
      </c>
      <c r="D2073" s="63">
        <v>242.29751599513278</v>
      </c>
      <c r="E2073" s="79">
        <v>1309729</v>
      </c>
      <c r="F2073" s="80">
        <v>1280352.333333333</v>
      </c>
      <c r="G2073" s="66">
        <v>2694.7942267196959</v>
      </c>
      <c r="H2073" s="67">
        <v>2</v>
      </c>
      <c r="I2073" s="68" t="s">
        <v>20</v>
      </c>
      <c r="J2073" s="69">
        <v>40</v>
      </c>
      <c r="K2073" s="70">
        <v>2</v>
      </c>
      <c r="L2073" s="68">
        <v>1</v>
      </c>
      <c r="M2073" s="68">
        <f>_xlfn.XLOOKUP(Survey!$F2073,sections[Start],sections[Test Section],,-1,1)</f>
        <v>6</v>
      </c>
      <c r="N2073" s="55">
        <f>_xlfn.XLOOKUP(Survey!$K2073,pipedata[ID],pipedata[WT])</f>
        <v>0.74</v>
      </c>
      <c r="O2073" s="56">
        <f>_xlfn.XLOOKUP(Survey!$K2073,pipedata[ID],pipedata[104%])</f>
        <v>2565.3333333333335</v>
      </c>
      <c r="P2073" s="57">
        <f t="shared" si="32"/>
        <v>1850</v>
      </c>
      <c r="Q2073" s="58">
        <f>_xlfn.MAXIFS(Survey!$G$2:$G$3647,Survey!$M$2:$M$3647,Survey!$M2073)-Survey!$G2073</f>
        <v>1039.6304135087207</v>
      </c>
      <c r="R2073" s="59">
        <f>Survey!$P2073+(Survey!$Q2073*0.433)</f>
        <v>2300.1599690492762</v>
      </c>
    </row>
    <row r="2074" spans="1:18" x14ac:dyDescent="0.25">
      <c r="A2074" s="71" t="s">
        <v>17</v>
      </c>
      <c r="B2074" s="72" t="s">
        <v>22</v>
      </c>
      <c r="C2074" s="73" t="s">
        <v>19</v>
      </c>
      <c r="D2074" s="74">
        <v>242.30443194346651</v>
      </c>
      <c r="E2074" s="81">
        <v>1309769</v>
      </c>
      <c r="F2074" s="82">
        <v>1280389.6666666663</v>
      </c>
      <c r="G2074" s="75">
        <v>2691.365664863818</v>
      </c>
      <c r="H2074" s="76">
        <v>2</v>
      </c>
      <c r="I2074" s="54" t="s">
        <v>20</v>
      </c>
      <c r="J2074" s="77">
        <v>40</v>
      </c>
      <c r="K2074" s="78">
        <v>2</v>
      </c>
      <c r="L2074" s="54">
        <v>1</v>
      </c>
      <c r="M2074" s="54">
        <f>_xlfn.XLOOKUP(Survey!$F2074,sections[Start],sections[Test Section],,-1,1)</f>
        <v>6</v>
      </c>
      <c r="N2074" s="55">
        <f>_xlfn.XLOOKUP(Survey!$K2074,pipedata[ID],pipedata[WT])</f>
        <v>0.74</v>
      </c>
      <c r="O2074" s="56">
        <f>_xlfn.XLOOKUP(Survey!$K2074,pipedata[ID],pipedata[104%])</f>
        <v>2565.3333333333335</v>
      </c>
      <c r="P2074" s="57">
        <f t="shared" si="32"/>
        <v>1850</v>
      </c>
      <c r="Q2074" s="58">
        <f>_xlfn.MAXIFS(Survey!$G$2:$G$3647,Survey!$M$2:$M$3647,Survey!$M2074)-Survey!$G2074</f>
        <v>1043.0589753645986</v>
      </c>
      <c r="R2074" s="59">
        <f>Survey!$P2074+(Survey!$Q2074*0.433)</f>
        <v>2301.6445363328712</v>
      </c>
    </row>
    <row r="2075" spans="1:18" x14ac:dyDescent="0.25">
      <c r="A2075" s="60" t="s">
        <v>17</v>
      </c>
      <c r="B2075" s="61" t="s">
        <v>22</v>
      </c>
      <c r="C2075" s="62" t="s">
        <v>19</v>
      </c>
      <c r="D2075" s="63">
        <v>242.31203433066148</v>
      </c>
      <c r="E2075" s="79">
        <v>1309809</v>
      </c>
      <c r="F2075" s="80">
        <v>1280426.9999999995</v>
      </c>
      <c r="G2075" s="66">
        <v>2690.463656505241</v>
      </c>
      <c r="H2075" s="67">
        <v>2</v>
      </c>
      <c r="I2075" s="68" t="s">
        <v>20</v>
      </c>
      <c r="J2075" s="69">
        <v>40</v>
      </c>
      <c r="K2075" s="70">
        <v>2</v>
      </c>
      <c r="L2075" s="68">
        <v>1</v>
      </c>
      <c r="M2075" s="68">
        <f>_xlfn.XLOOKUP(Survey!$F2075,sections[Start],sections[Test Section],,-1,1)</f>
        <v>6</v>
      </c>
      <c r="N2075" s="55">
        <f>_xlfn.XLOOKUP(Survey!$K2075,pipedata[ID],pipedata[WT])</f>
        <v>0.74</v>
      </c>
      <c r="O2075" s="56">
        <f>_xlfn.XLOOKUP(Survey!$K2075,pipedata[ID],pipedata[104%])</f>
        <v>2565.3333333333335</v>
      </c>
      <c r="P2075" s="57">
        <f t="shared" si="32"/>
        <v>1850</v>
      </c>
      <c r="Q2075" s="58">
        <f>_xlfn.MAXIFS(Survey!$G$2:$G$3647,Survey!$M$2:$M$3647,Survey!$M2075)-Survey!$G2075</f>
        <v>1043.9609837231756</v>
      </c>
      <c r="R2075" s="59">
        <f>Survey!$P2075+(Survey!$Q2075*0.433)</f>
        <v>2302.0351059521349</v>
      </c>
    </row>
    <row r="2076" spans="1:18" x14ac:dyDescent="0.25">
      <c r="A2076" s="71" t="s">
        <v>17</v>
      </c>
      <c r="B2076" s="72" t="s">
        <v>22</v>
      </c>
      <c r="C2076" s="73" t="s">
        <v>19</v>
      </c>
      <c r="D2076" s="74">
        <v>242.31963671785633</v>
      </c>
      <c r="E2076" s="81">
        <v>1309849</v>
      </c>
      <c r="F2076" s="82">
        <v>1280464.3333333328</v>
      </c>
      <c r="G2076" s="75">
        <v>2690.1710783702524</v>
      </c>
      <c r="H2076" s="76">
        <v>2</v>
      </c>
      <c r="I2076" s="54" t="s">
        <v>20</v>
      </c>
      <c r="J2076" s="77">
        <v>40</v>
      </c>
      <c r="K2076" s="78">
        <v>2</v>
      </c>
      <c r="L2076" s="54">
        <v>1</v>
      </c>
      <c r="M2076" s="54">
        <f>_xlfn.XLOOKUP(Survey!$F2076,sections[Start],sections[Test Section],,-1,1)</f>
        <v>6</v>
      </c>
      <c r="N2076" s="55">
        <f>_xlfn.XLOOKUP(Survey!$K2076,pipedata[ID],pipedata[WT])</f>
        <v>0.74</v>
      </c>
      <c r="O2076" s="56">
        <f>_xlfn.XLOOKUP(Survey!$K2076,pipedata[ID],pipedata[104%])</f>
        <v>2565.3333333333335</v>
      </c>
      <c r="P2076" s="57">
        <f t="shared" si="32"/>
        <v>1850</v>
      </c>
      <c r="Q2076" s="58">
        <f>_xlfn.MAXIFS(Survey!$G$2:$G$3647,Survey!$M$2:$M$3647,Survey!$M2076)-Survey!$G2076</f>
        <v>1044.2535618581642</v>
      </c>
      <c r="R2076" s="59">
        <f>Survey!$P2076+(Survey!$Q2076*0.433)</f>
        <v>2302.1617922845853</v>
      </c>
    </row>
    <row r="2077" spans="1:18" x14ac:dyDescent="0.25">
      <c r="A2077" s="60" t="s">
        <v>17</v>
      </c>
      <c r="B2077" s="61" t="s">
        <v>22</v>
      </c>
      <c r="C2077" s="62" t="s">
        <v>19</v>
      </c>
      <c r="D2077" s="63">
        <v>242.32723910505104</v>
      </c>
      <c r="E2077" s="79">
        <v>1309889</v>
      </c>
      <c r="F2077" s="80">
        <v>1280501.666666666</v>
      </c>
      <c r="G2077" s="66">
        <v>2691.2212698738276</v>
      </c>
      <c r="H2077" s="67">
        <v>2</v>
      </c>
      <c r="I2077" s="68" t="s">
        <v>20</v>
      </c>
      <c r="J2077" s="69">
        <v>40</v>
      </c>
      <c r="K2077" s="70">
        <v>2</v>
      </c>
      <c r="L2077" s="68">
        <v>1</v>
      </c>
      <c r="M2077" s="68">
        <f>_xlfn.XLOOKUP(Survey!$F2077,sections[Start],sections[Test Section],,-1,1)</f>
        <v>6</v>
      </c>
      <c r="N2077" s="55">
        <f>_xlfn.XLOOKUP(Survey!$K2077,pipedata[ID],pipedata[WT])</f>
        <v>0.74</v>
      </c>
      <c r="O2077" s="56">
        <f>_xlfn.XLOOKUP(Survey!$K2077,pipedata[ID],pipedata[104%])</f>
        <v>2565.3333333333335</v>
      </c>
      <c r="P2077" s="57">
        <f t="shared" si="32"/>
        <v>1850</v>
      </c>
      <c r="Q2077" s="58">
        <f>_xlfn.MAXIFS(Survey!$G$2:$G$3647,Survey!$M$2:$M$3647,Survey!$M2077)-Survey!$G2077</f>
        <v>1043.203370354589</v>
      </c>
      <c r="R2077" s="59">
        <f>Survey!$P2077+(Survey!$Q2077*0.433)</f>
        <v>2301.7070593635372</v>
      </c>
    </row>
    <row r="2078" spans="1:18" x14ac:dyDescent="0.25">
      <c r="A2078" s="71" t="s">
        <v>17</v>
      </c>
      <c r="B2078" s="72" t="s">
        <v>22</v>
      </c>
      <c r="C2078" s="73" t="s">
        <v>19</v>
      </c>
      <c r="D2078" s="74">
        <v>242.33489292959513</v>
      </c>
      <c r="E2078" s="81">
        <v>1309929</v>
      </c>
      <c r="F2078" s="82">
        <v>1280538.9999999993</v>
      </c>
      <c r="G2078" s="75">
        <v>2692.1828774784162</v>
      </c>
      <c r="H2078" s="76">
        <v>2</v>
      </c>
      <c r="I2078" s="54" t="s">
        <v>20</v>
      </c>
      <c r="J2078" s="77">
        <v>40</v>
      </c>
      <c r="K2078" s="78">
        <v>2</v>
      </c>
      <c r="L2078" s="54">
        <v>1</v>
      </c>
      <c r="M2078" s="54">
        <f>_xlfn.XLOOKUP(Survey!$F2078,sections[Start],sections[Test Section],,-1,1)</f>
        <v>6</v>
      </c>
      <c r="N2078" s="55">
        <f>_xlfn.XLOOKUP(Survey!$K2078,pipedata[ID],pipedata[WT])</f>
        <v>0.74</v>
      </c>
      <c r="O2078" s="56">
        <f>_xlfn.XLOOKUP(Survey!$K2078,pipedata[ID],pipedata[104%])</f>
        <v>2565.3333333333335</v>
      </c>
      <c r="P2078" s="57">
        <f t="shared" si="32"/>
        <v>1850</v>
      </c>
      <c r="Q2078" s="58">
        <f>_xlfn.MAXIFS(Survey!$G$2:$G$3647,Survey!$M$2:$M$3647,Survey!$M2078)-Survey!$G2078</f>
        <v>1042.2417627500004</v>
      </c>
      <c r="R2078" s="59">
        <f>Survey!$P2078+(Survey!$Q2078*0.433)</f>
        <v>2301.2906832707504</v>
      </c>
    </row>
    <row r="2079" spans="1:18" x14ac:dyDescent="0.25">
      <c r="A2079" s="60" t="s">
        <v>17</v>
      </c>
      <c r="B2079" s="61" t="s">
        <v>22</v>
      </c>
      <c r="C2079" s="62" t="s">
        <v>19</v>
      </c>
      <c r="D2079" s="63">
        <v>242.34280367987992</v>
      </c>
      <c r="E2079" s="79">
        <v>1309969</v>
      </c>
      <c r="F2079" s="80">
        <v>1280576.3333333326</v>
      </c>
      <c r="G2079" s="66">
        <v>2692.4141046298228</v>
      </c>
      <c r="H2079" s="67">
        <v>2</v>
      </c>
      <c r="I2079" s="68" t="s">
        <v>20</v>
      </c>
      <c r="J2079" s="69">
        <v>40</v>
      </c>
      <c r="K2079" s="70">
        <v>2</v>
      </c>
      <c r="L2079" s="68">
        <v>1</v>
      </c>
      <c r="M2079" s="68">
        <f>_xlfn.XLOOKUP(Survey!$F2079,sections[Start],sections[Test Section],,-1,1)</f>
        <v>6</v>
      </c>
      <c r="N2079" s="55">
        <f>_xlfn.XLOOKUP(Survey!$K2079,pipedata[ID],pipedata[WT])</f>
        <v>0.74</v>
      </c>
      <c r="O2079" s="56">
        <f>_xlfn.XLOOKUP(Survey!$K2079,pipedata[ID],pipedata[104%])</f>
        <v>2565.3333333333335</v>
      </c>
      <c r="P2079" s="57">
        <f t="shared" si="32"/>
        <v>1850</v>
      </c>
      <c r="Q2079" s="58">
        <f>_xlfn.MAXIFS(Survey!$G$2:$G$3647,Survey!$M$2:$M$3647,Survey!$M2079)-Survey!$G2079</f>
        <v>1042.0105355985938</v>
      </c>
      <c r="R2079" s="59">
        <f>Survey!$P2079+(Survey!$Q2079*0.433)</f>
        <v>2301.1905619141912</v>
      </c>
    </row>
    <row r="2080" spans="1:18" x14ac:dyDescent="0.25">
      <c r="A2080" s="71" t="s">
        <v>17</v>
      </c>
      <c r="B2080" s="72" t="s">
        <v>22</v>
      </c>
      <c r="C2080" s="73" t="s">
        <v>19</v>
      </c>
      <c r="D2080" s="74">
        <v>242.35008579904905</v>
      </c>
      <c r="E2080" s="81">
        <v>1310009</v>
      </c>
      <c r="F2080" s="82">
        <v>1280613.6666666658</v>
      </c>
      <c r="G2080" s="75">
        <v>2692.7342062587022</v>
      </c>
      <c r="H2080" s="76">
        <v>2</v>
      </c>
      <c r="I2080" s="54" t="s">
        <v>20</v>
      </c>
      <c r="J2080" s="77">
        <v>40</v>
      </c>
      <c r="K2080" s="78">
        <v>2</v>
      </c>
      <c r="L2080" s="54">
        <v>1</v>
      </c>
      <c r="M2080" s="54">
        <f>_xlfn.XLOOKUP(Survey!$F2080,sections[Start],sections[Test Section],,-1,1)</f>
        <v>6</v>
      </c>
      <c r="N2080" s="55">
        <f>_xlfn.XLOOKUP(Survey!$K2080,pipedata[ID],pipedata[WT])</f>
        <v>0.74</v>
      </c>
      <c r="O2080" s="56">
        <f>_xlfn.XLOOKUP(Survey!$K2080,pipedata[ID],pipedata[104%])</f>
        <v>2565.3333333333335</v>
      </c>
      <c r="P2080" s="57">
        <f t="shared" si="32"/>
        <v>1850</v>
      </c>
      <c r="Q2080" s="58">
        <f>_xlfn.MAXIFS(Survey!$G$2:$G$3647,Survey!$M$2:$M$3647,Survey!$M2080)-Survey!$G2080</f>
        <v>1041.6904339697144</v>
      </c>
      <c r="R2080" s="59">
        <f>Survey!$P2080+(Survey!$Q2080*0.433)</f>
        <v>2301.0519579088864</v>
      </c>
    </row>
    <row r="2081" spans="1:18" x14ac:dyDescent="0.25">
      <c r="A2081" s="60" t="s">
        <v>17</v>
      </c>
      <c r="B2081" s="61" t="s">
        <v>22</v>
      </c>
      <c r="C2081" s="62" t="s">
        <v>19</v>
      </c>
      <c r="D2081" s="63">
        <v>242.35768818624365</v>
      </c>
      <c r="E2081" s="79">
        <v>1310049</v>
      </c>
      <c r="F2081" s="80">
        <v>1280650.9999999991</v>
      </c>
      <c r="G2081" s="66">
        <v>2694.4080646462353</v>
      </c>
      <c r="H2081" s="67">
        <v>2</v>
      </c>
      <c r="I2081" s="68" t="s">
        <v>20</v>
      </c>
      <c r="J2081" s="69">
        <v>40</v>
      </c>
      <c r="K2081" s="70">
        <v>2</v>
      </c>
      <c r="L2081" s="68">
        <v>1</v>
      </c>
      <c r="M2081" s="68">
        <f>_xlfn.XLOOKUP(Survey!$F2081,sections[Start],sections[Test Section],,-1,1)</f>
        <v>6</v>
      </c>
      <c r="N2081" s="55">
        <f>_xlfn.XLOOKUP(Survey!$K2081,pipedata[ID],pipedata[WT])</f>
        <v>0.74</v>
      </c>
      <c r="O2081" s="56">
        <f>_xlfn.XLOOKUP(Survey!$K2081,pipedata[ID],pipedata[104%])</f>
        <v>2565.3333333333335</v>
      </c>
      <c r="P2081" s="57">
        <f t="shared" si="32"/>
        <v>1850</v>
      </c>
      <c r="Q2081" s="58">
        <f>_xlfn.MAXIFS(Survey!$G$2:$G$3647,Survey!$M$2:$M$3647,Survey!$M2081)-Survey!$G2081</f>
        <v>1040.0165755821813</v>
      </c>
      <c r="R2081" s="59">
        <f>Survey!$P2081+(Survey!$Q2081*0.433)</f>
        <v>2300.3271772270846</v>
      </c>
    </row>
    <row r="2082" spans="1:18" x14ac:dyDescent="0.25">
      <c r="A2082" s="71" t="s">
        <v>17</v>
      </c>
      <c r="B2082" s="72" t="s">
        <v>22</v>
      </c>
      <c r="C2082" s="73" t="s">
        <v>19</v>
      </c>
      <c r="D2082" s="74">
        <v>242.36529057343856</v>
      </c>
      <c r="E2082" s="81">
        <v>1310089</v>
      </c>
      <c r="F2082" s="82">
        <v>1280688.3333333323</v>
      </c>
      <c r="G2082" s="75">
        <v>2700.1514015701196</v>
      </c>
      <c r="H2082" s="76">
        <v>2</v>
      </c>
      <c r="I2082" s="54" t="s">
        <v>20</v>
      </c>
      <c r="J2082" s="77">
        <v>40</v>
      </c>
      <c r="K2082" s="78">
        <v>2</v>
      </c>
      <c r="L2082" s="54">
        <v>1</v>
      </c>
      <c r="M2082" s="54">
        <f>_xlfn.XLOOKUP(Survey!$F2082,sections[Start],sections[Test Section],,-1,1)</f>
        <v>6</v>
      </c>
      <c r="N2082" s="55">
        <f>_xlfn.XLOOKUP(Survey!$K2082,pipedata[ID],pipedata[WT])</f>
        <v>0.74</v>
      </c>
      <c r="O2082" s="56">
        <f>_xlfn.XLOOKUP(Survey!$K2082,pipedata[ID],pipedata[104%])</f>
        <v>2565.3333333333335</v>
      </c>
      <c r="P2082" s="57">
        <f t="shared" si="32"/>
        <v>1850</v>
      </c>
      <c r="Q2082" s="58">
        <f>_xlfn.MAXIFS(Survey!$G$2:$G$3647,Survey!$M$2:$M$3647,Survey!$M2082)-Survey!$G2082</f>
        <v>1034.273238658297</v>
      </c>
      <c r="R2082" s="59">
        <f>Survey!$P2082+(Survey!$Q2082*0.433)</f>
        <v>2297.8403123390426</v>
      </c>
    </row>
    <row r="2083" spans="1:18" x14ac:dyDescent="0.25">
      <c r="A2083" s="60" t="s">
        <v>17</v>
      </c>
      <c r="B2083" s="61" t="s">
        <v>22</v>
      </c>
      <c r="C2083" s="62" t="s">
        <v>19</v>
      </c>
      <c r="D2083" s="63">
        <v>242.37289296063352</v>
      </c>
      <c r="E2083" s="79">
        <v>1310129</v>
      </c>
      <c r="F2083" s="80">
        <v>1280725.6666666656</v>
      </c>
      <c r="G2083" s="66">
        <v>2698.7582791409009</v>
      </c>
      <c r="H2083" s="67">
        <v>2</v>
      </c>
      <c r="I2083" s="68" t="s">
        <v>20</v>
      </c>
      <c r="J2083" s="69">
        <v>40</v>
      </c>
      <c r="K2083" s="70">
        <v>2</v>
      </c>
      <c r="L2083" s="68">
        <v>1</v>
      </c>
      <c r="M2083" s="68">
        <f>_xlfn.XLOOKUP(Survey!$F2083,sections[Start],sections[Test Section],,-1,1)</f>
        <v>6</v>
      </c>
      <c r="N2083" s="55">
        <f>_xlfn.XLOOKUP(Survey!$K2083,pipedata[ID],pipedata[WT])</f>
        <v>0.74</v>
      </c>
      <c r="O2083" s="56">
        <f>_xlfn.XLOOKUP(Survey!$K2083,pipedata[ID],pipedata[104%])</f>
        <v>2565.3333333333335</v>
      </c>
      <c r="P2083" s="57">
        <f t="shared" si="32"/>
        <v>1850</v>
      </c>
      <c r="Q2083" s="58">
        <f>_xlfn.MAXIFS(Survey!$G$2:$G$3647,Survey!$M$2:$M$3647,Survey!$M2083)-Survey!$G2083</f>
        <v>1035.6663610875157</v>
      </c>
      <c r="R2083" s="59">
        <f>Survey!$P2083+(Survey!$Q2083*0.433)</f>
        <v>2298.4435343508944</v>
      </c>
    </row>
    <row r="2084" spans="1:18" x14ac:dyDescent="0.25">
      <c r="A2084" s="71" t="s">
        <v>17</v>
      </c>
      <c r="B2084" s="72" t="s">
        <v>22</v>
      </c>
      <c r="C2084" s="73" t="s">
        <v>19</v>
      </c>
      <c r="D2084" s="74">
        <v>242.38049534782812</v>
      </c>
      <c r="E2084" s="81">
        <v>1310169</v>
      </c>
      <c r="F2084" s="82">
        <v>1280762.9999999988</v>
      </c>
      <c r="G2084" s="75">
        <v>2695.5122302432296</v>
      </c>
      <c r="H2084" s="76">
        <v>2</v>
      </c>
      <c r="I2084" s="54" t="s">
        <v>20</v>
      </c>
      <c r="J2084" s="77">
        <v>40</v>
      </c>
      <c r="K2084" s="78">
        <v>2</v>
      </c>
      <c r="L2084" s="54">
        <v>1</v>
      </c>
      <c r="M2084" s="54">
        <f>_xlfn.XLOOKUP(Survey!$F2084,sections[Start],sections[Test Section],,-1,1)</f>
        <v>6</v>
      </c>
      <c r="N2084" s="55">
        <f>_xlfn.XLOOKUP(Survey!$K2084,pipedata[ID],pipedata[WT])</f>
        <v>0.74</v>
      </c>
      <c r="O2084" s="56">
        <f>_xlfn.XLOOKUP(Survey!$K2084,pipedata[ID],pipedata[104%])</f>
        <v>2565.3333333333335</v>
      </c>
      <c r="P2084" s="57">
        <f t="shared" si="32"/>
        <v>1850</v>
      </c>
      <c r="Q2084" s="58">
        <f>_xlfn.MAXIFS(Survey!$G$2:$G$3647,Survey!$M$2:$M$3647,Survey!$M2084)-Survey!$G2084</f>
        <v>1038.912409985187</v>
      </c>
      <c r="R2084" s="59">
        <f>Survey!$P2084+(Survey!$Q2084*0.433)</f>
        <v>2299.849073523586</v>
      </c>
    </row>
    <row r="2085" spans="1:18" x14ac:dyDescent="0.25">
      <c r="A2085" s="60" t="s">
        <v>17</v>
      </c>
      <c r="B2085" s="61" t="s">
        <v>22</v>
      </c>
      <c r="C2085" s="62" t="s">
        <v>19</v>
      </c>
      <c r="D2085" s="63">
        <v>242.38809773502302</v>
      </c>
      <c r="E2085" s="79">
        <v>1310209</v>
      </c>
      <c r="F2085" s="80">
        <v>1280800.3333333321</v>
      </c>
      <c r="G2085" s="66">
        <v>2693.9720226933846</v>
      </c>
      <c r="H2085" s="67">
        <v>2</v>
      </c>
      <c r="I2085" s="68" t="s">
        <v>20</v>
      </c>
      <c r="J2085" s="69">
        <v>40</v>
      </c>
      <c r="K2085" s="70">
        <v>2</v>
      </c>
      <c r="L2085" s="68">
        <v>1</v>
      </c>
      <c r="M2085" s="68">
        <f>_xlfn.XLOOKUP(Survey!$F2085,sections[Start],sections[Test Section],,-1,1)</f>
        <v>6</v>
      </c>
      <c r="N2085" s="55">
        <f>_xlfn.XLOOKUP(Survey!$K2085,pipedata[ID],pipedata[WT])</f>
        <v>0.74</v>
      </c>
      <c r="O2085" s="56">
        <f>_xlfn.XLOOKUP(Survey!$K2085,pipedata[ID],pipedata[104%])</f>
        <v>2565.3333333333335</v>
      </c>
      <c r="P2085" s="57">
        <f t="shared" si="32"/>
        <v>1850</v>
      </c>
      <c r="Q2085" s="58">
        <f>_xlfn.MAXIFS(Survey!$G$2:$G$3647,Survey!$M$2:$M$3647,Survey!$M2085)-Survey!$G2085</f>
        <v>1040.452617535032</v>
      </c>
      <c r="R2085" s="59">
        <f>Survey!$P2085+(Survey!$Q2085*0.433)</f>
        <v>2300.5159833926687</v>
      </c>
    </row>
    <row r="2086" spans="1:18" x14ac:dyDescent="0.25">
      <c r="A2086" s="71" t="s">
        <v>17</v>
      </c>
      <c r="B2086" s="72" t="s">
        <v>22</v>
      </c>
      <c r="C2086" s="73" t="s">
        <v>19</v>
      </c>
      <c r="D2086" s="74">
        <v>242.39570012221807</v>
      </c>
      <c r="E2086" s="81">
        <v>1310249</v>
      </c>
      <c r="F2086" s="82">
        <v>1280837.6666666653</v>
      </c>
      <c r="G2086" s="75">
        <v>2693.2867708358322</v>
      </c>
      <c r="H2086" s="76">
        <v>2</v>
      </c>
      <c r="I2086" s="54" t="s">
        <v>20</v>
      </c>
      <c r="J2086" s="77">
        <v>40</v>
      </c>
      <c r="K2086" s="78">
        <v>2</v>
      </c>
      <c r="L2086" s="54">
        <v>1</v>
      </c>
      <c r="M2086" s="54">
        <f>_xlfn.XLOOKUP(Survey!$F2086,sections[Start],sections[Test Section],,-1,1)</f>
        <v>6</v>
      </c>
      <c r="N2086" s="55">
        <f>_xlfn.XLOOKUP(Survey!$K2086,pipedata[ID],pipedata[WT])</f>
        <v>0.74</v>
      </c>
      <c r="O2086" s="56">
        <f>_xlfn.XLOOKUP(Survey!$K2086,pipedata[ID],pipedata[104%])</f>
        <v>2565.3333333333335</v>
      </c>
      <c r="P2086" s="57">
        <f t="shared" si="32"/>
        <v>1850</v>
      </c>
      <c r="Q2086" s="58">
        <f>_xlfn.MAXIFS(Survey!$G$2:$G$3647,Survey!$M$2:$M$3647,Survey!$M2086)-Survey!$G2086</f>
        <v>1041.1378693925844</v>
      </c>
      <c r="R2086" s="59">
        <f>Survey!$P2086+(Survey!$Q2086*0.433)</f>
        <v>2300.8126974469892</v>
      </c>
    </row>
    <row r="2087" spans="1:18" x14ac:dyDescent="0.25">
      <c r="A2087" s="60" t="s">
        <v>17</v>
      </c>
      <c r="B2087" s="61" t="s">
        <v>22</v>
      </c>
      <c r="C2087" s="62" t="s">
        <v>19</v>
      </c>
      <c r="D2087" s="63">
        <v>242.40330250941264</v>
      </c>
      <c r="E2087" s="79">
        <v>1310289</v>
      </c>
      <c r="F2087" s="80">
        <v>1280874.9999999986</v>
      </c>
      <c r="G2087" s="66">
        <v>2690.7950044115119</v>
      </c>
      <c r="H2087" s="67">
        <v>2</v>
      </c>
      <c r="I2087" s="68" t="s">
        <v>20</v>
      </c>
      <c r="J2087" s="69">
        <v>40</v>
      </c>
      <c r="K2087" s="70">
        <v>2</v>
      </c>
      <c r="L2087" s="68">
        <v>1</v>
      </c>
      <c r="M2087" s="68">
        <f>_xlfn.XLOOKUP(Survey!$F2087,sections[Start],sections[Test Section],,-1,1)</f>
        <v>6</v>
      </c>
      <c r="N2087" s="55">
        <f>_xlfn.XLOOKUP(Survey!$K2087,pipedata[ID],pipedata[WT])</f>
        <v>0.74</v>
      </c>
      <c r="O2087" s="56">
        <f>_xlfn.XLOOKUP(Survey!$K2087,pipedata[ID],pipedata[104%])</f>
        <v>2565.3333333333335</v>
      </c>
      <c r="P2087" s="57">
        <f t="shared" si="32"/>
        <v>1850</v>
      </c>
      <c r="Q2087" s="58">
        <f>_xlfn.MAXIFS(Survey!$G$2:$G$3647,Survey!$M$2:$M$3647,Survey!$M2087)-Survey!$G2087</f>
        <v>1043.6296358169047</v>
      </c>
      <c r="R2087" s="59">
        <f>Survey!$P2087+(Survey!$Q2087*0.433)</f>
        <v>2301.8916323087196</v>
      </c>
    </row>
    <row r="2088" spans="1:18" x14ac:dyDescent="0.25">
      <c r="A2088" s="71" t="s">
        <v>17</v>
      </c>
      <c r="B2088" s="72" t="s">
        <v>22</v>
      </c>
      <c r="C2088" s="73" t="s">
        <v>19</v>
      </c>
      <c r="D2088" s="74">
        <v>242.41004640866899</v>
      </c>
      <c r="E2088" s="81">
        <v>1310329</v>
      </c>
      <c r="F2088" s="82">
        <v>1280912.3333333319</v>
      </c>
      <c r="G2088" s="75">
        <v>2689.0255030883291</v>
      </c>
      <c r="H2088" s="76">
        <v>2</v>
      </c>
      <c r="I2088" s="54" t="s">
        <v>20</v>
      </c>
      <c r="J2088" s="77">
        <v>40</v>
      </c>
      <c r="K2088" s="78">
        <v>2</v>
      </c>
      <c r="L2088" s="54">
        <v>1</v>
      </c>
      <c r="M2088" s="54">
        <f>_xlfn.XLOOKUP(Survey!$F2088,sections[Start],sections[Test Section],,-1,1)</f>
        <v>6</v>
      </c>
      <c r="N2088" s="55">
        <f>_xlfn.XLOOKUP(Survey!$K2088,pipedata[ID],pipedata[WT])</f>
        <v>0.74</v>
      </c>
      <c r="O2088" s="56">
        <f>_xlfn.XLOOKUP(Survey!$K2088,pipedata[ID],pipedata[104%])</f>
        <v>2565.3333333333335</v>
      </c>
      <c r="P2088" s="57">
        <f t="shared" si="32"/>
        <v>1850</v>
      </c>
      <c r="Q2088" s="58">
        <f>_xlfn.MAXIFS(Survey!$G$2:$G$3647,Survey!$M$2:$M$3647,Survey!$M2088)-Survey!$G2088</f>
        <v>1045.3991371400875</v>
      </c>
      <c r="R2088" s="59">
        <f>Survey!$P2088+(Survey!$Q2088*0.433)</f>
        <v>2302.6578263816577</v>
      </c>
    </row>
    <row r="2089" spans="1:18" x14ac:dyDescent="0.25">
      <c r="A2089" s="60" t="s">
        <v>17</v>
      </c>
      <c r="B2089" s="61" t="s">
        <v>22</v>
      </c>
      <c r="C2089" s="62" t="s">
        <v>19</v>
      </c>
      <c r="D2089" s="63">
        <v>242.4184096057572</v>
      </c>
      <c r="E2089" s="79">
        <v>1310369</v>
      </c>
      <c r="F2089" s="80">
        <v>1280949.6666666651</v>
      </c>
      <c r="G2089" s="66">
        <v>2688.6515552205701</v>
      </c>
      <c r="H2089" s="67">
        <v>2</v>
      </c>
      <c r="I2089" s="68" t="s">
        <v>20</v>
      </c>
      <c r="J2089" s="69">
        <v>40</v>
      </c>
      <c r="K2089" s="70">
        <v>2</v>
      </c>
      <c r="L2089" s="68">
        <v>1</v>
      </c>
      <c r="M2089" s="68">
        <f>_xlfn.XLOOKUP(Survey!$F2089,sections[Start],sections[Test Section],,-1,1)</f>
        <v>6</v>
      </c>
      <c r="N2089" s="55">
        <f>_xlfn.XLOOKUP(Survey!$K2089,pipedata[ID],pipedata[WT])</f>
        <v>0.74</v>
      </c>
      <c r="O2089" s="56">
        <f>_xlfn.XLOOKUP(Survey!$K2089,pipedata[ID],pipedata[104%])</f>
        <v>2565.3333333333335</v>
      </c>
      <c r="P2089" s="57">
        <f t="shared" si="32"/>
        <v>1850</v>
      </c>
      <c r="Q2089" s="58">
        <f>_xlfn.MAXIFS(Survey!$G$2:$G$3647,Survey!$M$2:$M$3647,Survey!$M2089)-Survey!$G2089</f>
        <v>1045.7730850078465</v>
      </c>
      <c r="R2089" s="59">
        <f>Survey!$P2089+(Survey!$Q2089*0.433)</f>
        <v>2302.8197458083973</v>
      </c>
    </row>
    <row r="2090" spans="1:18" x14ac:dyDescent="0.25">
      <c r="A2090" s="71" t="s">
        <v>17</v>
      </c>
      <c r="B2090" s="72" t="s">
        <v>22</v>
      </c>
      <c r="C2090" s="73" t="s">
        <v>19</v>
      </c>
      <c r="D2090" s="74">
        <v>242.42565049680147</v>
      </c>
      <c r="E2090" s="81">
        <v>1310409</v>
      </c>
      <c r="F2090" s="82">
        <v>1280986.9999999984</v>
      </c>
      <c r="G2090" s="75">
        <v>2687.9362081199884</v>
      </c>
      <c r="H2090" s="76">
        <v>2</v>
      </c>
      <c r="I2090" s="54" t="s">
        <v>20</v>
      </c>
      <c r="J2090" s="77">
        <v>40</v>
      </c>
      <c r="K2090" s="78">
        <v>2</v>
      </c>
      <c r="L2090" s="54">
        <v>1</v>
      </c>
      <c r="M2090" s="54">
        <f>_xlfn.XLOOKUP(Survey!$F2090,sections[Start],sections[Test Section],,-1,1)</f>
        <v>6</v>
      </c>
      <c r="N2090" s="55">
        <f>_xlfn.XLOOKUP(Survey!$K2090,pipedata[ID],pipedata[WT])</f>
        <v>0.74</v>
      </c>
      <c r="O2090" s="56">
        <f>_xlfn.XLOOKUP(Survey!$K2090,pipedata[ID],pipedata[104%])</f>
        <v>2565.3333333333335</v>
      </c>
      <c r="P2090" s="57">
        <f t="shared" si="32"/>
        <v>1850</v>
      </c>
      <c r="Q2090" s="58">
        <f>_xlfn.MAXIFS(Survey!$G$2:$G$3647,Survey!$M$2:$M$3647,Survey!$M2090)-Survey!$G2090</f>
        <v>1046.4884321084282</v>
      </c>
      <c r="R2090" s="59">
        <f>Survey!$P2090+(Survey!$Q2090*0.433)</f>
        <v>2303.1294911029495</v>
      </c>
    </row>
    <row r="2091" spans="1:18" x14ac:dyDescent="0.25">
      <c r="A2091" s="60" t="s">
        <v>17</v>
      </c>
      <c r="B2091" s="61" t="s">
        <v>22</v>
      </c>
      <c r="C2091" s="62" t="s">
        <v>19</v>
      </c>
      <c r="D2091" s="63">
        <v>242.43289138784544</v>
      </c>
      <c r="E2091" s="79">
        <v>1310449</v>
      </c>
      <c r="F2091" s="80">
        <v>1281024.3333333316</v>
      </c>
      <c r="G2091" s="66">
        <v>2686.095204375581</v>
      </c>
      <c r="H2091" s="67">
        <v>2</v>
      </c>
      <c r="I2091" s="68" t="s">
        <v>20</v>
      </c>
      <c r="J2091" s="69">
        <v>40</v>
      </c>
      <c r="K2091" s="70">
        <v>2</v>
      </c>
      <c r="L2091" s="68">
        <v>1</v>
      </c>
      <c r="M2091" s="68">
        <f>_xlfn.XLOOKUP(Survey!$F2091,sections[Start],sections[Test Section],,-1,1)</f>
        <v>6</v>
      </c>
      <c r="N2091" s="55">
        <f>_xlfn.XLOOKUP(Survey!$K2091,pipedata[ID],pipedata[WT])</f>
        <v>0.74</v>
      </c>
      <c r="O2091" s="56">
        <f>_xlfn.XLOOKUP(Survey!$K2091,pipedata[ID],pipedata[104%])</f>
        <v>2565.3333333333335</v>
      </c>
      <c r="P2091" s="57">
        <f t="shared" si="32"/>
        <v>1850</v>
      </c>
      <c r="Q2091" s="58">
        <f>_xlfn.MAXIFS(Survey!$G$2:$G$3647,Survey!$M$2:$M$3647,Survey!$M2091)-Survey!$G2091</f>
        <v>1048.3294358528356</v>
      </c>
      <c r="R2091" s="59">
        <f>Survey!$P2091+(Survey!$Q2091*0.433)</f>
        <v>2303.9266457242779</v>
      </c>
    </row>
    <row r="2092" spans="1:18" x14ac:dyDescent="0.25">
      <c r="A2092" s="71" t="s">
        <v>17</v>
      </c>
      <c r="B2092" s="72" t="s">
        <v>22</v>
      </c>
      <c r="C2092" s="73" t="s">
        <v>19</v>
      </c>
      <c r="D2092" s="74">
        <v>242.44058524263355</v>
      </c>
      <c r="E2092" s="81">
        <v>1310489</v>
      </c>
      <c r="F2092" s="82">
        <v>1281061.6666666649</v>
      </c>
      <c r="G2092" s="75">
        <v>2685.6957243391312</v>
      </c>
      <c r="H2092" s="76">
        <v>2</v>
      </c>
      <c r="I2092" s="54" t="s">
        <v>20</v>
      </c>
      <c r="J2092" s="77">
        <v>40</v>
      </c>
      <c r="K2092" s="78">
        <v>2</v>
      </c>
      <c r="L2092" s="54">
        <v>1</v>
      </c>
      <c r="M2092" s="54">
        <f>_xlfn.XLOOKUP(Survey!$F2092,sections[Start],sections[Test Section],,-1,1)</f>
        <v>6</v>
      </c>
      <c r="N2092" s="55">
        <f>_xlfn.XLOOKUP(Survey!$K2092,pipedata[ID],pipedata[WT])</f>
        <v>0.74</v>
      </c>
      <c r="O2092" s="56">
        <f>_xlfn.XLOOKUP(Survey!$K2092,pipedata[ID],pipedata[104%])</f>
        <v>2565.3333333333335</v>
      </c>
      <c r="P2092" s="57">
        <f t="shared" si="32"/>
        <v>1850</v>
      </c>
      <c r="Q2092" s="58">
        <f>_xlfn.MAXIFS(Survey!$G$2:$G$3647,Survey!$M$2:$M$3647,Survey!$M2092)-Survey!$G2092</f>
        <v>1048.7289158892854</v>
      </c>
      <c r="R2092" s="59">
        <f>Survey!$P2092+(Survey!$Q2092*0.433)</f>
        <v>2304.0996205800607</v>
      </c>
    </row>
    <row r="2093" spans="1:18" x14ac:dyDescent="0.25">
      <c r="A2093" s="60" t="s">
        <v>17</v>
      </c>
      <c r="B2093" s="61" t="s">
        <v>22</v>
      </c>
      <c r="C2093" s="62" t="s">
        <v>19</v>
      </c>
      <c r="D2093" s="63">
        <v>242.44737316993374</v>
      </c>
      <c r="E2093" s="79">
        <v>1310529</v>
      </c>
      <c r="F2093" s="80">
        <v>1281098.9999999981</v>
      </c>
      <c r="G2093" s="66">
        <v>2684.8960138927</v>
      </c>
      <c r="H2093" s="67">
        <v>2</v>
      </c>
      <c r="I2093" s="68" t="s">
        <v>20</v>
      </c>
      <c r="J2093" s="69">
        <v>40</v>
      </c>
      <c r="K2093" s="70">
        <v>2</v>
      </c>
      <c r="L2093" s="68">
        <v>1</v>
      </c>
      <c r="M2093" s="68">
        <f>_xlfn.XLOOKUP(Survey!$F2093,sections[Start],sections[Test Section],,-1,1)</f>
        <v>6</v>
      </c>
      <c r="N2093" s="55">
        <f>_xlfn.XLOOKUP(Survey!$K2093,pipedata[ID],pipedata[WT])</f>
        <v>0.74</v>
      </c>
      <c r="O2093" s="56">
        <f>_xlfn.XLOOKUP(Survey!$K2093,pipedata[ID],pipedata[104%])</f>
        <v>2565.3333333333335</v>
      </c>
      <c r="P2093" s="57">
        <f t="shared" si="32"/>
        <v>1850</v>
      </c>
      <c r="Q2093" s="58">
        <f>_xlfn.MAXIFS(Survey!$G$2:$G$3647,Survey!$M$2:$M$3647,Survey!$M2093)-Survey!$G2093</f>
        <v>1049.5286263357166</v>
      </c>
      <c r="R2093" s="59">
        <f>Survey!$P2093+(Survey!$Q2093*0.433)</f>
        <v>2304.4458952033651</v>
      </c>
    </row>
    <row r="2094" spans="1:18" x14ac:dyDescent="0.25">
      <c r="A2094" s="71" t="s">
        <v>17</v>
      </c>
      <c r="B2094" s="72" t="s">
        <v>22</v>
      </c>
      <c r="C2094" s="73" t="s">
        <v>19</v>
      </c>
      <c r="D2094" s="74">
        <v>242.45606223918722</v>
      </c>
      <c r="E2094" s="81">
        <v>1310569</v>
      </c>
      <c r="F2094" s="82">
        <v>1281136.3333333314</v>
      </c>
      <c r="G2094" s="75">
        <v>2683.2213370946279</v>
      </c>
      <c r="H2094" s="76">
        <v>2</v>
      </c>
      <c r="I2094" s="54" t="s">
        <v>20</v>
      </c>
      <c r="J2094" s="77">
        <v>35</v>
      </c>
      <c r="K2094" s="78">
        <v>2</v>
      </c>
      <c r="L2094" s="54">
        <v>1</v>
      </c>
      <c r="M2094" s="54">
        <f>_xlfn.XLOOKUP(Survey!$F2094,sections[Start],sections[Test Section],,-1,1)</f>
        <v>6</v>
      </c>
      <c r="N2094" s="55">
        <f>_xlfn.XLOOKUP(Survey!$K2094,pipedata[ID],pipedata[WT])</f>
        <v>0.74</v>
      </c>
      <c r="O2094" s="56">
        <f>_xlfn.XLOOKUP(Survey!$K2094,pipedata[ID],pipedata[104%])</f>
        <v>2565.3333333333335</v>
      </c>
      <c r="P2094" s="57">
        <f t="shared" si="32"/>
        <v>1850</v>
      </c>
      <c r="Q2094" s="58">
        <f>_xlfn.MAXIFS(Survey!$G$2:$G$3647,Survey!$M$2:$M$3647,Survey!$M2094)-Survey!$G2094</f>
        <v>1051.2033031337887</v>
      </c>
      <c r="R2094" s="59">
        <f>Survey!$P2094+(Survey!$Q2094*0.433)</f>
        <v>2305.1710302569304</v>
      </c>
    </row>
    <row r="2095" spans="1:18" x14ac:dyDescent="0.25">
      <c r="A2095" s="60" t="s">
        <v>17</v>
      </c>
      <c r="B2095" s="61" t="s">
        <v>22</v>
      </c>
      <c r="C2095" s="62" t="s">
        <v>19</v>
      </c>
      <c r="D2095" s="63">
        <v>242.46365431853835</v>
      </c>
      <c r="E2095" s="79">
        <v>1310604</v>
      </c>
      <c r="F2095" s="80">
        <v>1281211</v>
      </c>
      <c r="G2095" s="66">
        <v>2680.4248465666356</v>
      </c>
      <c r="H2095" s="67">
        <v>2</v>
      </c>
      <c r="I2095" s="68" t="s">
        <v>21</v>
      </c>
      <c r="J2095" s="69">
        <v>40</v>
      </c>
      <c r="K2095" s="70">
        <v>4</v>
      </c>
      <c r="L2095" s="68">
        <v>1</v>
      </c>
      <c r="M2095" s="68">
        <f>_xlfn.XLOOKUP(Survey!$F2095,sections[Start],sections[Test Section],,-1,1)</f>
        <v>6</v>
      </c>
      <c r="N2095" s="55">
        <f>_xlfn.XLOOKUP(Survey!$K2095,pipedata[ID],pipedata[WT])</f>
        <v>0.74</v>
      </c>
      <c r="O2095" s="56">
        <f>_xlfn.XLOOKUP(Survey!$K2095,pipedata[ID],pipedata[104%])</f>
        <v>2565.3333333333335</v>
      </c>
      <c r="P2095" s="57">
        <f t="shared" si="32"/>
        <v>1850</v>
      </c>
      <c r="Q2095" s="58">
        <f>_xlfn.MAXIFS(Survey!$G$2:$G$3647,Survey!$M$2:$M$3647,Survey!$M2095)-Survey!$G2095</f>
        <v>1053.999793661781</v>
      </c>
      <c r="R2095" s="59">
        <f>Survey!$P2095+(Survey!$Q2095*0.433)</f>
        <v>2306.3819106555511</v>
      </c>
    </row>
    <row r="2096" spans="1:18" x14ac:dyDescent="0.25">
      <c r="A2096" s="71" t="s">
        <v>17</v>
      </c>
      <c r="B2096" s="72" t="s">
        <v>22</v>
      </c>
      <c r="C2096" s="73" t="s">
        <v>19</v>
      </c>
      <c r="D2096" s="74">
        <v>242.47054402127543</v>
      </c>
      <c r="E2096" s="81">
        <v>1310644</v>
      </c>
      <c r="F2096" s="82">
        <v>1281251</v>
      </c>
      <c r="G2096" s="75">
        <v>2677.9346192681232</v>
      </c>
      <c r="H2096" s="76">
        <v>2</v>
      </c>
      <c r="I2096" s="54" t="s">
        <v>20</v>
      </c>
      <c r="J2096" s="77">
        <v>45</v>
      </c>
      <c r="K2096" s="78">
        <v>2</v>
      </c>
      <c r="L2096" s="54">
        <v>1</v>
      </c>
      <c r="M2096" s="54">
        <f>_xlfn.XLOOKUP(Survey!$F2096,sections[Start],sections[Test Section],,-1,1)</f>
        <v>6</v>
      </c>
      <c r="N2096" s="55">
        <f>_xlfn.XLOOKUP(Survey!$K2096,pipedata[ID],pipedata[WT])</f>
        <v>0.74</v>
      </c>
      <c r="O2096" s="56">
        <f>_xlfn.XLOOKUP(Survey!$K2096,pipedata[ID],pipedata[104%])</f>
        <v>2565.3333333333335</v>
      </c>
      <c r="P2096" s="57">
        <f t="shared" si="32"/>
        <v>1850</v>
      </c>
      <c r="Q2096" s="58">
        <f>_xlfn.MAXIFS(Survey!$G$2:$G$3647,Survey!$M$2:$M$3647,Survey!$M2096)-Survey!$G2096</f>
        <v>1056.4900209602934</v>
      </c>
      <c r="R2096" s="59">
        <f>Survey!$P2096+(Survey!$Q2096*0.433)</f>
        <v>2307.460179075807</v>
      </c>
    </row>
    <row r="2097" spans="1:18" x14ac:dyDescent="0.25">
      <c r="A2097" s="60" t="s">
        <v>17</v>
      </c>
      <c r="B2097" s="61" t="s">
        <v>22</v>
      </c>
      <c r="C2097" s="62" t="s">
        <v>19</v>
      </c>
      <c r="D2097" s="63">
        <v>242.47841941466186</v>
      </c>
      <c r="E2097" s="79">
        <v>1310689</v>
      </c>
      <c r="F2097" s="80">
        <v>1281290.3088235294</v>
      </c>
      <c r="G2097" s="66">
        <v>2685.4942847274237</v>
      </c>
      <c r="H2097" s="67">
        <v>2</v>
      </c>
      <c r="I2097" s="68" t="s">
        <v>20</v>
      </c>
      <c r="J2097" s="69">
        <v>40</v>
      </c>
      <c r="K2097" s="70">
        <v>2</v>
      </c>
      <c r="L2097" s="68">
        <v>1</v>
      </c>
      <c r="M2097" s="68">
        <f>_xlfn.XLOOKUP(Survey!$F2097,sections[Start],sections[Test Section],,-1,1)</f>
        <v>6</v>
      </c>
      <c r="N2097" s="55">
        <f>_xlfn.XLOOKUP(Survey!$K2097,pipedata[ID],pipedata[WT])</f>
        <v>0.74</v>
      </c>
      <c r="O2097" s="56">
        <f>_xlfn.XLOOKUP(Survey!$K2097,pipedata[ID],pipedata[104%])</f>
        <v>2565.3333333333335</v>
      </c>
      <c r="P2097" s="57">
        <f t="shared" si="32"/>
        <v>1850</v>
      </c>
      <c r="Q2097" s="58">
        <f>_xlfn.MAXIFS(Survey!$G$2:$G$3647,Survey!$M$2:$M$3647,Survey!$M2097)-Survey!$G2097</f>
        <v>1048.9303555009928</v>
      </c>
      <c r="R2097" s="59">
        <f>Survey!$P2097+(Survey!$Q2097*0.433)</f>
        <v>2304.1868439319301</v>
      </c>
    </row>
    <row r="2098" spans="1:18" x14ac:dyDescent="0.25">
      <c r="A2098" s="71" t="s">
        <v>17</v>
      </c>
      <c r="B2098" s="72" t="s">
        <v>22</v>
      </c>
      <c r="C2098" s="73" t="s">
        <v>19</v>
      </c>
      <c r="D2098" s="74">
        <v>242.48572818336658</v>
      </c>
      <c r="E2098" s="81">
        <v>1310729</v>
      </c>
      <c r="F2098" s="82">
        <v>1281329.6176470588</v>
      </c>
      <c r="G2098" s="75">
        <v>2692.1054517227703</v>
      </c>
      <c r="H2098" s="76">
        <v>2</v>
      </c>
      <c r="I2098" s="54" t="s">
        <v>20</v>
      </c>
      <c r="J2098" s="77">
        <v>40</v>
      </c>
      <c r="K2098" s="78">
        <v>2</v>
      </c>
      <c r="L2098" s="54">
        <v>1</v>
      </c>
      <c r="M2098" s="54">
        <f>_xlfn.XLOOKUP(Survey!$F2098,sections[Start],sections[Test Section],,-1,1)</f>
        <v>6</v>
      </c>
      <c r="N2098" s="55">
        <f>_xlfn.XLOOKUP(Survey!$K2098,pipedata[ID],pipedata[WT])</f>
        <v>0.74</v>
      </c>
      <c r="O2098" s="56">
        <f>_xlfn.XLOOKUP(Survey!$K2098,pipedata[ID],pipedata[104%])</f>
        <v>2565.3333333333335</v>
      </c>
      <c r="P2098" s="57">
        <f t="shared" si="32"/>
        <v>1850</v>
      </c>
      <c r="Q2098" s="58">
        <f>_xlfn.MAXIFS(Survey!$G$2:$G$3647,Survey!$M$2:$M$3647,Survey!$M2098)-Survey!$G2098</f>
        <v>1042.3191885056463</v>
      </c>
      <c r="R2098" s="59">
        <f>Survey!$P2098+(Survey!$Q2098*0.433)</f>
        <v>2301.3242086229448</v>
      </c>
    </row>
    <row r="2099" spans="1:18" x14ac:dyDescent="0.25">
      <c r="A2099" s="60" t="s">
        <v>17</v>
      </c>
      <c r="B2099" s="61" t="s">
        <v>22</v>
      </c>
      <c r="C2099" s="62" t="s">
        <v>19</v>
      </c>
      <c r="D2099" s="63">
        <v>242.493184510785</v>
      </c>
      <c r="E2099" s="79">
        <v>1310769</v>
      </c>
      <c r="F2099" s="80">
        <v>1281368.9264705882</v>
      </c>
      <c r="G2099" s="66">
        <v>2702.8753707124706</v>
      </c>
      <c r="H2099" s="67">
        <v>2</v>
      </c>
      <c r="I2099" s="68" t="s">
        <v>20</v>
      </c>
      <c r="J2099" s="69">
        <v>40</v>
      </c>
      <c r="K2099" s="70">
        <v>2</v>
      </c>
      <c r="L2099" s="68">
        <v>1</v>
      </c>
      <c r="M2099" s="68">
        <f>_xlfn.XLOOKUP(Survey!$F2099,sections[Start],sections[Test Section],,-1,1)</f>
        <v>6</v>
      </c>
      <c r="N2099" s="55">
        <f>_xlfn.XLOOKUP(Survey!$K2099,pipedata[ID],pipedata[WT])</f>
        <v>0.74</v>
      </c>
      <c r="O2099" s="56">
        <f>_xlfn.XLOOKUP(Survey!$K2099,pipedata[ID],pipedata[104%])</f>
        <v>2565.3333333333335</v>
      </c>
      <c r="P2099" s="57">
        <f t="shared" si="32"/>
        <v>1850</v>
      </c>
      <c r="Q2099" s="58">
        <f>_xlfn.MAXIFS(Survey!$G$2:$G$3647,Survey!$M$2:$M$3647,Survey!$M2099)-Survey!$G2099</f>
        <v>1031.549269515946</v>
      </c>
      <c r="R2099" s="59">
        <f>Survey!$P2099+(Survey!$Q2099*0.433)</f>
        <v>2296.6608337004045</v>
      </c>
    </row>
    <row r="2100" spans="1:18" x14ac:dyDescent="0.25">
      <c r="A2100" s="71" t="s">
        <v>17</v>
      </c>
      <c r="B2100" s="72" t="s">
        <v>22</v>
      </c>
      <c r="C2100" s="73" t="s">
        <v>19</v>
      </c>
      <c r="D2100" s="74">
        <v>242.50009184632711</v>
      </c>
      <c r="E2100" s="81">
        <v>1310809</v>
      </c>
      <c r="F2100" s="82">
        <v>1281408.2352941176</v>
      </c>
      <c r="G2100" s="75">
        <v>2714.6693109146972</v>
      </c>
      <c r="H2100" s="76">
        <v>2</v>
      </c>
      <c r="I2100" s="54" t="s">
        <v>20</v>
      </c>
      <c r="J2100" s="77">
        <v>40</v>
      </c>
      <c r="K2100" s="78">
        <v>2</v>
      </c>
      <c r="L2100" s="54">
        <v>1</v>
      </c>
      <c r="M2100" s="54">
        <f>_xlfn.XLOOKUP(Survey!$F2100,sections[Start],sections[Test Section],,-1,1)</f>
        <v>6</v>
      </c>
      <c r="N2100" s="55">
        <f>_xlfn.XLOOKUP(Survey!$K2100,pipedata[ID],pipedata[WT])</f>
        <v>0.74</v>
      </c>
      <c r="O2100" s="56">
        <f>_xlfn.XLOOKUP(Survey!$K2100,pipedata[ID],pipedata[104%])</f>
        <v>2565.3333333333335</v>
      </c>
      <c r="P2100" s="57">
        <f t="shared" si="32"/>
        <v>1850</v>
      </c>
      <c r="Q2100" s="58">
        <f>_xlfn.MAXIFS(Survey!$G$2:$G$3647,Survey!$M$2:$M$3647,Survey!$M2100)-Survey!$G2100</f>
        <v>1019.7553293137194</v>
      </c>
      <c r="R2100" s="59">
        <f>Survey!$P2100+(Survey!$Q2100*0.433)</f>
        <v>2291.5540575928403</v>
      </c>
    </row>
    <row r="2101" spans="1:18" x14ac:dyDescent="0.25">
      <c r="A2101" s="60" t="s">
        <v>17</v>
      </c>
      <c r="B2101" s="61" t="s">
        <v>22</v>
      </c>
      <c r="C2101" s="62" t="s">
        <v>19</v>
      </c>
      <c r="D2101" s="63">
        <v>242.50794960690854</v>
      </c>
      <c r="E2101" s="79">
        <v>1310849</v>
      </c>
      <c r="F2101" s="80">
        <v>1281447.544117647</v>
      </c>
      <c r="G2101" s="66">
        <v>2719.4466077232764</v>
      </c>
      <c r="H2101" s="67">
        <v>2</v>
      </c>
      <c r="I2101" s="68" t="s">
        <v>20</v>
      </c>
      <c r="J2101" s="69">
        <v>40</v>
      </c>
      <c r="K2101" s="70">
        <v>2</v>
      </c>
      <c r="L2101" s="68">
        <v>1</v>
      </c>
      <c r="M2101" s="68">
        <f>_xlfn.XLOOKUP(Survey!$F2101,sections[Start],sections[Test Section],,-1,1)</f>
        <v>6</v>
      </c>
      <c r="N2101" s="55">
        <f>_xlfn.XLOOKUP(Survey!$K2101,pipedata[ID],pipedata[WT])</f>
        <v>0.74</v>
      </c>
      <c r="O2101" s="56">
        <f>_xlfn.XLOOKUP(Survey!$K2101,pipedata[ID],pipedata[104%])</f>
        <v>2565.3333333333335</v>
      </c>
      <c r="P2101" s="57">
        <f t="shared" si="32"/>
        <v>1850</v>
      </c>
      <c r="Q2101" s="58">
        <f>_xlfn.MAXIFS(Survey!$G$2:$G$3647,Survey!$M$2:$M$3647,Survey!$M2101)-Survey!$G2101</f>
        <v>1014.9780325051402</v>
      </c>
      <c r="R2101" s="59">
        <f>Survey!$P2101+(Survey!$Q2101*0.433)</f>
        <v>2289.4854880747257</v>
      </c>
    </row>
    <row r="2102" spans="1:18" x14ac:dyDescent="0.25">
      <c r="A2102" s="71" t="s">
        <v>17</v>
      </c>
      <c r="B2102" s="72" t="s">
        <v>22</v>
      </c>
      <c r="C2102" s="73" t="s">
        <v>19</v>
      </c>
      <c r="D2102" s="74">
        <v>242.51543754574936</v>
      </c>
      <c r="E2102" s="81">
        <v>1310889</v>
      </c>
      <c r="F2102" s="82">
        <v>1281486.8529411764</v>
      </c>
      <c r="G2102" s="75">
        <v>2723.3236154073215</v>
      </c>
      <c r="H2102" s="76">
        <v>2</v>
      </c>
      <c r="I2102" s="54" t="s">
        <v>20</v>
      </c>
      <c r="J2102" s="77">
        <v>40</v>
      </c>
      <c r="K2102" s="78">
        <v>2</v>
      </c>
      <c r="L2102" s="54">
        <v>1</v>
      </c>
      <c r="M2102" s="54">
        <f>_xlfn.XLOOKUP(Survey!$F2102,sections[Start],sections[Test Section],,-1,1)</f>
        <v>6</v>
      </c>
      <c r="N2102" s="55">
        <f>_xlfn.XLOOKUP(Survey!$K2102,pipedata[ID],pipedata[WT])</f>
        <v>0.74</v>
      </c>
      <c r="O2102" s="56">
        <f>_xlfn.XLOOKUP(Survey!$K2102,pipedata[ID],pipedata[104%])</f>
        <v>2565.3333333333335</v>
      </c>
      <c r="P2102" s="57">
        <f t="shared" si="32"/>
        <v>1850</v>
      </c>
      <c r="Q2102" s="58">
        <f>_xlfn.MAXIFS(Survey!$G$2:$G$3647,Survey!$M$2:$M$3647,Survey!$M2102)-Survey!$G2102</f>
        <v>1011.1010248210951</v>
      </c>
      <c r="R2102" s="59">
        <f>Survey!$P2102+(Survey!$Q2102*0.433)</f>
        <v>2287.8067437475343</v>
      </c>
    </row>
    <row r="2103" spans="1:18" x14ac:dyDescent="0.25">
      <c r="A2103" s="60" t="s">
        <v>17</v>
      </c>
      <c r="B2103" s="61" t="s">
        <v>22</v>
      </c>
      <c r="C2103" s="62" t="s">
        <v>19</v>
      </c>
      <c r="D2103" s="63">
        <v>242.52313497039648</v>
      </c>
      <c r="E2103" s="79">
        <v>1310929</v>
      </c>
      <c r="F2103" s="80">
        <v>1281526.1617647058</v>
      </c>
      <c r="G2103" s="66">
        <v>2726.2177847114449</v>
      </c>
      <c r="H2103" s="67">
        <v>2</v>
      </c>
      <c r="I2103" s="68" t="s">
        <v>20</v>
      </c>
      <c r="J2103" s="69">
        <v>40</v>
      </c>
      <c r="K2103" s="70">
        <v>2</v>
      </c>
      <c r="L2103" s="68">
        <v>1</v>
      </c>
      <c r="M2103" s="68">
        <f>_xlfn.XLOOKUP(Survey!$F2103,sections[Start],sections[Test Section],,-1,1)</f>
        <v>6</v>
      </c>
      <c r="N2103" s="55">
        <f>_xlfn.XLOOKUP(Survey!$K2103,pipedata[ID],pipedata[WT])</f>
        <v>0.74</v>
      </c>
      <c r="O2103" s="56">
        <f>_xlfn.XLOOKUP(Survey!$K2103,pipedata[ID],pipedata[104%])</f>
        <v>2565.3333333333335</v>
      </c>
      <c r="P2103" s="57">
        <f t="shared" si="32"/>
        <v>1850</v>
      </c>
      <c r="Q2103" s="58">
        <f>_xlfn.MAXIFS(Survey!$G$2:$G$3647,Survey!$M$2:$M$3647,Survey!$M2103)-Survey!$G2103</f>
        <v>1008.2068555169717</v>
      </c>
      <c r="R2103" s="59">
        <f>Survey!$P2103+(Survey!$Q2103*0.433)</f>
        <v>2286.5535684388487</v>
      </c>
    </row>
    <row r="2104" spans="1:18" x14ac:dyDescent="0.25">
      <c r="A2104" s="71" t="s">
        <v>17</v>
      </c>
      <c r="B2104" s="72" t="s">
        <v>22</v>
      </c>
      <c r="C2104" s="73" t="s">
        <v>19</v>
      </c>
      <c r="D2104" s="74">
        <v>242.52993246696155</v>
      </c>
      <c r="E2104" s="81">
        <v>1310969</v>
      </c>
      <c r="F2104" s="82">
        <v>1281565.4705882352</v>
      </c>
      <c r="G2104" s="75">
        <v>2736.9008908920364</v>
      </c>
      <c r="H2104" s="76">
        <v>2</v>
      </c>
      <c r="I2104" s="54" t="s">
        <v>20</v>
      </c>
      <c r="J2104" s="77">
        <v>40</v>
      </c>
      <c r="K2104" s="78">
        <v>2</v>
      </c>
      <c r="L2104" s="54">
        <v>1</v>
      </c>
      <c r="M2104" s="54">
        <f>_xlfn.XLOOKUP(Survey!$F2104,sections[Start],sections[Test Section],,-1,1)</f>
        <v>6</v>
      </c>
      <c r="N2104" s="55">
        <f>_xlfn.XLOOKUP(Survey!$K2104,pipedata[ID],pipedata[WT])</f>
        <v>0.74</v>
      </c>
      <c r="O2104" s="56">
        <f>_xlfn.XLOOKUP(Survey!$K2104,pipedata[ID],pipedata[104%])</f>
        <v>2565.3333333333335</v>
      </c>
      <c r="P2104" s="57">
        <f t="shared" si="32"/>
        <v>1850</v>
      </c>
      <c r="Q2104" s="58">
        <f>_xlfn.MAXIFS(Survey!$G$2:$G$3647,Survey!$M$2:$M$3647,Survey!$M2104)-Survey!$G2104</f>
        <v>997.52374933638021</v>
      </c>
      <c r="R2104" s="59">
        <f>Survey!$P2104+(Survey!$Q2104*0.433)</f>
        <v>2281.9277834626528</v>
      </c>
    </row>
    <row r="2105" spans="1:18" x14ac:dyDescent="0.25">
      <c r="A2105" s="60" t="s">
        <v>17</v>
      </c>
      <c r="B2105" s="61" t="s">
        <v>22</v>
      </c>
      <c r="C2105" s="62" t="s">
        <v>19</v>
      </c>
      <c r="D2105" s="63">
        <v>242.53683307228229</v>
      </c>
      <c r="E2105" s="79">
        <v>1311009</v>
      </c>
      <c r="F2105" s="80">
        <v>1281604.7794117646</v>
      </c>
      <c r="G2105" s="66">
        <v>2747.7974052477848</v>
      </c>
      <c r="H2105" s="67">
        <v>2</v>
      </c>
      <c r="I2105" s="68" t="s">
        <v>20</v>
      </c>
      <c r="J2105" s="69">
        <v>40</v>
      </c>
      <c r="K2105" s="70">
        <v>2</v>
      </c>
      <c r="L2105" s="68">
        <v>1</v>
      </c>
      <c r="M2105" s="68">
        <f>_xlfn.XLOOKUP(Survey!$F2105,sections[Start],sections[Test Section],,-1,1)</f>
        <v>6</v>
      </c>
      <c r="N2105" s="55">
        <f>_xlfn.XLOOKUP(Survey!$K2105,pipedata[ID],pipedata[WT])</f>
        <v>0.74</v>
      </c>
      <c r="O2105" s="56">
        <f>_xlfn.XLOOKUP(Survey!$K2105,pipedata[ID],pipedata[104%])</f>
        <v>2565.3333333333335</v>
      </c>
      <c r="P2105" s="57">
        <f t="shared" si="32"/>
        <v>1850</v>
      </c>
      <c r="Q2105" s="58">
        <f>_xlfn.MAXIFS(Survey!$G$2:$G$3647,Survey!$M$2:$M$3647,Survey!$M2105)-Survey!$G2105</f>
        <v>986.62723498063178</v>
      </c>
      <c r="R2105" s="59">
        <f>Survey!$P2105+(Survey!$Q2105*0.433)</f>
        <v>2277.2095927466135</v>
      </c>
    </row>
    <row r="2106" spans="1:18" x14ac:dyDescent="0.25">
      <c r="A2106" s="71" t="s">
        <v>17</v>
      </c>
      <c r="B2106" s="72" t="s">
        <v>22</v>
      </c>
      <c r="C2106" s="73" t="s">
        <v>19</v>
      </c>
      <c r="D2106" s="74">
        <v>242.54376800834865</v>
      </c>
      <c r="E2106" s="81">
        <v>1311049</v>
      </c>
      <c r="F2106" s="82">
        <v>1281644.088235294</v>
      </c>
      <c r="G2106" s="75">
        <v>2758.975293228556</v>
      </c>
      <c r="H2106" s="76">
        <v>2</v>
      </c>
      <c r="I2106" s="54" t="s">
        <v>20</v>
      </c>
      <c r="J2106" s="77">
        <v>40</v>
      </c>
      <c r="K2106" s="78">
        <v>2</v>
      </c>
      <c r="L2106" s="54">
        <v>1</v>
      </c>
      <c r="M2106" s="54">
        <f>_xlfn.XLOOKUP(Survey!$F2106,sections[Start],sections[Test Section],,-1,1)</f>
        <v>6</v>
      </c>
      <c r="N2106" s="55">
        <f>_xlfn.XLOOKUP(Survey!$K2106,pipedata[ID],pipedata[WT])</f>
        <v>0.74</v>
      </c>
      <c r="O2106" s="56">
        <f>_xlfn.XLOOKUP(Survey!$K2106,pipedata[ID],pipedata[104%])</f>
        <v>2565.3333333333335</v>
      </c>
      <c r="P2106" s="57">
        <f t="shared" si="32"/>
        <v>1850</v>
      </c>
      <c r="Q2106" s="58">
        <f>_xlfn.MAXIFS(Survey!$G$2:$G$3647,Survey!$M$2:$M$3647,Survey!$M2106)-Survey!$G2106</f>
        <v>975.44934699986061</v>
      </c>
      <c r="R2106" s="59">
        <f>Survey!$P2106+(Survey!$Q2106*0.433)</f>
        <v>2272.3695672509398</v>
      </c>
    </row>
    <row r="2107" spans="1:18" x14ac:dyDescent="0.25">
      <c r="A2107" s="60" t="s">
        <v>17</v>
      </c>
      <c r="B2107" s="61" t="s">
        <v>22</v>
      </c>
      <c r="C2107" s="62" t="s">
        <v>19</v>
      </c>
      <c r="D2107" s="63">
        <v>242.55070294441509</v>
      </c>
      <c r="E2107" s="79">
        <v>1311089</v>
      </c>
      <c r="F2107" s="80">
        <v>1281683.3970588234</v>
      </c>
      <c r="G2107" s="66">
        <v>2772.8817129482936</v>
      </c>
      <c r="H2107" s="67">
        <v>2</v>
      </c>
      <c r="I2107" s="68" t="s">
        <v>20</v>
      </c>
      <c r="J2107" s="69">
        <v>40</v>
      </c>
      <c r="K2107" s="70">
        <v>2</v>
      </c>
      <c r="L2107" s="68">
        <v>1</v>
      </c>
      <c r="M2107" s="68">
        <f>_xlfn.XLOOKUP(Survey!$F2107,sections[Start],sections[Test Section],,-1,1)</f>
        <v>6</v>
      </c>
      <c r="N2107" s="55">
        <f>_xlfn.XLOOKUP(Survey!$K2107,pipedata[ID],pipedata[WT])</f>
        <v>0.74</v>
      </c>
      <c r="O2107" s="56">
        <f>_xlfn.XLOOKUP(Survey!$K2107,pipedata[ID],pipedata[104%])</f>
        <v>2565.3333333333335</v>
      </c>
      <c r="P2107" s="57">
        <f t="shared" si="32"/>
        <v>1850</v>
      </c>
      <c r="Q2107" s="58">
        <f>_xlfn.MAXIFS(Survey!$G$2:$G$3647,Survey!$M$2:$M$3647,Survey!$M2107)-Survey!$G2107</f>
        <v>961.54292728012297</v>
      </c>
      <c r="R2107" s="59">
        <f>Survey!$P2107+(Survey!$Q2107*0.433)</f>
        <v>2266.3480875122932</v>
      </c>
    </row>
    <row r="2108" spans="1:18" x14ac:dyDescent="0.25">
      <c r="A2108" s="71" t="s">
        <v>17</v>
      </c>
      <c r="B2108" s="72" t="s">
        <v>22</v>
      </c>
      <c r="C2108" s="73" t="s">
        <v>19</v>
      </c>
      <c r="D2108" s="74">
        <v>242.55763788048014</v>
      </c>
      <c r="E2108" s="81">
        <v>1311129</v>
      </c>
      <c r="F2108" s="82">
        <v>1281722.7058823528</v>
      </c>
      <c r="G2108" s="75">
        <v>2792.4957047329544</v>
      </c>
      <c r="H2108" s="76">
        <v>2</v>
      </c>
      <c r="I2108" s="54" t="s">
        <v>20</v>
      </c>
      <c r="J2108" s="77">
        <v>40</v>
      </c>
      <c r="K2108" s="78">
        <v>2</v>
      </c>
      <c r="L2108" s="54">
        <v>1</v>
      </c>
      <c r="M2108" s="54">
        <f>_xlfn.XLOOKUP(Survey!$F2108,sections[Start],sections[Test Section],,-1,1)</f>
        <v>6</v>
      </c>
      <c r="N2108" s="55">
        <f>_xlfn.XLOOKUP(Survey!$K2108,pipedata[ID],pipedata[WT])</f>
        <v>0.74</v>
      </c>
      <c r="O2108" s="56">
        <f>_xlfn.XLOOKUP(Survey!$K2108,pipedata[ID],pipedata[104%])</f>
        <v>2565.3333333333335</v>
      </c>
      <c r="P2108" s="57">
        <f t="shared" si="32"/>
        <v>1850</v>
      </c>
      <c r="Q2108" s="58">
        <f>_xlfn.MAXIFS(Survey!$G$2:$G$3647,Survey!$M$2:$M$3647,Survey!$M2108)-Survey!$G2108</f>
        <v>941.92893549546216</v>
      </c>
      <c r="R2108" s="59">
        <f>Survey!$P2108+(Survey!$Q2108*0.433)</f>
        <v>2257.8552290695352</v>
      </c>
    </row>
    <row r="2109" spans="1:18" x14ac:dyDescent="0.25">
      <c r="A2109" s="60" t="s">
        <v>17</v>
      </c>
      <c r="B2109" s="61" t="s">
        <v>22</v>
      </c>
      <c r="C2109" s="62" t="s">
        <v>19</v>
      </c>
      <c r="D2109" s="63">
        <v>242.56457281654647</v>
      </c>
      <c r="E2109" s="79">
        <v>1311169</v>
      </c>
      <c r="F2109" s="80">
        <v>1281762.0147058822</v>
      </c>
      <c r="G2109" s="66">
        <v>2806.1402401785617</v>
      </c>
      <c r="H2109" s="67">
        <v>2</v>
      </c>
      <c r="I2109" s="68" t="s">
        <v>20</v>
      </c>
      <c r="J2109" s="69">
        <v>40</v>
      </c>
      <c r="K2109" s="70">
        <v>2</v>
      </c>
      <c r="L2109" s="68">
        <v>1</v>
      </c>
      <c r="M2109" s="68">
        <f>_xlfn.XLOOKUP(Survey!$F2109,sections[Start],sections[Test Section],,-1,1)</f>
        <v>6</v>
      </c>
      <c r="N2109" s="55">
        <f>_xlfn.XLOOKUP(Survey!$K2109,pipedata[ID],pipedata[WT])</f>
        <v>0.74</v>
      </c>
      <c r="O2109" s="56">
        <f>_xlfn.XLOOKUP(Survey!$K2109,pipedata[ID],pipedata[104%])</f>
        <v>2565.3333333333335</v>
      </c>
      <c r="P2109" s="57">
        <f t="shared" si="32"/>
        <v>1850</v>
      </c>
      <c r="Q2109" s="58">
        <f>_xlfn.MAXIFS(Survey!$G$2:$G$3647,Survey!$M$2:$M$3647,Survey!$M2109)-Survey!$G2109</f>
        <v>928.28440004985487</v>
      </c>
      <c r="R2109" s="59">
        <f>Survey!$P2109+(Survey!$Q2109*0.433)</f>
        <v>2251.9471452215871</v>
      </c>
    </row>
    <row r="2110" spans="1:18" x14ac:dyDescent="0.25">
      <c r="A2110" s="71" t="s">
        <v>17</v>
      </c>
      <c r="B2110" s="72" t="s">
        <v>22</v>
      </c>
      <c r="C2110" s="73" t="s">
        <v>19</v>
      </c>
      <c r="D2110" s="74">
        <v>242.57325827817985</v>
      </c>
      <c r="E2110" s="81">
        <v>1311209</v>
      </c>
      <c r="F2110" s="82">
        <v>1281801.3235294116</v>
      </c>
      <c r="G2110" s="75">
        <v>2818.954557786401</v>
      </c>
      <c r="H2110" s="76">
        <v>2</v>
      </c>
      <c r="I2110" s="54" t="s">
        <v>20</v>
      </c>
      <c r="J2110" s="77">
        <v>40</v>
      </c>
      <c r="K2110" s="78">
        <v>2</v>
      </c>
      <c r="L2110" s="54">
        <v>1</v>
      </c>
      <c r="M2110" s="54">
        <f>_xlfn.XLOOKUP(Survey!$F2110,sections[Start],sections[Test Section],,-1,1)</f>
        <v>6</v>
      </c>
      <c r="N2110" s="55">
        <f>_xlfn.XLOOKUP(Survey!$K2110,pipedata[ID],pipedata[WT])</f>
        <v>0.74</v>
      </c>
      <c r="O2110" s="56">
        <f>_xlfn.XLOOKUP(Survey!$K2110,pipedata[ID],pipedata[104%])</f>
        <v>2565.3333333333335</v>
      </c>
      <c r="P2110" s="57">
        <f t="shared" si="32"/>
        <v>1850</v>
      </c>
      <c r="Q2110" s="58">
        <f>_xlfn.MAXIFS(Survey!$G$2:$G$3647,Survey!$M$2:$M$3647,Survey!$M2110)-Survey!$G2110</f>
        <v>915.47008244201561</v>
      </c>
      <c r="R2110" s="59">
        <f>Survey!$P2110+(Survey!$Q2110*0.433)</f>
        <v>2246.3985456973928</v>
      </c>
    </row>
    <row r="2111" spans="1:18" x14ac:dyDescent="0.25">
      <c r="A2111" s="60" t="s">
        <v>17</v>
      </c>
      <c r="B2111" s="61" t="s">
        <v>22</v>
      </c>
      <c r="C2111" s="62" t="s">
        <v>19</v>
      </c>
      <c r="D2111" s="63">
        <v>242.58010097859008</v>
      </c>
      <c r="E2111" s="79">
        <v>1311249</v>
      </c>
      <c r="F2111" s="80">
        <v>1281840.632352941</v>
      </c>
      <c r="G2111" s="66">
        <v>2826.756993233897</v>
      </c>
      <c r="H2111" s="67">
        <v>2</v>
      </c>
      <c r="I2111" s="68" t="s">
        <v>20</v>
      </c>
      <c r="J2111" s="69">
        <v>40</v>
      </c>
      <c r="K2111" s="70">
        <v>2</v>
      </c>
      <c r="L2111" s="68">
        <v>1</v>
      </c>
      <c r="M2111" s="68">
        <f>_xlfn.XLOOKUP(Survey!$F2111,sections[Start],sections[Test Section],,-1,1)</f>
        <v>6</v>
      </c>
      <c r="N2111" s="55">
        <f>_xlfn.XLOOKUP(Survey!$K2111,pipedata[ID],pipedata[WT])</f>
        <v>0.74</v>
      </c>
      <c r="O2111" s="56">
        <f>_xlfn.XLOOKUP(Survey!$K2111,pipedata[ID],pipedata[104%])</f>
        <v>2565.3333333333335</v>
      </c>
      <c r="P2111" s="57">
        <f t="shared" si="32"/>
        <v>1850</v>
      </c>
      <c r="Q2111" s="58">
        <f>_xlfn.MAXIFS(Survey!$G$2:$G$3647,Survey!$M$2:$M$3647,Survey!$M2111)-Survey!$G2111</f>
        <v>907.6676469945196</v>
      </c>
      <c r="R2111" s="59">
        <f>Survey!$P2111+(Survey!$Q2111*0.433)</f>
        <v>2243.0200911486272</v>
      </c>
    </row>
    <row r="2112" spans="1:18" x14ac:dyDescent="0.25">
      <c r="A2112" s="71" t="s">
        <v>17</v>
      </c>
      <c r="B2112" s="72" t="s">
        <v>22</v>
      </c>
      <c r="C2112" s="73" t="s">
        <v>19</v>
      </c>
      <c r="D2112" s="74">
        <v>242.58771118776596</v>
      </c>
      <c r="E2112" s="81">
        <v>1311289</v>
      </c>
      <c r="F2112" s="82">
        <v>1281879.9411764704</v>
      </c>
      <c r="G2112" s="75">
        <v>2837.0329722583724</v>
      </c>
      <c r="H2112" s="76">
        <v>2</v>
      </c>
      <c r="I2112" s="54" t="s">
        <v>20</v>
      </c>
      <c r="J2112" s="77">
        <v>40</v>
      </c>
      <c r="K2112" s="78">
        <v>2</v>
      </c>
      <c r="L2112" s="54">
        <v>1</v>
      </c>
      <c r="M2112" s="54">
        <f>_xlfn.XLOOKUP(Survey!$F2112,sections[Start],sections[Test Section],,-1,1)</f>
        <v>6</v>
      </c>
      <c r="N2112" s="55">
        <f>_xlfn.XLOOKUP(Survey!$K2112,pipedata[ID],pipedata[WT])</f>
        <v>0.74</v>
      </c>
      <c r="O2112" s="56">
        <f>_xlfn.XLOOKUP(Survey!$K2112,pipedata[ID],pipedata[104%])</f>
        <v>2565.3333333333335</v>
      </c>
      <c r="P2112" s="57">
        <f t="shared" si="32"/>
        <v>1850</v>
      </c>
      <c r="Q2112" s="58">
        <f>_xlfn.MAXIFS(Survey!$G$2:$G$3647,Survey!$M$2:$M$3647,Survey!$M2112)-Survey!$G2112</f>
        <v>897.39166797004418</v>
      </c>
      <c r="R2112" s="59">
        <f>Survey!$P2112+(Survey!$Q2112*0.433)</f>
        <v>2238.570592231029</v>
      </c>
    </row>
    <row r="2113" spans="1:18" x14ac:dyDescent="0.25">
      <c r="A2113" s="60" t="s">
        <v>17</v>
      </c>
      <c r="B2113" s="61" t="s">
        <v>22</v>
      </c>
      <c r="C2113" s="62" t="s">
        <v>19</v>
      </c>
      <c r="D2113" s="63">
        <v>242.59450868433126</v>
      </c>
      <c r="E2113" s="79">
        <v>1311329</v>
      </c>
      <c r="F2113" s="80">
        <v>1281919.2499999998</v>
      </c>
      <c r="G2113" s="66">
        <v>2843.2848808133708</v>
      </c>
      <c r="H2113" s="67">
        <v>2</v>
      </c>
      <c r="I2113" s="68" t="s">
        <v>20</v>
      </c>
      <c r="J2113" s="69">
        <v>40</v>
      </c>
      <c r="K2113" s="70">
        <v>2</v>
      </c>
      <c r="L2113" s="68">
        <v>1</v>
      </c>
      <c r="M2113" s="68">
        <f>_xlfn.XLOOKUP(Survey!$F2113,sections[Start],sections[Test Section],,-1,1)</f>
        <v>6</v>
      </c>
      <c r="N2113" s="55">
        <f>_xlfn.XLOOKUP(Survey!$K2113,pipedata[ID],pipedata[WT])</f>
        <v>0.74</v>
      </c>
      <c r="O2113" s="56">
        <f>_xlfn.XLOOKUP(Survey!$K2113,pipedata[ID],pipedata[104%])</f>
        <v>2565.3333333333335</v>
      </c>
      <c r="P2113" s="57">
        <f t="shared" si="32"/>
        <v>1850</v>
      </c>
      <c r="Q2113" s="58">
        <f>_xlfn.MAXIFS(Survey!$G$2:$G$3647,Survey!$M$2:$M$3647,Survey!$M2113)-Survey!$G2113</f>
        <v>891.13975941504577</v>
      </c>
      <c r="R2113" s="59">
        <f>Survey!$P2113+(Survey!$Q2113*0.433)</f>
        <v>2235.8635158267148</v>
      </c>
    </row>
    <row r="2114" spans="1:18" x14ac:dyDescent="0.25">
      <c r="A2114" s="71" t="s">
        <v>17</v>
      </c>
      <c r="B2114" s="72" t="s">
        <v>22</v>
      </c>
      <c r="C2114" s="73" t="s">
        <v>19</v>
      </c>
      <c r="D2114" s="74">
        <v>242.60290997995767</v>
      </c>
      <c r="E2114" s="81">
        <v>1311369</v>
      </c>
      <c r="F2114" s="82">
        <v>1281958.5588235292</v>
      </c>
      <c r="G2114" s="75">
        <v>2849.5813169162893</v>
      </c>
      <c r="H2114" s="76">
        <v>2</v>
      </c>
      <c r="I2114" s="54" t="s">
        <v>20</v>
      </c>
      <c r="J2114" s="77">
        <v>40</v>
      </c>
      <c r="K2114" s="78">
        <v>2</v>
      </c>
      <c r="L2114" s="54">
        <v>1</v>
      </c>
      <c r="M2114" s="54">
        <f>_xlfn.XLOOKUP(Survey!$F2114,sections[Start],sections[Test Section],,-1,1)</f>
        <v>6</v>
      </c>
      <c r="N2114" s="55">
        <f>_xlfn.XLOOKUP(Survey!$K2114,pipedata[ID],pipedata[WT])</f>
        <v>0.74</v>
      </c>
      <c r="O2114" s="56">
        <f>_xlfn.XLOOKUP(Survey!$K2114,pipedata[ID],pipedata[104%])</f>
        <v>2565.3333333333335</v>
      </c>
      <c r="P2114" s="57">
        <f t="shared" ref="P2114:P2177" si="33">IF(L2114=1,1850,IF(L2114=2,1850,2220))</f>
        <v>1850</v>
      </c>
      <c r="Q2114" s="58">
        <f>_xlfn.MAXIFS(Survey!$G$2:$G$3647,Survey!$M$2:$M$3647,Survey!$M2114)-Survey!$G2114</f>
        <v>884.84332331212727</v>
      </c>
      <c r="R2114" s="59">
        <f>Survey!$P2114+(Survey!$Q2114*0.433)</f>
        <v>2233.1371589941509</v>
      </c>
    </row>
    <row r="2115" spans="1:18" x14ac:dyDescent="0.25">
      <c r="A2115" s="60" t="s">
        <v>17</v>
      </c>
      <c r="B2115" s="61" t="s">
        <v>22</v>
      </c>
      <c r="C2115" s="62" t="s">
        <v>19</v>
      </c>
      <c r="D2115" s="63">
        <v>242.60975268036796</v>
      </c>
      <c r="E2115" s="79">
        <v>1311409</v>
      </c>
      <c r="F2115" s="80">
        <v>1281997.8676470586</v>
      </c>
      <c r="G2115" s="66">
        <v>2858.1253513967695</v>
      </c>
      <c r="H2115" s="67">
        <v>2</v>
      </c>
      <c r="I2115" s="68" t="s">
        <v>20</v>
      </c>
      <c r="J2115" s="69">
        <v>40</v>
      </c>
      <c r="K2115" s="70">
        <v>2</v>
      </c>
      <c r="L2115" s="68">
        <v>1</v>
      </c>
      <c r="M2115" s="68">
        <f>_xlfn.XLOOKUP(Survey!$F2115,sections[Start],sections[Test Section],,-1,1)</f>
        <v>6</v>
      </c>
      <c r="N2115" s="55">
        <f>_xlfn.XLOOKUP(Survey!$K2115,pipedata[ID],pipedata[WT])</f>
        <v>0.74</v>
      </c>
      <c r="O2115" s="56">
        <f>_xlfn.XLOOKUP(Survey!$K2115,pipedata[ID],pipedata[104%])</f>
        <v>2565.3333333333335</v>
      </c>
      <c r="P2115" s="57">
        <f t="shared" si="33"/>
        <v>1850</v>
      </c>
      <c r="Q2115" s="58">
        <f>_xlfn.MAXIFS(Survey!$G$2:$G$3647,Survey!$M$2:$M$3647,Survey!$M2115)-Survey!$G2115</f>
        <v>876.29928883164712</v>
      </c>
      <c r="R2115" s="59">
        <f>Survey!$P2115+(Survey!$Q2115*0.433)</f>
        <v>2229.4375920641032</v>
      </c>
    </row>
    <row r="2116" spans="1:18" x14ac:dyDescent="0.25">
      <c r="A2116" s="71" t="s">
        <v>17</v>
      </c>
      <c r="B2116" s="72" t="s">
        <v>22</v>
      </c>
      <c r="C2116" s="73" t="s">
        <v>19</v>
      </c>
      <c r="D2116" s="74">
        <v>242.61659538077834</v>
      </c>
      <c r="E2116" s="81">
        <v>1311449</v>
      </c>
      <c r="F2116" s="82">
        <v>1282037.176470588</v>
      </c>
      <c r="G2116" s="75">
        <v>2864.4734956017601</v>
      </c>
      <c r="H2116" s="76">
        <v>2</v>
      </c>
      <c r="I2116" s="54" t="s">
        <v>20</v>
      </c>
      <c r="J2116" s="77">
        <v>40</v>
      </c>
      <c r="K2116" s="78">
        <v>2</v>
      </c>
      <c r="L2116" s="54">
        <v>1</v>
      </c>
      <c r="M2116" s="54">
        <f>_xlfn.XLOOKUP(Survey!$F2116,sections[Start],sections[Test Section],,-1,1)</f>
        <v>6</v>
      </c>
      <c r="N2116" s="55">
        <f>_xlfn.XLOOKUP(Survey!$K2116,pipedata[ID],pipedata[WT])</f>
        <v>0.74</v>
      </c>
      <c r="O2116" s="56">
        <f>_xlfn.XLOOKUP(Survey!$K2116,pipedata[ID],pipedata[104%])</f>
        <v>2565.3333333333335</v>
      </c>
      <c r="P2116" s="57">
        <f t="shared" si="33"/>
        <v>1850</v>
      </c>
      <c r="Q2116" s="58">
        <f>_xlfn.MAXIFS(Survey!$G$2:$G$3647,Survey!$M$2:$M$3647,Survey!$M2116)-Survey!$G2116</f>
        <v>869.95114462665651</v>
      </c>
      <c r="R2116" s="59">
        <f>Survey!$P2116+(Survey!$Q2116*0.433)</f>
        <v>2226.6888456233423</v>
      </c>
    </row>
    <row r="2117" spans="1:18" x14ac:dyDescent="0.25">
      <c r="A2117" s="60" t="s">
        <v>17</v>
      </c>
      <c r="B2117" s="61" t="s">
        <v>22</v>
      </c>
      <c r="C2117" s="62" t="s">
        <v>19</v>
      </c>
      <c r="D2117" s="63">
        <v>242.6250974188743</v>
      </c>
      <c r="E2117" s="79">
        <v>1311489</v>
      </c>
      <c r="F2117" s="80">
        <v>1282076.4852941174</v>
      </c>
      <c r="G2117" s="66">
        <v>2871.2238526020187</v>
      </c>
      <c r="H2117" s="67">
        <v>2</v>
      </c>
      <c r="I2117" s="68" t="s">
        <v>20</v>
      </c>
      <c r="J2117" s="69">
        <v>40</v>
      </c>
      <c r="K2117" s="70">
        <v>2</v>
      </c>
      <c r="L2117" s="68">
        <v>1</v>
      </c>
      <c r="M2117" s="68">
        <f>_xlfn.XLOOKUP(Survey!$F2117,sections[Start],sections[Test Section],,-1,1)</f>
        <v>6</v>
      </c>
      <c r="N2117" s="55">
        <f>_xlfn.XLOOKUP(Survey!$K2117,pipedata[ID],pipedata[WT])</f>
        <v>0.74</v>
      </c>
      <c r="O2117" s="56">
        <f>_xlfn.XLOOKUP(Survey!$K2117,pipedata[ID],pipedata[104%])</f>
        <v>2565.3333333333335</v>
      </c>
      <c r="P2117" s="57">
        <f t="shared" si="33"/>
        <v>1850</v>
      </c>
      <c r="Q2117" s="58">
        <f>_xlfn.MAXIFS(Survey!$G$2:$G$3647,Survey!$M$2:$M$3647,Survey!$M2117)-Survey!$G2117</f>
        <v>863.20078762639787</v>
      </c>
      <c r="R2117" s="59">
        <f>Survey!$P2117+(Survey!$Q2117*0.433)</f>
        <v>2223.7659410422302</v>
      </c>
    </row>
    <row r="2118" spans="1:18" x14ac:dyDescent="0.25">
      <c r="A2118" s="71" t="s">
        <v>17</v>
      </c>
      <c r="B2118" s="72" t="s">
        <v>22</v>
      </c>
      <c r="C2118" s="73" t="s">
        <v>19</v>
      </c>
      <c r="D2118" s="74">
        <v>242.63256168173587</v>
      </c>
      <c r="E2118" s="81">
        <v>1311529</v>
      </c>
      <c r="F2118" s="82">
        <v>1282115.7941176468</v>
      </c>
      <c r="G2118" s="75">
        <v>2878.7138174832089</v>
      </c>
      <c r="H2118" s="76">
        <v>2</v>
      </c>
      <c r="I2118" s="54" t="s">
        <v>20</v>
      </c>
      <c r="J2118" s="77">
        <v>40</v>
      </c>
      <c r="K2118" s="78">
        <v>2</v>
      </c>
      <c r="L2118" s="54">
        <v>1</v>
      </c>
      <c r="M2118" s="54">
        <f>_xlfn.XLOOKUP(Survey!$F2118,sections[Start],sections[Test Section],,-1,1)</f>
        <v>6</v>
      </c>
      <c r="N2118" s="55">
        <f>_xlfn.XLOOKUP(Survey!$K2118,pipedata[ID],pipedata[WT])</f>
        <v>0.74</v>
      </c>
      <c r="O2118" s="56">
        <f>_xlfn.XLOOKUP(Survey!$K2118,pipedata[ID],pipedata[104%])</f>
        <v>2565.3333333333335</v>
      </c>
      <c r="P2118" s="57">
        <f t="shared" si="33"/>
        <v>1850</v>
      </c>
      <c r="Q2118" s="58">
        <f>_xlfn.MAXIFS(Survey!$G$2:$G$3647,Survey!$M$2:$M$3647,Survey!$M2118)-Survey!$G2118</f>
        <v>855.71082274520768</v>
      </c>
      <c r="R2118" s="59">
        <f>Survey!$P2118+(Survey!$Q2118*0.433)</f>
        <v>2220.5227862486749</v>
      </c>
    </row>
    <row r="2119" spans="1:18" x14ac:dyDescent="0.25">
      <c r="A2119" s="60" t="s">
        <v>17</v>
      </c>
      <c r="B2119" s="61" t="s">
        <v>22</v>
      </c>
      <c r="C2119" s="62" t="s">
        <v>19</v>
      </c>
      <c r="D2119" s="63">
        <v>242.63940438214627</v>
      </c>
      <c r="E2119" s="79">
        <v>1311569</v>
      </c>
      <c r="F2119" s="80">
        <v>1282155.1029411762</v>
      </c>
      <c r="G2119" s="66">
        <v>2884.1577453426289</v>
      </c>
      <c r="H2119" s="67">
        <v>2</v>
      </c>
      <c r="I2119" s="68" t="s">
        <v>20</v>
      </c>
      <c r="J2119" s="69">
        <v>40</v>
      </c>
      <c r="K2119" s="70">
        <v>2</v>
      </c>
      <c r="L2119" s="68">
        <v>1</v>
      </c>
      <c r="M2119" s="68">
        <f>_xlfn.XLOOKUP(Survey!$F2119,sections[Start],sections[Test Section],,-1,1)</f>
        <v>6</v>
      </c>
      <c r="N2119" s="55">
        <f>_xlfn.XLOOKUP(Survey!$K2119,pipedata[ID],pipedata[WT])</f>
        <v>0.74</v>
      </c>
      <c r="O2119" s="56">
        <f>_xlfn.XLOOKUP(Survey!$K2119,pipedata[ID],pipedata[104%])</f>
        <v>2565.3333333333335</v>
      </c>
      <c r="P2119" s="57">
        <f t="shared" si="33"/>
        <v>1850</v>
      </c>
      <c r="Q2119" s="58">
        <f>_xlfn.MAXIFS(Survey!$G$2:$G$3647,Survey!$M$2:$M$3647,Survey!$M2119)-Survey!$G2119</f>
        <v>850.26689488578768</v>
      </c>
      <c r="R2119" s="59">
        <f>Survey!$P2119+(Survey!$Q2119*0.433)</f>
        <v>2218.1655654855458</v>
      </c>
    </row>
    <row r="2120" spans="1:18" x14ac:dyDescent="0.25">
      <c r="A2120" s="71" t="s">
        <v>17</v>
      </c>
      <c r="B2120" s="72" t="s">
        <v>22</v>
      </c>
      <c r="C2120" s="73" t="s">
        <v>19</v>
      </c>
      <c r="D2120" s="74">
        <v>242.64779204933572</v>
      </c>
      <c r="E2120" s="81">
        <v>1311609</v>
      </c>
      <c r="F2120" s="82">
        <v>1282194.4117647056</v>
      </c>
      <c r="G2120" s="75">
        <v>2891.5332706987037</v>
      </c>
      <c r="H2120" s="76">
        <v>2</v>
      </c>
      <c r="I2120" s="54" t="s">
        <v>20</v>
      </c>
      <c r="J2120" s="77">
        <v>40</v>
      </c>
      <c r="K2120" s="78">
        <v>2</v>
      </c>
      <c r="L2120" s="54">
        <v>1</v>
      </c>
      <c r="M2120" s="54">
        <f>_xlfn.XLOOKUP(Survey!$F2120,sections[Start],sections[Test Section],,-1,1)</f>
        <v>6</v>
      </c>
      <c r="N2120" s="55">
        <f>_xlfn.XLOOKUP(Survey!$K2120,pipedata[ID],pipedata[WT])</f>
        <v>0.74</v>
      </c>
      <c r="O2120" s="56">
        <f>_xlfn.XLOOKUP(Survey!$K2120,pipedata[ID],pipedata[104%])</f>
        <v>2565.3333333333335</v>
      </c>
      <c r="P2120" s="57">
        <f t="shared" si="33"/>
        <v>1850</v>
      </c>
      <c r="Q2120" s="58">
        <f>_xlfn.MAXIFS(Survey!$G$2:$G$3647,Survey!$M$2:$M$3647,Survey!$M2120)-Survey!$G2120</f>
        <v>842.89136952971285</v>
      </c>
      <c r="R2120" s="59">
        <f>Survey!$P2120+(Survey!$Q2120*0.433)</f>
        <v>2214.9719630063655</v>
      </c>
    </row>
    <row r="2121" spans="1:18" x14ac:dyDescent="0.25">
      <c r="A2121" s="60" t="s">
        <v>17</v>
      </c>
      <c r="B2121" s="61" t="s">
        <v>22</v>
      </c>
      <c r="C2121" s="62" t="s">
        <v>19</v>
      </c>
      <c r="D2121" s="63">
        <v>242.65472698540205</v>
      </c>
      <c r="E2121" s="79">
        <v>1311649</v>
      </c>
      <c r="F2121" s="80">
        <v>1282233.720588235</v>
      </c>
      <c r="G2121" s="66">
        <v>2901.7740615010339</v>
      </c>
      <c r="H2121" s="67">
        <v>2</v>
      </c>
      <c r="I2121" s="68" t="s">
        <v>20</v>
      </c>
      <c r="J2121" s="69">
        <v>40</v>
      </c>
      <c r="K2121" s="70">
        <v>2</v>
      </c>
      <c r="L2121" s="68">
        <v>1</v>
      </c>
      <c r="M2121" s="68">
        <f>_xlfn.XLOOKUP(Survey!$F2121,sections[Start],sections[Test Section],,-1,1)</f>
        <v>6</v>
      </c>
      <c r="N2121" s="55">
        <f>_xlfn.XLOOKUP(Survey!$K2121,pipedata[ID],pipedata[WT])</f>
        <v>0.74</v>
      </c>
      <c r="O2121" s="56">
        <f>_xlfn.XLOOKUP(Survey!$K2121,pipedata[ID],pipedata[104%])</f>
        <v>2565.3333333333335</v>
      </c>
      <c r="P2121" s="57">
        <f t="shared" si="33"/>
        <v>1850</v>
      </c>
      <c r="Q2121" s="58">
        <f>_xlfn.MAXIFS(Survey!$G$2:$G$3647,Survey!$M$2:$M$3647,Survey!$M2121)-Survey!$G2121</f>
        <v>832.65057872738271</v>
      </c>
      <c r="R2121" s="59">
        <f>Survey!$P2121+(Survey!$Q2121*0.433)</f>
        <v>2210.5377005889568</v>
      </c>
    </row>
    <row r="2122" spans="1:18" x14ac:dyDescent="0.25">
      <c r="A2122" s="71" t="s">
        <v>17</v>
      </c>
      <c r="B2122" s="72" t="s">
        <v>22</v>
      </c>
      <c r="C2122" s="73" t="s">
        <v>19</v>
      </c>
      <c r="D2122" s="74">
        <v>242.66248364998253</v>
      </c>
      <c r="E2122" s="81">
        <v>1311689</v>
      </c>
      <c r="F2122" s="82">
        <v>1282273.0294117643</v>
      </c>
      <c r="G2122" s="75">
        <v>2909.1198195509241</v>
      </c>
      <c r="H2122" s="76">
        <v>2</v>
      </c>
      <c r="I2122" s="54" t="s">
        <v>20</v>
      </c>
      <c r="J2122" s="77">
        <v>40</v>
      </c>
      <c r="K2122" s="78">
        <v>2</v>
      </c>
      <c r="L2122" s="54">
        <v>1</v>
      </c>
      <c r="M2122" s="54">
        <f>_xlfn.XLOOKUP(Survey!$F2122,sections[Start],sections[Test Section],,-1,1)</f>
        <v>6</v>
      </c>
      <c r="N2122" s="55">
        <f>_xlfn.XLOOKUP(Survey!$K2122,pipedata[ID],pipedata[WT])</f>
        <v>0.74</v>
      </c>
      <c r="O2122" s="56">
        <f>_xlfn.XLOOKUP(Survey!$K2122,pipedata[ID],pipedata[104%])</f>
        <v>2565.3333333333335</v>
      </c>
      <c r="P2122" s="57">
        <f t="shared" si="33"/>
        <v>1850</v>
      </c>
      <c r="Q2122" s="58">
        <f>_xlfn.MAXIFS(Survey!$G$2:$G$3647,Survey!$M$2:$M$3647,Survey!$M2122)-Survey!$G2122</f>
        <v>825.30482067749244</v>
      </c>
      <c r="R2122" s="59">
        <f>Survey!$P2122+(Survey!$Q2122*0.433)</f>
        <v>2207.3569873533543</v>
      </c>
    </row>
    <row r="2123" spans="1:18" x14ac:dyDescent="0.25">
      <c r="A2123" s="60" t="s">
        <v>17</v>
      </c>
      <c r="B2123" s="61" t="s">
        <v>22</v>
      </c>
      <c r="C2123" s="62" t="s">
        <v>19</v>
      </c>
      <c r="D2123" s="63">
        <v>242.66928114654763</v>
      </c>
      <c r="E2123" s="79">
        <v>1311729</v>
      </c>
      <c r="F2123" s="80">
        <v>1282312.3382352937</v>
      </c>
      <c r="G2123" s="66">
        <v>2918.3721032154299</v>
      </c>
      <c r="H2123" s="67">
        <v>2</v>
      </c>
      <c r="I2123" s="68" t="s">
        <v>20</v>
      </c>
      <c r="J2123" s="69">
        <v>40</v>
      </c>
      <c r="K2123" s="70">
        <v>2</v>
      </c>
      <c r="L2123" s="68">
        <v>1</v>
      </c>
      <c r="M2123" s="68">
        <f>_xlfn.XLOOKUP(Survey!$F2123,sections[Start],sections[Test Section],,-1,1)</f>
        <v>6</v>
      </c>
      <c r="N2123" s="55">
        <f>_xlfn.XLOOKUP(Survey!$K2123,pipedata[ID],pipedata[WT])</f>
        <v>0.74</v>
      </c>
      <c r="O2123" s="56">
        <f>_xlfn.XLOOKUP(Survey!$K2123,pipedata[ID],pipedata[104%])</f>
        <v>2565.3333333333335</v>
      </c>
      <c r="P2123" s="57">
        <f t="shared" si="33"/>
        <v>1850</v>
      </c>
      <c r="Q2123" s="58">
        <f>_xlfn.MAXIFS(Survey!$G$2:$G$3647,Survey!$M$2:$M$3647,Survey!$M2123)-Survey!$G2123</f>
        <v>816.0525370129867</v>
      </c>
      <c r="R2123" s="59">
        <f>Survey!$P2123+(Survey!$Q2123*0.433)</f>
        <v>2203.3507485266232</v>
      </c>
    </row>
    <row r="2124" spans="1:18" x14ac:dyDescent="0.25">
      <c r="A2124" s="71" t="s">
        <v>17</v>
      </c>
      <c r="B2124" s="72" t="s">
        <v>22</v>
      </c>
      <c r="C2124" s="73" t="s">
        <v>19</v>
      </c>
      <c r="D2124" s="74">
        <v>242.67607864311273</v>
      </c>
      <c r="E2124" s="81">
        <v>1311769</v>
      </c>
      <c r="F2124" s="82">
        <v>1282351.6470588231</v>
      </c>
      <c r="G2124" s="75">
        <v>2922.5718171105905</v>
      </c>
      <c r="H2124" s="76">
        <v>2</v>
      </c>
      <c r="I2124" s="54" t="s">
        <v>20</v>
      </c>
      <c r="J2124" s="77">
        <v>40</v>
      </c>
      <c r="K2124" s="78">
        <v>2</v>
      </c>
      <c r="L2124" s="54">
        <v>1</v>
      </c>
      <c r="M2124" s="54">
        <f>_xlfn.XLOOKUP(Survey!$F2124,sections[Start],sections[Test Section],,-1,1)</f>
        <v>6</v>
      </c>
      <c r="N2124" s="55">
        <f>_xlfn.XLOOKUP(Survey!$K2124,pipedata[ID],pipedata[WT])</f>
        <v>0.74</v>
      </c>
      <c r="O2124" s="56">
        <f>_xlfn.XLOOKUP(Survey!$K2124,pipedata[ID],pipedata[104%])</f>
        <v>2565.3333333333335</v>
      </c>
      <c r="P2124" s="57">
        <f t="shared" si="33"/>
        <v>1850</v>
      </c>
      <c r="Q2124" s="58">
        <f>_xlfn.MAXIFS(Survey!$G$2:$G$3647,Survey!$M$2:$M$3647,Survey!$M2124)-Survey!$G2124</f>
        <v>811.85282311782612</v>
      </c>
      <c r="R2124" s="59">
        <f>Survey!$P2124+(Survey!$Q2124*0.433)</f>
        <v>2201.5322724100188</v>
      </c>
    </row>
    <row r="2125" spans="1:18" x14ac:dyDescent="0.25">
      <c r="A2125" s="60" t="s">
        <v>17</v>
      </c>
      <c r="B2125" s="61" t="s">
        <v>22</v>
      </c>
      <c r="C2125" s="62" t="s">
        <v>19</v>
      </c>
      <c r="D2125" s="63">
        <v>242.68287613967814</v>
      </c>
      <c r="E2125" s="79">
        <v>1311809</v>
      </c>
      <c r="F2125" s="80">
        <v>1282390.9558823525</v>
      </c>
      <c r="G2125" s="66">
        <v>2926.5356004619912</v>
      </c>
      <c r="H2125" s="67">
        <v>2</v>
      </c>
      <c r="I2125" s="68" t="s">
        <v>20</v>
      </c>
      <c r="J2125" s="69">
        <v>40</v>
      </c>
      <c r="K2125" s="70">
        <v>2</v>
      </c>
      <c r="L2125" s="68">
        <v>1</v>
      </c>
      <c r="M2125" s="68">
        <f>_xlfn.XLOOKUP(Survey!$F2125,sections[Start],sections[Test Section],,-1,1)</f>
        <v>6</v>
      </c>
      <c r="N2125" s="55">
        <f>_xlfn.XLOOKUP(Survey!$K2125,pipedata[ID],pipedata[WT])</f>
        <v>0.74</v>
      </c>
      <c r="O2125" s="56">
        <f>_xlfn.XLOOKUP(Survey!$K2125,pipedata[ID],pipedata[104%])</f>
        <v>2565.3333333333335</v>
      </c>
      <c r="P2125" s="57">
        <f t="shared" si="33"/>
        <v>1850</v>
      </c>
      <c r="Q2125" s="58">
        <f>_xlfn.MAXIFS(Survey!$G$2:$G$3647,Survey!$M$2:$M$3647,Survey!$M2125)-Survey!$G2125</f>
        <v>807.88903976642541</v>
      </c>
      <c r="R2125" s="59">
        <f>Survey!$P2125+(Survey!$Q2125*0.433)</f>
        <v>2199.8159542188623</v>
      </c>
    </row>
    <row r="2126" spans="1:18" x14ac:dyDescent="0.25">
      <c r="A2126" s="71" t="s">
        <v>17</v>
      </c>
      <c r="B2126" s="72" t="s">
        <v>22</v>
      </c>
      <c r="C2126" s="73" t="s">
        <v>19</v>
      </c>
      <c r="D2126" s="74">
        <v>242.69186508529216</v>
      </c>
      <c r="E2126" s="81">
        <v>1311849</v>
      </c>
      <c r="F2126" s="82">
        <v>1282430.2647058819</v>
      </c>
      <c r="G2126" s="75">
        <v>2934.9816000994142</v>
      </c>
      <c r="H2126" s="76">
        <v>2</v>
      </c>
      <c r="I2126" s="54" t="s">
        <v>20</v>
      </c>
      <c r="J2126" s="77">
        <v>40</v>
      </c>
      <c r="K2126" s="78">
        <v>2</v>
      </c>
      <c r="L2126" s="54">
        <v>1</v>
      </c>
      <c r="M2126" s="54">
        <f>_xlfn.XLOOKUP(Survey!$F2126,sections[Start],sections[Test Section],,-1,1)</f>
        <v>6</v>
      </c>
      <c r="N2126" s="55">
        <f>_xlfn.XLOOKUP(Survey!$K2126,pipedata[ID],pipedata[WT])</f>
        <v>0.74</v>
      </c>
      <c r="O2126" s="56">
        <f>_xlfn.XLOOKUP(Survey!$K2126,pipedata[ID],pipedata[104%])</f>
        <v>2565.3333333333335</v>
      </c>
      <c r="P2126" s="57">
        <f t="shared" si="33"/>
        <v>1850</v>
      </c>
      <c r="Q2126" s="58">
        <f>_xlfn.MAXIFS(Survey!$G$2:$G$3647,Survey!$M$2:$M$3647,Survey!$M2126)-Survey!$G2126</f>
        <v>799.44304012900238</v>
      </c>
      <c r="R2126" s="59">
        <f>Survey!$P2126+(Survey!$Q2126*0.433)</f>
        <v>2196.1588363758578</v>
      </c>
    </row>
    <row r="2127" spans="1:18" x14ac:dyDescent="0.25">
      <c r="A2127" s="60" t="s">
        <v>17</v>
      </c>
      <c r="B2127" s="61" t="s">
        <v>22</v>
      </c>
      <c r="C2127" s="62" t="s">
        <v>19</v>
      </c>
      <c r="D2127" s="63">
        <v>242.69870778570254</v>
      </c>
      <c r="E2127" s="79">
        <v>1311889</v>
      </c>
      <c r="F2127" s="80">
        <v>1282469.5735294113</v>
      </c>
      <c r="G2127" s="66">
        <v>2942.3870639274473</v>
      </c>
      <c r="H2127" s="67">
        <v>2</v>
      </c>
      <c r="I2127" s="68" t="s">
        <v>20</v>
      </c>
      <c r="J2127" s="69">
        <v>40</v>
      </c>
      <c r="K2127" s="70">
        <v>2</v>
      </c>
      <c r="L2127" s="68">
        <v>1</v>
      </c>
      <c r="M2127" s="68">
        <f>_xlfn.XLOOKUP(Survey!$F2127,sections[Start],sections[Test Section],,-1,1)</f>
        <v>6</v>
      </c>
      <c r="N2127" s="55">
        <f>_xlfn.XLOOKUP(Survey!$K2127,pipedata[ID],pipedata[WT])</f>
        <v>0.74</v>
      </c>
      <c r="O2127" s="56">
        <f>_xlfn.XLOOKUP(Survey!$K2127,pipedata[ID],pipedata[104%])</f>
        <v>2565.3333333333335</v>
      </c>
      <c r="P2127" s="57">
        <f t="shared" si="33"/>
        <v>1850</v>
      </c>
      <c r="Q2127" s="58">
        <f>_xlfn.MAXIFS(Survey!$G$2:$G$3647,Survey!$M$2:$M$3647,Survey!$M2127)-Survey!$G2127</f>
        <v>792.03757630096925</v>
      </c>
      <c r="R2127" s="59">
        <f>Survey!$P2127+(Survey!$Q2127*0.433)</f>
        <v>2192.9522705383197</v>
      </c>
    </row>
    <row r="2128" spans="1:18" x14ac:dyDescent="0.25">
      <c r="A2128" s="71" t="s">
        <v>17</v>
      </c>
      <c r="B2128" s="72" t="s">
        <v>22</v>
      </c>
      <c r="C2128" s="73" t="s">
        <v>19</v>
      </c>
      <c r="D2128" s="74">
        <v>242.70666737765612</v>
      </c>
      <c r="E2128" s="81">
        <v>1311929</v>
      </c>
      <c r="F2128" s="82">
        <v>1282508.8823529407</v>
      </c>
      <c r="G2128" s="75">
        <v>2947.3374100587375</v>
      </c>
      <c r="H2128" s="76">
        <v>2</v>
      </c>
      <c r="I2128" s="54" t="s">
        <v>20</v>
      </c>
      <c r="J2128" s="77">
        <v>40</v>
      </c>
      <c r="K2128" s="78">
        <v>2</v>
      </c>
      <c r="L2128" s="54">
        <v>1</v>
      </c>
      <c r="M2128" s="54">
        <f>_xlfn.XLOOKUP(Survey!$F2128,sections[Start],sections[Test Section],,-1,1)</f>
        <v>6</v>
      </c>
      <c r="N2128" s="55">
        <f>_xlfn.XLOOKUP(Survey!$K2128,pipedata[ID],pipedata[WT])</f>
        <v>0.74</v>
      </c>
      <c r="O2128" s="56">
        <f>_xlfn.XLOOKUP(Survey!$K2128,pipedata[ID],pipedata[104%])</f>
        <v>2565.3333333333335</v>
      </c>
      <c r="P2128" s="57">
        <f t="shared" si="33"/>
        <v>1850</v>
      </c>
      <c r="Q2128" s="58">
        <f>_xlfn.MAXIFS(Survey!$G$2:$G$3647,Survey!$M$2:$M$3647,Survey!$M2128)-Survey!$G2128</f>
        <v>787.08723016967906</v>
      </c>
      <c r="R2128" s="59">
        <f>Survey!$P2128+(Survey!$Q2128*0.433)</f>
        <v>2190.808770663471</v>
      </c>
    </row>
    <row r="2129" spans="1:18" x14ac:dyDescent="0.25">
      <c r="A2129" s="60" t="s">
        <v>17</v>
      </c>
      <c r="B2129" s="61" t="s">
        <v>22</v>
      </c>
      <c r="C2129" s="62" t="s">
        <v>19</v>
      </c>
      <c r="D2129" s="63">
        <v>242.71467408666004</v>
      </c>
      <c r="E2129" s="79">
        <v>1311969</v>
      </c>
      <c r="F2129" s="80">
        <v>1282548.1911764701</v>
      </c>
      <c r="G2129" s="66">
        <v>2946.751639228663</v>
      </c>
      <c r="H2129" s="67">
        <v>2</v>
      </c>
      <c r="I2129" s="68" t="s">
        <v>20</v>
      </c>
      <c r="J2129" s="69">
        <v>40</v>
      </c>
      <c r="K2129" s="70">
        <v>2</v>
      </c>
      <c r="L2129" s="68">
        <v>1</v>
      </c>
      <c r="M2129" s="68">
        <f>_xlfn.XLOOKUP(Survey!$F2129,sections[Start],sections[Test Section],,-1,1)</f>
        <v>6</v>
      </c>
      <c r="N2129" s="55">
        <f>_xlfn.XLOOKUP(Survey!$K2129,pipedata[ID],pipedata[WT])</f>
        <v>0.74</v>
      </c>
      <c r="O2129" s="56">
        <f>_xlfn.XLOOKUP(Survey!$K2129,pipedata[ID],pipedata[104%])</f>
        <v>2565.3333333333335</v>
      </c>
      <c r="P2129" s="57">
        <f t="shared" si="33"/>
        <v>1850</v>
      </c>
      <c r="Q2129" s="58">
        <f>_xlfn.MAXIFS(Survey!$G$2:$G$3647,Survey!$M$2:$M$3647,Survey!$M2129)-Survey!$G2129</f>
        <v>787.67300099975364</v>
      </c>
      <c r="R2129" s="59">
        <f>Survey!$P2129+(Survey!$Q2129*0.433)</f>
        <v>2191.0624094328932</v>
      </c>
    </row>
    <row r="2130" spans="1:18" x14ac:dyDescent="0.25">
      <c r="A2130" s="71" t="s">
        <v>17</v>
      </c>
      <c r="B2130" s="72" t="s">
        <v>22</v>
      </c>
      <c r="C2130" s="73" t="s">
        <v>19</v>
      </c>
      <c r="D2130" s="74">
        <v>242.72151678707053</v>
      </c>
      <c r="E2130" s="81">
        <v>1312009</v>
      </c>
      <c r="F2130" s="82">
        <v>1282587.4999999995</v>
      </c>
      <c r="G2130" s="75">
        <v>2943.0118938098622</v>
      </c>
      <c r="H2130" s="76">
        <v>2</v>
      </c>
      <c r="I2130" s="54" t="s">
        <v>20</v>
      </c>
      <c r="J2130" s="77">
        <v>40</v>
      </c>
      <c r="K2130" s="78">
        <v>2</v>
      </c>
      <c r="L2130" s="54">
        <v>1</v>
      </c>
      <c r="M2130" s="54">
        <f>_xlfn.XLOOKUP(Survey!$F2130,sections[Start],sections[Test Section],,-1,1)</f>
        <v>6</v>
      </c>
      <c r="N2130" s="55">
        <f>_xlfn.XLOOKUP(Survey!$K2130,pipedata[ID],pipedata[WT])</f>
        <v>0.74</v>
      </c>
      <c r="O2130" s="56">
        <f>_xlfn.XLOOKUP(Survey!$K2130,pipedata[ID],pipedata[104%])</f>
        <v>2565.3333333333335</v>
      </c>
      <c r="P2130" s="57">
        <f t="shared" si="33"/>
        <v>1850</v>
      </c>
      <c r="Q2130" s="58">
        <f>_xlfn.MAXIFS(Survey!$G$2:$G$3647,Survey!$M$2:$M$3647,Survey!$M2130)-Survey!$G2130</f>
        <v>791.41274641855443</v>
      </c>
      <c r="R2130" s="59">
        <f>Survey!$P2130+(Survey!$Q2130*0.433)</f>
        <v>2192.6817191992341</v>
      </c>
    </row>
    <row r="2131" spans="1:18" x14ac:dyDescent="0.25">
      <c r="A2131" s="60" t="s">
        <v>17</v>
      </c>
      <c r="B2131" s="61" t="s">
        <v>22</v>
      </c>
      <c r="C2131" s="62" t="s">
        <v>19</v>
      </c>
      <c r="D2131" s="63">
        <v>242.7283594874807</v>
      </c>
      <c r="E2131" s="79">
        <v>1312049</v>
      </c>
      <c r="F2131" s="80">
        <v>1282626.8088235289</v>
      </c>
      <c r="G2131" s="66">
        <v>2923.4381731810945</v>
      </c>
      <c r="H2131" s="67">
        <v>2</v>
      </c>
      <c r="I2131" s="68" t="s">
        <v>20</v>
      </c>
      <c r="J2131" s="69">
        <v>40</v>
      </c>
      <c r="K2131" s="70">
        <v>2</v>
      </c>
      <c r="L2131" s="68">
        <v>1</v>
      </c>
      <c r="M2131" s="68">
        <f>_xlfn.XLOOKUP(Survey!$F2131,sections[Start],sections[Test Section],,-1,1)</f>
        <v>6</v>
      </c>
      <c r="N2131" s="55">
        <f>_xlfn.XLOOKUP(Survey!$K2131,pipedata[ID],pipedata[WT])</f>
        <v>0.74</v>
      </c>
      <c r="O2131" s="56">
        <f>_xlfn.XLOOKUP(Survey!$K2131,pipedata[ID],pipedata[104%])</f>
        <v>2565.3333333333335</v>
      </c>
      <c r="P2131" s="57">
        <f t="shared" si="33"/>
        <v>1850</v>
      </c>
      <c r="Q2131" s="58">
        <f>_xlfn.MAXIFS(Survey!$G$2:$G$3647,Survey!$M$2:$M$3647,Survey!$M2131)-Survey!$G2131</f>
        <v>810.98646704732209</v>
      </c>
      <c r="R2131" s="59">
        <f>Survey!$P2131+(Survey!$Q2131*0.433)</f>
        <v>2201.1571402314903</v>
      </c>
    </row>
    <row r="2132" spans="1:18" x14ac:dyDescent="0.25">
      <c r="A2132" s="71" t="s">
        <v>17</v>
      </c>
      <c r="B2132" s="72" t="s">
        <v>22</v>
      </c>
      <c r="C2132" s="73" t="s">
        <v>19</v>
      </c>
      <c r="D2132" s="74">
        <v>242.73520218789108</v>
      </c>
      <c r="E2132" s="81">
        <v>1312089</v>
      </c>
      <c r="F2132" s="82">
        <v>1282666.1176470583</v>
      </c>
      <c r="G2132" s="75">
        <v>2909.6728863669973</v>
      </c>
      <c r="H2132" s="76">
        <v>2</v>
      </c>
      <c r="I2132" s="54" t="s">
        <v>20</v>
      </c>
      <c r="J2132" s="77">
        <v>40</v>
      </c>
      <c r="K2132" s="78">
        <v>2</v>
      </c>
      <c r="L2132" s="54">
        <v>1</v>
      </c>
      <c r="M2132" s="54">
        <f>_xlfn.XLOOKUP(Survey!$F2132,sections[Start],sections[Test Section],,-1,1)</f>
        <v>6</v>
      </c>
      <c r="N2132" s="55">
        <f>_xlfn.XLOOKUP(Survey!$K2132,pipedata[ID],pipedata[WT])</f>
        <v>0.74</v>
      </c>
      <c r="O2132" s="56">
        <f>_xlfn.XLOOKUP(Survey!$K2132,pipedata[ID],pipedata[104%])</f>
        <v>2565.3333333333335</v>
      </c>
      <c r="P2132" s="57">
        <f t="shared" si="33"/>
        <v>1850</v>
      </c>
      <c r="Q2132" s="58">
        <f>_xlfn.MAXIFS(Survey!$G$2:$G$3647,Survey!$M$2:$M$3647,Survey!$M2132)-Survey!$G2132</f>
        <v>824.75175386141927</v>
      </c>
      <c r="R2132" s="59">
        <f>Survey!$P2132+(Survey!$Q2132*0.433)</f>
        <v>2207.1175094219943</v>
      </c>
    </row>
    <row r="2133" spans="1:18" x14ac:dyDescent="0.25">
      <c r="A2133" s="60" t="s">
        <v>17</v>
      </c>
      <c r="B2133" s="61" t="s">
        <v>22</v>
      </c>
      <c r="C2133" s="62" t="s">
        <v>19</v>
      </c>
      <c r="D2133" s="63">
        <v>242.74204488830125</v>
      </c>
      <c r="E2133" s="79">
        <v>1312129</v>
      </c>
      <c r="F2133" s="80">
        <v>1282705.4264705877</v>
      </c>
      <c r="G2133" s="66">
        <v>2895.946832083047</v>
      </c>
      <c r="H2133" s="67">
        <v>2</v>
      </c>
      <c r="I2133" s="68" t="s">
        <v>20</v>
      </c>
      <c r="J2133" s="69">
        <v>40</v>
      </c>
      <c r="K2133" s="70">
        <v>2</v>
      </c>
      <c r="L2133" s="68">
        <v>1</v>
      </c>
      <c r="M2133" s="68">
        <f>_xlfn.XLOOKUP(Survey!$F2133,sections[Start],sections[Test Section],,-1,1)</f>
        <v>6</v>
      </c>
      <c r="N2133" s="55">
        <f>_xlfn.XLOOKUP(Survey!$K2133,pipedata[ID],pipedata[WT])</f>
        <v>0.74</v>
      </c>
      <c r="O2133" s="56">
        <f>_xlfn.XLOOKUP(Survey!$K2133,pipedata[ID],pipedata[104%])</f>
        <v>2565.3333333333335</v>
      </c>
      <c r="P2133" s="57">
        <f t="shared" si="33"/>
        <v>1850</v>
      </c>
      <c r="Q2133" s="58">
        <f>_xlfn.MAXIFS(Survey!$G$2:$G$3647,Survey!$M$2:$M$3647,Survey!$M2133)-Survey!$G2133</f>
        <v>838.47780814536964</v>
      </c>
      <c r="R2133" s="59">
        <f>Survey!$P2133+(Survey!$Q2133*0.433)</f>
        <v>2213.0608909269449</v>
      </c>
    </row>
    <row r="2134" spans="1:18" x14ac:dyDescent="0.25">
      <c r="A2134" s="71" t="s">
        <v>17</v>
      </c>
      <c r="B2134" s="72" t="s">
        <v>22</v>
      </c>
      <c r="C2134" s="73" t="s">
        <v>19</v>
      </c>
      <c r="D2134" s="74">
        <v>242.7488875887116</v>
      </c>
      <c r="E2134" s="81">
        <v>1312169</v>
      </c>
      <c r="F2134" s="82">
        <v>1282744.7352941171</v>
      </c>
      <c r="G2134" s="75">
        <v>2882.1559349132508</v>
      </c>
      <c r="H2134" s="76">
        <v>2</v>
      </c>
      <c r="I2134" s="54" t="s">
        <v>20</v>
      </c>
      <c r="J2134" s="77">
        <v>40</v>
      </c>
      <c r="K2134" s="78">
        <v>2</v>
      </c>
      <c r="L2134" s="54">
        <v>1</v>
      </c>
      <c r="M2134" s="54">
        <f>_xlfn.XLOOKUP(Survey!$F2134,sections[Start],sections[Test Section],,-1,1)</f>
        <v>6</v>
      </c>
      <c r="N2134" s="55">
        <f>_xlfn.XLOOKUP(Survey!$K2134,pipedata[ID],pipedata[WT])</f>
        <v>0.74</v>
      </c>
      <c r="O2134" s="56">
        <f>_xlfn.XLOOKUP(Survey!$K2134,pipedata[ID],pipedata[104%])</f>
        <v>2565.3333333333335</v>
      </c>
      <c r="P2134" s="57">
        <f t="shared" si="33"/>
        <v>1850</v>
      </c>
      <c r="Q2134" s="58">
        <f>_xlfn.MAXIFS(Survey!$G$2:$G$3647,Survey!$M$2:$M$3647,Survey!$M2134)-Survey!$G2134</f>
        <v>852.26870531516579</v>
      </c>
      <c r="R2134" s="59">
        <f>Survey!$P2134+(Survey!$Q2134*0.433)</f>
        <v>2219.0323494014669</v>
      </c>
    </row>
    <row r="2135" spans="1:18" x14ac:dyDescent="0.25">
      <c r="A2135" s="60" t="s">
        <v>17</v>
      </c>
      <c r="B2135" s="61" t="s">
        <v>22</v>
      </c>
      <c r="C2135" s="62" t="s">
        <v>19</v>
      </c>
      <c r="D2135" s="63">
        <v>242.75764860189545</v>
      </c>
      <c r="E2135" s="79">
        <v>1312209</v>
      </c>
      <c r="F2135" s="80">
        <v>1282784.0441176465</v>
      </c>
      <c r="G2135" s="66">
        <v>2866.6544377477608</v>
      </c>
      <c r="H2135" s="67">
        <v>2</v>
      </c>
      <c r="I2135" s="68" t="s">
        <v>20</v>
      </c>
      <c r="J2135" s="69">
        <v>40</v>
      </c>
      <c r="K2135" s="70">
        <v>2</v>
      </c>
      <c r="L2135" s="68">
        <v>1</v>
      </c>
      <c r="M2135" s="68">
        <f>_xlfn.XLOOKUP(Survey!$F2135,sections[Start],sections[Test Section],,-1,1)</f>
        <v>6</v>
      </c>
      <c r="N2135" s="55">
        <f>_xlfn.XLOOKUP(Survey!$K2135,pipedata[ID],pipedata[WT])</f>
        <v>0.74</v>
      </c>
      <c r="O2135" s="56">
        <f>_xlfn.XLOOKUP(Survey!$K2135,pipedata[ID],pipedata[104%])</f>
        <v>2565.3333333333335</v>
      </c>
      <c r="P2135" s="57">
        <f t="shared" si="33"/>
        <v>1850</v>
      </c>
      <c r="Q2135" s="58">
        <f>_xlfn.MAXIFS(Survey!$G$2:$G$3647,Survey!$M$2:$M$3647,Survey!$M2135)-Survey!$G2135</f>
        <v>867.77020248065583</v>
      </c>
      <c r="R2135" s="59">
        <f>Survey!$P2135+(Survey!$Q2135*0.433)</f>
        <v>2225.744497674124</v>
      </c>
    </row>
    <row r="2136" spans="1:18" x14ac:dyDescent="0.25">
      <c r="A2136" s="71" t="s">
        <v>17</v>
      </c>
      <c r="B2136" s="72" t="s">
        <v>22</v>
      </c>
      <c r="C2136" s="73" t="s">
        <v>19</v>
      </c>
      <c r="D2136" s="74">
        <v>242.76485388966896</v>
      </c>
      <c r="E2136" s="81">
        <v>1312249</v>
      </c>
      <c r="F2136" s="82">
        <v>1282823.3529411759</v>
      </c>
      <c r="G2136" s="75">
        <v>2852.5984479756635</v>
      </c>
      <c r="H2136" s="76">
        <v>2</v>
      </c>
      <c r="I2136" s="54" t="s">
        <v>20</v>
      </c>
      <c r="J2136" s="77">
        <v>40</v>
      </c>
      <c r="K2136" s="78">
        <v>2</v>
      </c>
      <c r="L2136" s="54">
        <v>1</v>
      </c>
      <c r="M2136" s="54">
        <f>_xlfn.XLOOKUP(Survey!$F2136,sections[Start],sections[Test Section],,-1,1)</f>
        <v>6</v>
      </c>
      <c r="N2136" s="55">
        <f>_xlfn.XLOOKUP(Survey!$K2136,pipedata[ID],pipedata[WT])</f>
        <v>0.74</v>
      </c>
      <c r="O2136" s="56">
        <f>_xlfn.XLOOKUP(Survey!$K2136,pipedata[ID],pipedata[104%])</f>
        <v>2565.3333333333335</v>
      </c>
      <c r="P2136" s="57">
        <f t="shared" si="33"/>
        <v>1850</v>
      </c>
      <c r="Q2136" s="58">
        <f>_xlfn.MAXIFS(Survey!$G$2:$G$3647,Survey!$M$2:$M$3647,Survey!$M2136)-Survey!$G2136</f>
        <v>881.82619225275312</v>
      </c>
      <c r="R2136" s="59">
        <f>Survey!$P2136+(Survey!$Q2136*0.433)</f>
        <v>2231.8307412454419</v>
      </c>
    </row>
    <row r="2137" spans="1:18" x14ac:dyDescent="0.25">
      <c r="A2137" s="60" t="s">
        <v>17</v>
      </c>
      <c r="B2137" s="61" t="s">
        <v>22</v>
      </c>
      <c r="C2137" s="62" t="s">
        <v>19</v>
      </c>
      <c r="D2137" s="63">
        <v>242.77169659007919</v>
      </c>
      <c r="E2137" s="79">
        <v>1312289</v>
      </c>
      <c r="F2137" s="80">
        <v>1282862.6617647053</v>
      </c>
      <c r="G2137" s="66">
        <v>2837.2314544426758</v>
      </c>
      <c r="H2137" s="67">
        <v>2</v>
      </c>
      <c r="I2137" s="68" t="s">
        <v>20</v>
      </c>
      <c r="J2137" s="69">
        <v>40</v>
      </c>
      <c r="K2137" s="70">
        <v>2</v>
      </c>
      <c r="L2137" s="68">
        <v>1</v>
      </c>
      <c r="M2137" s="68">
        <f>_xlfn.XLOOKUP(Survey!$F2137,sections[Start],sections[Test Section],,-1,1)</f>
        <v>6</v>
      </c>
      <c r="N2137" s="55">
        <f>_xlfn.XLOOKUP(Survey!$K2137,pipedata[ID],pipedata[WT])</f>
        <v>0.74</v>
      </c>
      <c r="O2137" s="56">
        <f>_xlfn.XLOOKUP(Survey!$K2137,pipedata[ID],pipedata[104%])</f>
        <v>2565.3333333333335</v>
      </c>
      <c r="P2137" s="57">
        <f t="shared" si="33"/>
        <v>1850</v>
      </c>
      <c r="Q2137" s="58">
        <f>_xlfn.MAXIFS(Survey!$G$2:$G$3647,Survey!$M$2:$M$3647,Survey!$M2137)-Survey!$G2137</f>
        <v>897.19318578574075</v>
      </c>
      <c r="R2137" s="59">
        <f>Survey!$P2137+(Survey!$Q2137*0.433)</f>
        <v>2238.4846494452258</v>
      </c>
    </row>
    <row r="2138" spans="1:18" x14ac:dyDescent="0.25">
      <c r="A2138" s="71" t="s">
        <v>17</v>
      </c>
      <c r="B2138" s="72" t="s">
        <v>22</v>
      </c>
      <c r="C2138" s="73" t="s">
        <v>19</v>
      </c>
      <c r="D2138" s="74">
        <v>242.77853929048953</v>
      </c>
      <c r="E2138" s="81">
        <v>1312329</v>
      </c>
      <c r="F2138" s="82">
        <v>1282901.9705882347</v>
      </c>
      <c r="G2138" s="75">
        <v>2819.2294697374268</v>
      </c>
      <c r="H2138" s="76">
        <v>2</v>
      </c>
      <c r="I2138" s="54" t="s">
        <v>20</v>
      </c>
      <c r="J2138" s="77">
        <v>40</v>
      </c>
      <c r="K2138" s="78">
        <v>2</v>
      </c>
      <c r="L2138" s="54">
        <v>1</v>
      </c>
      <c r="M2138" s="54">
        <f>_xlfn.XLOOKUP(Survey!$F2138,sections[Start],sections[Test Section],,-1,1)</f>
        <v>6</v>
      </c>
      <c r="N2138" s="55">
        <f>_xlfn.XLOOKUP(Survey!$K2138,pipedata[ID],pipedata[WT])</f>
        <v>0.74</v>
      </c>
      <c r="O2138" s="56">
        <f>_xlfn.XLOOKUP(Survey!$K2138,pipedata[ID],pipedata[104%])</f>
        <v>2565.3333333333335</v>
      </c>
      <c r="P2138" s="57">
        <f t="shared" si="33"/>
        <v>1850</v>
      </c>
      <c r="Q2138" s="58">
        <f>_xlfn.MAXIFS(Survey!$G$2:$G$3647,Survey!$M$2:$M$3647,Survey!$M2138)-Survey!$G2138</f>
        <v>915.19517049098977</v>
      </c>
      <c r="R2138" s="59">
        <f>Survey!$P2138+(Survey!$Q2138*0.433)</f>
        <v>2246.2795088225985</v>
      </c>
    </row>
    <row r="2139" spans="1:18" x14ac:dyDescent="0.25">
      <c r="A2139" s="60" t="s">
        <v>17</v>
      </c>
      <c r="B2139" s="61" t="s">
        <v>22</v>
      </c>
      <c r="C2139" s="62" t="s">
        <v>19</v>
      </c>
      <c r="D2139" s="63">
        <v>242.78538199089971</v>
      </c>
      <c r="E2139" s="79">
        <v>1312369</v>
      </c>
      <c r="F2139" s="80">
        <v>1282941.2794117641</v>
      </c>
      <c r="G2139" s="66">
        <v>2805.2578750399766</v>
      </c>
      <c r="H2139" s="67">
        <v>2</v>
      </c>
      <c r="I2139" s="68" t="s">
        <v>20</v>
      </c>
      <c r="J2139" s="69">
        <v>40</v>
      </c>
      <c r="K2139" s="70">
        <v>2</v>
      </c>
      <c r="L2139" s="68">
        <v>1</v>
      </c>
      <c r="M2139" s="68">
        <f>_xlfn.XLOOKUP(Survey!$F2139,sections[Start],sections[Test Section],,-1,1)</f>
        <v>6</v>
      </c>
      <c r="N2139" s="55">
        <f>_xlfn.XLOOKUP(Survey!$K2139,pipedata[ID],pipedata[WT])</f>
        <v>0.74</v>
      </c>
      <c r="O2139" s="56">
        <f>_xlfn.XLOOKUP(Survey!$K2139,pipedata[ID],pipedata[104%])</f>
        <v>2565.3333333333335</v>
      </c>
      <c r="P2139" s="57">
        <f t="shared" si="33"/>
        <v>1850</v>
      </c>
      <c r="Q2139" s="58">
        <f>_xlfn.MAXIFS(Survey!$G$2:$G$3647,Survey!$M$2:$M$3647,Survey!$M2139)-Survey!$G2139</f>
        <v>929.16676518843997</v>
      </c>
      <c r="R2139" s="59">
        <f>Survey!$P2139+(Survey!$Q2139*0.433)</f>
        <v>2252.3292093265945</v>
      </c>
    </row>
    <row r="2140" spans="1:18" x14ac:dyDescent="0.25">
      <c r="A2140" s="71" t="s">
        <v>17</v>
      </c>
      <c r="B2140" s="72" t="s">
        <v>22</v>
      </c>
      <c r="C2140" s="73" t="s">
        <v>19</v>
      </c>
      <c r="D2140" s="74">
        <v>242.7922246913098</v>
      </c>
      <c r="E2140" s="81">
        <v>1312409</v>
      </c>
      <c r="F2140" s="82">
        <v>1282980.5882352935</v>
      </c>
      <c r="G2140" s="75">
        <v>2791.771694471814</v>
      </c>
      <c r="H2140" s="76">
        <v>2</v>
      </c>
      <c r="I2140" s="54" t="s">
        <v>20</v>
      </c>
      <c r="J2140" s="77">
        <v>40</v>
      </c>
      <c r="K2140" s="78">
        <v>2</v>
      </c>
      <c r="L2140" s="54">
        <v>1</v>
      </c>
      <c r="M2140" s="54">
        <f>_xlfn.XLOOKUP(Survey!$F2140,sections[Start],sections[Test Section],,-1,1)</f>
        <v>6</v>
      </c>
      <c r="N2140" s="55">
        <f>_xlfn.XLOOKUP(Survey!$K2140,pipedata[ID],pipedata[WT])</f>
        <v>0.74</v>
      </c>
      <c r="O2140" s="56">
        <f>_xlfn.XLOOKUP(Survey!$K2140,pipedata[ID],pipedata[104%])</f>
        <v>2565.3333333333335</v>
      </c>
      <c r="P2140" s="57">
        <f t="shared" si="33"/>
        <v>1850</v>
      </c>
      <c r="Q2140" s="58">
        <f>_xlfn.MAXIFS(Survey!$G$2:$G$3647,Survey!$M$2:$M$3647,Survey!$M2140)-Survey!$G2140</f>
        <v>942.65294575660255</v>
      </c>
      <c r="R2140" s="59">
        <f>Survey!$P2140+(Survey!$Q2140*0.433)</f>
        <v>2258.1687255126089</v>
      </c>
    </row>
    <row r="2141" spans="1:18" x14ac:dyDescent="0.25">
      <c r="A2141" s="60" t="s">
        <v>17</v>
      </c>
      <c r="B2141" s="61" t="s">
        <v>22</v>
      </c>
      <c r="C2141" s="62" t="s">
        <v>19</v>
      </c>
      <c r="D2141" s="63">
        <v>242.79906739172006</v>
      </c>
      <c r="E2141" s="79">
        <v>1312449</v>
      </c>
      <c r="F2141" s="80">
        <v>1283019.8970588229</v>
      </c>
      <c r="G2141" s="66">
        <v>2774.7732346793764</v>
      </c>
      <c r="H2141" s="67">
        <v>2</v>
      </c>
      <c r="I2141" s="68" t="s">
        <v>20</v>
      </c>
      <c r="J2141" s="69">
        <v>40</v>
      </c>
      <c r="K2141" s="70">
        <v>2</v>
      </c>
      <c r="L2141" s="68">
        <v>1</v>
      </c>
      <c r="M2141" s="68">
        <f>_xlfn.XLOOKUP(Survey!$F2141,sections[Start],sections[Test Section],,-1,1)</f>
        <v>6</v>
      </c>
      <c r="N2141" s="55">
        <f>_xlfn.XLOOKUP(Survey!$K2141,pipedata[ID],pipedata[WT])</f>
        <v>0.74</v>
      </c>
      <c r="O2141" s="56">
        <f>_xlfn.XLOOKUP(Survey!$K2141,pipedata[ID],pipedata[104%])</f>
        <v>2565.3333333333335</v>
      </c>
      <c r="P2141" s="57">
        <f t="shared" si="33"/>
        <v>1850</v>
      </c>
      <c r="Q2141" s="58">
        <f>_xlfn.MAXIFS(Survey!$G$2:$G$3647,Survey!$M$2:$M$3647,Survey!$M2141)-Survey!$G2141</f>
        <v>959.65140554904019</v>
      </c>
      <c r="R2141" s="59">
        <f>Survey!$P2141+(Survey!$Q2141*0.433)</f>
        <v>2265.5290586027345</v>
      </c>
    </row>
    <row r="2142" spans="1:18" x14ac:dyDescent="0.25">
      <c r="A2142" s="71" t="s">
        <v>17</v>
      </c>
      <c r="B2142" s="72" t="s">
        <v>22</v>
      </c>
      <c r="C2142" s="73" t="s">
        <v>19</v>
      </c>
      <c r="D2142" s="74">
        <v>242.8059100921304</v>
      </c>
      <c r="E2142" s="81">
        <v>1312489</v>
      </c>
      <c r="F2142" s="82">
        <v>1283059.2058823523</v>
      </c>
      <c r="G2142" s="75">
        <v>2761.7082434958943</v>
      </c>
      <c r="H2142" s="76">
        <v>2</v>
      </c>
      <c r="I2142" s="54" t="s">
        <v>20</v>
      </c>
      <c r="J2142" s="77">
        <v>40</v>
      </c>
      <c r="K2142" s="78">
        <v>2</v>
      </c>
      <c r="L2142" s="54">
        <v>1</v>
      </c>
      <c r="M2142" s="54">
        <f>_xlfn.XLOOKUP(Survey!$F2142,sections[Start],sections[Test Section],,-1,1)</f>
        <v>6</v>
      </c>
      <c r="N2142" s="55">
        <f>_xlfn.XLOOKUP(Survey!$K2142,pipedata[ID],pipedata[WT])</f>
        <v>0.74</v>
      </c>
      <c r="O2142" s="56">
        <f>_xlfn.XLOOKUP(Survey!$K2142,pipedata[ID],pipedata[104%])</f>
        <v>2565.3333333333335</v>
      </c>
      <c r="P2142" s="57">
        <f t="shared" si="33"/>
        <v>1850</v>
      </c>
      <c r="Q2142" s="58">
        <f>_xlfn.MAXIFS(Survey!$G$2:$G$3647,Survey!$M$2:$M$3647,Survey!$M2142)-Survey!$G2142</f>
        <v>972.7163967325223</v>
      </c>
      <c r="R2142" s="59">
        <f>Survey!$P2142+(Survey!$Q2142*0.433)</f>
        <v>2271.186199785182</v>
      </c>
    </row>
    <row r="2143" spans="1:18" x14ac:dyDescent="0.25">
      <c r="A2143" s="60" t="s">
        <v>17</v>
      </c>
      <c r="B2143" s="61" t="s">
        <v>22</v>
      </c>
      <c r="C2143" s="62" t="s">
        <v>19</v>
      </c>
      <c r="D2143" s="63">
        <v>242.81423051491439</v>
      </c>
      <c r="E2143" s="79">
        <v>1312529</v>
      </c>
      <c r="F2143" s="80">
        <v>1283098.5147058817</v>
      </c>
      <c r="G2143" s="66">
        <v>2750.726483048888</v>
      </c>
      <c r="H2143" s="67">
        <v>2</v>
      </c>
      <c r="I2143" s="68" t="s">
        <v>20</v>
      </c>
      <c r="J2143" s="69">
        <v>40</v>
      </c>
      <c r="K2143" s="70">
        <v>2</v>
      </c>
      <c r="L2143" s="68">
        <v>1</v>
      </c>
      <c r="M2143" s="68">
        <f>_xlfn.XLOOKUP(Survey!$F2143,sections[Start],sections[Test Section],,-1,1)</f>
        <v>6</v>
      </c>
      <c r="N2143" s="55">
        <f>_xlfn.XLOOKUP(Survey!$K2143,pipedata[ID],pipedata[WT])</f>
        <v>0.74</v>
      </c>
      <c r="O2143" s="56">
        <f>_xlfn.XLOOKUP(Survey!$K2143,pipedata[ID],pipedata[104%])</f>
        <v>2565.3333333333335</v>
      </c>
      <c r="P2143" s="57">
        <f t="shared" si="33"/>
        <v>1850</v>
      </c>
      <c r="Q2143" s="58">
        <f>_xlfn.MAXIFS(Survey!$G$2:$G$3647,Survey!$M$2:$M$3647,Survey!$M2143)-Survey!$G2143</f>
        <v>983.69815717952861</v>
      </c>
      <c r="R2143" s="59">
        <f>Survey!$P2143+(Survey!$Q2143*0.433)</f>
        <v>2275.9413020587358</v>
      </c>
    </row>
    <row r="2144" spans="1:18" x14ac:dyDescent="0.25">
      <c r="A2144" s="71" t="s">
        <v>17</v>
      </c>
      <c r="B2144" s="72" t="s">
        <v>22</v>
      </c>
      <c r="C2144" s="73" t="s">
        <v>19</v>
      </c>
      <c r="D2144" s="74">
        <v>242.82116545097975</v>
      </c>
      <c r="E2144" s="81">
        <v>1312569</v>
      </c>
      <c r="F2144" s="82">
        <v>1283137.8235294111</v>
      </c>
      <c r="G2144" s="75">
        <v>2741.3123001358717</v>
      </c>
      <c r="H2144" s="76">
        <v>2</v>
      </c>
      <c r="I2144" s="54" t="s">
        <v>20</v>
      </c>
      <c r="J2144" s="77">
        <v>40</v>
      </c>
      <c r="K2144" s="78">
        <v>2</v>
      </c>
      <c r="L2144" s="54">
        <v>1</v>
      </c>
      <c r="M2144" s="54">
        <f>_xlfn.XLOOKUP(Survey!$F2144,sections[Start],sections[Test Section],,-1,1)</f>
        <v>6</v>
      </c>
      <c r="N2144" s="55">
        <f>_xlfn.XLOOKUP(Survey!$K2144,pipedata[ID],pipedata[WT])</f>
        <v>0.74</v>
      </c>
      <c r="O2144" s="56">
        <f>_xlfn.XLOOKUP(Survey!$K2144,pipedata[ID],pipedata[104%])</f>
        <v>2565.3333333333335</v>
      </c>
      <c r="P2144" s="57">
        <f t="shared" si="33"/>
        <v>1850</v>
      </c>
      <c r="Q2144" s="58">
        <f>_xlfn.MAXIFS(Survey!$G$2:$G$3647,Survey!$M$2:$M$3647,Survey!$M2144)-Survey!$G2144</f>
        <v>993.11234009254485</v>
      </c>
      <c r="R2144" s="59">
        <f>Survey!$P2144+(Survey!$Q2144*0.433)</f>
        <v>2280.017643260072</v>
      </c>
    </row>
    <row r="2145" spans="1:18" x14ac:dyDescent="0.25">
      <c r="A2145" s="60" t="s">
        <v>17</v>
      </c>
      <c r="B2145" s="61" t="s">
        <v>22</v>
      </c>
      <c r="C2145" s="62" t="s">
        <v>19</v>
      </c>
      <c r="D2145" s="63">
        <v>242.82902231583125</v>
      </c>
      <c r="E2145" s="79">
        <v>1312609</v>
      </c>
      <c r="F2145" s="80">
        <v>1283177.1323529405</v>
      </c>
      <c r="G2145" s="66">
        <v>2733.082451356504</v>
      </c>
      <c r="H2145" s="67">
        <v>2</v>
      </c>
      <c r="I2145" s="68" t="s">
        <v>20</v>
      </c>
      <c r="J2145" s="69">
        <v>40</v>
      </c>
      <c r="K2145" s="70">
        <v>2</v>
      </c>
      <c r="L2145" s="68">
        <v>1</v>
      </c>
      <c r="M2145" s="68">
        <f>_xlfn.XLOOKUP(Survey!$F2145,sections[Start],sections[Test Section],,-1,1)</f>
        <v>6</v>
      </c>
      <c r="N2145" s="55">
        <f>_xlfn.XLOOKUP(Survey!$K2145,pipedata[ID],pipedata[WT])</f>
        <v>0.74</v>
      </c>
      <c r="O2145" s="56">
        <f>_xlfn.XLOOKUP(Survey!$K2145,pipedata[ID],pipedata[104%])</f>
        <v>2565.3333333333335</v>
      </c>
      <c r="P2145" s="57">
        <f t="shared" si="33"/>
        <v>1850</v>
      </c>
      <c r="Q2145" s="58">
        <f>_xlfn.MAXIFS(Survey!$G$2:$G$3647,Survey!$M$2:$M$3647,Survey!$M2145)-Survey!$G2145</f>
        <v>1001.3421888719126</v>
      </c>
      <c r="R2145" s="59">
        <f>Survey!$P2145+(Survey!$Q2145*0.433)</f>
        <v>2283.5811677815382</v>
      </c>
    </row>
    <row r="2146" spans="1:18" x14ac:dyDescent="0.25">
      <c r="A2146" s="71" t="s">
        <v>17</v>
      </c>
      <c r="B2146" s="72" t="s">
        <v>22</v>
      </c>
      <c r="C2146" s="73" t="s">
        <v>19</v>
      </c>
      <c r="D2146" s="74">
        <v>242.83581981239615</v>
      </c>
      <c r="E2146" s="81">
        <v>1312649</v>
      </c>
      <c r="F2146" s="82">
        <v>1283216.4411764699</v>
      </c>
      <c r="G2146" s="75">
        <v>2724.9799025542966</v>
      </c>
      <c r="H2146" s="76">
        <v>2</v>
      </c>
      <c r="I2146" s="54" t="s">
        <v>20</v>
      </c>
      <c r="J2146" s="77">
        <v>40</v>
      </c>
      <c r="K2146" s="78">
        <v>2</v>
      </c>
      <c r="L2146" s="54">
        <v>1</v>
      </c>
      <c r="M2146" s="54">
        <f>_xlfn.XLOOKUP(Survey!$F2146,sections[Start],sections[Test Section],,-1,1)</f>
        <v>6</v>
      </c>
      <c r="N2146" s="55">
        <f>_xlfn.XLOOKUP(Survey!$K2146,pipedata[ID],pipedata[WT])</f>
        <v>0.74</v>
      </c>
      <c r="O2146" s="56">
        <f>_xlfn.XLOOKUP(Survey!$K2146,pipedata[ID],pipedata[104%])</f>
        <v>2565.3333333333335</v>
      </c>
      <c r="P2146" s="57">
        <f t="shared" si="33"/>
        <v>1850</v>
      </c>
      <c r="Q2146" s="58">
        <f>_xlfn.MAXIFS(Survey!$G$2:$G$3647,Survey!$M$2:$M$3647,Survey!$M2146)-Survey!$G2146</f>
        <v>1009.44473767412</v>
      </c>
      <c r="R2146" s="59">
        <f>Survey!$P2146+(Survey!$Q2146*0.433)</f>
        <v>2287.0895714128937</v>
      </c>
    </row>
    <row r="2147" spans="1:18" x14ac:dyDescent="0.25">
      <c r="A2147" s="60" t="s">
        <v>17</v>
      </c>
      <c r="B2147" s="61" t="s">
        <v>22</v>
      </c>
      <c r="C2147" s="62" t="s">
        <v>19</v>
      </c>
      <c r="D2147" s="63">
        <v>242.84261730896162</v>
      </c>
      <c r="E2147" s="79">
        <v>1312689</v>
      </c>
      <c r="F2147" s="80">
        <v>1283255.7499999993</v>
      </c>
      <c r="G2147" s="66">
        <v>2718.1150458134821</v>
      </c>
      <c r="H2147" s="67">
        <v>2</v>
      </c>
      <c r="I2147" s="68" t="s">
        <v>20</v>
      </c>
      <c r="J2147" s="69">
        <v>40</v>
      </c>
      <c r="K2147" s="70">
        <v>2</v>
      </c>
      <c r="L2147" s="68">
        <v>1</v>
      </c>
      <c r="M2147" s="68">
        <f>_xlfn.XLOOKUP(Survey!$F2147,sections[Start],sections[Test Section],,-1,1)</f>
        <v>6</v>
      </c>
      <c r="N2147" s="55">
        <f>_xlfn.XLOOKUP(Survey!$K2147,pipedata[ID],pipedata[WT])</f>
        <v>0.74</v>
      </c>
      <c r="O2147" s="56">
        <f>_xlfn.XLOOKUP(Survey!$K2147,pipedata[ID],pipedata[104%])</f>
        <v>2565.3333333333335</v>
      </c>
      <c r="P2147" s="57">
        <f t="shared" si="33"/>
        <v>1850</v>
      </c>
      <c r="Q2147" s="58">
        <f>_xlfn.MAXIFS(Survey!$G$2:$G$3647,Survey!$M$2:$M$3647,Survey!$M2147)-Survey!$G2147</f>
        <v>1016.3095944149345</v>
      </c>
      <c r="R2147" s="59">
        <f>Survey!$P2147+(Survey!$Q2147*0.433)</f>
        <v>2290.0620543816667</v>
      </c>
    </row>
    <row r="2148" spans="1:18" x14ac:dyDescent="0.25">
      <c r="A2148" s="71" t="s">
        <v>17</v>
      </c>
      <c r="B2148" s="72" t="s">
        <v>22</v>
      </c>
      <c r="C2148" s="73" t="s">
        <v>19</v>
      </c>
      <c r="D2148" s="74">
        <v>242.84941480552698</v>
      </c>
      <c r="E2148" s="81">
        <v>1312729</v>
      </c>
      <c r="F2148" s="82">
        <v>1283295.0588235287</v>
      </c>
      <c r="G2148" s="75">
        <v>2711.6370141408593</v>
      </c>
      <c r="H2148" s="76">
        <v>2</v>
      </c>
      <c r="I2148" s="54" t="s">
        <v>20</v>
      </c>
      <c r="J2148" s="77">
        <v>40</v>
      </c>
      <c r="K2148" s="78">
        <v>2</v>
      </c>
      <c r="L2148" s="54">
        <v>1</v>
      </c>
      <c r="M2148" s="54">
        <f>_xlfn.XLOOKUP(Survey!$F2148,sections[Start],sections[Test Section],,-1,1)</f>
        <v>6</v>
      </c>
      <c r="N2148" s="55">
        <f>_xlfn.XLOOKUP(Survey!$K2148,pipedata[ID],pipedata[WT])</f>
        <v>0.74</v>
      </c>
      <c r="O2148" s="56">
        <f>_xlfn.XLOOKUP(Survey!$K2148,pipedata[ID],pipedata[104%])</f>
        <v>2565.3333333333335</v>
      </c>
      <c r="P2148" s="57">
        <f t="shared" si="33"/>
        <v>1850</v>
      </c>
      <c r="Q2148" s="58">
        <f>_xlfn.MAXIFS(Survey!$G$2:$G$3647,Survey!$M$2:$M$3647,Survey!$M2148)-Survey!$G2148</f>
        <v>1022.7876260875573</v>
      </c>
      <c r="R2148" s="59">
        <f>Survey!$P2148+(Survey!$Q2148*0.433)</f>
        <v>2292.8670420959124</v>
      </c>
    </row>
    <row r="2149" spans="1:18" x14ac:dyDescent="0.25">
      <c r="A2149" s="60" t="s">
        <v>17</v>
      </c>
      <c r="B2149" s="61" t="s">
        <v>22</v>
      </c>
      <c r="C2149" s="62" t="s">
        <v>19</v>
      </c>
      <c r="D2149" s="63">
        <v>242.85837079527565</v>
      </c>
      <c r="E2149" s="79">
        <v>1312769</v>
      </c>
      <c r="F2149" s="80">
        <v>1283334.3676470581</v>
      </c>
      <c r="G2149" s="66">
        <v>2706.303106061956</v>
      </c>
      <c r="H2149" s="67">
        <v>2</v>
      </c>
      <c r="I2149" s="68" t="s">
        <v>20</v>
      </c>
      <c r="J2149" s="69">
        <v>40</v>
      </c>
      <c r="K2149" s="70">
        <v>2</v>
      </c>
      <c r="L2149" s="68">
        <v>1</v>
      </c>
      <c r="M2149" s="68">
        <f>_xlfn.XLOOKUP(Survey!$F2149,sections[Start],sections[Test Section],,-1,1)</f>
        <v>6</v>
      </c>
      <c r="N2149" s="55">
        <f>_xlfn.XLOOKUP(Survey!$K2149,pipedata[ID],pipedata[WT])</f>
        <v>0.74</v>
      </c>
      <c r="O2149" s="56">
        <f>_xlfn.XLOOKUP(Survey!$K2149,pipedata[ID],pipedata[104%])</f>
        <v>2565.3333333333335</v>
      </c>
      <c r="P2149" s="57">
        <f t="shared" si="33"/>
        <v>1850</v>
      </c>
      <c r="Q2149" s="58">
        <f>_xlfn.MAXIFS(Survey!$G$2:$G$3647,Survey!$M$2:$M$3647,Survey!$M2149)-Survey!$G2149</f>
        <v>1028.1215341664606</v>
      </c>
      <c r="R2149" s="59">
        <f>Survey!$P2149+(Survey!$Q2149*0.433)</f>
        <v>2295.1766242940776</v>
      </c>
    </row>
    <row r="2150" spans="1:18" x14ac:dyDescent="0.25">
      <c r="A2150" s="71" t="s">
        <v>17</v>
      </c>
      <c r="B2150" s="72" t="s">
        <v>22</v>
      </c>
      <c r="C2150" s="73" t="s">
        <v>19</v>
      </c>
      <c r="D2150" s="74">
        <v>242.86521349568574</v>
      </c>
      <c r="E2150" s="81">
        <v>1312809</v>
      </c>
      <c r="F2150" s="82">
        <v>1283373.6764705875</v>
      </c>
      <c r="G2150" s="75">
        <v>2700.5653259863984</v>
      </c>
      <c r="H2150" s="76">
        <v>2</v>
      </c>
      <c r="I2150" s="54" t="s">
        <v>20</v>
      </c>
      <c r="J2150" s="77">
        <v>40</v>
      </c>
      <c r="K2150" s="78">
        <v>2</v>
      </c>
      <c r="L2150" s="54">
        <v>1</v>
      </c>
      <c r="M2150" s="54">
        <f>_xlfn.XLOOKUP(Survey!$F2150,sections[Start],sections[Test Section],,-1,1)</f>
        <v>6</v>
      </c>
      <c r="N2150" s="55">
        <f>_xlfn.XLOOKUP(Survey!$K2150,pipedata[ID],pipedata[WT])</f>
        <v>0.74</v>
      </c>
      <c r="O2150" s="56">
        <f>_xlfn.XLOOKUP(Survey!$K2150,pipedata[ID],pipedata[104%])</f>
        <v>2565.3333333333335</v>
      </c>
      <c r="P2150" s="57">
        <f t="shared" si="33"/>
        <v>1850</v>
      </c>
      <c r="Q2150" s="58">
        <f>_xlfn.MAXIFS(Survey!$G$2:$G$3647,Survey!$M$2:$M$3647,Survey!$M2150)-Survey!$G2150</f>
        <v>1033.8593142420182</v>
      </c>
      <c r="R2150" s="59">
        <f>Survey!$P2150+(Survey!$Q2150*0.433)</f>
        <v>2297.6610830667937</v>
      </c>
    </row>
    <row r="2151" spans="1:18" x14ac:dyDescent="0.25">
      <c r="A2151" s="60" t="s">
        <v>17</v>
      </c>
      <c r="B2151" s="61" t="s">
        <v>22</v>
      </c>
      <c r="C2151" s="62" t="s">
        <v>19</v>
      </c>
      <c r="D2151" s="63">
        <v>242.87339514726102</v>
      </c>
      <c r="E2151" s="79">
        <v>1312849</v>
      </c>
      <c r="F2151" s="80">
        <v>1283412.9852941169</v>
      </c>
      <c r="G2151" s="66">
        <v>2699.2097526844218</v>
      </c>
      <c r="H2151" s="67">
        <v>2</v>
      </c>
      <c r="I2151" s="68" t="s">
        <v>20</v>
      </c>
      <c r="J2151" s="69">
        <v>40</v>
      </c>
      <c r="K2151" s="70">
        <v>2</v>
      </c>
      <c r="L2151" s="68">
        <v>1</v>
      </c>
      <c r="M2151" s="68">
        <f>_xlfn.XLOOKUP(Survey!$F2151,sections[Start],sections[Test Section],,-1,1)</f>
        <v>6</v>
      </c>
      <c r="N2151" s="55">
        <f>_xlfn.XLOOKUP(Survey!$K2151,pipedata[ID],pipedata[WT])</f>
        <v>0.74</v>
      </c>
      <c r="O2151" s="56">
        <f>_xlfn.XLOOKUP(Survey!$K2151,pipedata[ID],pipedata[104%])</f>
        <v>2565.3333333333335</v>
      </c>
      <c r="P2151" s="57">
        <f t="shared" si="33"/>
        <v>1850</v>
      </c>
      <c r="Q2151" s="58">
        <f>_xlfn.MAXIFS(Survey!$G$2:$G$3647,Survey!$M$2:$M$3647,Survey!$M2151)-Survey!$G2151</f>
        <v>1035.2148875439948</v>
      </c>
      <c r="R2151" s="59">
        <f>Survey!$P2151+(Survey!$Q2151*0.433)</f>
        <v>2298.2480463065499</v>
      </c>
    </row>
    <row r="2152" spans="1:18" x14ac:dyDescent="0.25">
      <c r="A2152" s="71" t="s">
        <v>17</v>
      </c>
      <c r="B2152" s="72" t="s">
        <v>22</v>
      </c>
      <c r="C2152" s="73" t="s">
        <v>19</v>
      </c>
      <c r="D2152" s="74">
        <v>242.87993690360781</v>
      </c>
      <c r="E2152" s="81">
        <v>1312889</v>
      </c>
      <c r="F2152" s="82">
        <v>1283452.2941176463</v>
      </c>
      <c r="G2152" s="75">
        <v>2698.6186784608567</v>
      </c>
      <c r="H2152" s="76">
        <v>2</v>
      </c>
      <c r="I2152" s="54" t="s">
        <v>20</v>
      </c>
      <c r="J2152" s="77">
        <v>40</v>
      </c>
      <c r="K2152" s="78">
        <v>2</v>
      </c>
      <c r="L2152" s="54">
        <v>1</v>
      </c>
      <c r="M2152" s="54">
        <f>_xlfn.XLOOKUP(Survey!$F2152,sections[Start],sections[Test Section],,-1,1)</f>
        <v>6</v>
      </c>
      <c r="N2152" s="55">
        <f>_xlfn.XLOOKUP(Survey!$K2152,pipedata[ID],pipedata[WT])</f>
        <v>0.74</v>
      </c>
      <c r="O2152" s="56">
        <f>_xlfn.XLOOKUP(Survey!$K2152,pipedata[ID],pipedata[104%])</f>
        <v>2565.3333333333335</v>
      </c>
      <c r="P2152" s="57">
        <f t="shared" si="33"/>
        <v>1850</v>
      </c>
      <c r="Q2152" s="58">
        <f>_xlfn.MAXIFS(Survey!$G$2:$G$3647,Survey!$M$2:$M$3647,Survey!$M2152)-Survey!$G2152</f>
        <v>1035.8059617675599</v>
      </c>
      <c r="R2152" s="59">
        <f>Survey!$P2152+(Survey!$Q2152*0.433)</f>
        <v>2298.5039814453535</v>
      </c>
    </row>
    <row r="2153" spans="1:18" x14ac:dyDescent="0.25">
      <c r="A2153" s="60" t="s">
        <v>17</v>
      </c>
      <c r="B2153" s="61" t="s">
        <v>22</v>
      </c>
      <c r="C2153" s="62" t="s">
        <v>19</v>
      </c>
      <c r="D2153" s="63">
        <v>242.88780851983259</v>
      </c>
      <c r="E2153" s="79">
        <v>1312929</v>
      </c>
      <c r="F2153" s="80">
        <v>1283491.6029411757</v>
      </c>
      <c r="G2153" s="66">
        <v>2696.9464925773273</v>
      </c>
      <c r="H2153" s="67">
        <v>2</v>
      </c>
      <c r="I2153" s="68" t="s">
        <v>20</v>
      </c>
      <c r="J2153" s="69">
        <v>40</v>
      </c>
      <c r="K2153" s="70">
        <v>2</v>
      </c>
      <c r="L2153" s="68">
        <v>1</v>
      </c>
      <c r="M2153" s="68">
        <f>_xlfn.XLOOKUP(Survey!$F2153,sections[Start],sections[Test Section],,-1,1)</f>
        <v>6</v>
      </c>
      <c r="N2153" s="55">
        <f>_xlfn.XLOOKUP(Survey!$K2153,pipedata[ID],pipedata[WT])</f>
        <v>0.74</v>
      </c>
      <c r="O2153" s="56">
        <f>_xlfn.XLOOKUP(Survey!$K2153,pipedata[ID],pipedata[104%])</f>
        <v>2565.3333333333335</v>
      </c>
      <c r="P2153" s="57">
        <f t="shared" si="33"/>
        <v>1850</v>
      </c>
      <c r="Q2153" s="58">
        <f>_xlfn.MAXIFS(Survey!$G$2:$G$3647,Survey!$M$2:$M$3647,Survey!$M2153)-Survey!$G2153</f>
        <v>1037.4781476510893</v>
      </c>
      <c r="R2153" s="59">
        <f>Survey!$P2153+(Survey!$Q2153*0.433)</f>
        <v>2299.2280379329218</v>
      </c>
    </row>
    <row r="2154" spans="1:18" x14ac:dyDescent="0.25">
      <c r="A2154" s="71" t="s">
        <v>17</v>
      </c>
      <c r="B2154" s="72" t="s">
        <v>22</v>
      </c>
      <c r="C2154" s="73" t="s">
        <v>19</v>
      </c>
      <c r="D2154" s="74">
        <v>242.89611072247396</v>
      </c>
      <c r="E2154" s="81">
        <v>1312969</v>
      </c>
      <c r="F2154" s="82">
        <v>1283530.9117647051</v>
      </c>
      <c r="G2154" s="75">
        <v>2693.8639973328904</v>
      </c>
      <c r="H2154" s="76">
        <v>2</v>
      </c>
      <c r="I2154" s="54" t="s">
        <v>20</v>
      </c>
      <c r="J2154" s="77">
        <v>40</v>
      </c>
      <c r="K2154" s="78">
        <v>2</v>
      </c>
      <c r="L2154" s="54">
        <v>1</v>
      </c>
      <c r="M2154" s="54">
        <f>_xlfn.XLOOKUP(Survey!$F2154,sections[Start],sections[Test Section],,-1,1)</f>
        <v>6</v>
      </c>
      <c r="N2154" s="55">
        <f>_xlfn.XLOOKUP(Survey!$K2154,pipedata[ID],pipedata[WT])</f>
        <v>0.74</v>
      </c>
      <c r="O2154" s="56">
        <f>_xlfn.XLOOKUP(Survey!$K2154,pipedata[ID],pipedata[104%])</f>
        <v>2565.3333333333335</v>
      </c>
      <c r="P2154" s="57">
        <f t="shared" si="33"/>
        <v>1850</v>
      </c>
      <c r="Q2154" s="58">
        <f>_xlfn.MAXIFS(Survey!$G$2:$G$3647,Survey!$M$2:$M$3647,Survey!$M2154)-Survey!$G2154</f>
        <v>1040.5606428955261</v>
      </c>
      <c r="R2154" s="59">
        <f>Survey!$P2154+(Survey!$Q2154*0.433)</f>
        <v>2300.5627583737628</v>
      </c>
    </row>
    <row r="2155" spans="1:18" x14ac:dyDescent="0.25">
      <c r="A2155" s="60" t="s">
        <v>17</v>
      </c>
      <c r="B2155" s="61" t="s">
        <v>22</v>
      </c>
      <c r="C2155" s="62" t="s">
        <v>19</v>
      </c>
      <c r="D2155" s="63">
        <v>242.90308582005602</v>
      </c>
      <c r="E2155" s="79">
        <v>1313009</v>
      </c>
      <c r="F2155" s="80">
        <v>1283570.2205882345</v>
      </c>
      <c r="G2155" s="66">
        <v>2690.2350060604413</v>
      </c>
      <c r="H2155" s="67">
        <v>2</v>
      </c>
      <c r="I2155" s="68" t="s">
        <v>20</v>
      </c>
      <c r="J2155" s="69">
        <v>40</v>
      </c>
      <c r="K2155" s="70">
        <v>2</v>
      </c>
      <c r="L2155" s="68">
        <v>1</v>
      </c>
      <c r="M2155" s="68">
        <f>_xlfn.XLOOKUP(Survey!$F2155,sections[Start],sections[Test Section],,-1,1)</f>
        <v>6</v>
      </c>
      <c r="N2155" s="55">
        <f>_xlfn.XLOOKUP(Survey!$K2155,pipedata[ID],pipedata[WT])</f>
        <v>0.74</v>
      </c>
      <c r="O2155" s="56">
        <f>_xlfn.XLOOKUP(Survey!$K2155,pipedata[ID],pipedata[104%])</f>
        <v>2565.3333333333335</v>
      </c>
      <c r="P2155" s="57">
        <f t="shared" si="33"/>
        <v>1850</v>
      </c>
      <c r="Q2155" s="58">
        <f>_xlfn.MAXIFS(Survey!$G$2:$G$3647,Survey!$M$2:$M$3647,Survey!$M2155)-Survey!$G2155</f>
        <v>1044.1896341679753</v>
      </c>
      <c r="R2155" s="59">
        <f>Survey!$P2155+(Survey!$Q2155*0.433)</f>
        <v>2302.1341115947334</v>
      </c>
    </row>
    <row r="2156" spans="1:18" x14ac:dyDescent="0.25">
      <c r="A2156" s="71" t="s">
        <v>17</v>
      </c>
      <c r="B2156" s="72" t="s">
        <v>22</v>
      </c>
      <c r="C2156" s="73" t="s">
        <v>19</v>
      </c>
      <c r="D2156" s="74">
        <v>242.91063957709682</v>
      </c>
      <c r="E2156" s="81">
        <v>1313049</v>
      </c>
      <c r="F2156" s="82">
        <v>1283609.5294117639</v>
      </c>
      <c r="G2156" s="75">
        <v>2687.7279825126498</v>
      </c>
      <c r="H2156" s="76">
        <v>2</v>
      </c>
      <c r="I2156" s="54" t="s">
        <v>20</v>
      </c>
      <c r="J2156" s="77">
        <v>40</v>
      </c>
      <c r="K2156" s="78">
        <v>2</v>
      </c>
      <c r="L2156" s="54">
        <v>1</v>
      </c>
      <c r="M2156" s="54">
        <f>_xlfn.XLOOKUP(Survey!$F2156,sections[Start],sections[Test Section],,-1,1)</f>
        <v>6</v>
      </c>
      <c r="N2156" s="55">
        <f>_xlfn.XLOOKUP(Survey!$K2156,pipedata[ID],pipedata[WT])</f>
        <v>0.74</v>
      </c>
      <c r="O2156" s="56">
        <f>_xlfn.XLOOKUP(Survey!$K2156,pipedata[ID],pipedata[104%])</f>
        <v>2565.3333333333335</v>
      </c>
      <c r="P2156" s="57">
        <f t="shared" si="33"/>
        <v>1850</v>
      </c>
      <c r="Q2156" s="58">
        <f>_xlfn.MAXIFS(Survey!$G$2:$G$3647,Survey!$M$2:$M$3647,Survey!$M2156)-Survey!$G2156</f>
        <v>1046.6966577157668</v>
      </c>
      <c r="R2156" s="59">
        <f>Survey!$P2156+(Survey!$Q2156*0.433)</f>
        <v>2303.2196527909273</v>
      </c>
    </row>
    <row r="2157" spans="1:18" x14ac:dyDescent="0.25">
      <c r="A2157" s="60" t="s">
        <v>17</v>
      </c>
      <c r="B2157" s="61" t="s">
        <v>22</v>
      </c>
      <c r="C2157" s="62" t="s">
        <v>19</v>
      </c>
      <c r="D2157" s="63">
        <v>242.91894177973856</v>
      </c>
      <c r="E2157" s="79">
        <v>1313089</v>
      </c>
      <c r="F2157" s="80">
        <v>1283648.8382352933</v>
      </c>
      <c r="G2157" s="66">
        <v>2683.6329932385038</v>
      </c>
      <c r="H2157" s="67">
        <v>2</v>
      </c>
      <c r="I2157" s="68" t="s">
        <v>20</v>
      </c>
      <c r="J2157" s="69">
        <v>40</v>
      </c>
      <c r="K2157" s="70">
        <v>2</v>
      </c>
      <c r="L2157" s="68">
        <v>1</v>
      </c>
      <c r="M2157" s="68">
        <f>_xlfn.XLOOKUP(Survey!$F2157,sections[Start],sections[Test Section],,-1,1)</f>
        <v>6</v>
      </c>
      <c r="N2157" s="55">
        <f>_xlfn.XLOOKUP(Survey!$K2157,pipedata[ID],pipedata[WT])</f>
        <v>0.74</v>
      </c>
      <c r="O2157" s="56">
        <f>_xlfn.XLOOKUP(Survey!$K2157,pipedata[ID],pipedata[104%])</f>
        <v>2565.3333333333335</v>
      </c>
      <c r="P2157" s="57">
        <f t="shared" si="33"/>
        <v>1850</v>
      </c>
      <c r="Q2157" s="58">
        <f>_xlfn.MAXIFS(Survey!$G$2:$G$3647,Survey!$M$2:$M$3647,Survey!$M2157)-Survey!$G2157</f>
        <v>1050.7916469899128</v>
      </c>
      <c r="R2157" s="59">
        <f>Survey!$P2157+(Survey!$Q2157*0.433)</f>
        <v>2304.9927831466321</v>
      </c>
    </row>
    <row r="2158" spans="1:18" x14ac:dyDescent="0.25">
      <c r="A2158" s="71" t="s">
        <v>17</v>
      </c>
      <c r="B2158" s="72" t="s">
        <v>22</v>
      </c>
      <c r="C2158" s="73" t="s">
        <v>19</v>
      </c>
      <c r="D2158" s="74">
        <v>242.92623473650428</v>
      </c>
      <c r="E2158" s="81">
        <v>1313129</v>
      </c>
      <c r="F2158" s="82">
        <v>1283688.1470588227</v>
      </c>
      <c r="G2158" s="75">
        <v>2678.8682734389308</v>
      </c>
      <c r="H2158" s="76">
        <v>2</v>
      </c>
      <c r="I2158" s="54" t="s">
        <v>20</v>
      </c>
      <c r="J2158" s="77">
        <v>40</v>
      </c>
      <c r="K2158" s="78">
        <v>2</v>
      </c>
      <c r="L2158" s="54">
        <v>1</v>
      </c>
      <c r="M2158" s="54">
        <f>_xlfn.XLOOKUP(Survey!$F2158,sections[Start],sections[Test Section],,-1,1)</f>
        <v>6</v>
      </c>
      <c r="N2158" s="55">
        <f>_xlfn.XLOOKUP(Survey!$K2158,pipedata[ID],pipedata[WT])</f>
        <v>0.74</v>
      </c>
      <c r="O2158" s="56">
        <f>_xlfn.XLOOKUP(Survey!$K2158,pipedata[ID],pipedata[104%])</f>
        <v>2565.3333333333335</v>
      </c>
      <c r="P2158" s="57">
        <f t="shared" si="33"/>
        <v>1850</v>
      </c>
      <c r="Q2158" s="58">
        <f>_xlfn.MAXIFS(Survey!$G$2:$G$3647,Survey!$M$2:$M$3647,Survey!$M2158)-Survey!$G2158</f>
        <v>1055.5563667894858</v>
      </c>
      <c r="R2158" s="59">
        <f>Survey!$P2158+(Survey!$Q2158*0.433)</f>
        <v>2307.0559068198472</v>
      </c>
    </row>
    <row r="2159" spans="1:18" x14ac:dyDescent="0.25">
      <c r="A2159" s="60" t="s">
        <v>17</v>
      </c>
      <c r="B2159" s="61" t="s">
        <v>22</v>
      </c>
      <c r="C2159" s="62" t="s">
        <v>19</v>
      </c>
      <c r="D2159" s="63">
        <v>242.9334706343613</v>
      </c>
      <c r="E2159" s="79">
        <v>1313169</v>
      </c>
      <c r="F2159" s="80">
        <v>1283727.4558823521</v>
      </c>
      <c r="G2159" s="66">
        <v>2675.822005213849</v>
      </c>
      <c r="H2159" s="67">
        <v>2</v>
      </c>
      <c r="I2159" s="68" t="s">
        <v>20</v>
      </c>
      <c r="J2159" s="69">
        <v>40</v>
      </c>
      <c r="K2159" s="70">
        <v>2</v>
      </c>
      <c r="L2159" s="68">
        <v>1</v>
      </c>
      <c r="M2159" s="68">
        <f>_xlfn.XLOOKUP(Survey!$F2159,sections[Start],sections[Test Section],,-1,1)</f>
        <v>6</v>
      </c>
      <c r="N2159" s="55">
        <f>_xlfn.XLOOKUP(Survey!$K2159,pipedata[ID],pipedata[WT])</f>
        <v>0.74</v>
      </c>
      <c r="O2159" s="56">
        <f>_xlfn.XLOOKUP(Survey!$K2159,pipedata[ID],pipedata[104%])</f>
        <v>2565.3333333333335</v>
      </c>
      <c r="P2159" s="57">
        <f t="shared" si="33"/>
        <v>1850</v>
      </c>
      <c r="Q2159" s="58">
        <f>_xlfn.MAXIFS(Survey!$G$2:$G$3647,Survey!$M$2:$M$3647,Survey!$M2159)-Survey!$G2159</f>
        <v>1058.6026350145676</v>
      </c>
      <c r="R2159" s="59">
        <f>Survey!$P2159+(Survey!$Q2159*0.433)</f>
        <v>2308.3749409613079</v>
      </c>
    </row>
    <row r="2160" spans="1:18" x14ac:dyDescent="0.25">
      <c r="A2160" s="71" t="s">
        <v>17</v>
      </c>
      <c r="B2160" s="72" t="s">
        <v>22</v>
      </c>
      <c r="C2160" s="73" t="s">
        <v>19</v>
      </c>
      <c r="D2160" s="74">
        <v>242.94177283700282</v>
      </c>
      <c r="E2160" s="81">
        <v>1313209</v>
      </c>
      <c r="F2160" s="82">
        <v>1283766.7647058815</v>
      </c>
      <c r="G2160" s="75">
        <v>2673.915652610578</v>
      </c>
      <c r="H2160" s="76">
        <v>2</v>
      </c>
      <c r="I2160" s="54" t="s">
        <v>20</v>
      </c>
      <c r="J2160" s="77">
        <v>40</v>
      </c>
      <c r="K2160" s="78">
        <v>2</v>
      </c>
      <c r="L2160" s="54">
        <v>1</v>
      </c>
      <c r="M2160" s="54">
        <f>_xlfn.XLOOKUP(Survey!$F2160,sections[Start],sections[Test Section],,-1,1)</f>
        <v>6</v>
      </c>
      <c r="N2160" s="55">
        <f>_xlfn.XLOOKUP(Survey!$K2160,pipedata[ID],pipedata[WT])</f>
        <v>0.74</v>
      </c>
      <c r="O2160" s="56">
        <f>_xlfn.XLOOKUP(Survey!$K2160,pipedata[ID],pipedata[104%])</f>
        <v>2565.3333333333335</v>
      </c>
      <c r="P2160" s="57">
        <f t="shared" si="33"/>
        <v>1850</v>
      </c>
      <c r="Q2160" s="58">
        <f>_xlfn.MAXIFS(Survey!$G$2:$G$3647,Survey!$M$2:$M$3647,Survey!$M2160)-Survey!$G2160</f>
        <v>1060.5089876178386</v>
      </c>
      <c r="R2160" s="59">
        <f>Survey!$P2160+(Survey!$Q2160*0.433)</f>
        <v>2309.2003916385243</v>
      </c>
    </row>
    <row r="2161" spans="1:18" x14ac:dyDescent="0.25">
      <c r="A2161" s="60" t="s">
        <v>17</v>
      </c>
      <c r="B2161" s="61" t="s">
        <v>22</v>
      </c>
      <c r="C2161" s="62" t="s">
        <v>19</v>
      </c>
      <c r="D2161" s="63">
        <v>242.94938365295243</v>
      </c>
      <c r="E2161" s="79">
        <v>1313249</v>
      </c>
      <c r="F2161" s="80">
        <v>1283806.0735294109</v>
      </c>
      <c r="G2161" s="66">
        <v>2669.720405289665</v>
      </c>
      <c r="H2161" s="67">
        <v>2</v>
      </c>
      <c r="I2161" s="68" t="s">
        <v>20</v>
      </c>
      <c r="J2161" s="69">
        <v>40</v>
      </c>
      <c r="K2161" s="70">
        <v>2</v>
      </c>
      <c r="L2161" s="68">
        <v>1</v>
      </c>
      <c r="M2161" s="68">
        <f>_xlfn.XLOOKUP(Survey!$F2161,sections[Start],sections[Test Section],,-1,1)</f>
        <v>6</v>
      </c>
      <c r="N2161" s="55">
        <f>_xlfn.XLOOKUP(Survey!$K2161,pipedata[ID],pipedata[WT])</f>
        <v>0.74</v>
      </c>
      <c r="O2161" s="56">
        <f>_xlfn.XLOOKUP(Survey!$K2161,pipedata[ID],pipedata[104%])</f>
        <v>2565.3333333333335</v>
      </c>
      <c r="P2161" s="57">
        <f t="shared" si="33"/>
        <v>1850</v>
      </c>
      <c r="Q2161" s="58">
        <f>_xlfn.MAXIFS(Survey!$G$2:$G$3647,Survey!$M$2:$M$3647,Survey!$M2161)-Survey!$G2161</f>
        <v>1064.7042349387516</v>
      </c>
      <c r="R2161" s="59">
        <f>Survey!$P2161+(Survey!$Q2161*0.433)</f>
        <v>2311.0169337284797</v>
      </c>
    </row>
    <row r="2162" spans="1:18" x14ac:dyDescent="0.25">
      <c r="A2162" s="71" t="s">
        <v>17</v>
      </c>
      <c r="B2162" s="72" t="s">
        <v>22</v>
      </c>
      <c r="C2162" s="73" t="s">
        <v>19</v>
      </c>
      <c r="D2162" s="74">
        <v>242.95662240083109</v>
      </c>
      <c r="E2162" s="81">
        <v>1313289</v>
      </c>
      <c r="F2162" s="82">
        <v>1283845.3823529403</v>
      </c>
      <c r="G2162" s="75">
        <v>2672.0992181130596</v>
      </c>
      <c r="H2162" s="76">
        <v>2</v>
      </c>
      <c r="I2162" s="54" t="s">
        <v>20</v>
      </c>
      <c r="J2162" s="77">
        <v>40</v>
      </c>
      <c r="K2162" s="78">
        <v>2</v>
      </c>
      <c r="L2162" s="54">
        <v>1</v>
      </c>
      <c r="M2162" s="54">
        <f>_xlfn.XLOOKUP(Survey!$F2162,sections[Start],sections[Test Section],,-1,1)</f>
        <v>6</v>
      </c>
      <c r="N2162" s="55">
        <f>_xlfn.XLOOKUP(Survey!$K2162,pipedata[ID],pipedata[WT])</f>
        <v>0.74</v>
      </c>
      <c r="O2162" s="56">
        <f>_xlfn.XLOOKUP(Survey!$K2162,pipedata[ID],pipedata[104%])</f>
        <v>2565.3333333333335</v>
      </c>
      <c r="P2162" s="57">
        <f t="shared" si="33"/>
        <v>1850</v>
      </c>
      <c r="Q2162" s="58">
        <f>_xlfn.MAXIFS(Survey!$G$2:$G$3647,Survey!$M$2:$M$3647,Survey!$M2162)-Survey!$G2162</f>
        <v>1062.325422115357</v>
      </c>
      <c r="R2162" s="59">
        <f>Survey!$P2162+(Survey!$Q2162*0.433)</f>
        <v>2309.9869077759495</v>
      </c>
    </row>
    <row r="2163" spans="1:18" x14ac:dyDescent="0.25">
      <c r="A2163" s="60" t="s">
        <v>17</v>
      </c>
      <c r="B2163" s="61" t="s">
        <v>22</v>
      </c>
      <c r="C2163" s="62" t="s">
        <v>19</v>
      </c>
      <c r="D2163" s="63">
        <v>242.96414665657392</v>
      </c>
      <c r="E2163" s="79">
        <v>1313329</v>
      </c>
      <c r="F2163" s="80">
        <v>1283884.6911764697</v>
      </c>
      <c r="G2163" s="66">
        <v>2673.0453495580705</v>
      </c>
      <c r="H2163" s="67">
        <v>2</v>
      </c>
      <c r="I2163" s="68" t="s">
        <v>20</v>
      </c>
      <c r="J2163" s="69">
        <v>40</v>
      </c>
      <c r="K2163" s="70">
        <v>2</v>
      </c>
      <c r="L2163" s="68">
        <v>1</v>
      </c>
      <c r="M2163" s="68">
        <f>_xlfn.XLOOKUP(Survey!$F2163,sections[Start],sections[Test Section],,-1,1)</f>
        <v>6</v>
      </c>
      <c r="N2163" s="55">
        <f>_xlfn.XLOOKUP(Survey!$K2163,pipedata[ID],pipedata[WT])</f>
        <v>0.74</v>
      </c>
      <c r="O2163" s="56">
        <f>_xlfn.XLOOKUP(Survey!$K2163,pipedata[ID],pipedata[104%])</f>
        <v>2565.3333333333335</v>
      </c>
      <c r="P2163" s="57">
        <f t="shared" si="33"/>
        <v>1850</v>
      </c>
      <c r="Q2163" s="58">
        <f>_xlfn.MAXIFS(Survey!$G$2:$G$3647,Survey!$M$2:$M$3647,Survey!$M2163)-Survey!$G2163</f>
        <v>1061.3792906703461</v>
      </c>
      <c r="R2163" s="59">
        <f>Survey!$P2163+(Survey!$Q2163*0.433)</f>
        <v>2309.5772328602598</v>
      </c>
    </row>
    <row r="2164" spans="1:18" x14ac:dyDescent="0.25">
      <c r="A2164" s="71" t="s">
        <v>17</v>
      </c>
      <c r="B2164" s="72" t="s">
        <v>22</v>
      </c>
      <c r="C2164" s="73" t="s">
        <v>19</v>
      </c>
      <c r="D2164" s="74">
        <v>242.9716709123166</v>
      </c>
      <c r="E2164" s="81">
        <v>1313369</v>
      </c>
      <c r="F2164" s="82">
        <v>1283923.9999999991</v>
      </c>
      <c r="G2164" s="75">
        <v>2673.900528629687</v>
      </c>
      <c r="H2164" s="76">
        <v>2</v>
      </c>
      <c r="I2164" s="54" t="s">
        <v>20</v>
      </c>
      <c r="J2164" s="77">
        <v>40</v>
      </c>
      <c r="K2164" s="78">
        <v>2</v>
      </c>
      <c r="L2164" s="54">
        <v>1</v>
      </c>
      <c r="M2164" s="54">
        <f>_xlfn.XLOOKUP(Survey!$F2164,sections[Start],sections[Test Section],,-1,1)</f>
        <v>6</v>
      </c>
      <c r="N2164" s="55">
        <f>_xlfn.XLOOKUP(Survey!$K2164,pipedata[ID],pipedata[WT])</f>
        <v>0.74</v>
      </c>
      <c r="O2164" s="56">
        <f>_xlfn.XLOOKUP(Survey!$K2164,pipedata[ID],pipedata[104%])</f>
        <v>2565.3333333333335</v>
      </c>
      <c r="P2164" s="57">
        <f t="shared" si="33"/>
        <v>1850</v>
      </c>
      <c r="Q2164" s="58">
        <f>_xlfn.MAXIFS(Survey!$G$2:$G$3647,Survey!$M$2:$M$3647,Survey!$M2164)-Survey!$G2164</f>
        <v>1060.5241115987296</v>
      </c>
      <c r="R2164" s="59">
        <f>Survey!$P2164+(Survey!$Q2164*0.433)</f>
        <v>2309.2069403222499</v>
      </c>
    </row>
    <row r="2165" spans="1:18" x14ac:dyDescent="0.25">
      <c r="A2165" s="60" t="s">
        <v>17</v>
      </c>
      <c r="B2165" s="61" t="s">
        <v>22</v>
      </c>
      <c r="C2165" s="62" t="s">
        <v>19</v>
      </c>
      <c r="D2165" s="63">
        <v>242.97958835913551</v>
      </c>
      <c r="E2165" s="79">
        <v>1313409</v>
      </c>
      <c r="F2165" s="80">
        <v>1283963.3088235285</v>
      </c>
      <c r="G2165" s="66">
        <v>2675.3572405439836</v>
      </c>
      <c r="H2165" s="67">
        <v>2</v>
      </c>
      <c r="I2165" s="68" t="s">
        <v>20</v>
      </c>
      <c r="J2165" s="69">
        <v>40</v>
      </c>
      <c r="K2165" s="70">
        <v>2</v>
      </c>
      <c r="L2165" s="68">
        <v>1</v>
      </c>
      <c r="M2165" s="68">
        <f>_xlfn.XLOOKUP(Survey!$F2165,sections[Start],sections[Test Section],,-1,1)</f>
        <v>6</v>
      </c>
      <c r="N2165" s="55">
        <f>_xlfn.XLOOKUP(Survey!$K2165,pipedata[ID],pipedata[WT])</f>
        <v>0.74</v>
      </c>
      <c r="O2165" s="56">
        <f>_xlfn.XLOOKUP(Survey!$K2165,pipedata[ID],pipedata[104%])</f>
        <v>2565.3333333333335</v>
      </c>
      <c r="P2165" s="57">
        <f t="shared" si="33"/>
        <v>1850</v>
      </c>
      <c r="Q2165" s="58">
        <f>_xlfn.MAXIFS(Survey!$G$2:$G$3647,Survey!$M$2:$M$3647,Survey!$M2165)-Survey!$G2165</f>
        <v>1059.067399684433</v>
      </c>
      <c r="R2165" s="59">
        <f>Survey!$P2165+(Survey!$Q2165*0.433)</f>
        <v>2308.5761840633595</v>
      </c>
    </row>
    <row r="2166" spans="1:18" x14ac:dyDescent="0.25">
      <c r="A2166" s="71" t="s">
        <v>17</v>
      </c>
      <c r="B2166" s="72" t="s">
        <v>22</v>
      </c>
      <c r="C2166" s="73" t="s">
        <v>19</v>
      </c>
      <c r="D2166" s="74">
        <v>242.98671942380182</v>
      </c>
      <c r="E2166" s="81">
        <v>1313449</v>
      </c>
      <c r="F2166" s="82">
        <v>1284002.6176470579</v>
      </c>
      <c r="G2166" s="75">
        <v>2677.2796394507163</v>
      </c>
      <c r="H2166" s="76">
        <v>2</v>
      </c>
      <c r="I2166" s="54" t="s">
        <v>20</v>
      </c>
      <c r="J2166" s="77">
        <v>40</v>
      </c>
      <c r="K2166" s="78">
        <v>2</v>
      </c>
      <c r="L2166" s="54">
        <v>1</v>
      </c>
      <c r="M2166" s="54">
        <f>_xlfn.XLOOKUP(Survey!$F2166,sections[Start],sections[Test Section],,-1,1)</f>
        <v>6</v>
      </c>
      <c r="N2166" s="55">
        <f>_xlfn.XLOOKUP(Survey!$K2166,pipedata[ID],pipedata[WT])</f>
        <v>0.74</v>
      </c>
      <c r="O2166" s="56">
        <f>_xlfn.XLOOKUP(Survey!$K2166,pipedata[ID],pipedata[104%])</f>
        <v>2565.3333333333335</v>
      </c>
      <c r="P2166" s="57">
        <f t="shared" si="33"/>
        <v>1850</v>
      </c>
      <c r="Q2166" s="58">
        <f>_xlfn.MAXIFS(Survey!$G$2:$G$3647,Survey!$M$2:$M$3647,Survey!$M2166)-Survey!$G2166</f>
        <v>1057.1450007777003</v>
      </c>
      <c r="R2166" s="59">
        <f>Survey!$P2166+(Survey!$Q2166*0.433)</f>
        <v>2307.7437853367442</v>
      </c>
    </row>
    <row r="2167" spans="1:18" x14ac:dyDescent="0.25">
      <c r="A2167" s="60" t="s">
        <v>17</v>
      </c>
      <c r="B2167" s="61" t="s">
        <v>22</v>
      </c>
      <c r="C2167" s="62" t="s">
        <v>19</v>
      </c>
      <c r="D2167" s="63">
        <v>242.9942436795437</v>
      </c>
      <c r="E2167" s="79">
        <v>1313489</v>
      </c>
      <c r="F2167" s="80">
        <v>1284041.9264705873</v>
      </c>
      <c r="G2167" s="66">
        <v>2681.1351365559153</v>
      </c>
      <c r="H2167" s="67">
        <v>2</v>
      </c>
      <c r="I2167" s="68" t="s">
        <v>20</v>
      </c>
      <c r="J2167" s="69">
        <v>40</v>
      </c>
      <c r="K2167" s="70">
        <v>2</v>
      </c>
      <c r="L2167" s="68">
        <v>1</v>
      </c>
      <c r="M2167" s="68">
        <f>_xlfn.XLOOKUP(Survey!$F2167,sections[Start],sections[Test Section],,-1,1)</f>
        <v>6</v>
      </c>
      <c r="N2167" s="55">
        <f>_xlfn.XLOOKUP(Survey!$K2167,pipedata[ID],pipedata[WT])</f>
        <v>0.74</v>
      </c>
      <c r="O2167" s="56">
        <f>_xlfn.XLOOKUP(Survey!$K2167,pipedata[ID],pipedata[104%])</f>
        <v>2565.3333333333335</v>
      </c>
      <c r="P2167" s="57">
        <f t="shared" si="33"/>
        <v>1850</v>
      </c>
      <c r="Q2167" s="58">
        <f>_xlfn.MAXIFS(Survey!$G$2:$G$3647,Survey!$M$2:$M$3647,Survey!$M2167)-Survey!$G2167</f>
        <v>1053.2895036725013</v>
      </c>
      <c r="R2167" s="59">
        <f>Survey!$P2167+(Survey!$Q2167*0.433)</f>
        <v>2306.074355090193</v>
      </c>
    </row>
    <row r="2168" spans="1:18" x14ac:dyDescent="0.25">
      <c r="A2168" s="71" t="s">
        <v>17</v>
      </c>
      <c r="B2168" s="72" t="s">
        <v>22</v>
      </c>
      <c r="C2168" s="73" t="s">
        <v>19</v>
      </c>
      <c r="D2168" s="74">
        <v>243.00220249448003</v>
      </c>
      <c r="E2168" s="81">
        <v>1313529</v>
      </c>
      <c r="F2168" s="82">
        <v>1284081.2352941167</v>
      </c>
      <c r="G2168" s="75">
        <v>2684.2930858029126</v>
      </c>
      <c r="H2168" s="76">
        <v>2</v>
      </c>
      <c r="I2168" s="54" t="s">
        <v>20</v>
      </c>
      <c r="J2168" s="77">
        <v>40</v>
      </c>
      <c r="K2168" s="78">
        <v>2</v>
      </c>
      <c r="L2168" s="54">
        <v>1</v>
      </c>
      <c r="M2168" s="54">
        <f>_xlfn.XLOOKUP(Survey!$F2168,sections[Start],sections[Test Section],,-1,1)</f>
        <v>6</v>
      </c>
      <c r="N2168" s="55">
        <f>_xlfn.XLOOKUP(Survey!$K2168,pipedata[ID],pipedata[WT])</f>
        <v>0.74</v>
      </c>
      <c r="O2168" s="56">
        <f>_xlfn.XLOOKUP(Survey!$K2168,pipedata[ID],pipedata[104%])</f>
        <v>2565.3333333333335</v>
      </c>
      <c r="P2168" s="57">
        <f t="shared" si="33"/>
        <v>1850</v>
      </c>
      <c r="Q2168" s="58">
        <f>_xlfn.MAXIFS(Survey!$G$2:$G$3647,Survey!$M$2:$M$3647,Survey!$M2168)-Survey!$G2168</f>
        <v>1050.131554425504</v>
      </c>
      <c r="R2168" s="59">
        <f>Survey!$P2168+(Survey!$Q2168*0.433)</f>
        <v>2304.7069630662431</v>
      </c>
    </row>
    <row r="2169" spans="1:18" x14ac:dyDescent="0.25">
      <c r="A2169" s="60" t="s">
        <v>17</v>
      </c>
      <c r="B2169" s="61" t="s">
        <v>22</v>
      </c>
      <c r="C2169" s="62" t="s">
        <v>19</v>
      </c>
      <c r="D2169" s="63">
        <v>243.00929219102972</v>
      </c>
      <c r="E2169" s="79">
        <v>1313569</v>
      </c>
      <c r="F2169" s="80">
        <v>1284120.5441176461</v>
      </c>
      <c r="G2169" s="66">
        <v>2687.1529755425704</v>
      </c>
      <c r="H2169" s="67">
        <v>2</v>
      </c>
      <c r="I2169" s="68" t="s">
        <v>20</v>
      </c>
      <c r="J2169" s="69">
        <v>40</v>
      </c>
      <c r="K2169" s="70">
        <v>2</v>
      </c>
      <c r="L2169" s="68">
        <v>1</v>
      </c>
      <c r="M2169" s="68">
        <f>_xlfn.XLOOKUP(Survey!$F2169,sections[Start],sections[Test Section],,-1,1)</f>
        <v>6</v>
      </c>
      <c r="N2169" s="55">
        <f>_xlfn.XLOOKUP(Survey!$K2169,pipedata[ID],pipedata[WT])</f>
        <v>0.74</v>
      </c>
      <c r="O2169" s="56">
        <f>_xlfn.XLOOKUP(Survey!$K2169,pipedata[ID],pipedata[104%])</f>
        <v>2565.3333333333335</v>
      </c>
      <c r="P2169" s="57">
        <f t="shared" si="33"/>
        <v>1850</v>
      </c>
      <c r="Q2169" s="58">
        <f>_xlfn.MAXIFS(Survey!$G$2:$G$3647,Survey!$M$2:$M$3647,Survey!$M2169)-Survey!$G2169</f>
        <v>1047.2716646858462</v>
      </c>
      <c r="R2169" s="59">
        <f>Survey!$P2169+(Survey!$Q2169*0.433)</f>
        <v>2303.4686308089713</v>
      </c>
    </row>
    <row r="2170" spans="1:18" x14ac:dyDescent="0.25">
      <c r="A2170" s="71" t="s">
        <v>17</v>
      </c>
      <c r="B2170" s="72" t="s">
        <v>22</v>
      </c>
      <c r="C2170" s="73" t="s">
        <v>19</v>
      </c>
      <c r="D2170" s="74">
        <v>243.01681644677154</v>
      </c>
      <c r="E2170" s="81">
        <v>1313609</v>
      </c>
      <c r="F2170" s="82">
        <v>1284159.8529411755</v>
      </c>
      <c r="G2170" s="75">
        <v>2690.5107301335029</v>
      </c>
      <c r="H2170" s="76">
        <v>2</v>
      </c>
      <c r="I2170" s="54" t="s">
        <v>20</v>
      </c>
      <c r="J2170" s="77">
        <v>40</v>
      </c>
      <c r="K2170" s="78">
        <v>2</v>
      </c>
      <c r="L2170" s="54">
        <v>1</v>
      </c>
      <c r="M2170" s="54">
        <f>_xlfn.XLOOKUP(Survey!$F2170,sections[Start],sections[Test Section],,-1,1)</f>
        <v>6</v>
      </c>
      <c r="N2170" s="55">
        <f>_xlfn.XLOOKUP(Survey!$K2170,pipedata[ID],pipedata[WT])</f>
        <v>0.74</v>
      </c>
      <c r="O2170" s="56">
        <f>_xlfn.XLOOKUP(Survey!$K2170,pipedata[ID],pipedata[104%])</f>
        <v>2565.3333333333335</v>
      </c>
      <c r="P2170" s="57">
        <f t="shared" si="33"/>
        <v>1850</v>
      </c>
      <c r="Q2170" s="58">
        <f>_xlfn.MAXIFS(Survey!$G$2:$G$3647,Survey!$M$2:$M$3647,Survey!$M2170)-Survey!$G2170</f>
        <v>1043.9139100949137</v>
      </c>
      <c r="R2170" s="59">
        <f>Survey!$P2170+(Survey!$Q2170*0.433)</f>
        <v>2302.0147230710977</v>
      </c>
    </row>
    <row r="2171" spans="1:18" x14ac:dyDescent="0.25">
      <c r="A2171" s="60" t="s">
        <v>17</v>
      </c>
      <c r="B2171" s="61" t="s">
        <v>22</v>
      </c>
      <c r="C2171" s="62" t="s">
        <v>19</v>
      </c>
      <c r="D2171" s="63">
        <v>243.02418805803353</v>
      </c>
      <c r="E2171" s="79">
        <v>1313649</v>
      </c>
      <c r="F2171" s="80">
        <v>1284199.1617647049</v>
      </c>
      <c r="G2171" s="66">
        <v>2692.0787160802056</v>
      </c>
      <c r="H2171" s="67">
        <v>2</v>
      </c>
      <c r="I2171" s="68" t="s">
        <v>20</v>
      </c>
      <c r="J2171" s="69">
        <v>40</v>
      </c>
      <c r="K2171" s="70">
        <v>2</v>
      </c>
      <c r="L2171" s="68">
        <v>1</v>
      </c>
      <c r="M2171" s="68">
        <f>_xlfn.XLOOKUP(Survey!$F2171,sections[Start],sections[Test Section],,-1,1)</f>
        <v>6</v>
      </c>
      <c r="N2171" s="55">
        <f>_xlfn.XLOOKUP(Survey!$K2171,pipedata[ID],pipedata[WT])</f>
        <v>0.74</v>
      </c>
      <c r="O2171" s="56">
        <f>_xlfn.XLOOKUP(Survey!$K2171,pipedata[ID],pipedata[104%])</f>
        <v>2565.3333333333335</v>
      </c>
      <c r="P2171" s="57">
        <f t="shared" si="33"/>
        <v>1850</v>
      </c>
      <c r="Q2171" s="58">
        <f>_xlfn.MAXIFS(Survey!$G$2:$G$3647,Survey!$M$2:$M$3647,Survey!$M2171)-Survey!$G2171</f>
        <v>1042.345924148211</v>
      </c>
      <c r="R2171" s="59">
        <f>Survey!$P2171+(Survey!$Q2171*0.433)</f>
        <v>2301.3357851561755</v>
      </c>
    </row>
    <row r="2172" spans="1:18" x14ac:dyDescent="0.25">
      <c r="A2172" s="71" t="s">
        <v>17</v>
      </c>
      <c r="B2172" s="72" t="s">
        <v>22</v>
      </c>
      <c r="C2172" s="73" t="s">
        <v>19</v>
      </c>
      <c r="D2172" s="74">
        <v>243.03196228449741</v>
      </c>
      <c r="E2172" s="81">
        <v>1313689</v>
      </c>
      <c r="F2172" s="82">
        <v>1284238.4705882343</v>
      </c>
      <c r="G2172" s="75">
        <v>2691.5823427796358</v>
      </c>
      <c r="H2172" s="76">
        <v>2</v>
      </c>
      <c r="I2172" s="54" t="s">
        <v>20</v>
      </c>
      <c r="J2172" s="77">
        <v>40</v>
      </c>
      <c r="K2172" s="78">
        <v>2</v>
      </c>
      <c r="L2172" s="54">
        <v>1</v>
      </c>
      <c r="M2172" s="54">
        <f>_xlfn.XLOOKUP(Survey!$F2172,sections[Start],sections[Test Section],,-1,1)</f>
        <v>6</v>
      </c>
      <c r="N2172" s="55">
        <f>_xlfn.XLOOKUP(Survey!$K2172,pipedata[ID],pipedata[WT])</f>
        <v>0.74</v>
      </c>
      <c r="O2172" s="56">
        <f>_xlfn.XLOOKUP(Survey!$K2172,pipedata[ID],pipedata[104%])</f>
        <v>2565.3333333333335</v>
      </c>
      <c r="P2172" s="57">
        <f t="shared" si="33"/>
        <v>1850</v>
      </c>
      <c r="Q2172" s="58">
        <f>_xlfn.MAXIFS(Survey!$G$2:$G$3647,Survey!$M$2:$M$3647,Survey!$M2172)-Survey!$G2172</f>
        <v>1042.8422974487808</v>
      </c>
      <c r="R2172" s="59">
        <f>Survey!$P2172+(Survey!$Q2172*0.433)</f>
        <v>2301.5507147953222</v>
      </c>
    </row>
    <row r="2173" spans="1:18" x14ac:dyDescent="0.25">
      <c r="A2173" s="60" t="s">
        <v>17</v>
      </c>
      <c r="B2173" s="61" t="s">
        <v>22</v>
      </c>
      <c r="C2173" s="62" t="s">
        <v>19</v>
      </c>
      <c r="D2173" s="63">
        <v>243.03973651096126</v>
      </c>
      <c r="E2173" s="64">
        <v>1313729</v>
      </c>
      <c r="F2173" s="65">
        <v>1284277.7794117637</v>
      </c>
      <c r="G2173" s="66">
        <v>2688.9757733237061</v>
      </c>
      <c r="H2173" s="67">
        <v>2</v>
      </c>
      <c r="I2173" s="68" t="s">
        <v>20</v>
      </c>
      <c r="J2173" s="69">
        <v>40</v>
      </c>
      <c r="K2173" s="70">
        <v>2</v>
      </c>
      <c r="L2173" s="68">
        <v>1</v>
      </c>
      <c r="M2173" s="68">
        <f>_xlfn.XLOOKUP(Survey!$F2173,sections[Start],sections[Test Section],,-1,1)</f>
        <v>6</v>
      </c>
      <c r="N2173" s="55">
        <f>_xlfn.XLOOKUP(Survey!$K2173,pipedata[ID],pipedata[WT])</f>
        <v>0.74</v>
      </c>
      <c r="O2173" s="56">
        <f>_xlfn.XLOOKUP(Survey!$K2173,pipedata[ID],pipedata[104%])</f>
        <v>2565.3333333333335</v>
      </c>
      <c r="P2173" s="57">
        <f t="shared" si="33"/>
        <v>1850</v>
      </c>
      <c r="Q2173" s="58">
        <f>_xlfn.MAXIFS(Survey!$G$2:$G$3647,Survey!$M$2:$M$3647,Survey!$M2173)-Survey!$G2173</f>
        <v>1045.4488669047105</v>
      </c>
      <c r="R2173" s="59">
        <f>Survey!$P2173+(Survey!$Q2173*0.433)</f>
        <v>2302.6793593697398</v>
      </c>
    </row>
    <row r="2174" spans="1:18" x14ac:dyDescent="0.25">
      <c r="A2174" s="71" t="s">
        <v>17</v>
      </c>
      <c r="B2174" s="72" t="s">
        <v>22</v>
      </c>
      <c r="C2174" s="73" t="s">
        <v>19</v>
      </c>
      <c r="D2174" s="74">
        <v>243.04751073742514</v>
      </c>
      <c r="E2174" s="81">
        <v>1313769</v>
      </c>
      <c r="F2174" s="82">
        <v>1284317.088235293</v>
      </c>
      <c r="G2174" s="75">
        <v>2684.886518799954</v>
      </c>
      <c r="H2174" s="76">
        <v>2</v>
      </c>
      <c r="I2174" s="54" t="s">
        <v>20</v>
      </c>
      <c r="J2174" s="77">
        <v>40</v>
      </c>
      <c r="K2174" s="78">
        <v>2</v>
      </c>
      <c r="L2174" s="54">
        <v>1</v>
      </c>
      <c r="M2174" s="54">
        <f>_xlfn.XLOOKUP(Survey!$F2174,sections[Start],sections[Test Section],,-1,1)</f>
        <v>6</v>
      </c>
      <c r="N2174" s="55">
        <f>_xlfn.XLOOKUP(Survey!$K2174,pipedata[ID],pipedata[WT])</f>
        <v>0.74</v>
      </c>
      <c r="O2174" s="56">
        <f>_xlfn.XLOOKUP(Survey!$K2174,pipedata[ID],pipedata[104%])</f>
        <v>2565.3333333333335</v>
      </c>
      <c r="P2174" s="57">
        <f t="shared" si="33"/>
        <v>1850</v>
      </c>
      <c r="Q2174" s="58">
        <f>_xlfn.MAXIFS(Survey!$G$2:$G$3647,Survey!$M$2:$M$3647,Survey!$M2174)-Survey!$G2174</f>
        <v>1049.5381214284625</v>
      </c>
      <c r="R2174" s="59">
        <f>Survey!$P2174+(Survey!$Q2174*0.433)</f>
        <v>2304.4500065785242</v>
      </c>
    </row>
    <row r="2175" spans="1:18" x14ac:dyDescent="0.25">
      <c r="A2175" s="60" t="s">
        <v>17</v>
      </c>
      <c r="B2175" s="61" t="s">
        <v>22</v>
      </c>
      <c r="C2175" s="62" t="s">
        <v>19</v>
      </c>
      <c r="D2175" s="63">
        <v>243.05409243934639</v>
      </c>
      <c r="E2175" s="79">
        <v>1313809</v>
      </c>
      <c r="F2175" s="80">
        <v>1284356.3970588224</v>
      </c>
      <c r="G2175" s="66">
        <v>2679.0104769418854</v>
      </c>
      <c r="H2175" s="67">
        <v>2</v>
      </c>
      <c r="I2175" s="68" t="s">
        <v>20</v>
      </c>
      <c r="J2175" s="69">
        <v>40</v>
      </c>
      <c r="K2175" s="70">
        <v>2</v>
      </c>
      <c r="L2175" s="68">
        <v>1</v>
      </c>
      <c r="M2175" s="68">
        <f>_xlfn.XLOOKUP(Survey!$F2175,sections[Start],sections[Test Section],,-1,1)</f>
        <v>6</v>
      </c>
      <c r="N2175" s="55">
        <f>_xlfn.XLOOKUP(Survey!$K2175,pipedata[ID],pipedata[WT])</f>
        <v>0.74</v>
      </c>
      <c r="O2175" s="56">
        <f>_xlfn.XLOOKUP(Survey!$K2175,pipedata[ID],pipedata[104%])</f>
        <v>2565.3333333333335</v>
      </c>
      <c r="P2175" s="57">
        <f t="shared" si="33"/>
        <v>1850</v>
      </c>
      <c r="Q2175" s="58">
        <f>_xlfn.MAXIFS(Survey!$G$2:$G$3647,Survey!$M$2:$M$3647,Survey!$M2175)-Survey!$G2175</f>
        <v>1055.4141632865312</v>
      </c>
      <c r="R2175" s="59">
        <f>Survey!$P2175+(Survey!$Q2175*0.433)</f>
        <v>2306.9943327030678</v>
      </c>
    </row>
    <row r="2176" spans="1:18" x14ac:dyDescent="0.25">
      <c r="A2176" s="71" t="s">
        <v>17</v>
      </c>
      <c r="B2176" s="72" t="s">
        <v>22</v>
      </c>
      <c r="C2176" s="73" t="s">
        <v>19</v>
      </c>
      <c r="D2176" s="74">
        <v>243.06167060566966</v>
      </c>
      <c r="E2176" s="81">
        <v>1313849</v>
      </c>
      <c r="F2176" s="82">
        <v>1284395.7058823518</v>
      </c>
      <c r="G2176" s="75">
        <v>2673.6307236649959</v>
      </c>
      <c r="H2176" s="76">
        <v>2</v>
      </c>
      <c r="I2176" s="54" t="s">
        <v>20</v>
      </c>
      <c r="J2176" s="77">
        <v>40</v>
      </c>
      <c r="K2176" s="78">
        <v>2</v>
      </c>
      <c r="L2176" s="54">
        <v>1</v>
      </c>
      <c r="M2176" s="54">
        <f>_xlfn.XLOOKUP(Survey!$F2176,sections[Start],sections[Test Section],,-1,1)</f>
        <v>6</v>
      </c>
      <c r="N2176" s="55">
        <f>_xlfn.XLOOKUP(Survey!$K2176,pipedata[ID],pipedata[WT])</f>
        <v>0.74</v>
      </c>
      <c r="O2176" s="56">
        <f>_xlfn.XLOOKUP(Survey!$K2176,pipedata[ID],pipedata[104%])</f>
        <v>2565.3333333333335</v>
      </c>
      <c r="P2176" s="57">
        <f t="shared" si="33"/>
        <v>1850</v>
      </c>
      <c r="Q2176" s="58">
        <f>_xlfn.MAXIFS(Survey!$G$2:$G$3647,Survey!$M$2:$M$3647,Survey!$M2176)-Survey!$G2176</f>
        <v>1060.7939165634207</v>
      </c>
      <c r="R2176" s="59">
        <f>Survey!$P2176+(Survey!$Q2176*0.433)</f>
        <v>2309.3237658719613</v>
      </c>
    </row>
    <row r="2177" spans="1:18" x14ac:dyDescent="0.25">
      <c r="A2177" s="60" t="s">
        <v>17</v>
      </c>
      <c r="B2177" s="61" t="s">
        <v>22</v>
      </c>
      <c r="C2177" s="62" t="s">
        <v>19</v>
      </c>
      <c r="D2177" s="63">
        <v>243.06924877199296</v>
      </c>
      <c r="E2177" s="64">
        <v>1313889</v>
      </c>
      <c r="F2177" s="65">
        <v>1284435.0147058812</v>
      </c>
      <c r="G2177" s="66">
        <v>2669.4470467100291</v>
      </c>
      <c r="H2177" s="67">
        <v>2</v>
      </c>
      <c r="I2177" s="68" t="s">
        <v>20</v>
      </c>
      <c r="J2177" s="69">
        <v>40</v>
      </c>
      <c r="K2177" s="70">
        <v>2</v>
      </c>
      <c r="L2177" s="68">
        <v>1</v>
      </c>
      <c r="M2177" s="68">
        <f>_xlfn.XLOOKUP(Survey!$F2177,sections[Start],sections[Test Section],,-1,1)</f>
        <v>6</v>
      </c>
      <c r="N2177" s="55">
        <f>_xlfn.XLOOKUP(Survey!$K2177,pipedata[ID],pipedata[WT])</f>
        <v>0.74</v>
      </c>
      <c r="O2177" s="56">
        <f>_xlfn.XLOOKUP(Survey!$K2177,pipedata[ID],pipedata[104%])</f>
        <v>2565.3333333333335</v>
      </c>
      <c r="P2177" s="57">
        <f t="shared" si="33"/>
        <v>1850</v>
      </c>
      <c r="Q2177" s="58">
        <f>_xlfn.MAXIFS(Survey!$G$2:$G$3647,Survey!$M$2:$M$3647,Survey!$M2177)-Survey!$G2177</f>
        <v>1064.9775935183875</v>
      </c>
      <c r="R2177" s="59">
        <f>Survey!$P2177+(Survey!$Q2177*0.433)</f>
        <v>2311.1352979934618</v>
      </c>
    </row>
    <row r="2178" spans="1:18" x14ac:dyDescent="0.25">
      <c r="A2178" s="71" t="s">
        <v>17</v>
      </c>
      <c r="B2178" s="72" t="s">
        <v>22</v>
      </c>
      <c r="C2178" s="73" t="s">
        <v>19</v>
      </c>
      <c r="D2178" s="74">
        <v>243.07683911242808</v>
      </c>
      <c r="E2178" s="81">
        <v>1313929</v>
      </c>
      <c r="F2178" s="82">
        <v>1284474.3235294106</v>
      </c>
      <c r="G2178" s="75">
        <v>2666.241085495948</v>
      </c>
      <c r="H2178" s="76">
        <v>2</v>
      </c>
      <c r="I2178" s="54" t="s">
        <v>20</v>
      </c>
      <c r="J2178" s="77">
        <v>40</v>
      </c>
      <c r="K2178" s="78">
        <v>2</v>
      </c>
      <c r="L2178" s="54">
        <v>1</v>
      </c>
      <c r="M2178" s="54">
        <f>_xlfn.XLOOKUP(Survey!$F2178,sections[Start],sections[Test Section],,-1,1)</f>
        <v>6</v>
      </c>
      <c r="N2178" s="55">
        <f>_xlfn.XLOOKUP(Survey!$K2178,pipedata[ID],pipedata[WT])</f>
        <v>0.74</v>
      </c>
      <c r="O2178" s="56">
        <f>_xlfn.XLOOKUP(Survey!$K2178,pipedata[ID],pipedata[104%])</f>
        <v>2565.3333333333335</v>
      </c>
      <c r="P2178" s="57">
        <f t="shared" ref="P2178:P2241" si="34">IF(L2178=1,1850,IF(L2178=2,1850,2220))</f>
        <v>1850</v>
      </c>
      <c r="Q2178" s="58">
        <f>_xlfn.MAXIFS(Survey!$G$2:$G$3647,Survey!$M$2:$M$3647,Survey!$M2178)-Survey!$G2178</f>
        <v>1068.1835547324686</v>
      </c>
      <c r="R2178" s="59">
        <f>Survey!$P2178+(Survey!$Q2178*0.433)</f>
        <v>2312.5234791991588</v>
      </c>
    </row>
    <row r="2179" spans="1:18" x14ac:dyDescent="0.25">
      <c r="A2179" s="60" t="s">
        <v>17</v>
      </c>
      <c r="B2179" s="61" t="s">
        <v>22</v>
      </c>
      <c r="C2179" s="62" t="s">
        <v>19</v>
      </c>
      <c r="D2179" s="63">
        <v>243.08481666435657</v>
      </c>
      <c r="E2179" s="79">
        <v>1313969</v>
      </c>
      <c r="F2179" s="80">
        <v>1284513.63235294</v>
      </c>
      <c r="G2179" s="66">
        <v>2665.1197689371738</v>
      </c>
      <c r="H2179" s="67">
        <v>2</v>
      </c>
      <c r="I2179" s="68" t="s">
        <v>20</v>
      </c>
      <c r="J2179" s="69">
        <v>40</v>
      </c>
      <c r="K2179" s="70">
        <v>2</v>
      </c>
      <c r="L2179" s="68">
        <v>1</v>
      </c>
      <c r="M2179" s="68">
        <f>_xlfn.XLOOKUP(Survey!$F2179,sections[Start],sections[Test Section],,-1,1)</f>
        <v>6</v>
      </c>
      <c r="N2179" s="55">
        <f>_xlfn.XLOOKUP(Survey!$K2179,pipedata[ID],pipedata[WT])</f>
        <v>0.74</v>
      </c>
      <c r="O2179" s="56">
        <f>_xlfn.XLOOKUP(Survey!$K2179,pipedata[ID],pipedata[104%])</f>
        <v>2565.3333333333335</v>
      </c>
      <c r="P2179" s="57">
        <f t="shared" si="34"/>
        <v>1850</v>
      </c>
      <c r="Q2179" s="58">
        <f>_xlfn.MAXIFS(Survey!$G$2:$G$3647,Survey!$M$2:$M$3647,Survey!$M2179)-Survey!$G2179</f>
        <v>1069.3048712912428</v>
      </c>
      <c r="R2179" s="59">
        <f>Survey!$P2179+(Survey!$Q2179*0.433)</f>
        <v>2313.009009269108</v>
      </c>
    </row>
    <row r="2180" spans="1:18" x14ac:dyDescent="0.25">
      <c r="A2180" s="71" t="s">
        <v>17</v>
      </c>
      <c r="B2180" s="72" t="s">
        <v>22</v>
      </c>
      <c r="C2180" s="73" t="s">
        <v>19</v>
      </c>
      <c r="D2180" s="74">
        <v>243.09217935040505</v>
      </c>
      <c r="E2180" s="81">
        <v>1314009</v>
      </c>
      <c r="F2180" s="82">
        <v>1284552.9411764694</v>
      </c>
      <c r="G2180" s="75">
        <v>2664.318044896424</v>
      </c>
      <c r="H2180" s="76">
        <v>2</v>
      </c>
      <c r="I2180" s="54" t="s">
        <v>20</v>
      </c>
      <c r="J2180" s="77">
        <v>40</v>
      </c>
      <c r="K2180" s="78">
        <v>2</v>
      </c>
      <c r="L2180" s="54">
        <v>1</v>
      </c>
      <c r="M2180" s="54">
        <f>_xlfn.XLOOKUP(Survey!$F2180,sections[Start],sections[Test Section],,-1,1)</f>
        <v>6</v>
      </c>
      <c r="N2180" s="55">
        <f>_xlfn.XLOOKUP(Survey!$K2180,pipedata[ID],pipedata[WT])</f>
        <v>0.74</v>
      </c>
      <c r="O2180" s="56">
        <f>_xlfn.XLOOKUP(Survey!$K2180,pipedata[ID],pipedata[104%])</f>
        <v>2565.3333333333335</v>
      </c>
      <c r="P2180" s="57">
        <f t="shared" si="34"/>
        <v>1850</v>
      </c>
      <c r="Q2180" s="58">
        <f>_xlfn.MAXIFS(Survey!$G$2:$G$3647,Survey!$M$2:$M$3647,Survey!$M2180)-Survey!$G2180</f>
        <v>1070.1065953319926</v>
      </c>
      <c r="R2180" s="59">
        <f>Survey!$P2180+(Survey!$Q2180*0.433)</f>
        <v>2313.356155778753</v>
      </c>
    </row>
    <row r="2181" spans="1:18" x14ac:dyDescent="0.25">
      <c r="A2181" s="60" t="s">
        <v>17</v>
      </c>
      <c r="B2181" s="61" t="s">
        <v>22</v>
      </c>
      <c r="C2181" s="62" t="s">
        <v>19</v>
      </c>
      <c r="D2181" s="63">
        <v>243.09984946939363</v>
      </c>
      <c r="E2181" s="79">
        <v>1314049</v>
      </c>
      <c r="F2181" s="80">
        <v>1284592.2499999988</v>
      </c>
      <c r="G2181" s="66">
        <v>2661.8637277912721</v>
      </c>
      <c r="H2181" s="67">
        <v>2</v>
      </c>
      <c r="I2181" s="68" t="s">
        <v>20</v>
      </c>
      <c r="J2181" s="69">
        <v>40</v>
      </c>
      <c r="K2181" s="70">
        <v>2</v>
      </c>
      <c r="L2181" s="68">
        <v>1</v>
      </c>
      <c r="M2181" s="68">
        <f>_xlfn.XLOOKUP(Survey!$F2181,sections[Start],sections[Test Section],,-1,1)</f>
        <v>6</v>
      </c>
      <c r="N2181" s="55">
        <f>_xlfn.XLOOKUP(Survey!$K2181,pipedata[ID],pipedata[WT])</f>
        <v>0.74</v>
      </c>
      <c r="O2181" s="56">
        <f>_xlfn.XLOOKUP(Survey!$K2181,pipedata[ID],pipedata[104%])</f>
        <v>2565.3333333333335</v>
      </c>
      <c r="P2181" s="57">
        <f t="shared" si="34"/>
        <v>1850</v>
      </c>
      <c r="Q2181" s="58">
        <f>_xlfn.MAXIFS(Survey!$G$2:$G$3647,Survey!$M$2:$M$3647,Survey!$M2181)-Survey!$G2181</f>
        <v>1072.5609124371445</v>
      </c>
      <c r="R2181" s="59">
        <f>Survey!$P2181+(Survey!$Q2181*0.433)</f>
        <v>2314.4188750852836</v>
      </c>
    </row>
    <row r="2182" spans="1:18" x14ac:dyDescent="0.25">
      <c r="A2182" s="71" t="s">
        <v>17</v>
      </c>
      <c r="B2182" s="72" t="s">
        <v>22</v>
      </c>
      <c r="C2182" s="73" t="s">
        <v>19</v>
      </c>
      <c r="D2182" s="74">
        <v>243.10751958838222</v>
      </c>
      <c r="E2182" s="81">
        <v>1314089</v>
      </c>
      <c r="F2182" s="82">
        <v>1284631.5588235282</v>
      </c>
      <c r="G2182" s="75">
        <v>2660.7532083768469</v>
      </c>
      <c r="H2182" s="76">
        <v>2</v>
      </c>
      <c r="I2182" s="54" t="s">
        <v>20</v>
      </c>
      <c r="J2182" s="77">
        <v>40</v>
      </c>
      <c r="K2182" s="78">
        <v>2</v>
      </c>
      <c r="L2182" s="54">
        <v>1</v>
      </c>
      <c r="M2182" s="54">
        <f>_xlfn.XLOOKUP(Survey!$F2182,sections[Start],sections[Test Section],,-1,1)</f>
        <v>6</v>
      </c>
      <c r="N2182" s="55">
        <f>_xlfn.XLOOKUP(Survey!$K2182,pipedata[ID],pipedata[WT])</f>
        <v>0.74</v>
      </c>
      <c r="O2182" s="56">
        <f>_xlfn.XLOOKUP(Survey!$K2182,pipedata[ID],pipedata[104%])</f>
        <v>2565.3333333333335</v>
      </c>
      <c r="P2182" s="57">
        <f t="shared" si="34"/>
        <v>1850</v>
      </c>
      <c r="Q2182" s="58">
        <f>_xlfn.MAXIFS(Survey!$G$2:$G$3647,Survey!$M$2:$M$3647,Survey!$M2182)-Survey!$G2182</f>
        <v>1073.6714318515697</v>
      </c>
      <c r="R2182" s="59">
        <f>Survey!$P2182+(Survey!$Q2182*0.433)</f>
        <v>2314.8997299917296</v>
      </c>
    </row>
    <row r="2183" spans="1:18" x14ac:dyDescent="0.25">
      <c r="A2183" s="60" t="s">
        <v>17</v>
      </c>
      <c r="B2183" s="61" t="s">
        <v>22</v>
      </c>
      <c r="C2183" s="62" t="s">
        <v>19</v>
      </c>
      <c r="D2183" s="63">
        <v>243.11518970737072</v>
      </c>
      <c r="E2183" s="79">
        <v>1314129</v>
      </c>
      <c r="F2183" s="80">
        <v>1284670.8676470576</v>
      </c>
      <c r="G2183" s="66">
        <v>2658.76</v>
      </c>
      <c r="H2183" s="67">
        <v>2</v>
      </c>
      <c r="I2183" s="68" t="s">
        <v>20</v>
      </c>
      <c r="J2183" s="69">
        <v>40</v>
      </c>
      <c r="K2183" s="70">
        <v>2</v>
      </c>
      <c r="L2183" s="68">
        <v>1</v>
      </c>
      <c r="M2183" s="68">
        <f>_xlfn.XLOOKUP(Survey!$F2183,sections[Start],sections[Test Section],,-1,1)</f>
        <v>6</v>
      </c>
      <c r="N2183" s="55">
        <f>_xlfn.XLOOKUP(Survey!$K2183,pipedata[ID],pipedata[WT])</f>
        <v>0.74</v>
      </c>
      <c r="O2183" s="56">
        <f>_xlfn.XLOOKUP(Survey!$K2183,pipedata[ID],pipedata[104%])</f>
        <v>2565.3333333333335</v>
      </c>
      <c r="P2183" s="57">
        <f t="shared" si="34"/>
        <v>1850</v>
      </c>
      <c r="Q2183" s="58">
        <f>_xlfn.MAXIFS(Survey!$G$2:$G$3647,Survey!$M$2:$M$3647,Survey!$M2183)-Survey!$G2183</f>
        <v>1075.6646402284164</v>
      </c>
      <c r="R2183" s="59">
        <f>Survey!$P2183+(Survey!$Q2183*0.433)</f>
        <v>2315.7627892189043</v>
      </c>
    </row>
    <row r="2184" spans="1:18" x14ac:dyDescent="0.25">
      <c r="A2184" s="71" t="s">
        <v>17</v>
      </c>
      <c r="B2184" s="72" t="s">
        <v>22</v>
      </c>
      <c r="C2184" s="73" t="s">
        <v>19</v>
      </c>
      <c r="D2184" s="74">
        <v>243.12289165540636</v>
      </c>
      <c r="E2184" s="81">
        <v>1314169</v>
      </c>
      <c r="F2184" s="82">
        <v>1284710.176470587</v>
      </c>
      <c r="G2184" s="75">
        <v>2657.1007145899166</v>
      </c>
      <c r="H2184" s="76">
        <v>2</v>
      </c>
      <c r="I2184" s="54" t="s">
        <v>20</v>
      </c>
      <c r="J2184" s="77">
        <v>40</v>
      </c>
      <c r="K2184" s="78">
        <v>2</v>
      </c>
      <c r="L2184" s="54">
        <v>1</v>
      </c>
      <c r="M2184" s="54">
        <f>_xlfn.XLOOKUP(Survey!$F2184,sections[Start],sections[Test Section],,-1,1)</f>
        <v>6</v>
      </c>
      <c r="N2184" s="55">
        <f>_xlfn.XLOOKUP(Survey!$K2184,pipedata[ID],pipedata[WT])</f>
        <v>0.74</v>
      </c>
      <c r="O2184" s="56">
        <f>_xlfn.XLOOKUP(Survey!$K2184,pipedata[ID],pipedata[104%])</f>
        <v>2565.3333333333335</v>
      </c>
      <c r="P2184" s="57">
        <f t="shared" si="34"/>
        <v>1850</v>
      </c>
      <c r="Q2184" s="58">
        <f>_xlfn.MAXIFS(Survey!$G$2:$G$3647,Survey!$M$2:$M$3647,Survey!$M2184)-Survey!$G2184</f>
        <v>1077.3239256385</v>
      </c>
      <c r="R2184" s="59">
        <f>Survey!$P2184+(Survey!$Q2184*0.433)</f>
        <v>2316.4812598014705</v>
      </c>
    </row>
    <row r="2185" spans="1:18" x14ac:dyDescent="0.25">
      <c r="A2185" s="60" t="s">
        <v>17</v>
      </c>
      <c r="B2185" s="61" t="s">
        <v>22</v>
      </c>
      <c r="C2185" s="62" t="s">
        <v>19</v>
      </c>
      <c r="D2185" s="63">
        <v>243.13052994534766</v>
      </c>
      <c r="E2185" s="79">
        <v>1314209</v>
      </c>
      <c r="F2185" s="80">
        <v>1284749.4852941164</v>
      </c>
      <c r="G2185" s="66">
        <v>2656.2787735538277</v>
      </c>
      <c r="H2185" s="67">
        <v>2</v>
      </c>
      <c r="I2185" s="68" t="s">
        <v>20</v>
      </c>
      <c r="J2185" s="69">
        <v>40</v>
      </c>
      <c r="K2185" s="70">
        <v>2</v>
      </c>
      <c r="L2185" s="68">
        <v>1</v>
      </c>
      <c r="M2185" s="68">
        <f>_xlfn.XLOOKUP(Survey!$F2185,sections[Start],sections[Test Section],,-1,1)</f>
        <v>6</v>
      </c>
      <c r="N2185" s="55">
        <f>_xlfn.XLOOKUP(Survey!$K2185,pipedata[ID],pipedata[WT])</f>
        <v>0.74</v>
      </c>
      <c r="O2185" s="56">
        <f>_xlfn.XLOOKUP(Survey!$K2185,pipedata[ID],pipedata[104%])</f>
        <v>2565.3333333333335</v>
      </c>
      <c r="P2185" s="57">
        <f t="shared" si="34"/>
        <v>1850</v>
      </c>
      <c r="Q2185" s="58">
        <f>_xlfn.MAXIFS(Survey!$G$2:$G$3647,Survey!$M$2:$M$3647,Survey!$M2185)-Survey!$G2185</f>
        <v>1078.1458666745889</v>
      </c>
      <c r="R2185" s="59">
        <f>Survey!$P2185+(Survey!$Q2185*0.433)</f>
        <v>2316.8371602700972</v>
      </c>
    </row>
    <row r="2186" spans="1:18" x14ac:dyDescent="0.25">
      <c r="A2186" s="71" t="s">
        <v>17</v>
      </c>
      <c r="B2186" s="72" t="s">
        <v>22</v>
      </c>
      <c r="C2186" s="73" t="s">
        <v>19</v>
      </c>
      <c r="D2186" s="74">
        <v>243.13820006433622</v>
      </c>
      <c r="E2186" s="81">
        <v>1314249</v>
      </c>
      <c r="F2186" s="82">
        <v>1284788.7941176458</v>
      </c>
      <c r="G2186" s="75">
        <v>2655.1571545278093</v>
      </c>
      <c r="H2186" s="76">
        <v>2</v>
      </c>
      <c r="I2186" s="54" t="s">
        <v>20</v>
      </c>
      <c r="J2186" s="77">
        <v>40</v>
      </c>
      <c r="K2186" s="78">
        <v>2</v>
      </c>
      <c r="L2186" s="54">
        <v>1</v>
      </c>
      <c r="M2186" s="54">
        <f>_xlfn.XLOOKUP(Survey!$F2186,sections[Start],sections[Test Section],,-1,1)</f>
        <v>6</v>
      </c>
      <c r="N2186" s="55">
        <f>_xlfn.XLOOKUP(Survey!$K2186,pipedata[ID],pipedata[WT])</f>
        <v>0.74</v>
      </c>
      <c r="O2186" s="56">
        <f>_xlfn.XLOOKUP(Survey!$K2186,pipedata[ID],pipedata[104%])</f>
        <v>2565.3333333333335</v>
      </c>
      <c r="P2186" s="57">
        <f t="shared" si="34"/>
        <v>1850</v>
      </c>
      <c r="Q2186" s="58">
        <f>_xlfn.MAXIFS(Survey!$G$2:$G$3647,Survey!$M$2:$M$3647,Survey!$M2186)-Survey!$G2186</f>
        <v>1079.2674857006073</v>
      </c>
      <c r="R2186" s="59">
        <f>Survey!$P2186+(Survey!$Q2186*0.433)</f>
        <v>2317.322821308363</v>
      </c>
    </row>
    <row r="2187" spans="1:18" x14ac:dyDescent="0.25">
      <c r="A2187" s="60" t="s">
        <v>17</v>
      </c>
      <c r="B2187" s="61" t="s">
        <v>22</v>
      </c>
      <c r="C2187" s="62" t="s">
        <v>19</v>
      </c>
      <c r="D2187" s="63">
        <v>243.14441230252132</v>
      </c>
      <c r="E2187" s="79">
        <v>1314289</v>
      </c>
      <c r="F2187" s="80">
        <v>1284828.1029411752</v>
      </c>
      <c r="G2187" s="66">
        <v>2652.1223186540064</v>
      </c>
      <c r="H2187" s="67">
        <v>2</v>
      </c>
      <c r="I2187" s="68" t="s">
        <v>20</v>
      </c>
      <c r="J2187" s="69">
        <v>40</v>
      </c>
      <c r="K2187" s="70">
        <v>2</v>
      </c>
      <c r="L2187" s="68">
        <v>1</v>
      </c>
      <c r="M2187" s="68">
        <f>_xlfn.XLOOKUP(Survey!$F2187,sections[Start],sections[Test Section],,-1,1)</f>
        <v>6</v>
      </c>
      <c r="N2187" s="55">
        <f>_xlfn.XLOOKUP(Survey!$K2187,pipedata[ID],pipedata[WT])</f>
        <v>0.74</v>
      </c>
      <c r="O2187" s="56">
        <f>_xlfn.XLOOKUP(Survey!$K2187,pipedata[ID],pipedata[104%])</f>
        <v>2565.3333333333335</v>
      </c>
      <c r="P2187" s="57">
        <f t="shared" si="34"/>
        <v>1850</v>
      </c>
      <c r="Q2187" s="58">
        <f>_xlfn.MAXIFS(Survey!$G$2:$G$3647,Survey!$M$2:$M$3647,Survey!$M2187)-Survey!$G2187</f>
        <v>1082.3023215744101</v>
      </c>
      <c r="R2187" s="59">
        <f>Survey!$P2187+(Survey!$Q2187*0.433)</f>
        <v>2318.6369052417194</v>
      </c>
    </row>
    <row r="2188" spans="1:18" x14ac:dyDescent="0.25">
      <c r="A2188" s="71" t="s">
        <v>17</v>
      </c>
      <c r="B2188" s="72" t="s">
        <v>22</v>
      </c>
      <c r="C2188" s="73" t="s">
        <v>19</v>
      </c>
      <c r="D2188" s="74">
        <v>243.15268947448868</v>
      </c>
      <c r="E2188" s="81">
        <v>1314329</v>
      </c>
      <c r="F2188" s="82">
        <v>1284867.4117647046</v>
      </c>
      <c r="G2188" s="75">
        <v>2647.4508247043163</v>
      </c>
      <c r="H2188" s="76">
        <v>2</v>
      </c>
      <c r="I2188" s="54" t="s">
        <v>20</v>
      </c>
      <c r="J2188" s="77">
        <v>40</v>
      </c>
      <c r="K2188" s="78">
        <v>2</v>
      </c>
      <c r="L2188" s="54">
        <v>1</v>
      </c>
      <c r="M2188" s="54">
        <f>_xlfn.XLOOKUP(Survey!$F2188,sections[Start],sections[Test Section],,-1,1)</f>
        <v>6</v>
      </c>
      <c r="N2188" s="55">
        <f>_xlfn.XLOOKUP(Survey!$K2188,pipedata[ID],pipedata[WT])</f>
        <v>0.74</v>
      </c>
      <c r="O2188" s="56">
        <f>_xlfn.XLOOKUP(Survey!$K2188,pipedata[ID],pipedata[104%])</f>
        <v>2565.3333333333335</v>
      </c>
      <c r="P2188" s="57">
        <f t="shared" si="34"/>
        <v>1850</v>
      </c>
      <c r="Q2188" s="58">
        <f>_xlfn.MAXIFS(Survey!$G$2:$G$3647,Survey!$M$2:$M$3647,Survey!$M2188)-Survey!$G2188</f>
        <v>1086.9738155241002</v>
      </c>
      <c r="R2188" s="59">
        <f>Survey!$P2188+(Survey!$Q2188*0.433)</f>
        <v>2320.6596621219355</v>
      </c>
    </row>
    <row r="2189" spans="1:18" x14ac:dyDescent="0.25">
      <c r="A2189" s="60" t="s">
        <v>17</v>
      </c>
      <c r="B2189" s="61" t="s">
        <v>22</v>
      </c>
      <c r="C2189" s="62" t="s">
        <v>19</v>
      </c>
      <c r="D2189" s="63">
        <v>243.16058680946048</v>
      </c>
      <c r="E2189" s="79">
        <v>1314369</v>
      </c>
      <c r="F2189" s="80">
        <v>1284906.720588234</v>
      </c>
      <c r="G2189" s="66">
        <v>2644.7004134606186</v>
      </c>
      <c r="H2189" s="67">
        <v>2</v>
      </c>
      <c r="I2189" s="68" t="s">
        <v>20</v>
      </c>
      <c r="J2189" s="69">
        <v>40</v>
      </c>
      <c r="K2189" s="70">
        <v>2</v>
      </c>
      <c r="L2189" s="68">
        <v>1</v>
      </c>
      <c r="M2189" s="68">
        <f>_xlfn.XLOOKUP(Survey!$F2189,sections[Start],sections[Test Section],,-1,1)</f>
        <v>6</v>
      </c>
      <c r="N2189" s="55">
        <f>_xlfn.XLOOKUP(Survey!$K2189,pipedata[ID],pipedata[WT])</f>
        <v>0.74</v>
      </c>
      <c r="O2189" s="56">
        <f>_xlfn.XLOOKUP(Survey!$K2189,pipedata[ID],pipedata[104%])</f>
        <v>2565.3333333333335</v>
      </c>
      <c r="P2189" s="57">
        <f t="shared" si="34"/>
        <v>1850</v>
      </c>
      <c r="Q2189" s="58">
        <f>_xlfn.MAXIFS(Survey!$G$2:$G$3647,Survey!$M$2:$M$3647,Survey!$M2189)-Survey!$G2189</f>
        <v>1089.724226767798</v>
      </c>
      <c r="R2189" s="59">
        <f>Survey!$P2189+(Survey!$Q2189*0.433)</f>
        <v>2321.8505901904564</v>
      </c>
    </row>
    <row r="2190" spans="1:18" x14ac:dyDescent="0.25">
      <c r="A2190" s="71" t="s">
        <v>17</v>
      </c>
      <c r="B2190" s="72" t="s">
        <v>22</v>
      </c>
      <c r="C2190" s="73" t="s">
        <v>19</v>
      </c>
      <c r="D2190" s="74">
        <v>243.16840022055391</v>
      </c>
      <c r="E2190" s="81">
        <v>1314409</v>
      </c>
      <c r="F2190" s="82">
        <v>1284946.0294117634</v>
      </c>
      <c r="G2190" s="75">
        <v>2642.9585962820925</v>
      </c>
      <c r="H2190" s="76">
        <v>2</v>
      </c>
      <c r="I2190" s="54" t="s">
        <v>20</v>
      </c>
      <c r="J2190" s="77">
        <v>40</v>
      </c>
      <c r="K2190" s="78">
        <v>2</v>
      </c>
      <c r="L2190" s="54">
        <v>1</v>
      </c>
      <c r="M2190" s="54">
        <f>_xlfn.XLOOKUP(Survey!$F2190,sections[Start],sections[Test Section],,-1,1)</f>
        <v>6</v>
      </c>
      <c r="N2190" s="55">
        <f>_xlfn.XLOOKUP(Survey!$K2190,pipedata[ID],pipedata[WT])</f>
        <v>0.74</v>
      </c>
      <c r="O2190" s="56">
        <f>_xlfn.XLOOKUP(Survey!$K2190,pipedata[ID],pipedata[104%])</f>
        <v>2565.3333333333335</v>
      </c>
      <c r="P2190" s="57">
        <f t="shared" si="34"/>
        <v>1850</v>
      </c>
      <c r="Q2190" s="58">
        <f>_xlfn.MAXIFS(Survey!$G$2:$G$3647,Survey!$M$2:$M$3647,Survey!$M2190)-Survey!$G2190</f>
        <v>1091.4660439463241</v>
      </c>
      <c r="R2190" s="59">
        <f>Survey!$P2190+(Survey!$Q2190*0.433)</f>
        <v>2322.6047970287582</v>
      </c>
    </row>
    <row r="2191" spans="1:18" x14ac:dyDescent="0.25">
      <c r="A2191" s="60" t="s">
        <v>17</v>
      </c>
      <c r="B2191" s="61" t="s">
        <v>22</v>
      </c>
      <c r="C2191" s="62" t="s">
        <v>19</v>
      </c>
      <c r="D2191" s="63">
        <v>243.17507346731216</v>
      </c>
      <c r="E2191" s="79">
        <v>1314449</v>
      </c>
      <c r="F2191" s="80">
        <v>1284985.3382352928</v>
      </c>
      <c r="G2191" s="66">
        <v>2641.644185238898</v>
      </c>
      <c r="H2191" s="67">
        <v>2</v>
      </c>
      <c r="I2191" s="68" t="s">
        <v>20</v>
      </c>
      <c r="J2191" s="69">
        <v>40</v>
      </c>
      <c r="K2191" s="70">
        <v>2</v>
      </c>
      <c r="L2191" s="68">
        <v>1</v>
      </c>
      <c r="M2191" s="68">
        <f>_xlfn.XLOOKUP(Survey!$F2191,sections[Start],sections[Test Section],,-1,1)</f>
        <v>6</v>
      </c>
      <c r="N2191" s="55">
        <f>_xlfn.XLOOKUP(Survey!$K2191,pipedata[ID],pipedata[WT])</f>
        <v>0.74</v>
      </c>
      <c r="O2191" s="56">
        <f>_xlfn.XLOOKUP(Survey!$K2191,pipedata[ID],pipedata[104%])</f>
        <v>2565.3333333333335</v>
      </c>
      <c r="P2191" s="57">
        <f t="shared" si="34"/>
        <v>1850</v>
      </c>
      <c r="Q2191" s="58">
        <f>_xlfn.MAXIFS(Survey!$G$2:$G$3647,Survey!$M$2:$M$3647,Survey!$M2191)-Survey!$G2191</f>
        <v>1092.7804549895186</v>
      </c>
      <c r="R2191" s="59">
        <f>Survey!$P2191+(Survey!$Q2191*0.433)</f>
        <v>2323.1739370104615</v>
      </c>
    </row>
    <row r="2192" spans="1:18" x14ac:dyDescent="0.25">
      <c r="A2192" s="71" t="s">
        <v>17</v>
      </c>
      <c r="B2192" s="72" t="s">
        <v>22</v>
      </c>
      <c r="C2192" s="73" t="s">
        <v>19</v>
      </c>
      <c r="D2192" s="74">
        <v>243.18264561260762</v>
      </c>
      <c r="E2192" s="81">
        <v>1314489</v>
      </c>
      <c r="F2192" s="82">
        <v>1285024.6470588222</v>
      </c>
      <c r="G2192" s="75">
        <v>2639.8754128928745</v>
      </c>
      <c r="H2192" s="76">
        <v>2</v>
      </c>
      <c r="I2192" s="54" t="s">
        <v>20</v>
      </c>
      <c r="J2192" s="77">
        <v>40</v>
      </c>
      <c r="K2192" s="78">
        <v>2</v>
      </c>
      <c r="L2192" s="54">
        <v>1</v>
      </c>
      <c r="M2192" s="54">
        <f>_xlfn.XLOOKUP(Survey!$F2192,sections[Start],sections[Test Section],,-1,1)</f>
        <v>6</v>
      </c>
      <c r="N2192" s="55">
        <f>_xlfn.XLOOKUP(Survey!$K2192,pipedata[ID],pipedata[WT])</f>
        <v>0.74</v>
      </c>
      <c r="O2192" s="56">
        <f>_xlfn.XLOOKUP(Survey!$K2192,pipedata[ID],pipedata[104%])</f>
        <v>2565.3333333333335</v>
      </c>
      <c r="P2192" s="57">
        <f t="shared" si="34"/>
        <v>1850</v>
      </c>
      <c r="Q2192" s="58">
        <f>_xlfn.MAXIFS(Survey!$G$2:$G$3647,Survey!$M$2:$M$3647,Survey!$M2192)-Survey!$G2192</f>
        <v>1094.5492273355421</v>
      </c>
      <c r="R2192" s="59">
        <f>Survey!$P2192+(Survey!$Q2192*0.433)</f>
        <v>2323.9398154362898</v>
      </c>
    </row>
    <row r="2193" spans="1:18" x14ac:dyDescent="0.25">
      <c r="A2193" s="60" t="s">
        <v>17</v>
      </c>
      <c r="B2193" s="61" t="s">
        <v>22</v>
      </c>
      <c r="C2193" s="62" t="s">
        <v>19</v>
      </c>
      <c r="D2193" s="63">
        <v>243.19064437641487</v>
      </c>
      <c r="E2193" s="79">
        <v>1314529</v>
      </c>
      <c r="F2193" s="80">
        <v>1285063.9558823516</v>
      </c>
      <c r="G2193" s="66">
        <v>2638.0163182636816</v>
      </c>
      <c r="H2193" s="67">
        <v>2</v>
      </c>
      <c r="I2193" s="68" t="s">
        <v>20</v>
      </c>
      <c r="J2193" s="69">
        <v>40</v>
      </c>
      <c r="K2193" s="70">
        <v>2</v>
      </c>
      <c r="L2193" s="68">
        <v>1</v>
      </c>
      <c r="M2193" s="68">
        <f>_xlfn.XLOOKUP(Survey!$F2193,sections[Start],sections[Test Section],,-1,1)</f>
        <v>6</v>
      </c>
      <c r="N2193" s="55">
        <f>_xlfn.XLOOKUP(Survey!$K2193,pipedata[ID],pipedata[WT])</f>
        <v>0.74</v>
      </c>
      <c r="O2193" s="56">
        <f>_xlfn.XLOOKUP(Survey!$K2193,pipedata[ID],pipedata[104%])</f>
        <v>2565.3333333333335</v>
      </c>
      <c r="P2193" s="57">
        <f t="shared" si="34"/>
        <v>1850</v>
      </c>
      <c r="Q2193" s="58">
        <f>_xlfn.MAXIFS(Survey!$G$2:$G$3647,Survey!$M$2:$M$3647,Survey!$M2193)-Survey!$G2193</f>
        <v>1096.408321964735</v>
      </c>
      <c r="R2193" s="59">
        <f>Survey!$P2193+(Survey!$Q2193*0.433)</f>
        <v>2324.7448034107301</v>
      </c>
    </row>
    <row r="2194" spans="1:18" x14ac:dyDescent="0.25">
      <c r="A2194" s="71" t="s">
        <v>17</v>
      </c>
      <c r="B2194" s="72" t="s">
        <v>22</v>
      </c>
      <c r="C2194" s="73" t="s">
        <v>19</v>
      </c>
      <c r="D2194" s="74">
        <v>243.19854966293687</v>
      </c>
      <c r="E2194" s="81">
        <v>1314569</v>
      </c>
      <c r="F2194" s="82">
        <v>1285103.264705881</v>
      </c>
      <c r="G2194" s="75">
        <v>2636.7422907486221</v>
      </c>
      <c r="H2194" s="76">
        <v>2</v>
      </c>
      <c r="I2194" s="54" t="s">
        <v>20</v>
      </c>
      <c r="J2194" s="77">
        <v>40</v>
      </c>
      <c r="K2194" s="78">
        <v>2</v>
      </c>
      <c r="L2194" s="54">
        <v>1</v>
      </c>
      <c r="M2194" s="54">
        <f>_xlfn.XLOOKUP(Survey!$F2194,sections[Start],sections[Test Section],,-1,1)</f>
        <v>6</v>
      </c>
      <c r="N2194" s="55">
        <f>_xlfn.XLOOKUP(Survey!$K2194,pipedata[ID],pipedata[WT])</f>
        <v>0.74</v>
      </c>
      <c r="O2194" s="56">
        <f>_xlfn.XLOOKUP(Survey!$K2194,pipedata[ID],pipedata[104%])</f>
        <v>2565.3333333333335</v>
      </c>
      <c r="P2194" s="57">
        <f t="shared" si="34"/>
        <v>1850</v>
      </c>
      <c r="Q2194" s="58">
        <f>_xlfn.MAXIFS(Survey!$G$2:$G$3647,Survey!$M$2:$M$3647,Survey!$M2194)-Survey!$G2194</f>
        <v>1097.6823494797945</v>
      </c>
      <c r="R2194" s="59">
        <f>Survey!$P2194+(Survey!$Q2194*0.433)</f>
        <v>2325.2964573247509</v>
      </c>
    </row>
    <row r="2195" spans="1:18" x14ac:dyDescent="0.25">
      <c r="A2195" s="60" t="s">
        <v>17</v>
      </c>
      <c r="B2195" s="61" t="s">
        <v>22</v>
      </c>
      <c r="C2195" s="62" t="s">
        <v>19</v>
      </c>
      <c r="D2195" s="63">
        <v>243.20621528551763</v>
      </c>
      <c r="E2195" s="79">
        <v>1314609</v>
      </c>
      <c r="F2195" s="80">
        <v>1285142.5735294104</v>
      </c>
      <c r="G2195" s="66">
        <v>2636.5032898635491</v>
      </c>
      <c r="H2195" s="67">
        <v>2</v>
      </c>
      <c r="I2195" s="68" t="s">
        <v>20</v>
      </c>
      <c r="J2195" s="69">
        <v>40</v>
      </c>
      <c r="K2195" s="70">
        <v>2</v>
      </c>
      <c r="L2195" s="68">
        <v>1</v>
      </c>
      <c r="M2195" s="68">
        <f>_xlfn.XLOOKUP(Survey!$F2195,sections[Start],sections[Test Section],,-1,1)</f>
        <v>6</v>
      </c>
      <c r="N2195" s="55">
        <f>_xlfn.XLOOKUP(Survey!$K2195,pipedata[ID],pipedata[WT])</f>
        <v>0.74</v>
      </c>
      <c r="O2195" s="56">
        <f>_xlfn.XLOOKUP(Survey!$K2195,pipedata[ID],pipedata[104%])</f>
        <v>2565.3333333333335</v>
      </c>
      <c r="P2195" s="57">
        <f t="shared" si="34"/>
        <v>1850</v>
      </c>
      <c r="Q2195" s="58">
        <f>_xlfn.MAXIFS(Survey!$G$2:$G$3647,Survey!$M$2:$M$3647,Survey!$M2195)-Survey!$G2195</f>
        <v>1097.9213503648675</v>
      </c>
      <c r="R2195" s="59">
        <f>Survey!$P2195+(Survey!$Q2195*0.433)</f>
        <v>2325.3999447079877</v>
      </c>
    </row>
    <row r="2196" spans="1:18" x14ac:dyDescent="0.25">
      <c r="A2196" s="71" t="s">
        <v>17</v>
      </c>
      <c r="B2196" s="72" t="s">
        <v>22</v>
      </c>
      <c r="C2196" s="73" t="s">
        <v>19</v>
      </c>
      <c r="D2196" s="74">
        <v>243.21299441262516</v>
      </c>
      <c r="E2196" s="81">
        <v>1314649</v>
      </c>
      <c r="F2196" s="82">
        <v>1285181.8823529398</v>
      </c>
      <c r="G2196" s="75">
        <v>2636.4842839258517</v>
      </c>
      <c r="H2196" s="76">
        <v>2</v>
      </c>
      <c r="I2196" s="54" t="s">
        <v>20</v>
      </c>
      <c r="J2196" s="77">
        <v>40</v>
      </c>
      <c r="K2196" s="78">
        <v>2</v>
      </c>
      <c r="L2196" s="54">
        <v>1</v>
      </c>
      <c r="M2196" s="54">
        <f>_xlfn.XLOOKUP(Survey!$F2196,sections[Start],sections[Test Section],,-1,1)</f>
        <v>6</v>
      </c>
      <c r="N2196" s="55">
        <f>_xlfn.XLOOKUP(Survey!$K2196,pipedata[ID],pipedata[WT])</f>
        <v>0.74</v>
      </c>
      <c r="O2196" s="56">
        <f>_xlfn.XLOOKUP(Survey!$K2196,pipedata[ID],pipedata[104%])</f>
        <v>2565.3333333333335</v>
      </c>
      <c r="P2196" s="57">
        <f t="shared" si="34"/>
        <v>1850</v>
      </c>
      <c r="Q2196" s="58">
        <f>_xlfn.MAXIFS(Survey!$G$2:$G$3647,Survey!$M$2:$M$3647,Survey!$M2196)-Survey!$G2196</f>
        <v>1097.9403563025649</v>
      </c>
      <c r="R2196" s="59">
        <f>Survey!$P2196+(Survey!$Q2196*0.433)</f>
        <v>2325.4081742790104</v>
      </c>
    </row>
    <row r="2197" spans="1:18" x14ac:dyDescent="0.25">
      <c r="A2197" s="60" t="s">
        <v>17</v>
      </c>
      <c r="B2197" s="61" t="s">
        <v>22</v>
      </c>
      <c r="C2197" s="62" t="s">
        <v>19</v>
      </c>
      <c r="D2197" s="63">
        <v>243.22021678746916</v>
      </c>
      <c r="E2197" s="79">
        <v>1314689</v>
      </c>
      <c r="F2197" s="80">
        <v>1285221.1911764692</v>
      </c>
      <c r="G2197" s="66">
        <v>2635.3927450125589</v>
      </c>
      <c r="H2197" s="67">
        <v>2</v>
      </c>
      <c r="I2197" s="68" t="s">
        <v>20</v>
      </c>
      <c r="J2197" s="69">
        <v>40</v>
      </c>
      <c r="K2197" s="70">
        <v>2</v>
      </c>
      <c r="L2197" s="68">
        <v>1</v>
      </c>
      <c r="M2197" s="68">
        <f>_xlfn.XLOOKUP(Survey!$F2197,sections[Start],sections[Test Section],,-1,1)</f>
        <v>6</v>
      </c>
      <c r="N2197" s="55">
        <f>_xlfn.XLOOKUP(Survey!$K2197,pipedata[ID],pipedata[WT])</f>
        <v>0.74</v>
      </c>
      <c r="O2197" s="56">
        <f>_xlfn.XLOOKUP(Survey!$K2197,pipedata[ID],pipedata[104%])</f>
        <v>2565.3333333333335</v>
      </c>
      <c r="P2197" s="57">
        <f t="shared" si="34"/>
        <v>1850</v>
      </c>
      <c r="Q2197" s="58">
        <f>_xlfn.MAXIFS(Survey!$G$2:$G$3647,Survey!$M$2:$M$3647,Survey!$M2197)-Survey!$G2197</f>
        <v>1099.0318952158577</v>
      </c>
      <c r="R2197" s="59">
        <f>Survey!$P2197+(Survey!$Q2197*0.433)</f>
        <v>2325.8808106284664</v>
      </c>
    </row>
    <row r="2198" spans="1:18" x14ac:dyDescent="0.25">
      <c r="A2198" s="71" t="s">
        <v>17</v>
      </c>
      <c r="B2198" s="72" t="s">
        <v>22</v>
      </c>
      <c r="C2198" s="73" t="s">
        <v>19</v>
      </c>
      <c r="D2198" s="74">
        <v>243.22845944137865</v>
      </c>
      <c r="E2198" s="81">
        <v>1314729</v>
      </c>
      <c r="F2198" s="82">
        <v>1285260.4999999986</v>
      </c>
      <c r="G2198" s="75">
        <v>2633.8893667881284</v>
      </c>
      <c r="H2198" s="76">
        <v>2</v>
      </c>
      <c r="I2198" s="54" t="s">
        <v>20</v>
      </c>
      <c r="J2198" s="77">
        <v>40</v>
      </c>
      <c r="K2198" s="78">
        <v>2</v>
      </c>
      <c r="L2198" s="54">
        <v>1</v>
      </c>
      <c r="M2198" s="54">
        <f>_xlfn.XLOOKUP(Survey!$F2198,sections[Start],sections[Test Section],,-1,1)</f>
        <v>6</v>
      </c>
      <c r="N2198" s="55">
        <f>_xlfn.XLOOKUP(Survey!$K2198,pipedata[ID],pipedata[WT])</f>
        <v>0.74</v>
      </c>
      <c r="O2198" s="56">
        <f>_xlfn.XLOOKUP(Survey!$K2198,pipedata[ID],pipedata[104%])</f>
        <v>2565.3333333333335</v>
      </c>
      <c r="P2198" s="57">
        <f t="shared" si="34"/>
        <v>1850</v>
      </c>
      <c r="Q2198" s="58">
        <f>_xlfn.MAXIFS(Survey!$G$2:$G$3647,Survey!$M$2:$M$3647,Survey!$M2198)-Survey!$G2198</f>
        <v>1100.5352734402882</v>
      </c>
      <c r="R2198" s="59">
        <f>Survey!$P2198+(Survey!$Q2198*0.433)</f>
        <v>2326.5317733996449</v>
      </c>
    </row>
    <row r="2199" spans="1:18" x14ac:dyDescent="0.25">
      <c r="A2199" s="60" t="s">
        <v>17</v>
      </c>
      <c r="B2199" s="61" t="s">
        <v>22</v>
      </c>
      <c r="C2199" s="62" t="s">
        <v>19</v>
      </c>
      <c r="D2199" s="63">
        <v>243.23588842571013</v>
      </c>
      <c r="E2199" s="79">
        <v>1314769</v>
      </c>
      <c r="F2199" s="80">
        <v>1285299.808823528</v>
      </c>
      <c r="G2199" s="66">
        <v>2633.1044861650503</v>
      </c>
      <c r="H2199" s="67">
        <v>2</v>
      </c>
      <c r="I2199" s="68" t="s">
        <v>20</v>
      </c>
      <c r="J2199" s="69">
        <v>40</v>
      </c>
      <c r="K2199" s="70">
        <v>2</v>
      </c>
      <c r="L2199" s="68">
        <v>1</v>
      </c>
      <c r="M2199" s="68">
        <f>_xlfn.XLOOKUP(Survey!$F2199,sections[Start],sections[Test Section],,-1,1)</f>
        <v>6</v>
      </c>
      <c r="N2199" s="55">
        <f>_xlfn.XLOOKUP(Survey!$K2199,pipedata[ID],pipedata[WT])</f>
        <v>0.74</v>
      </c>
      <c r="O2199" s="56">
        <f>_xlfn.XLOOKUP(Survey!$K2199,pipedata[ID],pipedata[104%])</f>
        <v>2565.3333333333335</v>
      </c>
      <c r="P2199" s="57">
        <f t="shared" si="34"/>
        <v>1850</v>
      </c>
      <c r="Q2199" s="58">
        <f>_xlfn.MAXIFS(Survey!$G$2:$G$3647,Survey!$M$2:$M$3647,Survey!$M2199)-Survey!$G2199</f>
        <v>1101.3201540633663</v>
      </c>
      <c r="R2199" s="59">
        <f>Survey!$P2199+(Survey!$Q2199*0.433)</f>
        <v>2326.8716267094378</v>
      </c>
    </row>
    <row r="2200" spans="1:18" x14ac:dyDescent="0.25">
      <c r="A2200" s="71" t="s">
        <v>17</v>
      </c>
      <c r="B2200" s="72" t="s">
        <v>22</v>
      </c>
      <c r="C2200" s="73" t="s">
        <v>19</v>
      </c>
      <c r="D2200" s="74">
        <v>243.24403035048141</v>
      </c>
      <c r="E2200" s="81">
        <v>1314809</v>
      </c>
      <c r="F2200" s="82">
        <v>1285339.1176470574</v>
      </c>
      <c r="G2200" s="75">
        <v>2632.276785989754</v>
      </c>
      <c r="H2200" s="76">
        <v>2</v>
      </c>
      <c r="I2200" s="54" t="s">
        <v>20</v>
      </c>
      <c r="J2200" s="77">
        <v>40</v>
      </c>
      <c r="K2200" s="78">
        <v>2</v>
      </c>
      <c r="L2200" s="54">
        <v>1</v>
      </c>
      <c r="M2200" s="54">
        <f>_xlfn.XLOOKUP(Survey!$F2200,sections[Start],sections[Test Section],,-1,1)</f>
        <v>6</v>
      </c>
      <c r="N2200" s="55">
        <f>_xlfn.XLOOKUP(Survey!$K2200,pipedata[ID],pipedata[WT])</f>
        <v>0.74</v>
      </c>
      <c r="O2200" s="56">
        <f>_xlfn.XLOOKUP(Survey!$K2200,pipedata[ID],pipedata[104%])</f>
        <v>2565.3333333333335</v>
      </c>
      <c r="P2200" s="57">
        <f t="shared" si="34"/>
        <v>1850</v>
      </c>
      <c r="Q2200" s="58">
        <f>_xlfn.MAXIFS(Survey!$G$2:$G$3647,Survey!$M$2:$M$3647,Survey!$M2200)-Survey!$G2200</f>
        <v>1102.1478542386626</v>
      </c>
      <c r="R2200" s="59">
        <f>Survey!$P2200+(Survey!$Q2200*0.433)</f>
        <v>2327.2300208853408</v>
      </c>
    </row>
    <row r="2201" spans="1:18" x14ac:dyDescent="0.25">
      <c r="A2201" s="60" t="s">
        <v>17</v>
      </c>
      <c r="B2201" s="61" t="s">
        <v>22</v>
      </c>
      <c r="C2201" s="62" t="s">
        <v>19</v>
      </c>
      <c r="D2201" s="63">
        <v>243.25070359723975</v>
      </c>
      <c r="E2201" s="79">
        <v>1314849</v>
      </c>
      <c r="F2201" s="80">
        <v>1285378.4264705868</v>
      </c>
      <c r="G2201" s="66">
        <v>2631.7873031714744</v>
      </c>
      <c r="H2201" s="67">
        <v>2</v>
      </c>
      <c r="I2201" s="68" t="s">
        <v>20</v>
      </c>
      <c r="J2201" s="69">
        <v>40</v>
      </c>
      <c r="K2201" s="70">
        <v>2</v>
      </c>
      <c r="L2201" s="68">
        <v>1</v>
      </c>
      <c r="M2201" s="68">
        <f>_xlfn.XLOOKUP(Survey!$F2201,sections[Start],sections[Test Section],,-1,1)</f>
        <v>6</v>
      </c>
      <c r="N2201" s="55">
        <f>_xlfn.XLOOKUP(Survey!$K2201,pipedata[ID],pipedata[WT])</f>
        <v>0.74</v>
      </c>
      <c r="O2201" s="56">
        <f>_xlfn.XLOOKUP(Survey!$K2201,pipedata[ID],pipedata[104%])</f>
        <v>2565.3333333333335</v>
      </c>
      <c r="P2201" s="57">
        <f t="shared" si="34"/>
        <v>1850</v>
      </c>
      <c r="Q2201" s="58">
        <f>_xlfn.MAXIFS(Survey!$G$2:$G$3647,Survey!$M$2:$M$3647,Survey!$M2201)-Survey!$G2201</f>
        <v>1102.6373370569422</v>
      </c>
      <c r="R2201" s="59">
        <f>Survey!$P2201+(Survey!$Q2201*0.433)</f>
        <v>2327.4419669456561</v>
      </c>
    </row>
    <row r="2202" spans="1:18" x14ac:dyDescent="0.25">
      <c r="A2202" s="71" t="s">
        <v>17</v>
      </c>
      <c r="B2202" s="72" t="s">
        <v>22</v>
      </c>
      <c r="C2202" s="73" t="s">
        <v>19</v>
      </c>
      <c r="D2202" s="74">
        <v>243.25905815378673</v>
      </c>
      <c r="E2202" s="81">
        <v>1314889</v>
      </c>
      <c r="F2202" s="82">
        <v>1285417.7352941162</v>
      </c>
      <c r="G2202" s="75">
        <v>2630.9346916708409</v>
      </c>
      <c r="H2202" s="76">
        <v>2</v>
      </c>
      <c r="I2202" s="54" t="s">
        <v>20</v>
      </c>
      <c r="J2202" s="77">
        <v>40</v>
      </c>
      <c r="K2202" s="78">
        <v>2</v>
      </c>
      <c r="L2202" s="54">
        <v>1</v>
      </c>
      <c r="M2202" s="54">
        <f>_xlfn.XLOOKUP(Survey!$F2202,sections[Start],sections[Test Section],,-1,1)</f>
        <v>6</v>
      </c>
      <c r="N2202" s="55">
        <f>_xlfn.XLOOKUP(Survey!$K2202,pipedata[ID],pipedata[WT])</f>
        <v>0.74</v>
      </c>
      <c r="O2202" s="56">
        <f>_xlfn.XLOOKUP(Survey!$K2202,pipedata[ID],pipedata[104%])</f>
        <v>2565.3333333333335</v>
      </c>
      <c r="P2202" s="57">
        <f t="shared" si="34"/>
        <v>1850</v>
      </c>
      <c r="Q2202" s="58">
        <f>_xlfn.MAXIFS(Survey!$G$2:$G$3647,Survey!$M$2:$M$3647,Survey!$M2202)-Survey!$G2202</f>
        <v>1103.4899485575756</v>
      </c>
      <c r="R2202" s="59">
        <f>Survey!$P2202+(Survey!$Q2202*0.433)</f>
        <v>2327.8111477254301</v>
      </c>
    </row>
    <row r="2203" spans="1:18" x14ac:dyDescent="0.25">
      <c r="A2203" s="60" t="s">
        <v>17</v>
      </c>
      <c r="B2203" s="61" t="s">
        <v>22</v>
      </c>
      <c r="C2203" s="62" t="s">
        <v>19</v>
      </c>
      <c r="D2203" s="63">
        <v>243.26627450634251</v>
      </c>
      <c r="E2203" s="79">
        <v>1314929</v>
      </c>
      <c r="F2203" s="80">
        <v>1285457.0441176456</v>
      </c>
      <c r="G2203" s="66">
        <v>2630.3083297193052</v>
      </c>
      <c r="H2203" s="67">
        <v>2</v>
      </c>
      <c r="I2203" s="68" t="s">
        <v>20</v>
      </c>
      <c r="J2203" s="69">
        <v>40</v>
      </c>
      <c r="K2203" s="70">
        <v>2</v>
      </c>
      <c r="L2203" s="68">
        <v>1</v>
      </c>
      <c r="M2203" s="68">
        <f>_xlfn.XLOOKUP(Survey!$F2203,sections[Start],sections[Test Section],,-1,1)</f>
        <v>6</v>
      </c>
      <c r="N2203" s="55">
        <f>_xlfn.XLOOKUP(Survey!$K2203,pipedata[ID],pipedata[WT])</f>
        <v>0.74</v>
      </c>
      <c r="O2203" s="56">
        <f>_xlfn.XLOOKUP(Survey!$K2203,pipedata[ID],pipedata[104%])</f>
        <v>2565.3333333333335</v>
      </c>
      <c r="P2203" s="57">
        <f t="shared" si="34"/>
        <v>1850</v>
      </c>
      <c r="Q2203" s="58">
        <f>_xlfn.MAXIFS(Survey!$G$2:$G$3647,Survey!$M$2:$M$3647,Survey!$M2203)-Survey!$G2203</f>
        <v>1104.1163105091114</v>
      </c>
      <c r="R2203" s="59">
        <f>Survey!$P2203+(Survey!$Q2203*0.433)</f>
        <v>2328.0823624504451</v>
      </c>
    </row>
    <row r="2204" spans="1:18" x14ac:dyDescent="0.25">
      <c r="A2204" s="71" t="s">
        <v>17</v>
      </c>
      <c r="B2204" s="72" t="s">
        <v>22</v>
      </c>
      <c r="C2204" s="73" t="s">
        <v>19</v>
      </c>
      <c r="D2204" s="74">
        <v>243.27438459880054</v>
      </c>
      <c r="E2204" s="81">
        <v>1314969</v>
      </c>
      <c r="F2204" s="82">
        <v>1285496.352941175</v>
      </c>
      <c r="G2204" s="75">
        <v>2629.5614331076426</v>
      </c>
      <c r="H2204" s="76">
        <v>2</v>
      </c>
      <c r="I2204" s="54" t="s">
        <v>20</v>
      </c>
      <c r="J2204" s="77">
        <v>40</v>
      </c>
      <c r="K2204" s="78">
        <v>2</v>
      </c>
      <c r="L2204" s="54">
        <v>1</v>
      </c>
      <c r="M2204" s="54">
        <f>_xlfn.XLOOKUP(Survey!$F2204,sections[Start],sections[Test Section],,-1,1)</f>
        <v>6</v>
      </c>
      <c r="N2204" s="55">
        <f>_xlfn.XLOOKUP(Survey!$K2204,pipedata[ID],pipedata[WT])</f>
        <v>0.74</v>
      </c>
      <c r="O2204" s="56">
        <f>_xlfn.XLOOKUP(Survey!$K2204,pipedata[ID],pipedata[104%])</f>
        <v>2565.3333333333335</v>
      </c>
      <c r="P2204" s="57">
        <f t="shared" si="34"/>
        <v>1850</v>
      </c>
      <c r="Q2204" s="58">
        <f>_xlfn.MAXIFS(Survey!$G$2:$G$3647,Survey!$M$2:$M$3647,Survey!$M2204)-Survey!$G2204</f>
        <v>1104.863207120774</v>
      </c>
      <c r="R2204" s="59">
        <f>Survey!$P2204+(Survey!$Q2204*0.433)</f>
        <v>2328.4057686832953</v>
      </c>
    </row>
    <row r="2205" spans="1:18" x14ac:dyDescent="0.25">
      <c r="A2205" s="60" t="s">
        <v>17</v>
      </c>
      <c r="B2205" s="61" t="s">
        <v>22</v>
      </c>
      <c r="C2205" s="62" t="s">
        <v>19</v>
      </c>
      <c r="D2205" s="63">
        <v>243.28184541544536</v>
      </c>
      <c r="E2205" s="79">
        <v>1315009</v>
      </c>
      <c r="F2205" s="80">
        <v>1285535.6617647044</v>
      </c>
      <c r="G2205" s="66">
        <v>2627.8829282568167</v>
      </c>
      <c r="H2205" s="67">
        <v>2</v>
      </c>
      <c r="I2205" s="68" t="s">
        <v>20</v>
      </c>
      <c r="J2205" s="69">
        <v>40</v>
      </c>
      <c r="K2205" s="70">
        <v>2</v>
      </c>
      <c r="L2205" s="68">
        <v>1</v>
      </c>
      <c r="M2205" s="68">
        <f>_xlfn.XLOOKUP(Survey!$F2205,sections[Start],sections[Test Section],,-1,1)</f>
        <v>6</v>
      </c>
      <c r="N2205" s="55">
        <f>_xlfn.XLOOKUP(Survey!$K2205,pipedata[ID],pipedata[WT])</f>
        <v>0.74</v>
      </c>
      <c r="O2205" s="56">
        <f>_xlfn.XLOOKUP(Survey!$K2205,pipedata[ID],pipedata[104%])</f>
        <v>2565.3333333333335</v>
      </c>
      <c r="P2205" s="57">
        <f t="shared" si="34"/>
        <v>1850</v>
      </c>
      <c r="Q2205" s="58">
        <f>_xlfn.MAXIFS(Survey!$G$2:$G$3647,Survey!$M$2:$M$3647,Survey!$M2205)-Survey!$G2205</f>
        <v>1106.5417119715999</v>
      </c>
      <c r="R2205" s="59">
        <f>Survey!$P2205+(Survey!$Q2205*0.433)</f>
        <v>2329.1325612837027</v>
      </c>
    </row>
    <row r="2206" spans="1:18" x14ac:dyDescent="0.25">
      <c r="A2206" s="71" t="s">
        <v>17</v>
      </c>
      <c r="B2206" s="72" t="s">
        <v>22</v>
      </c>
      <c r="C2206" s="73" t="s">
        <v>19</v>
      </c>
      <c r="D2206" s="74">
        <v>243.28882934848835</v>
      </c>
      <c r="E2206" s="81">
        <v>1315049</v>
      </c>
      <c r="F2206" s="82">
        <v>1285574.9705882338</v>
      </c>
      <c r="G2206" s="75">
        <v>2628.28</v>
      </c>
      <c r="H2206" s="76">
        <v>2</v>
      </c>
      <c r="I2206" s="54" t="s">
        <v>20</v>
      </c>
      <c r="J2206" s="77">
        <v>40</v>
      </c>
      <c r="K2206" s="78">
        <v>2</v>
      </c>
      <c r="L2206" s="54">
        <v>1</v>
      </c>
      <c r="M2206" s="54">
        <f>_xlfn.XLOOKUP(Survey!$F2206,sections[Start],sections[Test Section],,-1,1)</f>
        <v>6</v>
      </c>
      <c r="N2206" s="55">
        <f>_xlfn.XLOOKUP(Survey!$K2206,pipedata[ID],pipedata[WT])</f>
        <v>0.74</v>
      </c>
      <c r="O2206" s="56">
        <f>_xlfn.XLOOKUP(Survey!$K2206,pipedata[ID],pipedata[104%])</f>
        <v>2565.3333333333335</v>
      </c>
      <c r="P2206" s="57">
        <f t="shared" si="34"/>
        <v>1850</v>
      </c>
      <c r="Q2206" s="58">
        <f>_xlfn.MAXIFS(Survey!$G$2:$G$3647,Survey!$M$2:$M$3647,Survey!$M2206)-Survey!$G2206</f>
        <v>1106.1446402284164</v>
      </c>
      <c r="R2206" s="59">
        <f>Survey!$P2206+(Survey!$Q2206*0.433)</f>
        <v>2328.9606292189042</v>
      </c>
    </row>
    <row r="2207" spans="1:18" x14ac:dyDescent="0.25">
      <c r="A2207" s="60" t="s">
        <v>17</v>
      </c>
      <c r="B2207" s="61" t="s">
        <v>22</v>
      </c>
      <c r="C2207" s="62" t="s">
        <v>19</v>
      </c>
      <c r="D2207" s="63">
        <v>243.29605172333245</v>
      </c>
      <c r="E2207" s="79">
        <v>1315089</v>
      </c>
      <c r="F2207" s="80">
        <v>1285614.2794117632</v>
      </c>
      <c r="G2207" s="66">
        <v>2627.4737899708907</v>
      </c>
      <c r="H2207" s="67">
        <v>2</v>
      </c>
      <c r="I2207" s="68" t="s">
        <v>20</v>
      </c>
      <c r="J2207" s="69">
        <v>40</v>
      </c>
      <c r="K2207" s="70">
        <v>2</v>
      </c>
      <c r="L2207" s="68">
        <v>1</v>
      </c>
      <c r="M2207" s="68">
        <f>_xlfn.XLOOKUP(Survey!$F2207,sections[Start],sections[Test Section],,-1,1)</f>
        <v>6</v>
      </c>
      <c r="N2207" s="55">
        <f>_xlfn.XLOOKUP(Survey!$K2207,pipedata[ID],pipedata[WT])</f>
        <v>0.74</v>
      </c>
      <c r="O2207" s="56">
        <f>_xlfn.XLOOKUP(Survey!$K2207,pipedata[ID],pipedata[104%])</f>
        <v>2565.3333333333335</v>
      </c>
      <c r="P2207" s="57">
        <f t="shared" si="34"/>
        <v>1850</v>
      </c>
      <c r="Q2207" s="58">
        <f>_xlfn.MAXIFS(Survey!$G$2:$G$3647,Survey!$M$2:$M$3647,Survey!$M2207)-Survey!$G2207</f>
        <v>1106.9508502575259</v>
      </c>
      <c r="R2207" s="59">
        <f>Survey!$P2207+(Survey!$Q2207*0.433)</f>
        <v>2329.3097181615085</v>
      </c>
    </row>
    <row r="2208" spans="1:18" x14ac:dyDescent="0.25">
      <c r="A2208" s="71" t="s">
        <v>17</v>
      </c>
      <c r="B2208" s="72" t="s">
        <v>22</v>
      </c>
      <c r="C2208" s="73" t="s">
        <v>19</v>
      </c>
      <c r="D2208" s="74">
        <v>243.30408957130629</v>
      </c>
      <c r="E2208" s="81">
        <v>1315129</v>
      </c>
      <c r="F2208" s="82">
        <v>1285653.5882352926</v>
      </c>
      <c r="G2208" s="75">
        <v>2626.3287090721915</v>
      </c>
      <c r="H2208" s="76">
        <v>2</v>
      </c>
      <c r="I2208" s="54" t="s">
        <v>20</v>
      </c>
      <c r="J2208" s="77">
        <v>40</v>
      </c>
      <c r="K2208" s="78">
        <v>2</v>
      </c>
      <c r="L2208" s="54">
        <v>1</v>
      </c>
      <c r="M2208" s="54">
        <f>_xlfn.XLOOKUP(Survey!$F2208,sections[Start],sections[Test Section],,-1,1)</f>
        <v>6</v>
      </c>
      <c r="N2208" s="55">
        <f>_xlfn.XLOOKUP(Survey!$K2208,pipedata[ID],pipedata[WT])</f>
        <v>0.74</v>
      </c>
      <c r="O2208" s="56">
        <f>_xlfn.XLOOKUP(Survey!$K2208,pipedata[ID],pipedata[104%])</f>
        <v>2565.3333333333335</v>
      </c>
      <c r="P2208" s="57">
        <f t="shared" si="34"/>
        <v>1850</v>
      </c>
      <c r="Q2208" s="58">
        <f>_xlfn.MAXIFS(Survey!$G$2:$G$3647,Survey!$M$2:$M$3647,Survey!$M2208)-Survey!$G2208</f>
        <v>1108.0959311562251</v>
      </c>
      <c r="R2208" s="59">
        <f>Survey!$P2208+(Survey!$Q2208*0.433)</f>
        <v>2329.8055381906456</v>
      </c>
    </row>
    <row r="2209" spans="1:18" x14ac:dyDescent="0.25">
      <c r="A2209" s="60" t="s">
        <v>17</v>
      </c>
      <c r="B2209" s="61" t="s">
        <v>22</v>
      </c>
      <c r="C2209" s="62" t="s">
        <v>19</v>
      </c>
      <c r="D2209" s="63">
        <v>243.31119004196071</v>
      </c>
      <c r="E2209" s="79">
        <v>1315169</v>
      </c>
      <c r="F2209" s="80">
        <v>1285692.897058822</v>
      </c>
      <c r="G2209" s="66">
        <v>2626.7743022559989</v>
      </c>
      <c r="H2209" s="67">
        <v>2</v>
      </c>
      <c r="I2209" s="68" t="s">
        <v>20</v>
      </c>
      <c r="J2209" s="69">
        <v>40</v>
      </c>
      <c r="K2209" s="70">
        <v>2</v>
      </c>
      <c r="L2209" s="68">
        <v>1</v>
      </c>
      <c r="M2209" s="68">
        <f>_xlfn.XLOOKUP(Survey!$F2209,sections[Start],sections[Test Section],,-1,1)</f>
        <v>6</v>
      </c>
      <c r="N2209" s="55">
        <f>_xlfn.XLOOKUP(Survey!$K2209,pipedata[ID],pipedata[WT])</f>
        <v>0.74</v>
      </c>
      <c r="O2209" s="56">
        <f>_xlfn.XLOOKUP(Survey!$K2209,pipedata[ID],pipedata[104%])</f>
        <v>2565.3333333333335</v>
      </c>
      <c r="P2209" s="57">
        <f t="shared" si="34"/>
        <v>1850</v>
      </c>
      <c r="Q2209" s="58">
        <f>_xlfn.MAXIFS(Survey!$G$2:$G$3647,Survey!$M$2:$M$3647,Survey!$M2209)-Survey!$G2209</f>
        <v>1107.6503379724177</v>
      </c>
      <c r="R2209" s="59">
        <f>Survey!$P2209+(Survey!$Q2209*0.433)</f>
        <v>2329.6125963420568</v>
      </c>
    </row>
    <row r="2210" spans="1:18" x14ac:dyDescent="0.25">
      <c r="A2210" s="71" t="s">
        <v>17</v>
      </c>
      <c r="B2210" s="72" t="s">
        <v>22</v>
      </c>
      <c r="C2210" s="73" t="s">
        <v>19</v>
      </c>
      <c r="D2210" s="74">
        <v>243.31966048040906</v>
      </c>
      <c r="E2210" s="81">
        <v>1315209</v>
      </c>
      <c r="F2210" s="82">
        <v>1285732.2058823514</v>
      </c>
      <c r="G2210" s="75">
        <v>2626.6447447728533</v>
      </c>
      <c r="H2210" s="76">
        <v>2</v>
      </c>
      <c r="I2210" s="54" t="s">
        <v>20</v>
      </c>
      <c r="J2210" s="77">
        <v>40</v>
      </c>
      <c r="K2210" s="78">
        <v>2</v>
      </c>
      <c r="L2210" s="54">
        <v>1</v>
      </c>
      <c r="M2210" s="54">
        <f>_xlfn.XLOOKUP(Survey!$F2210,sections[Start],sections[Test Section],,-1,1)</f>
        <v>6</v>
      </c>
      <c r="N2210" s="55">
        <f>_xlfn.XLOOKUP(Survey!$K2210,pipedata[ID],pipedata[WT])</f>
        <v>0.74</v>
      </c>
      <c r="O2210" s="56">
        <f>_xlfn.XLOOKUP(Survey!$K2210,pipedata[ID],pipedata[104%])</f>
        <v>2565.3333333333335</v>
      </c>
      <c r="P2210" s="57">
        <f t="shared" si="34"/>
        <v>1850</v>
      </c>
      <c r="Q2210" s="58">
        <f>_xlfn.MAXIFS(Survey!$G$2:$G$3647,Survey!$M$2:$M$3647,Survey!$M2210)-Survey!$G2210</f>
        <v>1107.7798954555633</v>
      </c>
      <c r="R2210" s="59">
        <f>Survey!$P2210+(Survey!$Q2210*0.433)</f>
        <v>2329.6686947322587</v>
      </c>
    </row>
    <row r="2211" spans="1:18" x14ac:dyDescent="0.25">
      <c r="A2211" s="60" t="s">
        <v>17</v>
      </c>
      <c r="B2211" s="61" t="s">
        <v>22</v>
      </c>
      <c r="C2211" s="62" t="s">
        <v>19</v>
      </c>
      <c r="D2211" s="63">
        <v>243.32633372716734</v>
      </c>
      <c r="E2211" s="79">
        <v>1315249</v>
      </c>
      <c r="F2211" s="80">
        <v>1285771.5147058808</v>
      </c>
      <c r="G2211" s="66">
        <v>2626.1834687812329</v>
      </c>
      <c r="H2211" s="67">
        <v>2</v>
      </c>
      <c r="I2211" s="68" t="s">
        <v>20</v>
      </c>
      <c r="J2211" s="69">
        <v>40</v>
      </c>
      <c r="K2211" s="70">
        <v>2</v>
      </c>
      <c r="L2211" s="68">
        <v>1</v>
      </c>
      <c r="M2211" s="68">
        <f>_xlfn.XLOOKUP(Survey!$F2211,sections[Start],sections[Test Section],,-1,1)</f>
        <v>6</v>
      </c>
      <c r="N2211" s="55">
        <f>_xlfn.XLOOKUP(Survey!$K2211,pipedata[ID],pipedata[WT])</f>
        <v>0.74</v>
      </c>
      <c r="O2211" s="56">
        <f>_xlfn.XLOOKUP(Survey!$K2211,pipedata[ID],pipedata[104%])</f>
        <v>2565.3333333333335</v>
      </c>
      <c r="P2211" s="57">
        <f t="shared" si="34"/>
        <v>1850</v>
      </c>
      <c r="Q2211" s="58">
        <f>_xlfn.MAXIFS(Survey!$G$2:$G$3647,Survey!$M$2:$M$3647,Survey!$M2211)-Survey!$G2211</f>
        <v>1108.2411714471837</v>
      </c>
      <c r="R2211" s="59">
        <f>Survey!$P2211+(Survey!$Q2211*0.433)</f>
        <v>2329.8684272366304</v>
      </c>
    </row>
    <row r="2212" spans="1:18" x14ac:dyDescent="0.25">
      <c r="A2212" s="71" t="s">
        <v>17</v>
      </c>
      <c r="B2212" s="72" t="s">
        <v>22</v>
      </c>
      <c r="C2212" s="73" t="s">
        <v>19</v>
      </c>
      <c r="D2212" s="74">
        <v>243.33435977003776</v>
      </c>
      <c r="E2212" s="81">
        <v>1315289</v>
      </c>
      <c r="F2212" s="82">
        <v>1285810.8235294102</v>
      </c>
      <c r="G2212" s="75">
        <v>2625.6816136388202</v>
      </c>
      <c r="H2212" s="76">
        <v>2</v>
      </c>
      <c r="I2212" s="54" t="s">
        <v>20</v>
      </c>
      <c r="J2212" s="77">
        <v>40</v>
      </c>
      <c r="K2212" s="78">
        <v>2</v>
      </c>
      <c r="L2212" s="54">
        <v>1</v>
      </c>
      <c r="M2212" s="54">
        <f>_xlfn.XLOOKUP(Survey!$F2212,sections[Start],sections[Test Section],,-1,1)</f>
        <v>6</v>
      </c>
      <c r="N2212" s="55">
        <f>_xlfn.XLOOKUP(Survey!$K2212,pipedata[ID],pipedata[WT])</f>
        <v>0.74</v>
      </c>
      <c r="O2212" s="56">
        <f>_xlfn.XLOOKUP(Survey!$K2212,pipedata[ID],pipedata[104%])</f>
        <v>2565.3333333333335</v>
      </c>
      <c r="P2212" s="57">
        <f t="shared" si="34"/>
        <v>1850</v>
      </c>
      <c r="Q2212" s="58">
        <f>_xlfn.MAXIFS(Survey!$G$2:$G$3647,Survey!$M$2:$M$3647,Survey!$M2212)-Survey!$G2212</f>
        <v>1108.7430265895964</v>
      </c>
      <c r="R2212" s="59">
        <f>Survey!$P2212+(Survey!$Q2212*0.433)</f>
        <v>2330.0857305132954</v>
      </c>
    </row>
    <row r="2213" spans="1:18" x14ac:dyDescent="0.25">
      <c r="A2213" s="60" t="s">
        <v>17</v>
      </c>
      <c r="B2213" s="61" t="s">
        <v>22</v>
      </c>
      <c r="C2213" s="62" t="s">
        <v>19</v>
      </c>
      <c r="D2213" s="63">
        <v>243.34190463627007</v>
      </c>
      <c r="E2213" s="79">
        <v>1315329</v>
      </c>
      <c r="F2213" s="80">
        <v>1285850.1323529396</v>
      </c>
      <c r="G2213" s="66">
        <v>2625.5109036028134</v>
      </c>
      <c r="H2213" s="67">
        <v>2</v>
      </c>
      <c r="I2213" s="68" t="s">
        <v>20</v>
      </c>
      <c r="J2213" s="69">
        <v>40</v>
      </c>
      <c r="K2213" s="70">
        <v>2</v>
      </c>
      <c r="L2213" s="68">
        <v>1</v>
      </c>
      <c r="M2213" s="68">
        <f>_xlfn.XLOOKUP(Survey!$F2213,sections[Start],sections[Test Section],,-1,1)</f>
        <v>6</v>
      </c>
      <c r="N2213" s="55">
        <f>_xlfn.XLOOKUP(Survey!$K2213,pipedata[ID],pipedata[WT])</f>
        <v>0.74</v>
      </c>
      <c r="O2213" s="56">
        <f>_xlfn.XLOOKUP(Survey!$K2213,pipedata[ID],pipedata[104%])</f>
        <v>2565.3333333333335</v>
      </c>
      <c r="P2213" s="57">
        <f t="shared" si="34"/>
        <v>1850</v>
      </c>
      <c r="Q2213" s="58">
        <f>_xlfn.MAXIFS(Survey!$G$2:$G$3647,Survey!$M$2:$M$3647,Survey!$M2213)-Survey!$G2213</f>
        <v>1108.9137366256032</v>
      </c>
      <c r="R2213" s="59">
        <f>Survey!$P2213+(Survey!$Q2213*0.433)</f>
        <v>2330.1596479588861</v>
      </c>
    </row>
    <row r="2214" spans="1:18" x14ac:dyDescent="0.25">
      <c r="A2214" s="71" t="s">
        <v>17</v>
      </c>
      <c r="B2214" s="72" t="s">
        <v>22</v>
      </c>
      <c r="C2214" s="73" t="s">
        <v>19</v>
      </c>
      <c r="D2214" s="74">
        <v>243.34857788302836</v>
      </c>
      <c r="E2214" s="81">
        <v>1315369</v>
      </c>
      <c r="F2214" s="82">
        <v>1285889.441176469</v>
      </c>
      <c r="G2214" s="75">
        <v>2625.0836442261411</v>
      </c>
      <c r="H2214" s="76">
        <v>2</v>
      </c>
      <c r="I2214" s="54" t="s">
        <v>20</v>
      </c>
      <c r="J2214" s="77">
        <v>40</v>
      </c>
      <c r="K2214" s="78">
        <v>2</v>
      </c>
      <c r="L2214" s="54">
        <v>1</v>
      </c>
      <c r="M2214" s="54">
        <f>_xlfn.XLOOKUP(Survey!$F2214,sections[Start],sections[Test Section],,-1,1)</f>
        <v>6</v>
      </c>
      <c r="N2214" s="55">
        <f>_xlfn.XLOOKUP(Survey!$K2214,pipedata[ID],pipedata[WT])</f>
        <v>0.74</v>
      </c>
      <c r="O2214" s="56">
        <f>_xlfn.XLOOKUP(Survey!$K2214,pipedata[ID],pipedata[104%])</f>
        <v>2565.3333333333335</v>
      </c>
      <c r="P2214" s="57">
        <f t="shared" si="34"/>
        <v>1850</v>
      </c>
      <c r="Q2214" s="58">
        <f>_xlfn.MAXIFS(Survey!$G$2:$G$3647,Survey!$M$2:$M$3647,Survey!$M2214)-Survey!$G2214</f>
        <v>1109.3409960022755</v>
      </c>
      <c r="R2214" s="59">
        <f>Survey!$P2214+(Survey!$Q2214*0.433)</f>
        <v>2330.3446512689852</v>
      </c>
    </row>
    <row r="2215" spans="1:18" x14ac:dyDescent="0.25">
      <c r="A2215" s="60" t="s">
        <v>17</v>
      </c>
      <c r="B2215" s="61" t="s">
        <v>22</v>
      </c>
      <c r="C2215" s="62" t="s">
        <v>19</v>
      </c>
      <c r="D2215" s="63">
        <v>243.35752949811427</v>
      </c>
      <c r="E2215" s="79">
        <v>1315409</v>
      </c>
      <c r="F2215" s="80">
        <v>1285928.7499999984</v>
      </c>
      <c r="G2215" s="66">
        <v>2624.2734662210237</v>
      </c>
      <c r="H2215" s="67">
        <v>2</v>
      </c>
      <c r="I2215" s="68" t="s">
        <v>20</v>
      </c>
      <c r="J2215" s="69">
        <v>40</v>
      </c>
      <c r="K2215" s="70">
        <v>2</v>
      </c>
      <c r="L2215" s="68">
        <v>1</v>
      </c>
      <c r="M2215" s="68">
        <f>_xlfn.XLOOKUP(Survey!$F2215,sections[Start],sections[Test Section],,-1,1)</f>
        <v>6</v>
      </c>
      <c r="N2215" s="55">
        <f>_xlfn.XLOOKUP(Survey!$K2215,pipedata[ID],pipedata[WT])</f>
        <v>0.74</v>
      </c>
      <c r="O2215" s="56">
        <f>_xlfn.XLOOKUP(Survey!$K2215,pipedata[ID],pipedata[104%])</f>
        <v>2565.3333333333335</v>
      </c>
      <c r="P2215" s="57">
        <f t="shared" si="34"/>
        <v>1850</v>
      </c>
      <c r="Q2215" s="58">
        <f>_xlfn.MAXIFS(Survey!$G$2:$G$3647,Survey!$M$2:$M$3647,Survey!$M2215)-Survey!$G2215</f>
        <v>1110.1511740073929</v>
      </c>
      <c r="R2215" s="59">
        <f>Survey!$P2215+(Survey!$Q2215*0.433)</f>
        <v>2330.6954583452011</v>
      </c>
    </row>
    <row r="2216" spans="1:18" x14ac:dyDescent="0.25">
      <c r="A2216" s="71" t="s">
        <v>17</v>
      </c>
      <c r="B2216" s="72" t="s">
        <v>22</v>
      </c>
      <c r="C2216" s="73" t="s">
        <v>19</v>
      </c>
      <c r="D2216" s="74">
        <v>243.36466428435185</v>
      </c>
      <c r="E2216" s="81">
        <v>1315449</v>
      </c>
      <c r="F2216" s="82">
        <v>1285968.0588235278</v>
      </c>
      <c r="G2216" s="75">
        <v>2623.4044465527932</v>
      </c>
      <c r="H2216" s="76">
        <v>2</v>
      </c>
      <c r="I2216" s="54" t="s">
        <v>20</v>
      </c>
      <c r="J2216" s="77">
        <v>40</v>
      </c>
      <c r="K2216" s="78">
        <v>2</v>
      </c>
      <c r="L2216" s="54">
        <v>1</v>
      </c>
      <c r="M2216" s="54">
        <f>_xlfn.XLOOKUP(Survey!$F2216,sections[Start],sections[Test Section],,-1,1)</f>
        <v>6</v>
      </c>
      <c r="N2216" s="55">
        <f>_xlfn.XLOOKUP(Survey!$K2216,pipedata[ID],pipedata[WT])</f>
        <v>0.74</v>
      </c>
      <c r="O2216" s="56">
        <f>_xlfn.XLOOKUP(Survey!$K2216,pipedata[ID],pipedata[104%])</f>
        <v>2565.3333333333335</v>
      </c>
      <c r="P2216" s="57">
        <f t="shared" si="34"/>
        <v>1850</v>
      </c>
      <c r="Q2216" s="58">
        <f>_xlfn.MAXIFS(Survey!$G$2:$G$3647,Survey!$M$2:$M$3647,Survey!$M2216)-Survey!$G2216</f>
        <v>1111.0201936756234</v>
      </c>
      <c r="R2216" s="59">
        <f>Survey!$P2216+(Survey!$Q2216*0.433)</f>
        <v>2331.0717438615447</v>
      </c>
    </row>
    <row r="2217" spans="1:18" x14ac:dyDescent="0.25">
      <c r="A2217" s="60" t="s">
        <v>17</v>
      </c>
      <c r="B2217" s="61" t="s">
        <v>22</v>
      </c>
      <c r="C2217" s="62" t="s">
        <v>19</v>
      </c>
      <c r="D2217" s="63">
        <v>243.37188665919601</v>
      </c>
      <c r="E2217" s="79">
        <v>1315489</v>
      </c>
      <c r="F2217" s="80">
        <v>1286007.3676470572</v>
      </c>
      <c r="G2217" s="66">
        <v>2623.470754808247</v>
      </c>
      <c r="H2217" s="67">
        <v>2</v>
      </c>
      <c r="I2217" s="68" t="s">
        <v>20</v>
      </c>
      <c r="J2217" s="69">
        <v>40</v>
      </c>
      <c r="K2217" s="70">
        <v>2</v>
      </c>
      <c r="L2217" s="68">
        <v>1</v>
      </c>
      <c r="M2217" s="68">
        <f>_xlfn.XLOOKUP(Survey!$F2217,sections[Start],sections[Test Section],,-1,1)</f>
        <v>6</v>
      </c>
      <c r="N2217" s="55">
        <f>_xlfn.XLOOKUP(Survey!$K2217,pipedata[ID],pipedata[WT])</f>
        <v>0.74</v>
      </c>
      <c r="O2217" s="56">
        <f>_xlfn.XLOOKUP(Survey!$K2217,pipedata[ID],pipedata[104%])</f>
        <v>2565.3333333333335</v>
      </c>
      <c r="P2217" s="57">
        <f t="shared" si="34"/>
        <v>1850</v>
      </c>
      <c r="Q2217" s="58">
        <f>_xlfn.MAXIFS(Survey!$G$2:$G$3647,Survey!$M$2:$M$3647,Survey!$M2217)-Survey!$G2217</f>
        <v>1110.9538854201696</v>
      </c>
      <c r="R2217" s="59">
        <f>Survey!$P2217+(Survey!$Q2217*0.433)</f>
        <v>2331.0430323869332</v>
      </c>
    </row>
    <row r="2218" spans="1:18" x14ac:dyDescent="0.25">
      <c r="A2218" s="71" t="s">
        <v>17</v>
      </c>
      <c r="B2218" s="72" t="s">
        <v>22</v>
      </c>
      <c r="C2218" s="73" t="s">
        <v>19</v>
      </c>
      <c r="D2218" s="74">
        <v>243.37971970123397</v>
      </c>
      <c r="E2218" s="81">
        <v>1315529</v>
      </c>
      <c r="F2218" s="82">
        <v>1286046.6764705866</v>
      </c>
      <c r="G2218" s="75">
        <v>2623.1542811433596</v>
      </c>
      <c r="H2218" s="76">
        <v>2</v>
      </c>
      <c r="I2218" s="54" t="s">
        <v>20</v>
      </c>
      <c r="J2218" s="77">
        <v>40</v>
      </c>
      <c r="K2218" s="78">
        <v>2</v>
      </c>
      <c r="L2218" s="54">
        <v>1</v>
      </c>
      <c r="M2218" s="54">
        <f>_xlfn.XLOOKUP(Survey!$F2218,sections[Start],sections[Test Section],,-1,1)</f>
        <v>6</v>
      </c>
      <c r="N2218" s="55">
        <f>_xlfn.XLOOKUP(Survey!$K2218,pipedata[ID],pipedata[WT])</f>
        <v>0.74</v>
      </c>
      <c r="O2218" s="56">
        <f>_xlfn.XLOOKUP(Survey!$K2218,pipedata[ID],pipedata[104%])</f>
        <v>2565.3333333333335</v>
      </c>
      <c r="P2218" s="57">
        <f t="shared" si="34"/>
        <v>1850</v>
      </c>
      <c r="Q2218" s="58">
        <f>_xlfn.MAXIFS(Survey!$G$2:$G$3647,Survey!$M$2:$M$3647,Survey!$M2218)-Survey!$G2218</f>
        <v>1111.270359085057</v>
      </c>
      <c r="R2218" s="59">
        <f>Survey!$P2218+(Survey!$Q2218*0.433)</f>
        <v>2331.1800654838298</v>
      </c>
    </row>
    <row r="2219" spans="1:18" x14ac:dyDescent="0.25">
      <c r="A2219" s="60" t="s">
        <v>17</v>
      </c>
      <c r="B2219" s="61" t="s">
        <v>22</v>
      </c>
      <c r="C2219" s="62" t="s">
        <v>19</v>
      </c>
      <c r="D2219" s="63">
        <v>243.38649165821172</v>
      </c>
      <c r="E2219" s="79">
        <v>1315569</v>
      </c>
      <c r="F2219" s="80">
        <v>1286085.985294116</v>
      </c>
      <c r="G2219" s="66">
        <v>2622.741606968345</v>
      </c>
      <c r="H2219" s="67">
        <v>2</v>
      </c>
      <c r="I2219" s="68" t="s">
        <v>20</v>
      </c>
      <c r="J2219" s="69">
        <v>40</v>
      </c>
      <c r="K2219" s="70">
        <v>2</v>
      </c>
      <c r="L2219" s="68">
        <v>1</v>
      </c>
      <c r="M2219" s="68">
        <f>_xlfn.XLOOKUP(Survey!$F2219,sections[Start],sections[Test Section],,-1,1)</f>
        <v>6</v>
      </c>
      <c r="N2219" s="55">
        <f>_xlfn.XLOOKUP(Survey!$K2219,pipedata[ID],pipedata[WT])</f>
        <v>0.74</v>
      </c>
      <c r="O2219" s="56">
        <f>_xlfn.XLOOKUP(Survey!$K2219,pipedata[ID],pipedata[104%])</f>
        <v>2565.3333333333335</v>
      </c>
      <c r="P2219" s="57">
        <f t="shared" si="34"/>
        <v>1850</v>
      </c>
      <c r="Q2219" s="58">
        <f>_xlfn.MAXIFS(Survey!$G$2:$G$3647,Survey!$M$2:$M$3647,Survey!$M2219)-Survey!$G2219</f>
        <v>1111.6830332600716</v>
      </c>
      <c r="R2219" s="59">
        <f>Survey!$P2219+(Survey!$Q2219*0.433)</f>
        <v>2331.358753401611</v>
      </c>
    </row>
    <row r="2220" spans="1:18" x14ac:dyDescent="0.25">
      <c r="A2220" s="71" t="s">
        <v>17</v>
      </c>
      <c r="B2220" s="72" t="s">
        <v>22</v>
      </c>
      <c r="C2220" s="73" t="s">
        <v>19</v>
      </c>
      <c r="D2220" s="74">
        <v>243.39529061033673</v>
      </c>
      <c r="E2220" s="81">
        <v>1315609</v>
      </c>
      <c r="F2220" s="82">
        <v>1286125.2941176454</v>
      </c>
      <c r="G2220" s="75">
        <v>2621.6784958294011</v>
      </c>
      <c r="H2220" s="76">
        <v>2</v>
      </c>
      <c r="I2220" s="54" t="s">
        <v>20</v>
      </c>
      <c r="J2220" s="77">
        <v>40</v>
      </c>
      <c r="K2220" s="78">
        <v>2</v>
      </c>
      <c r="L2220" s="54">
        <v>1</v>
      </c>
      <c r="M2220" s="54">
        <f>_xlfn.XLOOKUP(Survey!$F2220,sections[Start],sections[Test Section],,-1,1)</f>
        <v>6</v>
      </c>
      <c r="N2220" s="55">
        <f>_xlfn.XLOOKUP(Survey!$K2220,pipedata[ID],pipedata[WT])</f>
        <v>0.74</v>
      </c>
      <c r="O2220" s="56">
        <f>_xlfn.XLOOKUP(Survey!$K2220,pipedata[ID],pipedata[104%])</f>
        <v>2565.3333333333335</v>
      </c>
      <c r="P2220" s="57">
        <f t="shared" si="34"/>
        <v>1850</v>
      </c>
      <c r="Q2220" s="58">
        <f>_xlfn.MAXIFS(Survey!$G$2:$G$3647,Survey!$M$2:$M$3647,Survey!$M2220)-Survey!$G2220</f>
        <v>1112.7461443990155</v>
      </c>
      <c r="R2220" s="59">
        <f>Survey!$P2220+(Survey!$Q2220*0.433)</f>
        <v>2331.8190805247737</v>
      </c>
    </row>
    <row r="2221" spans="1:18" x14ac:dyDescent="0.25">
      <c r="A2221" s="60" t="s">
        <v>17</v>
      </c>
      <c r="B2221" s="61" t="s">
        <v>22</v>
      </c>
      <c r="C2221" s="62" t="s">
        <v>19</v>
      </c>
      <c r="D2221" s="63">
        <v>243.40126486704821</v>
      </c>
      <c r="E2221" s="79">
        <v>1315649</v>
      </c>
      <c r="F2221" s="80">
        <v>1286164.6029411748</v>
      </c>
      <c r="G2221" s="66">
        <v>2620.9580543598872</v>
      </c>
      <c r="H2221" s="67">
        <v>2</v>
      </c>
      <c r="I2221" s="68" t="s">
        <v>20</v>
      </c>
      <c r="J2221" s="69">
        <v>40</v>
      </c>
      <c r="K2221" s="70">
        <v>2</v>
      </c>
      <c r="L2221" s="68">
        <v>1</v>
      </c>
      <c r="M2221" s="68">
        <f>_xlfn.XLOOKUP(Survey!$F2221,sections[Start],sections[Test Section],,-1,1)</f>
        <v>6</v>
      </c>
      <c r="N2221" s="55">
        <f>_xlfn.XLOOKUP(Survey!$K2221,pipedata[ID],pipedata[WT])</f>
        <v>0.74</v>
      </c>
      <c r="O2221" s="56">
        <f>_xlfn.XLOOKUP(Survey!$K2221,pipedata[ID],pipedata[104%])</f>
        <v>2565.3333333333335</v>
      </c>
      <c r="P2221" s="57">
        <f t="shared" si="34"/>
        <v>1850</v>
      </c>
      <c r="Q2221" s="58">
        <f>_xlfn.MAXIFS(Survey!$G$2:$G$3647,Survey!$M$2:$M$3647,Survey!$M2221)-Survey!$G2221</f>
        <v>1113.4665858685294</v>
      </c>
      <c r="R2221" s="59">
        <f>Survey!$P2221+(Survey!$Q2221*0.433)</f>
        <v>2332.1310316810732</v>
      </c>
    </row>
    <row r="2222" spans="1:18" x14ac:dyDescent="0.25">
      <c r="A2222" s="71" t="s">
        <v>17</v>
      </c>
      <c r="B2222" s="72" t="s">
        <v>22</v>
      </c>
      <c r="C2222" s="73" t="s">
        <v>19</v>
      </c>
      <c r="D2222" s="74">
        <v>243.41050894581059</v>
      </c>
      <c r="E2222" s="81">
        <v>1315689</v>
      </c>
      <c r="F2222" s="82">
        <v>1286203.9117647042</v>
      </c>
      <c r="G2222" s="75">
        <v>2620.6788950842169</v>
      </c>
      <c r="H2222" s="76">
        <v>2</v>
      </c>
      <c r="I2222" s="54" t="s">
        <v>20</v>
      </c>
      <c r="J2222" s="77">
        <v>40</v>
      </c>
      <c r="K2222" s="78">
        <v>2</v>
      </c>
      <c r="L2222" s="54">
        <v>1</v>
      </c>
      <c r="M2222" s="54">
        <f>_xlfn.XLOOKUP(Survey!$F2222,sections[Start],sections[Test Section],,-1,1)</f>
        <v>6</v>
      </c>
      <c r="N2222" s="55">
        <f>_xlfn.XLOOKUP(Survey!$K2222,pipedata[ID],pipedata[WT])</f>
        <v>0.74</v>
      </c>
      <c r="O2222" s="56">
        <f>_xlfn.XLOOKUP(Survey!$K2222,pipedata[ID],pipedata[104%])</f>
        <v>2565.3333333333335</v>
      </c>
      <c r="P2222" s="57">
        <f t="shared" si="34"/>
        <v>1850</v>
      </c>
      <c r="Q2222" s="58">
        <f>_xlfn.MAXIFS(Survey!$G$2:$G$3647,Survey!$M$2:$M$3647,Survey!$M2222)-Survey!$G2222</f>
        <v>1113.7457451441996</v>
      </c>
      <c r="R2222" s="59">
        <f>Survey!$P2222+(Survey!$Q2222*0.433)</f>
        <v>2332.2519076474382</v>
      </c>
    </row>
    <row r="2223" spans="1:18" x14ac:dyDescent="0.25">
      <c r="A2223" s="60" t="s">
        <v>17</v>
      </c>
      <c r="B2223" s="61" t="s">
        <v>22</v>
      </c>
      <c r="C2223" s="62" t="s">
        <v>19</v>
      </c>
      <c r="D2223" s="63">
        <v>243.41696069499289</v>
      </c>
      <c r="E2223" s="79">
        <v>1315729</v>
      </c>
      <c r="F2223" s="80">
        <v>1286243.2205882336</v>
      </c>
      <c r="G2223" s="66">
        <v>2620.5538215875326</v>
      </c>
      <c r="H2223" s="67">
        <v>2</v>
      </c>
      <c r="I2223" s="68" t="s">
        <v>20</v>
      </c>
      <c r="J2223" s="69">
        <v>40</v>
      </c>
      <c r="K2223" s="70">
        <v>2</v>
      </c>
      <c r="L2223" s="68">
        <v>1</v>
      </c>
      <c r="M2223" s="68">
        <f>_xlfn.XLOOKUP(Survey!$F2223,sections[Start],sections[Test Section],,-1,1)</f>
        <v>6</v>
      </c>
      <c r="N2223" s="55">
        <f>_xlfn.XLOOKUP(Survey!$K2223,pipedata[ID],pipedata[WT])</f>
        <v>0.74</v>
      </c>
      <c r="O2223" s="56">
        <f>_xlfn.XLOOKUP(Survey!$K2223,pipedata[ID],pipedata[104%])</f>
        <v>2565.3333333333335</v>
      </c>
      <c r="P2223" s="57">
        <f t="shared" si="34"/>
        <v>1850</v>
      </c>
      <c r="Q2223" s="58">
        <f>_xlfn.MAXIFS(Survey!$G$2:$G$3647,Survey!$M$2:$M$3647,Survey!$M2223)-Survey!$G2223</f>
        <v>1113.870818640884</v>
      </c>
      <c r="R2223" s="59">
        <f>Survey!$P2223+(Survey!$Q2223*0.433)</f>
        <v>2332.3060644715029</v>
      </c>
    </row>
    <row r="2224" spans="1:18" x14ac:dyDescent="0.25">
      <c r="A2224" s="71" t="s">
        <v>17</v>
      </c>
      <c r="B2224" s="72" t="s">
        <v>22</v>
      </c>
      <c r="C2224" s="73" t="s">
        <v>19</v>
      </c>
      <c r="D2224" s="74">
        <v>243.42550779168647</v>
      </c>
      <c r="E2224" s="81">
        <v>1315769</v>
      </c>
      <c r="F2224" s="82">
        <v>1286282.529411763</v>
      </c>
      <c r="G2224" s="75">
        <v>2620.4974316017906</v>
      </c>
      <c r="H2224" s="76">
        <v>2</v>
      </c>
      <c r="I2224" s="54" t="s">
        <v>20</v>
      </c>
      <c r="J2224" s="77">
        <v>40</v>
      </c>
      <c r="K2224" s="78">
        <v>2</v>
      </c>
      <c r="L2224" s="54">
        <v>1</v>
      </c>
      <c r="M2224" s="54">
        <f>_xlfn.XLOOKUP(Survey!$F2224,sections[Start],sections[Test Section],,-1,1)</f>
        <v>6</v>
      </c>
      <c r="N2224" s="55">
        <f>_xlfn.XLOOKUP(Survey!$K2224,pipedata[ID],pipedata[WT])</f>
        <v>0.74</v>
      </c>
      <c r="O2224" s="56">
        <f>_xlfn.XLOOKUP(Survey!$K2224,pipedata[ID],pipedata[104%])</f>
        <v>2565.3333333333335</v>
      </c>
      <c r="P2224" s="57">
        <f t="shared" si="34"/>
        <v>1850</v>
      </c>
      <c r="Q2224" s="58">
        <f>_xlfn.MAXIFS(Survey!$G$2:$G$3647,Survey!$M$2:$M$3647,Survey!$M2224)-Survey!$G2224</f>
        <v>1113.927208626626</v>
      </c>
      <c r="R2224" s="59">
        <f>Survey!$P2224+(Survey!$Q2224*0.433)</f>
        <v>2332.3304813353288</v>
      </c>
    </row>
    <row r="2225" spans="1:18" x14ac:dyDescent="0.25">
      <c r="A2225" s="60" t="s">
        <v>17</v>
      </c>
      <c r="B2225" s="61" t="s">
        <v>22</v>
      </c>
      <c r="C2225" s="62" t="s">
        <v>19</v>
      </c>
      <c r="D2225" s="63">
        <v>243.43311510420352</v>
      </c>
      <c r="E2225" s="79">
        <v>1315809</v>
      </c>
      <c r="F2225" s="80">
        <v>1286321.8382352924</v>
      </c>
      <c r="G2225" s="66">
        <v>2619.1074241342635</v>
      </c>
      <c r="H2225" s="67">
        <v>2</v>
      </c>
      <c r="I2225" s="68" t="s">
        <v>20</v>
      </c>
      <c r="J2225" s="69">
        <v>40</v>
      </c>
      <c r="K2225" s="70">
        <v>2</v>
      </c>
      <c r="L2225" s="68">
        <v>1</v>
      </c>
      <c r="M2225" s="68">
        <f>_xlfn.XLOOKUP(Survey!$F2225,sections[Start],sections[Test Section],,-1,1)</f>
        <v>6</v>
      </c>
      <c r="N2225" s="55">
        <f>_xlfn.XLOOKUP(Survey!$K2225,pipedata[ID],pipedata[WT])</f>
        <v>0.74</v>
      </c>
      <c r="O2225" s="56">
        <f>_xlfn.XLOOKUP(Survey!$K2225,pipedata[ID],pipedata[104%])</f>
        <v>2565.3333333333335</v>
      </c>
      <c r="P2225" s="57">
        <f t="shared" si="34"/>
        <v>1850</v>
      </c>
      <c r="Q2225" s="58">
        <f>_xlfn.MAXIFS(Survey!$G$2:$G$3647,Survey!$M$2:$M$3647,Survey!$M2225)-Survey!$G2225</f>
        <v>1115.3172160941531</v>
      </c>
      <c r="R2225" s="59">
        <f>Survey!$P2225+(Survey!$Q2225*0.433)</f>
        <v>2332.9323545687685</v>
      </c>
    </row>
    <row r="2226" spans="1:18" x14ac:dyDescent="0.25">
      <c r="A2226" s="71" t="s">
        <v>17</v>
      </c>
      <c r="B2226" s="72" t="s">
        <v>22</v>
      </c>
      <c r="C2226" s="73" t="s">
        <v>19</v>
      </c>
      <c r="D2226" s="74">
        <v>243.44050663756252</v>
      </c>
      <c r="E2226" s="81">
        <v>1315849</v>
      </c>
      <c r="F2226" s="82">
        <v>1286361.1470588217</v>
      </c>
      <c r="G2226" s="75">
        <v>2619.6503641143449</v>
      </c>
      <c r="H2226" s="76">
        <v>2</v>
      </c>
      <c r="I2226" s="54" t="s">
        <v>20</v>
      </c>
      <c r="J2226" s="77">
        <v>40</v>
      </c>
      <c r="K2226" s="78">
        <v>2</v>
      </c>
      <c r="L2226" s="54">
        <v>1</v>
      </c>
      <c r="M2226" s="54">
        <f>_xlfn.XLOOKUP(Survey!$F2226,sections[Start],sections[Test Section],,-1,1)</f>
        <v>6</v>
      </c>
      <c r="N2226" s="55">
        <f>_xlfn.XLOOKUP(Survey!$K2226,pipedata[ID],pipedata[WT])</f>
        <v>0.74</v>
      </c>
      <c r="O2226" s="56">
        <f>_xlfn.XLOOKUP(Survey!$K2226,pipedata[ID],pipedata[104%])</f>
        <v>2565.3333333333335</v>
      </c>
      <c r="P2226" s="57">
        <f t="shared" si="34"/>
        <v>1850</v>
      </c>
      <c r="Q2226" s="58">
        <f>_xlfn.MAXIFS(Survey!$G$2:$G$3647,Survey!$M$2:$M$3647,Survey!$M2226)-Survey!$G2226</f>
        <v>1114.7742761140717</v>
      </c>
      <c r="R2226" s="59">
        <f>Survey!$P2226+(Survey!$Q2226*0.433)</f>
        <v>2332.6972615573932</v>
      </c>
    </row>
    <row r="2227" spans="1:18" x14ac:dyDescent="0.25">
      <c r="A2227" s="60" t="s">
        <v>17</v>
      </c>
      <c r="B2227" s="61" t="s">
        <v>22</v>
      </c>
      <c r="C2227" s="62" t="s">
        <v>19</v>
      </c>
      <c r="D2227" s="63">
        <v>243.44693471436656</v>
      </c>
      <c r="E2227" s="79">
        <v>1315889</v>
      </c>
      <c r="F2227" s="80">
        <v>1286400.4558823511</v>
      </c>
      <c r="G2227" s="66">
        <v>2618.4089754250203</v>
      </c>
      <c r="H2227" s="67">
        <v>2</v>
      </c>
      <c r="I2227" s="68" t="s">
        <v>20</v>
      </c>
      <c r="J2227" s="69">
        <v>40</v>
      </c>
      <c r="K2227" s="70">
        <v>2</v>
      </c>
      <c r="L2227" s="68">
        <v>1</v>
      </c>
      <c r="M2227" s="68">
        <f>_xlfn.XLOOKUP(Survey!$F2227,sections[Start],sections[Test Section],,-1,1)</f>
        <v>6</v>
      </c>
      <c r="N2227" s="55">
        <f>_xlfn.XLOOKUP(Survey!$K2227,pipedata[ID],pipedata[WT])</f>
        <v>0.74</v>
      </c>
      <c r="O2227" s="56">
        <f>_xlfn.XLOOKUP(Survey!$K2227,pipedata[ID],pipedata[104%])</f>
        <v>2565.3333333333335</v>
      </c>
      <c r="P2227" s="57">
        <f t="shared" si="34"/>
        <v>1850</v>
      </c>
      <c r="Q2227" s="58">
        <f>_xlfn.MAXIFS(Survey!$G$2:$G$3647,Survey!$M$2:$M$3647,Survey!$M2227)-Survey!$G2227</f>
        <v>1116.0156648033962</v>
      </c>
      <c r="R2227" s="59">
        <f>Survey!$P2227+(Survey!$Q2227*0.433)</f>
        <v>2333.2347828598704</v>
      </c>
    </row>
    <row r="2228" spans="1:18" x14ac:dyDescent="0.25">
      <c r="A2228" s="71" t="s">
        <v>17</v>
      </c>
      <c r="B2228" s="72" t="s">
        <v>22</v>
      </c>
      <c r="C2228" s="73" t="s">
        <v>19</v>
      </c>
      <c r="D2228" s="74">
        <v>243.45550548343851</v>
      </c>
      <c r="E2228" s="81">
        <v>1315929</v>
      </c>
      <c r="F2228" s="82">
        <v>1286439.7647058805</v>
      </c>
      <c r="G2228" s="75">
        <v>2617.8847009023707</v>
      </c>
      <c r="H2228" s="76">
        <v>2</v>
      </c>
      <c r="I2228" s="54" t="s">
        <v>20</v>
      </c>
      <c r="J2228" s="77">
        <v>40</v>
      </c>
      <c r="K2228" s="78">
        <v>2</v>
      </c>
      <c r="L2228" s="54">
        <v>1</v>
      </c>
      <c r="M2228" s="54">
        <f>_xlfn.XLOOKUP(Survey!$F2228,sections[Start],sections[Test Section],,-1,1)</f>
        <v>6</v>
      </c>
      <c r="N2228" s="55">
        <f>_xlfn.XLOOKUP(Survey!$K2228,pipedata[ID],pipedata[WT])</f>
        <v>0.74</v>
      </c>
      <c r="O2228" s="56">
        <f>_xlfn.XLOOKUP(Survey!$K2228,pipedata[ID],pipedata[104%])</f>
        <v>2565.3333333333335</v>
      </c>
      <c r="P2228" s="57">
        <f t="shared" si="34"/>
        <v>1850</v>
      </c>
      <c r="Q2228" s="58">
        <f>_xlfn.MAXIFS(Survey!$G$2:$G$3647,Survey!$M$2:$M$3647,Survey!$M2228)-Survey!$G2228</f>
        <v>1116.5399393260459</v>
      </c>
      <c r="R2228" s="59">
        <f>Survey!$P2228+(Survey!$Q2228*0.433)</f>
        <v>2333.4617937281778</v>
      </c>
    </row>
    <row r="2229" spans="1:18" x14ac:dyDescent="0.25">
      <c r="A2229" s="60" t="s">
        <v>17</v>
      </c>
      <c r="B2229" s="61" t="s">
        <v>22</v>
      </c>
      <c r="C2229" s="62" t="s">
        <v>19</v>
      </c>
      <c r="D2229" s="63">
        <v>243.46246155700564</v>
      </c>
      <c r="E2229" s="79">
        <v>1315969</v>
      </c>
      <c r="F2229" s="80">
        <v>1286479.0735294099</v>
      </c>
      <c r="G2229" s="66">
        <v>2617.8682609299531</v>
      </c>
      <c r="H2229" s="67">
        <v>2</v>
      </c>
      <c r="I2229" s="68" t="s">
        <v>20</v>
      </c>
      <c r="J2229" s="69">
        <v>40</v>
      </c>
      <c r="K2229" s="70">
        <v>2</v>
      </c>
      <c r="L2229" s="68">
        <v>1</v>
      </c>
      <c r="M2229" s="68">
        <f>_xlfn.XLOOKUP(Survey!$F2229,sections[Start],sections[Test Section],,-1,1)</f>
        <v>6</v>
      </c>
      <c r="N2229" s="55">
        <f>_xlfn.XLOOKUP(Survey!$K2229,pipedata[ID],pipedata[WT])</f>
        <v>0.74</v>
      </c>
      <c r="O2229" s="56">
        <f>_xlfn.XLOOKUP(Survey!$K2229,pipedata[ID],pipedata[104%])</f>
        <v>2565.3333333333335</v>
      </c>
      <c r="P2229" s="57">
        <f t="shared" si="34"/>
        <v>1850</v>
      </c>
      <c r="Q2229" s="58">
        <f>_xlfn.MAXIFS(Survey!$G$2:$G$3647,Survey!$M$2:$M$3647,Survey!$M2229)-Survey!$G2229</f>
        <v>1116.5563792984635</v>
      </c>
      <c r="R2229" s="59">
        <f>Survey!$P2229+(Survey!$Q2229*0.433)</f>
        <v>2333.4689122362347</v>
      </c>
    </row>
    <row r="2230" spans="1:18" x14ac:dyDescent="0.25">
      <c r="A2230" s="71" t="s">
        <v>17</v>
      </c>
      <c r="B2230" s="72" t="s">
        <v>22</v>
      </c>
      <c r="C2230" s="73" t="s">
        <v>19</v>
      </c>
      <c r="D2230" s="74">
        <v>243.47050432931434</v>
      </c>
      <c r="E2230" s="81">
        <v>1316009</v>
      </c>
      <c r="F2230" s="82">
        <v>1286518.3823529393</v>
      </c>
      <c r="G2230" s="75">
        <v>2619.5757844952418</v>
      </c>
      <c r="H2230" s="76">
        <v>2</v>
      </c>
      <c r="I2230" s="54" t="s">
        <v>20</v>
      </c>
      <c r="J2230" s="77">
        <v>28</v>
      </c>
      <c r="K2230" s="78">
        <v>2</v>
      </c>
      <c r="L2230" s="54">
        <v>1</v>
      </c>
      <c r="M2230" s="54">
        <f>_xlfn.XLOOKUP(Survey!$F2230,sections[Start],sections[Test Section],,-1,1)</f>
        <v>6</v>
      </c>
      <c r="N2230" s="55">
        <f>_xlfn.XLOOKUP(Survey!$K2230,pipedata[ID],pipedata[WT])</f>
        <v>0.74</v>
      </c>
      <c r="O2230" s="56">
        <f>_xlfn.XLOOKUP(Survey!$K2230,pipedata[ID],pipedata[104%])</f>
        <v>2565.3333333333335</v>
      </c>
      <c r="P2230" s="57">
        <f t="shared" si="34"/>
        <v>1850</v>
      </c>
      <c r="Q2230" s="58">
        <f>_xlfn.MAXIFS(Survey!$G$2:$G$3647,Survey!$M$2:$M$3647,Survey!$M2230)-Survey!$G2230</f>
        <v>1114.8488557331748</v>
      </c>
      <c r="R2230" s="59">
        <f>Survey!$P2230+(Survey!$Q2230*0.433)</f>
        <v>2332.7295545324646</v>
      </c>
    </row>
    <row r="2231" spans="1:18" x14ac:dyDescent="0.25">
      <c r="A2231" s="60" t="s">
        <v>17</v>
      </c>
      <c r="B2231" s="61" t="s">
        <v>22</v>
      </c>
      <c r="C2231" s="62" t="s">
        <v>19</v>
      </c>
      <c r="D2231" s="63">
        <v>243.47853139626667</v>
      </c>
      <c r="E2231" s="79">
        <v>1316037</v>
      </c>
      <c r="F2231" s="80">
        <v>1286597</v>
      </c>
      <c r="G2231" s="66">
        <v>2620.9905867032485</v>
      </c>
      <c r="H2231" s="67">
        <v>2</v>
      </c>
      <c r="I2231" s="68" t="s">
        <v>21</v>
      </c>
      <c r="J2231" s="69">
        <v>52</v>
      </c>
      <c r="K2231" s="70">
        <v>4</v>
      </c>
      <c r="L2231" s="68">
        <v>1</v>
      </c>
      <c r="M2231" s="68">
        <f>_xlfn.XLOOKUP(Survey!$F2231,sections[Start],sections[Test Section],,-1,1)</f>
        <v>6</v>
      </c>
      <c r="N2231" s="55">
        <f>_xlfn.XLOOKUP(Survey!$K2231,pipedata[ID],pipedata[WT])</f>
        <v>0.74</v>
      </c>
      <c r="O2231" s="56">
        <f>_xlfn.XLOOKUP(Survey!$K2231,pipedata[ID],pipedata[104%])</f>
        <v>2565.3333333333335</v>
      </c>
      <c r="P2231" s="57">
        <f t="shared" si="34"/>
        <v>1850</v>
      </c>
      <c r="Q2231" s="58">
        <f>_xlfn.MAXIFS(Survey!$G$2:$G$3647,Survey!$M$2:$M$3647,Survey!$M2231)-Survey!$G2231</f>
        <v>1113.4340535251681</v>
      </c>
      <c r="R2231" s="59">
        <f>Survey!$P2231+(Survey!$Q2231*0.433)</f>
        <v>2332.1169451763976</v>
      </c>
    </row>
    <row r="2232" spans="1:18" x14ac:dyDescent="0.25">
      <c r="A2232" s="71" t="s">
        <v>17</v>
      </c>
      <c r="B2232" s="72" t="s">
        <v>22</v>
      </c>
      <c r="C2232" s="73" t="s">
        <v>19</v>
      </c>
      <c r="D2232" s="74">
        <v>243.48576968113801</v>
      </c>
      <c r="E2232" s="81">
        <v>1316089</v>
      </c>
      <c r="F2232" s="82">
        <v>1286637</v>
      </c>
      <c r="G2232" s="75">
        <v>2619.7321924298449</v>
      </c>
      <c r="H2232" s="76">
        <v>2</v>
      </c>
      <c r="I2232" s="54" t="s">
        <v>21</v>
      </c>
      <c r="J2232" s="77">
        <v>28</v>
      </c>
      <c r="K2232" s="78">
        <v>4</v>
      </c>
      <c r="L2232" s="54">
        <v>1</v>
      </c>
      <c r="M2232" s="54">
        <f>_xlfn.XLOOKUP(Survey!$F2232,sections[Start],sections[Test Section],,-1,1)</f>
        <v>6</v>
      </c>
      <c r="N2232" s="55">
        <f>_xlfn.XLOOKUP(Survey!$K2232,pipedata[ID],pipedata[WT])</f>
        <v>0.74</v>
      </c>
      <c r="O2232" s="56">
        <f>_xlfn.XLOOKUP(Survey!$K2232,pipedata[ID],pipedata[104%])</f>
        <v>2565.3333333333335</v>
      </c>
      <c r="P2232" s="57">
        <f t="shared" si="34"/>
        <v>1850</v>
      </c>
      <c r="Q2232" s="58">
        <f>_xlfn.MAXIFS(Survey!$G$2:$G$3647,Survey!$M$2:$M$3647,Survey!$M2232)-Survey!$G2232</f>
        <v>1114.6924477985717</v>
      </c>
      <c r="R2232" s="59">
        <f>Survey!$P2232+(Survey!$Q2232*0.433)</f>
        <v>2332.6618298967815</v>
      </c>
    </row>
    <row r="2233" spans="1:18" x14ac:dyDescent="0.25">
      <c r="A2233" s="60" t="s">
        <v>17</v>
      </c>
      <c r="B2233" s="61" t="s">
        <v>22</v>
      </c>
      <c r="C2233" s="62" t="s">
        <v>19</v>
      </c>
      <c r="D2233" s="63">
        <v>243.49376198703862</v>
      </c>
      <c r="E2233" s="79">
        <v>1316117</v>
      </c>
      <c r="F2233" s="80">
        <v>1286677</v>
      </c>
      <c r="G2233" s="66">
        <v>2617.6950223288432</v>
      </c>
      <c r="H2233" s="67">
        <v>2</v>
      </c>
      <c r="I2233" s="68" t="s">
        <v>20</v>
      </c>
      <c r="J2233" s="69">
        <v>52</v>
      </c>
      <c r="K2233" s="70">
        <v>2</v>
      </c>
      <c r="L2233" s="68">
        <v>1</v>
      </c>
      <c r="M2233" s="68">
        <f>_xlfn.XLOOKUP(Survey!$F2233,sections[Start],sections[Test Section],,-1,1)</f>
        <v>6</v>
      </c>
      <c r="N2233" s="55">
        <f>_xlfn.XLOOKUP(Survey!$K2233,pipedata[ID],pipedata[WT])</f>
        <v>0.74</v>
      </c>
      <c r="O2233" s="56">
        <f>_xlfn.XLOOKUP(Survey!$K2233,pipedata[ID],pipedata[104%])</f>
        <v>2565.3333333333335</v>
      </c>
      <c r="P2233" s="57">
        <f t="shared" si="34"/>
        <v>1850</v>
      </c>
      <c r="Q2233" s="58">
        <f>_xlfn.MAXIFS(Survey!$G$2:$G$3647,Survey!$M$2:$M$3647,Survey!$M2233)-Survey!$G2233</f>
        <v>1116.7296178995734</v>
      </c>
      <c r="R2233" s="59">
        <f>Survey!$P2233+(Survey!$Q2233*0.433)</f>
        <v>2333.5439245505154</v>
      </c>
    </row>
    <row r="2234" spans="1:18" x14ac:dyDescent="0.25">
      <c r="A2234" s="71" t="s">
        <v>17</v>
      </c>
      <c r="B2234" s="72" t="s">
        <v>22</v>
      </c>
      <c r="C2234" s="73" t="s">
        <v>19</v>
      </c>
      <c r="D2234" s="74">
        <v>243.50013898970886</v>
      </c>
      <c r="E2234" s="81">
        <v>1316169</v>
      </c>
      <c r="F2234" s="82">
        <v>1286715.5</v>
      </c>
      <c r="G2234" s="75">
        <v>2616.3797319658183</v>
      </c>
      <c r="H2234" s="76">
        <v>2</v>
      </c>
      <c r="I2234" s="54" t="s">
        <v>20</v>
      </c>
      <c r="J2234" s="77">
        <v>40</v>
      </c>
      <c r="K2234" s="78">
        <v>2</v>
      </c>
      <c r="L2234" s="54">
        <v>1</v>
      </c>
      <c r="M2234" s="54">
        <f>_xlfn.XLOOKUP(Survey!$F2234,sections[Start],sections[Test Section],,-1,1)</f>
        <v>6</v>
      </c>
      <c r="N2234" s="55">
        <f>_xlfn.XLOOKUP(Survey!$K2234,pipedata[ID],pipedata[WT])</f>
        <v>0.74</v>
      </c>
      <c r="O2234" s="56">
        <f>_xlfn.XLOOKUP(Survey!$K2234,pipedata[ID],pipedata[104%])</f>
        <v>2565.3333333333335</v>
      </c>
      <c r="P2234" s="57">
        <f t="shared" si="34"/>
        <v>1850</v>
      </c>
      <c r="Q2234" s="58">
        <f>_xlfn.MAXIFS(Survey!$G$2:$G$3647,Survey!$M$2:$M$3647,Survey!$M2234)-Survey!$G2234</f>
        <v>1118.0449082625983</v>
      </c>
      <c r="R2234" s="59">
        <f>Survey!$P2234+(Survey!$Q2234*0.433)</f>
        <v>2334.1134452777051</v>
      </c>
    </row>
    <row r="2235" spans="1:18" x14ac:dyDescent="0.25">
      <c r="A2235" s="60" t="s">
        <v>17</v>
      </c>
      <c r="B2235" s="61" t="s">
        <v>22</v>
      </c>
      <c r="C2235" s="62" t="s">
        <v>19</v>
      </c>
      <c r="D2235" s="63">
        <v>243.50879098807386</v>
      </c>
      <c r="E2235" s="79">
        <v>1316209</v>
      </c>
      <c r="F2235" s="80">
        <v>1286754</v>
      </c>
      <c r="G2235" s="66">
        <v>2614.4403358162967</v>
      </c>
      <c r="H2235" s="67">
        <v>2</v>
      </c>
      <c r="I2235" s="68" t="s">
        <v>20</v>
      </c>
      <c r="J2235" s="69">
        <v>40</v>
      </c>
      <c r="K2235" s="70">
        <v>2</v>
      </c>
      <c r="L2235" s="68">
        <v>1</v>
      </c>
      <c r="M2235" s="68">
        <f>_xlfn.XLOOKUP(Survey!$F2235,sections[Start],sections[Test Section],,-1,1)</f>
        <v>6</v>
      </c>
      <c r="N2235" s="55">
        <f>_xlfn.XLOOKUP(Survey!$K2235,pipedata[ID],pipedata[WT])</f>
        <v>0.74</v>
      </c>
      <c r="O2235" s="56">
        <f>_xlfn.XLOOKUP(Survey!$K2235,pipedata[ID],pipedata[104%])</f>
        <v>2565.3333333333335</v>
      </c>
      <c r="P2235" s="57">
        <f t="shared" si="34"/>
        <v>1850</v>
      </c>
      <c r="Q2235" s="58">
        <f>_xlfn.MAXIFS(Survey!$G$2:$G$3647,Survey!$M$2:$M$3647,Survey!$M2235)-Survey!$G2235</f>
        <v>1119.9843044121199</v>
      </c>
      <c r="R2235" s="59">
        <f>Survey!$P2235+(Survey!$Q2235*0.433)</f>
        <v>2334.953203810448</v>
      </c>
    </row>
    <row r="2236" spans="1:18" x14ac:dyDescent="0.25">
      <c r="A2236" s="71" t="s">
        <v>17</v>
      </c>
      <c r="B2236" s="72" t="s">
        <v>22</v>
      </c>
      <c r="C2236" s="73" t="s">
        <v>19</v>
      </c>
      <c r="D2236" s="74">
        <v>243.5157897942095</v>
      </c>
      <c r="E2236" s="81">
        <v>1316249</v>
      </c>
      <c r="F2236" s="82">
        <v>1286792.5</v>
      </c>
      <c r="G2236" s="75">
        <v>2613.2794984243774</v>
      </c>
      <c r="H2236" s="76">
        <v>2</v>
      </c>
      <c r="I2236" s="54" t="s">
        <v>20</v>
      </c>
      <c r="J2236" s="77">
        <v>40</v>
      </c>
      <c r="K2236" s="78">
        <v>2</v>
      </c>
      <c r="L2236" s="54">
        <v>1</v>
      </c>
      <c r="M2236" s="54">
        <f>_xlfn.XLOOKUP(Survey!$F2236,sections[Start],sections[Test Section],,-1,1)</f>
        <v>6</v>
      </c>
      <c r="N2236" s="55">
        <f>_xlfn.XLOOKUP(Survey!$K2236,pipedata[ID],pipedata[WT])</f>
        <v>0.74</v>
      </c>
      <c r="O2236" s="56">
        <f>_xlfn.XLOOKUP(Survey!$K2236,pipedata[ID],pipedata[104%])</f>
        <v>2565.3333333333335</v>
      </c>
      <c r="P2236" s="57">
        <f t="shared" si="34"/>
        <v>1850</v>
      </c>
      <c r="Q2236" s="58">
        <f>_xlfn.MAXIFS(Survey!$G$2:$G$3647,Survey!$M$2:$M$3647,Survey!$M2236)-Survey!$G2236</f>
        <v>1121.1451418040392</v>
      </c>
      <c r="R2236" s="59">
        <f>Survey!$P2236+(Survey!$Q2236*0.433)</f>
        <v>2335.4558464011488</v>
      </c>
    </row>
    <row r="2237" spans="1:18" x14ac:dyDescent="0.25">
      <c r="A2237" s="60" t="s">
        <v>17</v>
      </c>
      <c r="B2237" s="61" t="s">
        <v>22</v>
      </c>
      <c r="C2237" s="62" t="s">
        <v>19</v>
      </c>
      <c r="D2237" s="63">
        <v>243.52328238881873</v>
      </c>
      <c r="E2237" s="79">
        <v>1316289</v>
      </c>
      <c r="F2237" s="80">
        <v>1286831</v>
      </c>
      <c r="G2237" s="66">
        <v>2611.7118592544275</v>
      </c>
      <c r="H2237" s="67">
        <v>2</v>
      </c>
      <c r="I2237" s="68" t="s">
        <v>20</v>
      </c>
      <c r="J2237" s="69">
        <v>40</v>
      </c>
      <c r="K2237" s="70">
        <v>2</v>
      </c>
      <c r="L2237" s="68">
        <v>1</v>
      </c>
      <c r="M2237" s="68">
        <f>_xlfn.XLOOKUP(Survey!$F2237,sections[Start],sections[Test Section],,-1,1)</f>
        <v>6</v>
      </c>
      <c r="N2237" s="55">
        <f>_xlfn.XLOOKUP(Survey!$K2237,pipedata[ID],pipedata[WT])</f>
        <v>0.74</v>
      </c>
      <c r="O2237" s="56">
        <f>_xlfn.XLOOKUP(Survey!$K2237,pipedata[ID],pipedata[104%])</f>
        <v>2565.3333333333335</v>
      </c>
      <c r="P2237" s="57">
        <f t="shared" si="34"/>
        <v>1850</v>
      </c>
      <c r="Q2237" s="58">
        <f>_xlfn.MAXIFS(Survey!$G$2:$G$3647,Survey!$M$2:$M$3647,Survey!$M2237)-Survey!$G2237</f>
        <v>1122.7127809739891</v>
      </c>
      <c r="R2237" s="59">
        <f>Survey!$P2237+(Survey!$Q2237*0.433)</f>
        <v>2336.1346341617373</v>
      </c>
    </row>
    <row r="2238" spans="1:18" x14ac:dyDescent="0.25">
      <c r="A2238" s="71" t="s">
        <v>17</v>
      </c>
      <c r="B2238" s="72" t="s">
        <v>22</v>
      </c>
      <c r="C2238" s="73" t="s">
        <v>19</v>
      </c>
      <c r="D2238" s="74">
        <v>243.5311517575511</v>
      </c>
      <c r="E2238" s="81">
        <v>1316329</v>
      </c>
      <c r="F2238" s="82">
        <v>1286869.5</v>
      </c>
      <c r="G2238" s="75">
        <v>2611.6368516309599</v>
      </c>
      <c r="H2238" s="76">
        <v>2</v>
      </c>
      <c r="I2238" s="54" t="s">
        <v>20</v>
      </c>
      <c r="J2238" s="77">
        <v>19</v>
      </c>
      <c r="K2238" s="78">
        <v>2</v>
      </c>
      <c r="L2238" s="54">
        <v>1</v>
      </c>
      <c r="M2238" s="54">
        <f>_xlfn.XLOOKUP(Survey!$F2238,sections[Start],sections[Test Section],,-1,1)</f>
        <v>6</v>
      </c>
      <c r="N2238" s="55">
        <f>_xlfn.XLOOKUP(Survey!$K2238,pipedata[ID],pipedata[WT])</f>
        <v>0.74</v>
      </c>
      <c r="O2238" s="56">
        <f>_xlfn.XLOOKUP(Survey!$K2238,pipedata[ID],pipedata[104%])</f>
        <v>2565.3333333333335</v>
      </c>
      <c r="P2238" s="57">
        <f t="shared" si="34"/>
        <v>1850</v>
      </c>
      <c r="Q2238" s="58">
        <f>_xlfn.MAXIFS(Survey!$G$2:$G$3647,Survey!$M$2:$M$3647,Survey!$M2238)-Survey!$G2238</f>
        <v>1122.7877885974567</v>
      </c>
      <c r="R2238" s="59">
        <f>Survey!$P2238+(Survey!$Q2238*0.433)</f>
        <v>2336.1671124626987</v>
      </c>
    </row>
    <row r="2239" spans="1:18" x14ac:dyDescent="0.25">
      <c r="A2239" s="60" t="s">
        <v>17</v>
      </c>
      <c r="B2239" s="61" t="s">
        <v>22</v>
      </c>
      <c r="C2239" s="62" t="s">
        <v>19</v>
      </c>
      <c r="D2239" s="63">
        <v>243.53902112628336</v>
      </c>
      <c r="E2239" s="79">
        <v>1316348</v>
      </c>
      <c r="F2239" s="80">
        <v>1286908</v>
      </c>
      <c r="G2239" s="66">
        <v>2611.488166932646</v>
      </c>
      <c r="H2239" s="67">
        <v>2</v>
      </c>
      <c r="I2239" s="68" t="s">
        <v>21</v>
      </c>
      <c r="J2239" s="69">
        <v>40</v>
      </c>
      <c r="K2239" s="70">
        <v>4</v>
      </c>
      <c r="L2239" s="68">
        <v>1</v>
      </c>
      <c r="M2239" s="68">
        <f>_xlfn.XLOOKUP(Survey!$F2239,sections[Start],sections[Test Section],,-1,1)</f>
        <v>6</v>
      </c>
      <c r="N2239" s="55">
        <f>_xlfn.XLOOKUP(Survey!$K2239,pipedata[ID],pipedata[WT])</f>
        <v>0.74</v>
      </c>
      <c r="O2239" s="56">
        <f>_xlfn.XLOOKUP(Survey!$K2239,pipedata[ID],pipedata[104%])</f>
        <v>2565.3333333333335</v>
      </c>
      <c r="P2239" s="57">
        <f t="shared" si="34"/>
        <v>1850</v>
      </c>
      <c r="Q2239" s="58">
        <f>_xlfn.MAXIFS(Survey!$G$2:$G$3647,Survey!$M$2:$M$3647,Survey!$M2239)-Survey!$G2239</f>
        <v>1122.9364732957706</v>
      </c>
      <c r="R2239" s="59">
        <f>Survey!$P2239+(Survey!$Q2239*0.433)</f>
        <v>2336.2314929370687</v>
      </c>
    </row>
    <row r="2240" spans="1:18" x14ac:dyDescent="0.25">
      <c r="A2240" s="71" t="s">
        <v>17</v>
      </c>
      <c r="B2240" s="72" t="s">
        <v>22</v>
      </c>
      <c r="C2240" s="73" t="s">
        <v>19</v>
      </c>
      <c r="D2240" s="74">
        <v>243.54689049501559</v>
      </c>
      <c r="E2240" s="81">
        <v>1316388</v>
      </c>
      <c r="F2240" s="82">
        <v>1286948</v>
      </c>
      <c r="G2240" s="75">
        <v>2611.4351093825308</v>
      </c>
      <c r="H2240" s="76">
        <v>2</v>
      </c>
      <c r="I2240" s="54" t="s">
        <v>20</v>
      </c>
      <c r="J2240" s="77">
        <v>61</v>
      </c>
      <c r="K2240" s="78">
        <v>2</v>
      </c>
      <c r="L2240" s="54">
        <v>1</v>
      </c>
      <c r="M2240" s="54">
        <f>_xlfn.XLOOKUP(Survey!$F2240,sections[Start],sections[Test Section],,-1,1)</f>
        <v>6</v>
      </c>
      <c r="N2240" s="55">
        <f>_xlfn.XLOOKUP(Survey!$K2240,pipedata[ID],pipedata[WT])</f>
        <v>0.74</v>
      </c>
      <c r="O2240" s="56">
        <f>_xlfn.XLOOKUP(Survey!$K2240,pipedata[ID],pipedata[104%])</f>
        <v>2565.3333333333335</v>
      </c>
      <c r="P2240" s="57">
        <f t="shared" si="34"/>
        <v>1850</v>
      </c>
      <c r="Q2240" s="58">
        <f>_xlfn.MAXIFS(Survey!$G$2:$G$3647,Survey!$M$2:$M$3647,Survey!$M2240)-Survey!$G2240</f>
        <v>1122.9895308458858</v>
      </c>
      <c r="R2240" s="59">
        <f>Survey!$P2240+(Survey!$Q2240*0.433)</f>
        <v>2336.2544668562687</v>
      </c>
    </row>
    <row r="2241" spans="1:18" x14ac:dyDescent="0.25">
      <c r="A2241" s="60" t="s">
        <v>17</v>
      </c>
      <c r="B2241" s="61" t="s">
        <v>22</v>
      </c>
      <c r="C2241" s="62" t="s">
        <v>19</v>
      </c>
      <c r="D2241" s="63">
        <v>243.55388744577132</v>
      </c>
      <c r="E2241" s="79">
        <v>1316449</v>
      </c>
      <c r="F2241" s="80">
        <v>1286987.0833333333</v>
      </c>
      <c r="G2241" s="66">
        <v>2617.1152312968452</v>
      </c>
      <c r="H2241" s="67">
        <v>2</v>
      </c>
      <c r="I2241" s="68" t="s">
        <v>20</v>
      </c>
      <c r="J2241" s="69">
        <v>40</v>
      </c>
      <c r="K2241" s="70">
        <v>2</v>
      </c>
      <c r="L2241" s="68">
        <v>1</v>
      </c>
      <c r="M2241" s="68">
        <f>_xlfn.XLOOKUP(Survey!$F2241,sections[Start],sections[Test Section],,-1,1)</f>
        <v>6</v>
      </c>
      <c r="N2241" s="55">
        <f>_xlfn.XLOOKUP(Survey!$K2241,pipedata[ID],pipedata[WT])</f>
        <v>0.74</v>
      </c>
      <c r="O2241" s="56">
        <f>_xlfn.XLOOKUP(Survey!$K2241,pipedata[ID],pipedata[104%])</f>
        <v>2565.3333333333335</v>
      </c>
      <c r="P2241" s="57">
        <f t="shared" si="34"/>
        <v>1850</v>
      </c>
      <c r="Q2241" s="58">
        <f>_xlfn.MAXIFS(Survey!$G$2:$G$3647,Survey!$M$2:$M$3647,Survey!$M2241)-Survey!$G2241</f>
        <v>1117.3094089315714</v>
      </c>
      <c r="R2241" s="59">
        <f>Survey!$P2241+(Survey!$Q2241*0.433)</f>
        <v>2333.7949740673703</v>
      </c>
    </row>
    <row r="2242" spans="1:18" x14ac:dyDescent="0.25">
      <c r="A2242" s="71" t="s">
        <v>17</v>
      </c>
      <c r="B2242" s="72" t="s">
        <v>22</v>
      </c>
      <c r="C2242" s="73" t="s">
        <v>19</v>
      </c>
      <c r="D2242" s="74">
        <v>243.56156579663715</v>
      </c>
      <c r="E2242" s="81">
        <v>1316489</v>
      </c>
      <c r="F2242" s="82">
        <v>1287026.1666666665</v>
      </c>
      <c r="G2242" s="75">
        <v>2626.5880165164299</v>
      </c>
      <c r="H2242" s="76">
        <v>2</v>
      </c>
      <c r="I2242" s="54" t="s">
        <v>20</v>
      </c>
      <c r="J2242" s="77">
        <v>40</v>
      </c>
      <c r="K2242" s="78">
        <v>2</v>
      </c>
      <c r="L2242" s="54">
        <v>1</v>
      </c>
      <c r="M2242" s="54">
        <f>_xlfn.XLOOKUP(Survey!$F2242,sections[Start],sections[Test Section],,-1,1)</f>
        <v>6</v>
      </c>
      <c r="N2242" s="55">
        <f>_xlfn.XLOOKUP(Survey!$K2242,pipedata[ID],pipedata[WT])</f>
        <v>0.74</v>
      </c>
      <c r="O2242" s="56">
        <f>_xlfn.XLOOKUP(Survey!$K2242,pipedata[ID],pipedata[104%])</f>
        <v>2565.3333333333335</v>
      </c>
      <c r="P2242" s="57">
        <f t="shared" ref="P2242:P2305" si="35">IF(L2242=1,1850,IF(L2242=2,1850,2220))</f>
        <v>1850</v>
      </c>
      <c r="Q2242" s="58">
        <f>_xlfn.MAXIFS(Survey!$G$2:$G$3647,Survey!$M$2:$M$3647,Survey!$M2242)-Survey!$G2242</f>
        <v>1107.8366237119867</v>
      </c>
      <c r="R2242" s="59">
        <f>Survey!$P2242+(Survey!$Q2242*0.433)</f>
        <v>2329.6932580672901</v>
      </c>
    </row>
    <row r="2243" spans="1:18" x14ac:dyDescent="0.25">
      <c r="A2243" s="60" t="s">
        <v>17</v>
      </c>
      <c r="B2243" s="61" t="s">
        <v>22</v>
      </c>
      <c r="C2243" s="62" t="s">
        <v>19</v>
      </c>
      <c r="D2243" s="63">
        <v>243.56853125902916</v>
      </c>
      <c r="E2243" s="79">
        <v>1316529</v>
      </c>
      <c r="F2243" s="80">
        <v>1287065.2499999998</v>
      </c>
      <c r="G2243" s="66">
        <v>2636.8770338247227</v>
      </c>
      <c r="H2243" s="67">
        <v>2</v>
      </c>
      <c r="I2243" s="68" t="s">
        <v>20</v>
      </c>
      <c r="J2243" s="69">
        <v>40</v>
      </c>
      <c r="K2243" s="70">
        <v>2</v>
      </c>
      <c r="L2243" s="68">
        <v>1</v>
      </c>
      <c r="M2243" s="68">
        <f>_xlfn.XLOOKUP(Survey!$F2243,sections[Start],sections[Test Section],,-1,1)</f>
        <v>6</v>
      </c>
      <c r="N2243" s="55">
        <f>_xlfn.XLOOKUP(Survey!$K2243,pipedata[ID],pipedata[WT])</f>
        <v>0.74</v>
      </c>
      <c r="O2243" s="56">
        <f>_xlfn.XLOOKUP(Survey!$K2243,pipedata[ID],pipedata[104%])</f>
        <v>2565.3333333333335</v>
      </c>
      <c r="P2243" s="57">
        <f t="shared" si="35"/>
        <v>1850</v>
      </c>
      <c r="Q2243" s="58">
        <f>_xlfn.MAXIFS(Survey!$G$2:$G$3647,Survey!$M$2:$M$3647,Survey!$M2243)-Survey!$G2243</f>
        <v>1097.5476064036939</v>
      </c>
      <c r="R2243" s="59">
        <f>Survey!$P2243+(Survey!$Q2243*0.433)</f>
        <v>2325.2381135727992</v>
      </c>
    </row>
    <row r="2244" spans="1:18" x14ac:dyDescent="0.25">
      <c r="A2244" s="71" t="s">
        <v>17</v>
      </c>
      <c r="B2244" s="72" t="s">
        <v>22</v>
      </c>
      <c r="C2244" s="73" t="s">
        <v>19</v>
      </c>
      <c r="D2244" s="74">
        <v>243.57640062776133</v>
      </c>
      <c r="E2244" s="81">
        <v>1316569</v>
      </c>
      <c r="F2244" s="82">
        <v>1287104.333333333</v>
      </c>
      <c r="G2244" s="75">
        <v>2640.640299177865</v>
      </c>
      <c r="H2244" s="76">
        <v>2</v>
      </c>
      <c r="I2244" s="54" t="s">
        <v>20</v>
      </c>
      <c r="J2244" s="77">
        <v>40</v>
      </c>
      <c r="K2244" s="78">
        <v>2</v>
      </c>
      <c r="L2244" s="54">
        <v>1</v>
      </c>
      <c r="M2244" s="54">
        <f>_xlfn.XLOOKUP(Survey!$F2244,sections[Start],sections[Test Section],,-1,1)</f>
        <v>6</v>
      </c>
      <c r="N2244" s="55">
        <f>_xlfn.XLOOKUP(Survey!$K2244,pipedata[ID],pipedata[WT])</f>
        <v>0.74</v>
      </c>
      <c r="O2244" s="56">
        <f>_xlfn.XLOOKUP(Survey!$K2244,pipedata[ID],pipedata[104%])</f>
        <v>2565.3333333333335</v>
      </c>
      <c r="P2244" s="57">
        <f t="shared" si="35"/>
        <v>1850</v>
      </c>
      <c r="Q2244" s="58">
        <f>_xlfn.MAXIFS(Survey!$G$2:$G$3647,Survey!$M$2:$M$3647,Survey!$M2244)-Survey!$G2244</f>
        <v>1093.7843410505516</v>
      </c>
      <c r="R2244" s="59">
        <f>Survey!$P2244+(Survey!$Q2244*0.433)</f>
        <v>2323.6086196748888</v>
      </c>
    </row>
    <row r="2245" spans="1:18" x14ac:dyDescent="0.25">
      <c r="A2245" s="60" t="s">
        <v>17</v>
      </c>
      <c r="B2245" s="61" t="s">
        <v>22</v>
      </c>
      <c r="C2245" s="62" t="s">
        <v>19</v>
      </c>
      <c r="D2245" s="63">
        <v>243.58306517906252</v>
      </c>
      <c r="E2245" s="79">
        <v>1316609</v>
      </c>
      <c r="F2245" s="80">
        <v>1287143.4166666663</v>
      </c>
      <c r="G2245" s="66">
        <v>2639.3109987756798</v>
      </c>
      <c r="H2245" s="67">
        <v>2</v>
      </c>
      <c r="I2245" s="68" t="s">
        <v>20</v>
      </c>
      <c r="J2245" s="69">
        <v>40</v>
      </c>
      <c r="K2245" s="70">
        <v>2</v>
      </c>
      <c r="L2245" s="68">
        <v>1</v>
      </c>
      <c r="M2245" s="68">
        <f>_xlfn.XLOOKUP(Survey!$F2245,sections[Start],sections[Test Section],,-1,1)</f>
        <v>6</v>
      </c>
      <c r="N2245" s="55">
        <f>_xlfn.XLOOKUP(Survey!$K2245,pipedata[ID],pipedata[WT])</f>
        <v>0.74</v>
      </c>
      <c r="O2245" s="56">
        <f>_xlfn.XLOOKUP(Survey!$K2245,pipedata[ID],pipedata[104%])</f>
        <v>2565.3333333333335</v>
      </c>
      <c r="P2245" s="57">
        <f t="shared" si="35"/>
        <v>1850</v>
      </c>
      <c r="Q2245" s="58">
        <f>_xlfn.MAXIFS(Survey!$G$2:$G$3647,Survey!$M$2:$M$3647,Survey!$M2245)-Survey!$G2245</f>
        <v>1095.1136414527368</v>
      </c>
      <c r="R2245" s="59">
        <f>Survey!$P2245+(Survey!$Q2245*0.433)</f>
        <v>2324.1842067490352</v>
      </c>
    </row>
    <row r="2246" spans="1:18" x14ac:dyDescent="0.25">
      <c r="A2246" s="71" t="s">
        <v>17</v>
      </c>
      <c r="B2246" s="72" t="s">
        <v>22</v>
      </c>
      <c r="C2246" s="73" t="s">
        <v>19</v>
      </c>
      <c r="D2246" s="74">
        <v>243.59074352992832</v>
      </c>
      <c r="E2246" s="81">
        <v>1316649</v>
      </c>
      <c r="F2246" s="82">
        <v>1287182.4999999995</v>
      </c>
      <c r="G2246" s="75">
        <v>2635.6559275356494</v>
      </c>
      <c r="H2246" s="76">
        <v>2</v>
      </c>
      <c r="I2246" s="54" t="s">
        <v>20</v>
      </c>
      <c r="J2246" s="77">
        <v>40</v>
      </c>
      <c r="K2246" s="78">
        <v>2</v>
      </c>
      <c r="L2246" s="54">
        <v>1</v>
      </c>
      <c r="M2246" s="54">
        <f>_xlfn.XLOOKUP(Survey!$F2246,sections[Start],sections[Test Section],,-1,1)</f>
        <v>6</v>
      </c>
      <c r="N2246" s="55">
        <f>_xlfn.XLOOKUP(Survey!$K2246,pipedata[ID],pipedata[WT])</f>
        <v>0.74</v>
      </c>
      <c r="O2246" s="56">
        <f>_xlfn.XLOOKUP(Survey!$K2246,pipedata[ID],pipedata[104%])</f>
        <v>2565.3333333333335</v>
      </c>
      <c r="P2246" s="57">
        <f t="shared" si="35"/>
        <v>1850</v>
      </c>
      <c r="Q2246" s="58">
        <f>_xlfn.MAXIFS(Survey!$G$2:$G$3647,Survey!$M$2:$M$3647,Survey!$M2246)-Survey!$G2246</f>
        <v>1098.7687126927672</v>
      </c>
      <c r="R2246" s="59">
        <f>Survey!$P2246+(Survey!$Q2246*0.433)</f>
        <v>2325.766852595968</v>
      </c>
    </row>
    <row r="2247" spans="1:18" x14ac:dyDescent="0.25">
      <c r="A2247" s="60" t="s">
        <v>17</v>
      </c>
      <c r="B2247" s="61" t="s">
        <v>22</v>
      </c>
      <c r="C2247" s="62" t="s">
        <v>19</v>
      </c>
      <c r="D2247" s="63">
        <v>243.59804139177501</v>
      </c>
      <c r="E2247" s="79">
        <v>1316689</v>
      </c>
      <c r="F2247" s="80">
        <v>1287221.5833333328</v>
      </c>
      <c r="G2247" s="66">
        <v>2630.5166600075108</v>
      </c>
      <c r="H2247" s="67">
        <v>2</v>
      </c>
      <c r="I2247" s="68" t="s">
        <v>20</v>
      </c>
      <c r="J2247" s="69">
        <v>40</v>
      </c>
      <c r="K2247" s="70">
        <v>2</v>
      </c>
      <c r="L2247" s="68">
        <v>1</v>
      </c>
      <c r="M2247" s="68">
        <f>_xlfn.XLOOKUP(Survey!$F2247,sections[Start],sections[Test Section],,-1,1)</f>
        <v>6</v>
      </c>
      <c r="N2247" s="55">
        <f>_xlfn.XLOOKUP(Survey!$K2247,pipedata[ID],pipedata[WT])</f>
        <v>0.74</v>
      </c>
      <c r="O2247" s="56">
        <f>_xlfn.XLOOKUP(Survey!$K2247,pipedata[ID],pipedata[104%])</f>
        <v>2565.3333333333335</v>
      </c>
      <c r="P2247" s="57">
        <f t="shared" si="35"/>
        <v>1850</v>
      </c>
      <c r="Q2247" s="58">
        <f>_xlfn.MAXIFS(Survey!$G$2:$G$3647,Survey!$M$2:$M$3647,Survey!$M2247)-Survey!$G2247</f>
        <v>1103.9079802209058</v>
      </c>
      <c r="R2247" s="59">
        <f>Survey!$P2247+(Survey!$Q2247*0.433)</f>
        <v>2327.9921554356524</v>
      </c>
    </row>
    <row r="2248" spans="1:18" x14ac:dyDescent="0.25">
      <c r="A2248" s="71" t="s">
        <v>17</v>
      </c>
      <c r="B2248" s="72" t="s">
        <v>22</v>
      </c>
      <c r="C2248" s="73" t="s">
        <v>19</v>
      </c>
      <c r="D2248" s="74">
        <v>243.60677427397167</v>
      </c>
      <c r="E2248" s="81">
        <v>1316729</v>
      </c>
      <c r="F2248" s="82">
        <v>1287260.666666666</v>
      </c>
      <c r="G2248" s="75">
        <v>2625.4355687276802</v>
      </c>
      <c r="H2248" s="76">
        <v>2</v>
      </c>
      <c r="I2248" s="54" t="s">
        <v>20</v>
      </c>
      <c r="J2248" s="77">
        <v>40</v>
      </c>
      <c r="K2248" s="78">
        <v>2</v>
      </c>
      <c r="L2248" s="54">
        <v>1</v>
      </c>
      <c r="M2248" s="54">
        <f>_xlfn.XLOOKUP(Survey!$F2248,sections[Start],sections[Test Section],,-1,1)</f>
        <v>6</v>
      </c>
      <c r="N2248" s="55">
        <f>_xlfn.XLOOKUP(Survey!$K2248,pipedata[ID],pipedata[WT])</f>
        <v>0.74</v>
      </c>
      <c r="O2248" s="56">
        <f>_xlfn.XLOOKUP(Survey!$K2248,pipedata[ID],pipedata[104%])</f>
        <v>2565.3333333333335</v>
      </c>
      <c r="P2248" s="57">
        <f t="shared" si="35"/>
        <v>1850</v>
      </c>
      <c r="Q2248" s="58">
        <f>_xlfn.MAXIFS(Survey!$G$2:$G$3647,Survey!$M$2:$M$3647,Survey!$M2248)-Survey!$G2248</f>
        <v>1108.9890715007364</v>
      </c>
      <c r="R2248" s="59">
        <f>Survey!$P2248+(Survey!$Q2248*0.433)</f>
        <v>2330.1922679598188</v>
      </c>
    </row>
    <row r="2249" spans="1:18" x14ac:dyDescent="0.25">
      <c r="A2249" s="60" t="s">
        <v>17</v>
      </c>
      <c r="B2249" s="61" t="s">
        <v>22</v>
      </c>
      <c r="C2249" s="62" t="s">
        <v>19</v>
      </c>
      <c r="D2249" s="63">
        <v>243.61382636624833</v>
      </c>
      <c r="E2249" s="79">
        <v>1316769</v>
      </c>
      <c r="F2249" s="80">
        <v>1287299.7499999993</v>
      </c>
      <c r="G2249" s="66">
        <v>2622.2969954940913</v>
      </c>
      <c r="H2249" s="67">
        <v>2</v>
      </c>
      <c r="I2249" s="68" t="s">
        <v>20</v>
      </c>
      <c r="J2249" s="69">
        <v>40</v>
      </c>
      <c r="K2249" s="70">
        <v>2</v>
      </c>
      <c r="L2249" s="68">
        <v>1</v>
      </c>
      <c r="M2249" s="68">
        <f>_xlfn.XLOOKUP(Survey!$F2249,sections[Start],sections[Test Section],,-1,1)</f>
        <v>6</v>
      </c>
      <c r="N2249" s="55">
        <f>_xlfn.XLOOKUP(Survey!$K2249,pipedata[ID],pipedata[WT])</f>
        <v>0.74</v>
      </c>
      <c r="O2249" s="56">
        <f>_xlfn.XLOOKUP(Survey!$K2249,pipedata[ID],pipedata[104%])</f>
        <v>2565.3333333333335</v>
      </c>
      <c r="P2249" s="57">
        <f t="shared" si="35"/>
        <v>1850</v>
      </c>
      <c r="Q2249" s="58">
        <f>_xlfn.MAXIFS(Survey!$G$2:$G$3647,Survey!$M$2:$M$3647,Survey!$M2249)-Survey!$G2249</f>
        <v>1112.1276447343253</v>
      </c>
      <c r="R2249" s="59">
        <f>Survey!$P2249+(Survey!$Q2249*0.433)</f>
        <v>2331.5512701699627</v>
      </c>
    </row>
    <row r="2250" spans="1:18" x14ac:dyDescent="0.25">
      <c r="A2250" s="71" t="s">
        <v>17</v>
      </c>
      <c r="B2250" s="72" t="s">
        <v>22</v>
      </c>
      <c r="C2250" s="73" t="s">
        <v>19</v>
      </c>
      <c r="D2250" s="74">
        <v>243.62179044918233</v>
      </c>
      <c r="E2250" s="81">
        <v>1316809</v>
      </c>
      <c r="F2250" s="82">
        <v>1287338.8333333326</v>
      </c>
      <c r="G2250" s="75">
        <v>2623.0782823002319</v>
      </c>
      <c r="H2250" s="76">
        <v>2</v>
      </c>
      <c r="I2250" s="54" t="s">
        <v>20</v>
      </c>
      <c r="J2250" s="77">
        <v>40</v>
      </c>
      <c r="K2250" s="78">
        <v>2</v>
      </c>
      <c r="L2250" s="54">
        <v>1</v>
      </c>
      <c r="M2250" s="54">
        <f>_xlfn.XLOOKUP(Survey!$F2250,sections[Start],sections[Test Section],,-1,1)</f>
        <v>6</v>
      </c>
      <c r="N2250" s="55">
        <f>_xlfn.XLOOKUP(Survey!$K2250,pipedata[ID],pipedata[WT])</f>
        <v>0.74</v>
      </c>
      <c r="O2250" s="56">
        <f>_xlfn.XLOOKUP(Survey!$K2250,pipedata[ID],pipedata[104%])</f>
        <v>2565.3333333333335</v>
      </c>
      <c r="P2250" s="57">
        <f t="shared" si="35"/>
        <v>1850</v>
      </c>
      <c r="Q2250" s="58">
        <f>_xlfn.MAXIFS(Survey!$G$2:$G$3647,Survey!$M$2:$M$3647,Survey!$M2250)-Survey!$G2250</f>
        <v>1111.3463579281847</v>
      </c>
      <c r="R2250" s="59">
        <f>Survey!$P2250+(Survey!$Q2250*0.433)</f>
        <v>2331.2129729829039</v>
      </c>
    </row>
    <row r="2251" spans="1:18" x14ac:dyDescent="0.25">
      <c r="A2251" s="60" t="s">
        <v>17</v>
      </c>
      <c r="B2251" s="61" t="s">
        <v>22</v>
      </c>
      <c r="C2251" s="62" t="s">
        <v>19</v>
      </c>
      <c r="D2251" s="63">
        <v>243.62873308074711</v>
      </c>
      <c r="E2251" s="79">
        <v>1316849</v>
      </c>
      <c r="F2251" s="80">
        <v>1287377.9166666658</v>
      </c>
      <c r="G2251" s="66">
        <v>2624.0942073537522</v>
      </c>
      <c r="H2251" s="67">
        <v>2</v>
      </c>
      <c r="I2251" s="68" t="s">
        <v>20</v>
      </c>
      <c r="J2251" s="69">
        <v>40</v>
      </c>
      <c r="K2251" s="70">
        <v>2</v>
      </c>
      <c r="L2251" s="68">
        <v>1</v>
      </c>
      <c r="M2251" s="68">
        <f>_xlfn.XLOOKUP(Survey!$F2251,sections[Start],sections[Test Section],,-1,1)</f>
        <v>6</v>
      </c>
      <c r="N2251" s="55">
        <f>_xlfn.XLOOKUP(Survey!$K2251,pipedata[ID],pipedata[WT])</f>
        <v>0.74</v>
      </c>
      <c r="O2251" s="56">
        <f>_xlfn.XLOOKUP(Survey!$K2251,pipedata[ID],pipedata[104%])</f>
        <v>2565.3333333333335</v>
      </c>
      <c r="P2251" s="57">
        <f t="shared" si="35"/>
        <v>1850</v>
      </c>
      <c r="Q2251" s="58">
        <f>_xlfn.MAXIFS(Survey!$G$2:$G$3647,Survey!$M$2:$M$3647,Survey!$M2251)-Survey!$G2251</f>
        <v>1110.3304328746644</v>
      </c>
      <c r="R2251" s="59">
        <f>Survey!$P2251+(Survey!$Q2251*0.433)</f>
        <v>2330.7730774347297</v>
      </c>
    </row>
    <row r="2252" spans="1:18" x14ac:dyDescent="0.25">
      <c r="A2252" s="71" t="s">
        <v>17</v>
      </c>
      <c r="B2252" s="72" t="s">
        <v>22</v>
      </c>
      <c r="C2252" s="73" t="s">
        <v>19</v>
      </c>
      <c r="D2252" s="74">
        <v>243.63625055774227</v>
      </c>
      <c r="E2252" s="81">
        <v>1316889</v>
      </c>
      <c r="F2252" s="82">
        <v>1287416.9999999991</v>
      </c>
      <c r="G2252" s="75">
        <v>2625.41</v>
      </c>
      <c r="H2252" s="76">
        <v>2</v>
      </c>
      <c r="I2252" s="54" t="s">
        <v>20</v>
      </c>
      <c r="J2252" s="77">
        <v>40</v>
      </c>
      <c r="K2252" s="78">
        <v>2</v>
      </c>
      <c r="L2252" s="54">
        <v>1</v>
      </c>
      <c r="M2252" s="54">
        <f>_xlfn.XLOOKUP(Survey!$F2252,sections[Start],sections[Test Section],,-1,1)</f>
        <v>6</v>
      </c>
      <c r="N2252" s="55">
        <f>_xlfn.XLOOKUP(Survey!$K2252,pipedata[ID],pipedata[WT])</f>
        <v>0.74</v>
      </c>
      <c r="O2252" s="56">
        <f>_xlfn.XLOOKUP(Survey!$K2252,pipedata[ID],pipedata[104%])</f>
        <v>2565.3333333333335</v>
      </c>
      <c r="P2252" s="57">
        <f t="shared" si="35"/>
        <v>1850</v>
      </c>
      <c r="Q2252" s="58">
        <f>_xlfn.MAXIFS(Survey!$G$2:$G$3647,Survey!$M$2:$M$3647,Survey!$M2252)-Survey!$G2252</f>
        <v>1109.0146402284167</v>
      </c>
      <c r="R2252" s="59">
        <f>Survey!$P2252+(Survey!$Q2252*0.433)</f>
        <v>2330.2033392189046</v>
      </c>
    </row>
    <row r="2253" spans="1:18" x14ac:dyDescent="0.25">
      <c r="A2253" s="60" t="s">
        <v>17</v>
      </c>
      <c r="B2253" s="61" t="s">
        <v>22</v>
      </c>
      <c r="C2253" s="62" t="s">
        <v>19</v>
      </c>
      <c r="D2253" s="63">
        <v>243.64400351609868</v>
      </c>
      <c r="E2253" s="79">
        <v>1316929</v>
      </c>
      <c r="F2253" s="80">
        <v>1287456.0833333323</v>
      </c>
      <c r="G2253" s="66">
        <v>2626.7382506397366</v>
      </c>
      <c r="H2253" s="67">
        <v>2</v>
      </c>
      <c r="I2253" s="68" t="s">
        <v>20</v>
      </c>
      <c r="J2253" s="69">
        <v>40</v>
      </c>
      <c r="K2253" s="70">
        <v>2</v>
      </c>
      <c r="L2253" s="68">
        <v>1</v>
      </c>
      <c r="M2253" s="68">
        <f>_xlfn.XLOOKUP(Survey!$F2253,sections[Start],sections[Test Section],,-1,1)</f>
        <v>6</v>
      </c>
      <c r="N2253" s="55">
        <f>_xlfn.XLOOKUP(Survey!$K2253,pipedata[ID],pipedata[WT])</f>
        <v>0.74</v>
      </c>
      <c r="O2253" s="56">
        <f>_xlfn.XLOOKUP(Survey!$K2253,pipedata[ID],pipedata[104%])</f>
        <v>2565.3333333333335</v>
      </c>
      <c r="P2253" s="57">
        <f t="shared" si="35"/>
        <v>1850</v>
      </c>
      <c r="Q2253" s="58">
        <f>_xlfn.MAXIFS(Survey!$G$2:$G$3647,Survey!$M$2:$M$3647,Survey!$M2253)-Survey!$G2253</f>
        <v>1107.68638958868</v>
      </c>
      <c r="R2253" s="59">
        <f>Survey!$P2253+(Survey!$Q2253*0.433)</f>
        <v>2329.6282066918984</v>
      </c>
    </row>
    <row r="2254" spans="1:18" x14ac:dyDescent="0.25">
      <c r="A2254" s="71" t="s">
        <v>17</v>
      </c>
      <c r="B2254" s="72" t="s">
        <v>22</v>
      </c>
      <c r="C2254" s="73" t="s">
        <v>19</v>
      </c>
      <c r="D2254" s="74">
        <v>243.65165576018467</v>
      </c>
      <c r="E2254" s="81">
        <v>1316969</v>
      </c>
      <c r="F2254" s="82">
        <v>1287495.1666666656</v>
      </c>
      <c r="G2254" s="75">
        <v>2626.8887176111293</v>
      </c>
      <c r="H2254" s="76">
        <v>2</v>
      </c>
      <c r="I2254" s="54" t="s">
        <v>20</v>
      </c>
      <c r="J2254" s="77">
        <v>40</v>
      </c>
      <c r="K2254" s="78">
        <v>2</v>
      </c>
      <c r="L2254" s="54">
        <v>1</v>
      </c>
      <c r="M2254" s="54">
        <f>_xlfn.XLOOKUP(Survey!$F2254,sections[Start],sections[Test Section],,-1,1)</f>
        <v>6</v>
      </c>
      <c r="N2254" s="55">
        <f>_xlfn.XLOOKUP(Survey!$K2254,pipedata[ID],pipedata[WT])</f>
        <v>0.74</v>
      </c>
      <c r="O2254" s="56">
        <f>_xlfn.XLOOKUP(Survey!$K2254,pipedata[ID],pipedata[104%])</f>
        <v>2565.3333333333335</v>
      </c>
      <c r="P2254" s="57">
        <f t="shared" si="35"/>
        <v>1850</v>
      </c>
      <c r="Q2254" s="58">
        <f>_xlfn.MAXIFS(Survey!$G$2:$G$3647,Survey!$M$2:$M$3647,Survey!$M2254)-Survey!$G2254</f>
        <v>1107.5359226172873</v>
      </c>
      <c r="R2254" s="59">
        <f>Survey!$P2254+(Survey!$Q2254*0.433)</f>
        <v>2329.5630544932856</v>
      </c>
    </row>
    <row r="2255" spans="1:18" x14ac:dyDescent="0.25">
      <c r="A2255" s="60" t="s">
        <v>17</v>
      </c>
      <c r="B2255" s="61" t="s">
        <v>22</v>
      </c>
      <c r="C2255" s="62" t="s">
        <v>19</v>
      </c>
      <c r="D2255" s="63">
        <v>243.65961984311852</v>
      </c>
      <c r="E2255" s="79">
        <v>1317009</v>
      </c>
      <c r="F2255" s="80">
        <v>1287534.2499999988</v>
      </c>
      <c r="G2255" s="66">
        <v>2625.7685918132206</v>
      </c>
      <c r="H2255" s="67">
        <v>2</v>
      </c>
      <c r="I2255" s="68" t="s">
        <v>20</v>
      </c>
      <c r="J2255" s="69">
        <v>40</v>
      </c>
      <c r="K2255" s="70">
        <v>2</v>
      </c>
      <c r="L2255" s="68">
        <v>1</v>
      </c>
      <c r="M2255" s="68">
        <f>_xlfn.XLOOKUP(Survey!$F2255,sections[Start],sections[Test Section],,-1,1)</f>
        <v>6</v>
      </c>
      <c r="N2255" s="55">
        <f>_xlfn.XLOOKUP(Survey!$K2255,pipedata[ID],pipedata[WT])</f>
        <v>0.74</v>
      </c>
      <c r="O2255" s="56">
        <f>_xlfn.XLOOKUP(Survey!$K2255,pipedata[ID],pipedata[104%])</f>
        <v>2565.3333333333335</v>
      </c>
      <c r="P2255" s="57">
        <f t="shared" si="35"/>
        <v>1850</v>
      </c>
      <c r="Q2255" s="58">
        <f>_xlfn.MAXIFS(Survey!$G$2:$G$3647,Survey!$M$2:$M$3647,Survey!$M2255)-Survey!$G2255</f>
        <v>1108.656048415196</v>
      </c>
      <c r="R2255" s="59">
        <f>Survey!$P2255+(Survey!$Q2255*0.433)</f>
        <v>2330.0480689637798</v>
      </c>
    </row>
    <row r="2256" spans="1:18" x14ac:dyDescent="0.25">
      <c r="A2256" s="71" t="s">
        <v>17</v>
      </c>
      <c r="B2256" s="72" t="s">
        <v>22</v>
      </c>
      <c r="C2256" s="73" t="s">
        <v>19</v>
      </c>
      <c r="D2256" s="74">
        <v>243.66632046572178</v>
      </c>
      <c r="E2256" s="81">
        <v>1317049</v>
      </c>
      <c r="F2256" s="82">
        <v>1287573.3333333321</v>
      </c>
      <c r="G2256" s="75">
        <v>2625.285469141038</v>
      </c>
      <c r="H2256" s="76">
        <v>2</v>
      </c>
      <c r="I2256" s="54" t="s">
        <v>20</v>
      </c>
      <c r="J2256" s="77">
        <v>40</v>
      </c>
      <c r="K2256" s="78">
        <v>2</v>
      </c>
      <c r="L2256" s="54">
        <v>1</v>
      </c>
      <c r="M2256" s="54">
        <f>_xlfn.XLOOKUP(Survey!$F2256,sections[Start],sections[Test Section],,-1,1)</f>
        <v>6</v>
      </c>
      <c r="N2256" s="55">
        <f>_xlfn.XLOOKUP(Survey!$K2256,pipedata[ID],pipedata[WT])</f>
        <v>0.74</v>
      </c>
      <c r="O2256" s="56">
        <f>_xlfn.XLOOKUP(Survey!$K2256,pipedata[ID],pipedata[104%])</f>
        <v>2565.3333333333335</v>
      </c>
      <c r="P2256" s="57">
        <f t="shared" si="35"/>
        <v>1850</v>
      </c>
      <c r="Q2256" s="58">
        <f>_xlfn.MAXIFS(Survey!$G$2:$G$3647,Survey!$M$2:$M$3647,Survey!$M2256)-Survey!$G2256</f>
        <v>1109.1391710873786</v>
      </c>
      <c r="R2256" s="59">
        <f>Survey!$P2256+(Survey!$Q2256*0.433)</f>
        <v>2330.2572610808347</v>
      </c>
    </row>
    <row r="2257" spans="1:18" x14ac:dyDescent="0.25">
      <c r="A2257" s="60" t="s">
        <v>17</v>
      </c>
      <c r="B2257" s="61" t="s">
        <v>22</v>
      </c>
      <c r="C2257" s="62" t="s">
        <v>19</v>
      </c>
      <c r="D2257" s="63">
        <v>243.67470438741947</v>
      </c>
      <c r="E2257" s="79">
        <v>1317089</v>
      </c>
      <c r="F2257" s="80">
        <v>1287612.4166666653</v>
      </c>
      <c r="G2257" s="66">
        <v>2624.9160936809781</v>
      </c>
      <c r="H2257" s="67">
        <v>2</v>
      </c>
      <c r="I2257" s="68" t="s">
        <v>20</v>
      </c>
      <c r="J2257" s="69">
        <v>40</v>
      </c>
      <c r="K2257" s="70">
        <v>2</v>
      </c>
      <c r="L2257" s="68">
        <v>1</v>
      </c>
      <c r="M2257" s="68">
        <f>_xlfn.XLOOKUP(Survey!$F2257,sections[Start],sections[Test Section],,-1,1)</f>
        <v>6</v>
      </c>
      <c r="N2257" s="55">
        <f>_xlfn.XLOOKUP(Survey!$K2257,pipedata[ID],pipedata[WT])</f>
        <v>0.74</v>
      </c>
      <c r="O2257" s="56">
        <f>_xlfn.XLOOKUP(Survey!$K2257,pipedata[ID],pipedata[104%])</f>
        <v>2565.3333333333335</v>
      </c>
      <c r="P2257" s="57">
        <f t="shared" si="35"/>
        <v>1850</v>
      </c>
      <c r="Q2257" s="58">
        <f>_xlfn.MAXIFS(Survey!$G$2:$G$3647,Survey!$M$2:$M$3647,Survey!$M2257)-Survey!$G2257</f>
        <v>1109.5085465474385</v>
      </c>
      <c r="R2257" s="59">
        <f>Survey!$P2257+(Survey!$Q2257*0.433)</f>
        <v>2330.4172006550407</v>
      </c>
    </row>
    <row r="2258" spans="1:18" x14ac:dyDescent="0.25">
      <c r="A2258" s="71" t="s">
        <v>17</v>
      </c>
      <c r="B2258" s="72" t="s">
        <v>22</v>
      </c>
      <c r="C2258" s="73" t="s">
        <v>19</v>
      </c>
      <c r="D2258" s="74">
        <v>243.68152107118698</v>
      </c>
      <c r="E2258" s="81">
        <v>1317129</v>
      </c>
      <c r="F2258" s="82">
        <v>1287651.4999999986</v>
      </c>
      <c r="G2258" s="75">
        <v>2623.1539870111819</v>
      </c>
      <c r="H2258" s="76">
        <v>2</v>
      </c>
      <c r="I2258" s="54" t="s">
        <v>20</v>
      </c>
      <c r="J2258" s="77">
        <v>40</v>
      </c>
      <c r="K2258" s="78">
        <v>2</v>
      </c>
      <c r="L2258" s="54">
        <v>1</v>
      </c>
      <c r="M2258" s="54">
        <f>_xlfn.XLOOKUP(Survey!$F2258,sections[Start],sections[Test Section],,-1,1)</f>
        <v>6</v>
      </c>
      <c r="N2258" s="55">
        <f>_xlfn.XLOOKUP(Survey!$K2258,pipedata[ID],pipedata[WT])</f>
        <v>0.74</v>
      </c>
      <c r="O2258" s="56">
        <f>_xlfn.XLOOKUP(Survey!$K2258,pipedata[ID],pipedata[104%])</f>
        <v>2565.3333333333335</v>
      </c>
      <c r="P2258" s="57">
        <f t="shared" si="35"/>
        <v>1850</v>
      </c>
      <c r="Q2258" s="58">
        <f>_xlfn.MAXIFS(Survey!$G$2:$G$3647,Survey!$M$2:$M$3647,Survey!$M2258)-Survey!$G2258</f>
        <v>1111.2706532172347</v>
      </c>
      <c r="R2258" s="59">
        <f>Survey!$P2258+(Survey!$Q2258*0.433)</f>
        <v>2331.1801928430627</v>
      </c>
    </row>
    <row r="2259" spans="1:18" x14ac:dyDescent="0.25">
      <c r="A2259" s="60" t="s">
        <v>17</v>
      </c>
      <c r="B2259" s="61" t="s">
        <v>22</v>
      </c>
      <c r="C2259" s="62" t="s">
        <v>19</v>
      </c>
      <c r="D2259" s="63">
        <v>243.68948515412089</v>
      </c>
      <c r="E2259" s="79">
        <v>1317169</v>
      </c>
      <c r="F2259" s="80">
        <v>1287690.5833333319</v>
      </c>
      <c r="G2259" s="66">
        <v>2619.5840223482819</v>
      </c>
      <c r="H2259" s="67">
        <v>2</v>
      </c>
      <c r="I2259" s="68" t="s">
        <v>20</v>
      </c>
      <c r="J2259" s="69">
        <v>40</v>
      </c>
      <c r="K2259" s="70">
        <v>2</v>
      </c>
      <c r="L2259" s="68">
        <v>1</v>
      </c>
      <c r="M2259" s="68">
        <f>_xlfn.XLOOKUP(Survey!$F2259,sections[Start],sections[Test Section],,-1,1)</f>
        <v>6</v>
      </c>
      <c r="N2259" s="55">
        <f>_xlfn.XLOOKUP(Survey!$K2259,pipedata[ID],pipedata[WT])</f>
        <v>0.74</v>
      </c>
      <c r="O2259" s="56">
        <f>_xlfn.XLOOKUP(Survey!$K2259,pipedata[ID],pipedata[104%])</f>
        <v>2565.3333333333335</v>
      </c>
      <c r="P2259" s="57">
        <f t="shared" si="35"/>
        <v>1850</v>
      </c>
      <c r="Q2259" s="58">
        <f>_xlfn.MAXIFS(Survey!$G$2:$G$3647,Survey!$M$2:$M$3647,Survey!$M2259)-Survey!$G2259</f>
        <v>1114.8406178801347</v>
      </c>
      <c r="R2259" s="59">
        <f>Survey!$P2259+(Survey!$Q2259*0.433)</f>
        <v>2332.7259875420982</v>
      </c>
    </row>
    <row r="2260" spans="1:18" x14ac:dyDescent="0.25">
      <c r="A2260" s="71" t="s">
        <v>17</v>
      </c>
      <c r="B2260" s="72" t="s">
        <v>22</v>
      </c>
      <c r="C2260" s="73" t="s">
        <v>19</v>
      </c>
      <c r="D2260" s="74">
        <v>243.69744923705468</v>
      </c>
      <c r="E2260" s="81">
        <v>1317209</v>
      </c>
      <c r="F2260" s="82">
        <v>1287729.6666666651</v>
      </c>
      <c r="G2260" s="75">
        <v>2617.5038108764734</v>
      </c>
      <c r="H2260" s="76">
        <v>2</v>
      </c>
      <c r="I2260" s="54" t="s">
        <v>20</v>
      </c>
      <c r="J2260" s="77">
        <v>40</v>
      </c>
      <c r="K2260" s="78">
        <v>2</v>
      </c>
      <c r="L2260" s="54">
        <v>1</v>
      </c>
      <c r="M2260" s="54">
        <f>_xlfn.XLOOKUP(Survey!$F2260,sections[Start],sections[Test Section],,-1,1)</f>
        <v>6</v>
      </c>
      <c r="N2260" s="55">
        <f>_xlfn.XLOOKUP(Survey!$K2260,pipedata[ID],pipedata[WT])</f>
        <v>0.74</v>
      </c>
      <c r="O2260" s="56">
        <f>_xlfn.XLOOKUP(Survey!$K2260,pipedata[ID],pipedata[104%])</f>
        <v>2565.3333333333335</v>
      </c>
      <c r="P2260" s="57">
        <f t="shared" si="35"/>
        <v>1850</v>
      </c>
      <c r="Q2260" s="58">
        <f>_xlfn.MAXIFS(Survey!$G$2:$G$3647,Survey!$M$2:$M$3647,Survey!$M2260)-Survey!$G2260</f>
        <v>1116.9208293519432</v>
      </c>
      <c r="R2260" s="59">
        <f>Survey!$P2260+(Survey!$Q2260*0.433)</f>
        <v>2333.6267191093912</v>
      </c>
    </row>
    <row r="2261" spans="1:18" x14ac:dyDescent="0.25">
      <c r="A2261" s="60" t="s">
        <v>17</v>
      </c>
      <c r="B2261" s="61" t="s">
        <v>22</v>
      </c>
      <c r="C2261" s="62" t="s">
        <v>19</v>
      </c>
      <c r="D2261" s="63">
        <v>243.70390785069625</v>
      </c>
      <c r="E2261" s="79">
        <v>1317249</v>
      </c>
      <c r="F2261" s="80">
        <v>1287768.7499999984</v>
      </c>
      <c r="G2261" s="66">
        <v>2615.5763745653708</v>
      </c>
      <c r="H2261" s="67">
        <v>2</v>
      </c>
      <c r="I2261" s="68" t="s">
        <v>20</v>
      </c>
      <c r="J2261" s="69">
        <v>40</v>
      </c>
      <c r="K2261" s="70">
        <v>2</v>
      </c>
      <c r="L2261" s="68">
        <v>1</v>
      </c>
      <c r="M2261" s="68">
        <f>_xlfn.XLOOKUP(Survey!$F2261,sections[Start],sections[Test Section],,-1,1)</f>
        <v>6</v>
      </c>
      <c r="N2261" s="55">
        <f>_xlfn.XLOOKUP(Survey!$K2261,pipedata[ID],pipedata[WT])</f>
        <v>0.74</v>
      </c>
      <c r="O2261" s="56">
        <f>_xlfn.XLOOKUP(Survey!$K2261,pipedata[ID],pipedata[104%])</f>
        <v>2565.3333333333335</v>
      </c>
      <c r="P2261" s="57">
        <f t="shared" si="35"/>
        <v>1850</v>
      </c>
      <c r="Q2261" s="58">
        <f>_xlfn.MAXIFS(Survey!$G$2:$G$3647,Survey!$M$2:$M$3647,Survey!$M2261)-Survey!$G2261</f>
        <v>1118.8482656630458</v>
      </c>
      <c r="R2261" s="59">
        <f>Survey!$P2261+(Survey!$Q2261*0.433)</f>
        <v>2334.4612990320989</v>
      </c>
    </row>
    <row r="2262" spans="1:18" x14ac:dyDescent="0.25">
      <c r="A2262" s="71" t="s">
        <v>17</v>
      </c>
      <c r="B2262" s="72" t="s">
        <v>22</v>
      </c>
      <c r="C2262" s="73" t="s">
        <v>19</v>
      </c>
      <c r="D2262" s="74">
        <v>243.71154543300531</v>
      </c>
      <c r="E2262" s="81">
        <v>1317289</v>
      </c>
      <c r="F2262" s="82">
        <v>1287807.8333333316</v>
      </c>
      <c r="G2262" s="75">
        <v>2614.4881043475866</v>
      </c>
      <c r="H2262" s="76">
        <v>2</v>
      </c>
      <c r="I2262" s="54" t="s">
        <v>20</v>
      </c>
      <c r="J2262" s="77">
        <v>40</v>
      </c>
      <c r="K2262" s="78">
        <v>2</v>
      </c>
      <c r="L2262" s="54">
        <v>1</v>
      </c>
      <c r="M2262" s="54">
        <f>_xlfn.XLOOKUP(Survey!$F2262,sections[Start],sections[Test Section],,-1,1)</f>
        <v>6</v>
      </c>
      <c r="N2262" s="55">
        <f>_xlfn.XLOOKUP(Survey!$K2262,pipedata[ID],pipedata[WT])</f>
        <v>0.74</v>
      </c>
      <c r="O2262" s="56">
        <f>_xlfn.XLOOKUP(Survey!$K2262,pipedata[ID],pipedata[104%])</f>
        <v>2565.3333333333335</v>
      </c>
      <c r="P2262" s="57">
        <f t="shared" si="35"/>
        <v>1850</v>
      </c>
      <c r="Q2262" s="58">
        <f>_xlfn.MAXIFS(Survey!$G$2:$G$3647,Survey!$M$2:$M$3647,Survey!$M2262)-Survey!$G2262</f>
        <v>1119.93653588083</v>
      </c>
      <c r="R2262" s="59">
        <f>Survey!$P2262+(Survey!$Q2262*0.433)</f>
        <v>2334.9325200363992</v>
      </c>
    </row>
    <row r="2263" spans="1:18" x14ac:dyDescent="0.25">
      <c r="A2263" s="60" t="s">
        <v>17</v>
      </c>
      <c r="B2263" s="61" t="s">
        <v>22</v>
      </c>
      <c r="C2263" s="62" t="s">
        <v>19</v>
      </c>
      <c r="D2263" s="63">
        <v>243.71935046512306</v>
      </c>
      <c r="E2263" s="79">
        <v>1317329</v>
      </c>
      <c r="F2263" s="80">
        <v>1287846.9166666649</v>
      </c>
      <c r="G2263" s="66">
        <v>2611.8430338809671</v>
      </c>
      <c r="H2263" s="67">
        <v>2</v>
      </c>
      <c r="I2263" s="68" t="s">
        <v>20</v>
      </c>
      <c r="J2263" s="69">
        <v>40</v>
      </c>
      <c r="K2263" s="70">
        <v>2</v>
      </c>
      <c r="L2263" s="68">
        <v>1</v>
      </c>
      <c r="M2263" s="68">
        <f>_xlfn.XLOOKUP(Survey!$F2263,sections[Start],sections[Test Section],,-1,1)</f>
        <v>6</v>
      </c>
      <c r="N2263" s="55">
        <f>_xlfn.XLOOKUP(Survey!$K2263,pipedata[ID],pipedata[WT])</f>
        <v>0.74</v>
      </c>
      <c r="O2263" s="56">
        <f>_xlfn.XLOOKUP(Survey!$K2263,pipedata[ID],pipedata[104%])</f>
        <v>2565.3333333333335</v>
      </c>
      <c r="P2263" s="57">
        <f t="shared" si="35"/>
        <v>1850</v>
      </c>
      <c r="Q2263" s="58">
        <f>_xlfn.MAXIFS(Survey!$G$2:$G$3647,Survey!$M$2:$M$3647,Survey!$M2263)-Survey!$G2263</f>
        <v>1122.5816063474495</v>
      </c>
      <c r="R2263" s="59">
        <f>Survey!$P2263+(Survey!$Q2263*0.433)</f>
        <v>2336.0778355484454</v>
      </c>
    </row>
    <row r="2264" spans="1:18" x14ac:dyDescent="0.25">
      <c r="A2264" s="71" t="s">
        <v>17</v>
      </c>
      <c r="B2264" s="72" t="s">
        <v>22</v>
      </c>
      <c r="C2264" s="73" t="s">
        <v>19</v>
      </c>
      <c r="D2264" s="74">
        <v>243.72728525788827</v>
      </c>
      <c r="E2264" s="81">
        <v>1317369</v>
      </c>
      <c r="F2264" s="82">
        <v>1287885.9999999981</v>
      </c>
      <c r="G2264" s="75">
        <v>2609.9445715516435</v>
      </c>
      <c r="H2264" s="76">
        <v>2</v>
      </c>
      <c r="I2264" s="54" t="s">
        <v>20</v>
      </c>
      <c r="J2264" s="77">
        <v>40</v>
      </c>
      <c r="K2264" s="78">
        <v>2</v>
      </c>
      <c r="L2264" s="54">
        <v>1</v>
      </c>
      <c r="M2264" s="54">
        <f>_xlfn.XLOOKUP(Survey!$F2264,sections[Start],sections[Test Section],,-1,1)</f>
        <v>6</v>
      </c>
      <c r="N2264" s="55">
        <f>_xlfn.XLOOKUP(Survey!$K2264,pipedata[ID],pipedata[WT])</f>
        <v>0.74</v>
      </c>
      <c r="O2264" s="56">
        <f>_xlfn.XLOOKUP(Survey!$K2264,pipedata[ID],pipedata[104%])</f>
        <v>2565.3333333333335</v>
      </c>
      <c r="P2264" s="57">
        <f t="shared" si="35"/>
        <v>1850</v>
      </c>
      <c r="Q2264" s="58">
        <f>_xlfn.MAXIFS(Survey!$G$2:$G$3647,Survey!$M$2:$M$3647,Survey!$M2264)-Survey!$G2264</f>
        <v>1124.480068676773</v>
      </c>
      <c r="R2264" s="59">
        <f>Survey!$P2264+(Survey!$Q2264*0.433)</f>
        <v>2336.8998697370425</v>
      </c>
    </row>
    <row r="2265" spans="1:18" x14ac:dyDescent="0.25">
      <c r="A2265" s="60" t="s">
        <v>17</v>
      </c>
      <c r="B2265" s="61" t="s">
        <v>22</v>
      </c>
      <c r="C2265" s="62" t="s">
        <v>19</v>
      </c>
      <c r="D2265" s="63">
        <v>243.73532556634524</v>
      </c>
      <c r="E2265" s="79">
        <v>1317409</v>
      </c>
      <c r="F2265" s="80">
        <v>1287925.0833333314</v>
      </c>
      <c r="G2265" s="66">
        <v>2609.5299947521535</v>
      </c>
      <c r="H2265" s="67">
        <v>2</v>
      </c>
      <c r="I2265" s="68" t="s">
        <v>20</v>
      </c>
      <c r="J2265" s="69">
        <v>40</v>
      </c>
      <c r="K2265" s="70">
        <v>2</v>
      </c>
      <c r="L2265" s="68">
        <v>1</v>
      </c>
      <c r="M2265" s="68">
        <f>_xlfn.XLOOKUP(Survey!$F2265,sections[Start],sections[Test Section],,-1,1)</f>
        <v>6</v>
      </c>
      <c r="N2265" s="55">
        <f>_xlfn.XLOOKUP(Survey!$K2265,pipedata[ID],pipedata[WT])</f>
        <v>0.74</v>
      </c>
      <c r="O2265" s="56">
        <f>_xlfn.XLOOKUP(Survey!$K2265,pipedata[ID],pipedata[104%])</f>
        <v>2565.3333333333335</v>
      </c>
      <c r="P2265" s="57">
        <f t="shared" si="35"/>
        <v>1850</v>
      </c>
      <c r="Q2265" s="58">
        <f>_xlfn.MAXIFS(Survey!$G$2:$G$3647,Survey!$M$2:$M$3647,Survey!$M2265)-Survey!$G2265</f>
        <v>1124.8946454762631</v>
      </c>
      <c r="R2265" s="59">
        <f>Survey!$P2265+(Survey!$Q2265*0.433)</f>
        <v>2337.0793814912217</v>
      </c>
    </row>
    <row r="2266" spans="1:18" x14ac:dyDescent="0.25">
      <c r="A2266" s="71" t="s">
        <v>17</v>
      </c>
      <c r="B2266" s="72" t="s">
        <v>22</v>
      </c>
      <c r="C2266" s="73" t="s">
        <v>19</v>
      </c>
      <c r="D2266" s="74">
        <v>243.74212113126683</v>
      </c>
      <c r="E2266" s="81">
        <v>1317449</v>
      </c>
      <c r="F2266" s="82">
        <v>1287964.1666666646</v>
      </c>
      <c r="G2266" s="75">
        <v>2610.6698475795233</v>
      </c>
      <c r="H2266" s="76">
        <v>2</v>
      </c>
      <c r="I2266" s="54" t="s">
        <v>20</v>
      </c>
      <c r="J2266" s="77">
        <v>40</v>
      </c>
      <c r="K2266" s="78">
        <v>2</v>
      </c>
      <c r="L2266" s="54">
        <v>1</v>
      </c>
      <c r="M2266" s="54">
        <f>_xlfn.XLOOKUP(Survey!$F2266,sections[Start],sections[Test Section],,-1,1)</f>
        <v>6</v>
      </c>
      <c r="N2266" s="55">
        <f>_xlfn.XLOOKUP(Survey!$K2266,pipedata[ID],pipedata[WT])</f>
        <v>0.74</v>
      </c>
      <c r="O2266" s="56">
        <f>_xlfn.XLOOKUP(Survey!$K2266,pipedata[ID],pipedata[104%])</f>
        <v>2565.3333333333335</v>
      </c>
      <c r="P2266" s="57">
        <f t="shared" si="35"/>
        <v>1850</v>
      </c>
      <c r="Q2266" s="58">
        <f>_xlfn.MAXIFS(Survey!$G$2:$G$3647,Survey!$M$2:$M$3647,Survey!$M2266)-Survey!$G2266</f>
        <v>1123.7547926488933</v>
      </c>
      <c r="R2266" s="59">
        <f>Survey!$P2266+(Survey!$Q2266*0.433)</f>
        <v>2336.585825216971</v>
      </c>
    </row>
    <row r="2267" spans="1:18" x14ac:dyDescent="0.25">
      <c r="A2267" s="60" t="s">
        <v>17</v>
      </c>
      <c r="B2267" s="61" t="s">
        <v>22</v>
      </c>
      <c r="C2267" s="62" t="s">
        <v>19</v>
      </c>
      <c r="D2267" s="63">
        <v>243.75045562768426</v>
      </c>
      <c r="E2267" s="79">
        <v>1317489</v>
      </c>
      <c r="F2267" s="80">
        <v>1288003.2499999979</v>
      </c>
      <c r="G2267" s="66">
        <v>2611.7002928651114</v>
      </c>
      <c r="H2267" s="67">
        <v>2</v>
      </c>
      <c r="I2267" s="68" t="s">
        <v>20</v>
      </c>
      <c r="J2267" s="69">
        <v>40</v>
      </c>
      <c r="K2267" s="70">
        <v>2</v>
      </c>
      <c r="L2267" s="68">
        <v>1</v>
      </c>
      <c r="M2267" s="68">
        <f>_xlfn.XLOOKUP(Survey!$F2267,sections[Start],sections[Test Section],,-1,1)</f>
        <v>6</v>
      </c>
      <c r="N2267" s="55">
        <f>_xlfn.XLOOKUP(Survey!$K2267,pipedata[ID],pipedata[WT])</f>
        <v>0.74</v>
      </c>
      <c r="O2267" s="56">
        <f>_xlfn.XLOOKUP(Survey!$K2267,pipedata[ID],pipedata[104%])</f>
        <v>2565.3333333333335</v>
      </c>
      <c r="P2267" s="57">
        <f t="shared" si="35"/>
        <v>1850</v>
      </c>
      <c r="Q2267" s="58">
        <f>_xlfn.MAXIFS(Survey!$G$2:$G$3647,Survey!$M$2:$M$3647,Survey!$M2267)-Survey!$G2267</f>
        <v>1122.7243473633052</v>
      </c>
      <c r="R2267" s="59">
        <f>Survey!$P2267+(Survey!$Q2267*0.433)</f>
        <v>2336.1396424083114</v>
      </c>
    </row>
    <row r="2268" spans="1:18" x14ac:dyDescent="0.25">
      <c r="A2268" s="71" t="s">
        <v>17</v>
      </c>
      <c r="B2268" s="72" t="s">
        <v>22</v>
      </c>
      <c r="C2268" s="73" t="s">
        <v>19</v>
      </c>
      <c r="D2268" s="74">
        <v>243.75746937579581</v>
      </c>
      <c r="E2268" s="81">
        <v>1317529</v>
      </c>
      <c r="F2268" s="82">
        <v>1288042.3333333312</v>
      </c>
      <c r="G2268" s="75">
        <v>2609.9735770393072</v>
      </c>
      <c r="H2268" s="76">
        <v>2</v>
      </c>
      <c r="I2268" s="54" t="s">
        <v>20</v>
      </c>
      <c r="J2268" s="77">
        <v>40</v>
      </c>
      <c r="K2268" s="78">
        <v>2</v>
      </c>
      <c r="L2268" s="54">
        <v>1</v>
      </c>
      <c r="M2268" s="54">
        <f>_xlfn.XLOOKUP(Survey!$F2268,sections[Start],sections[Test Section],,-1,1)</f>
        <v>6</v>
      </c>
      <c r="N2268" s="55">
        <f>_xlfn.XLOOKUP(Survey!$K2268,pipedata[ID],pipedata[WT])</f>
        <v>0.74</v>
      </c>
      <c r="O2268" s="56">
        <f>_xlfn.XLOOKUP(Survey!$K2268,pipedata[ID],pipedata[104%])</f>
        <v>2565.3333333333335</v>
      </c>
      <c r="P2268" s="57">
        <f t="shared" si="35"/>
        <v>1850</v>
      </c>
      <c r="Q2268" s="58">
        <f>_xlfn.MAXIFS(Survey!$G$2:$G$3647,Survey!$M$2:$M$3647,Survey!$M2268)-Survey!$G2268</f>
        <v>1124.4510631891094</v>
      </c>
      <c r="R2268" s="59">
        <f>Survey!$P2268+(Survey!$Q2268*0.433)</f>
        <v>2336.8873103608844</v>
      </c>
    </row>
    <row r="2269" spans="1:18" x14ac:dyDescent="0.25">
      <c r="A2269" s="60" t="s">
        <v>17</v>
      </c>
      <c r="B2269" s="61" t="s">
        <v>22</v>
      </c>
      <c r="C2269" s="62" t="s">
        <v>19</v>
      </c>
      <c r="D2269" s="63">
        <v>243.7652355564899</v>
      </c>
      <c r="E2269" s="79">
        <v>1317569</v>
      </c>
      <c r="F2269" s="80">
        <v>1288081.4166666644</v>
      </c>
      <c r="G2269" s="66">
        <v>2609.1841411543433</v>
      </c>
      <c r="H2269" s="67">
        <v>2</v>
      </c>
      <c r="I2269" s="68" t="s">
        <v>20</v>
      </c>
      <c r="J2269" s="69">
        <v>40</v>
      </c>
      <c r="K2269" s="70">
        <v>2</v>
      </c>
      <c r="L2269" s="68">
        <v>1</v>
      </c>
      <c r="M2269" s="68">
        <f>_xlfn.XLOOKUP(Survey!$F2269,sections[Start],sections[Test Section],,-1,1)</f>
        <v>6</v>
      </c>
      <c r="N2269" s="55">
        <f>_xlfn.XLOOKUP(Survey!$K2269,pipedata[ID],pipedata[WT])</f>
        <v>0.74</v>
      </c>
      <c r="O2269" s="56">
        <f>_xlfn.XLOOKUP(Survey!$K2269,pipedata[ID],pipedata[104%])</f>
        <v>2565.3333333333335</v>
      </c>
      <c r="P2269" s="57">
        <f t="shared" si="35"/>
        <v>1850</v>
      </c>
      <c r="Q2269" s="58">
        <f>_xlfn.MAXIFS(Survey!$G$2:$G$3647,Survey!$M$2:$M$3647,Survey!$M2269)-Survey!$G2269</f>
        <v>1125.2404990740733</v>
      </c>
      <c r="R2269" s="59">
        <f>Survey!$P2269+(Survey!$Q2269*0.433)</f>
        <v>2337.2291360990739</v>
      </c>
    </row>
    <row r="2270" spans="1:18" x14ac:dyDescent="0.25">
      <c r="A2270" s="71" t="s">
        <v>17</v>
      </c>
      <c r="B2270" s="72" t="s">
        <v>22</v>
      </c>
      <c r="C2270" s="73" t="s">
        <v>19</v>
      </c>
      <c r="D2270" s="74">
        <v>243.77300173718385</v>
      </c>
      <c r="E2270" s="81">
        <v>1317609</v>
      </c>
      <c r="F2270" s="82">
        <v>1288120.4999999977</v>
      </c>
      <c r="G2270" s="75">
        <v>2609.1965109709154</v>
      </c>
      <c r="H2270" s="76">
        <v>2</v>
      </c>
      <c r="I2270" s="54" t="s">
        <v>20</v>
      </c>
      <c r="J2270" s="77">
        <v>40</v>
      </c>
      <c r="K2270" s="78">
        <v>2</v>
      </c>
      <c r="L2270" s="54">
        <v>1</v>
      </c>
      <c r="M2270" s="54">
        <f>_xlfn.XLOOKUP(Survey!$F2270,sections[Start],sections[Test Section],,-1,1)</f>
        <v>6</v>
      </c>
      <c r="N2270" s="55">
        <f>_xlfn.XLOOKUP(Survey!$K2270,pipedata[ID],pipedata[WT])</f>
        <v>0.74</v>
      </c>
      <c r="O2270" s="56">
        <f>_xlfn.XLOOKUP(Survey!$K2270,pipedata[ID],pipedata[104%])</f>
        <v>2565.3333333333335</v>
      </c>
      <c r="P2270" s="57">
        <f t="shared" si="35"/>
        <v>1850</v>
      </c>
      <c r="Q2270" s="58">
        <f>_xlfn.MAXIFS(Survey!$G$2:$G$3647,Survey!$M$2:$M$3647,Survey!$M2270)-Survey!$G2270</f>
        <v>1125.2281292575012</v>
      </c>
      <c r="R2270" s="59">
        <f>Survey!$P2270+(Survey!$Q2270*0.433)</f>
        <v>2337.2237799684981</v>
      </c>
    </row>
    <row r="2271" spans="1:18" x14ac:dyDescent="0.25">
      <c r="A2271" s="60" t="s">
        <v>17</v>
      </c>
      <c r="B2271" s="61" t="s">
        <v>22</v>
      </c>
      <c r="C2271" s="62" t="s">
        <v>19</v>
      </c>
      <c r="D2271" s="63">
        <v>243.78076791787782</v>
      </c>
      <c r="E2271" s="79">
        <v>1317649</v>
      </c>
      <c r="F2271" s="80">
        <v>1288159.5833333309</v>
      </c>
      <c r="G2271" s="66">
        <v>2611.0474335139097</v>
      </c>
      <c r="H2271" s="67">
        <v>2</v>
      </c>
      <c r="I2271" s="68" t="s">
        <v>20</v>
      </c>
      <c r="J2271" s="69">
        <v>40</v>
      </c>
      <c r="K2271" s="70">
        <v>2</v>
      </c>
      <c r="L2271" s="68">
        <v>1</v>
      </c>
      <c r="M2271" s="68">
        <f>_xlfn.XLOOKUP(Survey!$F2271,sections[Start],sections[Test Section],,-1,1)</f>
        <v>6</v>
      </c>
      <c r="N2271" s="55">
        <f>_xlfn.XLOOKUP(Survey!$K2271,pipedata[ID],pipedata[WT])</f>
        <v>0.74</v>
      </c>
      <c r="O2271" s="56">
        <f>_xlfn.XLOOKUP(Survey!$K2271,pipedata[ID],pipedata[104%])</f>
        <v>2565.3333333333335</v>
      </c>
      <c r="P2271" s="57">
        <f t="shared" si="35"/>
        <v>1850</v>
      </c>
      <c r="Q2271" s="58">
        <f>_xlfn.MAXIFS(Survey!$G$2:$G$3647,Survey!$M$2:$M$3647,Survey!$M2271)-Survey!$G2271</f>
        <v>1123.3772067145069</v>
      </c>
      <c r="R2271" s="59">
        <f>Survey!$P2271+(Survey!$Q2271*0.433)</f>
        <v>2336.4223305073815</v>
      </c>
    </row>
    <row r="2272" spans="1:18" x14ac:dyDescent="0.25">
      <c r="A2272" s="71" t="s">
        <v>17</v>
      </c>
      <c r="B2272" s="72" t="s">
        <v>22</v>
      </c>
      <c r="C2272" s="73" t="s">
        <v>19</v>
      </c>
      <c r="D2272" s="74">
        <v>243.78758757131627</v>
      </c>
      <c r="E2272" s="81">
        <v>1317689</v>
      </c>
      <c r="F2272" s="82">
        <v>1288198.6666666642</v>
      </c>
      <c r="G2272" s="75">
        <v>2611.9564868860307</v>
      </c>
      <c r="H2272" s="76">
        <v>2</v>
      </c>
      <c r="I2272" s="54" t="s">
        <v>20</v>
      </c>
      <c r="J2272" s="77">
        <v>40</v>
      </c>
      <c r="K2272" s="78">
        <v>2</v>
      </c>
      <c r="L2272" s="54">
        <v>1</v>
      </c>
      <c r="M2272" s="54">
        <f>_xlfn.XLOOKUP(Survey!$F2272,sections[Start],sections[Test Section],,-1,1)</f>
        <v>6</v>
      </c>
      <c r="N2272" s="55">
        <f>_xlfn.XLOOKUP(Survey!$K2272,pipedata[ID],pipedata[WT])</f>
        <v>0.74</v>
      </c>
      <c r="O2272" s="56">
        <f>_xlfn.XLOOKUP(Survey!$K2272,pipedata[ID],pipedata[104%])</f>
        <v>2565.3333333333335</v>
      </c>
      <c r="P2272" s="57">
        <f t="shared" si="35"/>
        <v>1850</v>
      </c>
      <c r="Q2272" s="58">
        <f>_xlfn.MAXIFS(Survey!$G$2:$G$3647,Survey!$M$2:$M$3647,Survey!$M2272)-Survey!$G2272</f>
        <v>1122.4681533423859</v>
      </c>
      <c r="R2272" s="59">
        <f>Survey!$P2272+(Survey!$Q2272*0.433)</f>
        <v>2336.0287103972532</v>
      </c>
    </row>
    <row r="2273" spans="1:18" x14ac:dyDescent="0.25">
      <c r="A2273" s="60" t="s">
        <v>17</v>
      </c>
      <c r="B2273" s="61" t="s">
        <v>22</v>
      </c>
      <c r="C2273" s="62" t="s">
        <v>19</v>
      </c>
      <c r="D2273" s="63">
        <v>243.79562787977338</v>
      </c>
      <c r="E2273" s="79">
        <v>1317729</v>
      </c>
      <c r="F2273" s="80">
        <v>1288237.7499999974</v>
      </c>
      <c r="G2273" s="66">
        <v>2610.9507307446656</v>
      </c>
      <c r="H2273" s="67">
        <v>2</v>
      </c>
      <c r="I2273" s="68" t="s">
        <v>20</v>
      </c>
      <c r="J2273" s="69">
        <v>40</v>
      </c>
      <c r="K2273" s="70">
        <v>2</v>
      </c>
      <c r="L2273" s="68">
        <v>1</v>
      </c>
      <c r="M2273" s="68">
        <f>_xlfn.XLOOKUP(Survey!$F2273,sections[Start],sections[Test Section],,-1,1)</f>
        <v>6</v>
      </c>
      <c r="N2273" s="55">
        <f>_xlfn.XLOOKUP(Survey!$K2273,pipedata[ID],pipedata[WT])</f>
        <v>0.74</v>
      </c>
      <c r="O2273" s="56">
        <f>_xlfn.XLOOKUP(Survey!$K2273,pipedata[ID],pipedata[104%])</f>
        <v>2565.3333333333335</v>
      </c>
      <c r="P2273" s="57">
        <f t="shared" si="35"/>
        <v>1850</v>
      </c>
      <c r="Q2273" s="58">
        <f>_xlfn.MAXIFS(Survey!$G$2:$G$3647,Survey!$M$2:$M$3647,Survey!$M2273)-Survey!$G2273</f>
        <v>1123.473909483751</v>
      </c>
      <c r="R2273" s="59">
        <f>Survey!$P2273+(Survey!$Q2273*0.433)</f>
        <v>2336.4642028064641</v>
      </c>
    </row>
    <row r="2274" spans="1:18" x14ac:dyDescent="0.25">
      <c r="A2274" s="71" t="s">
        <v>17</v>
      </c>
      <c r="B2274" s="72" t="s">
        <v>22</v>
      </c>
      <c r="C2274" s="73" t="s">
        <v>19</v>
      </c>
      <c r="D2274" s="74">
        <v>243.80324077166179</v>
      </c>
      <c r="E2274" s="81">
        <v>1317769</v>
      </c>
      <c r="F2274" s="82">
        <v>1288276.8333333307</v>
      </c>
      <c r="G2274" s="75">
        <v>2609.6950838838065</v>
      </c>
      <c r="H2274" s="76">
        <v>2</v>
      </c>
      <c r="I2274" s="54" t="s">
        <v>20</v>
      </c>
      <c r="J2274" s="77">
        <v>40</v>
      </c>
      <c r="K2274" s="78">
        <v>2</v>
      </c>
      <c r="L2274" s="54">
        <v>1</v>
      </c>
      <c r="M2274" s="54">
        <f>_xlfn.XLOOKUP(Survey!$F2274,sections[Start],sections[Test Section],,-1,1)</f>
        <v>6</v>
      </c>
      <c r="N2274" s="55">
        <f>_xlfn.XLOOKUP(Survey!$K2274,pipedata[ID],pipedata[WT])</f>
        <v>0.74</v>
      </c>
      <c r="O2274" s="56">
        <f>_xlfn.XLOOKUP(Survey!$K2274,pipedata[ID],pipedata[104%])</f>
        <v>2565.3333333333335</v>
      </c>
      <c r="P2274" s="57">
        <f t="shared" si="35"/>
        <v>1850</v>
      </c>
      <c r="Q2274" s="58">
        <f>_xlfn.MAXIFS(Survey!$G$2:$G$3647,Survey!$M$2:$M$3647,Survey!$M2274)-Survey!$G2274</f>
        <v>1124.72955634461</v>
      </c>
      <c r="R2274" s="59">
        <f>Survey!$P2274+(Survey!$Q2274*0.433)</f>
        <v>2337.007897897216</v>
      </c>
    </row>
    <row r="2275" spans="1:18" x14ac:dyDescent="0.25">
      <c r="A2275" s="60" t="s">
        <v>17</v>
      </c>
      <c r="B2275" s="61" t="s">
        <v>22</v>
      </c>
      <c r="C2275" s="62" t="s">
        <v>19</v>
      </c>
      <c r="D2275" s="63">
        <v>243.81036844527821</v>
      </c>
      <c r="E2275" s="79">
        <v>1317809</v>
      </c>
      <c r="F2275" s="80">
        <v>1288315.916666664</v>
      </c>
      <c r="G2275" s="66">
        <v>2609.7129651923256</v>
      </c>
      <c r="H2275" s="67">
        <v>2</v>
      </c>
      <c r="I2275" s="68" t="s">
        <v>20</v>
      </c>
      <c r="J2275" s="69">
        <v>40</v>
      </c>
      <c r="K2275" s="70">
        <v>2</v>
      </c>
      <c r="L2275" s="68">
        <v>1</v>
      </c>
      <c r="M2275" s="68">
        <f>_xlfn.XLOOKUP(Survey!$F2275,sections[Start],sections[Test Section],,-1,1)</f>
        <v>6</v>
      </c>
      <c r="N2275" s="55">
        <f>_xlfn.XLOOKUP(Survey!$K2275,pipedata[ID],pipedata[WT])</f>
        <v>0.74</v>
      </c>
      <c r="O2275" s="56">
        <f>_xlfn.XLOOKUP(Survey!$K2275,pipedata[ID],pipedata[104%])</f>
        <v>2565.3333333333335</v>
      </c>
      <c r="P2275" s="57">
        <f t="shared" si="35"/>
        <v>1850</v>
      </c>
      <c r="Q2275" s="58">
        <f>_xlfn.MAXIFS(Survey!$G$2:$G$3647,Survey!$M$2:$M$3647,Survey!$M2275)-Survey!$G2275</f>
        <v>1124.711675036091</v>
      </c>
      <c r="R2275" s="59">
        <f>Survey!$P2275+(Survey!$Q2275*0.433)</f>
        <v>2337.0001552906274</v>
      </c>
    </row>
    <row r="2276" spans="1:18" x14ac:dyDescent="0.25">
      <c r="A2276" s="71" t="s">
        <v>17</v>
      </c>
      <c r="B2276" s="72" t="s">
        <v>22</v>
      </c>
      <c r="C2276" s="73" t="s">
        <v>19</v>
      </c>
      <c r="D2276" s="74">
        <v>243.81840875373507</v>
      </c>
      <c r="E2276" s="81">
        <v>1317849</v>
      </c>
      <c r="F2276" s="82">
        <v>1288354.9999999972</v>
      </c>
      <c r="G2276" s="75">
        <v>2609.2977632858979</v>
      </c>
      <c r="H2276" s="76">
        <v>2</v>
      </c>
      <c r="I2276" s="54" t="s">
        <v>20</v>
      </c>
      <c r="J2276" s="77">
        <v>40</v>
      </c>
      <c r="K2276" s="78">
        <v>2</v>
      </c>
      <c r="L2276" s="54">
        <v>1</v>
      </c>
      <c r="M2276" s="54">
        <f>_xlfn.XLOOKUP(Survey!$F2276,sections[Start],sections[Test Section],,-1,1)</f>
        <v>6</v>
      </c>
      <c r="N2276" s="55">
        <f>_xlfn.XLOOKUP(Survey!$K2276,pipedata[ID],pipedata[WT])</f>
        <v>0.74</v>
      </c>
      <c r="O2276" s="56">
        <f>_xlfn.XLOOKUP(Survey!$K2276,pipedata[ID],pipedata[104%])</f>
        <v>2565.3333333333335</v>
      </c>
      <c r="P2276" s="57">
        <f t="shared" si="35"/>
        <v>1850</v>
      </c>
      <c r="Q2276" s="58">
        <f>_xlfn.MAXIFS(Survey!$G$2:$G$3647,Survey!$M$2:$M$3647,Survey!$M2276)-Survey!$G2276</f>
        <v>1125.1268769425187</v>
      </c>
      <c r="R2276" s="59">
        <f>Survey!$P2276+(Survey!$Q2276*0.433)</f>
        <v>2337.1799377161105</v>
      </c>
    </row>
    <row r="2277" spans="1:18" x14ac:dyDescent="0.25">
      <c r="A2277" s="60" t="s">
        <v>17</v>
      </c>
      <c r="B2277" s="61" t="s">
        <v>22</v>
      </c>
      <c r="C2277" s="62" t="s">
        <v>19</v>
      </c>
      <c r="D2277" s="63">
        <v>243.82546609544136</v>
      </c>
      <c r="E2277" s="79">
        <v>1317889</v>
      </c>
      <c r="F2277" s="80">
        <v>1288394.0833333305</v>
      </c>
      <c r="G2277" s="66">
        <v>2610.0494878541454</v>
      </c>
      <c r="H2277" s="67">
        <v>2</v>
      </c>
      <c r="I2277" s="68" t="s">
        <v>20</v>
      </c>
      <c r="J2277" s="69">
        <v>40</v>
      </c>
      <c r="K2277" s="70">
        <v>2</v>
      </c>
      <c r="L2277" s="68">
        <v>1</v>
      </c>
      <c r="M2277" s="68">
        <f>_xlfn.XLOOKUP(Survey!$F2277,sections[Start],sections[Test Section],,-1,1)</f>
        <v>6</v>
      </c>
      <c r="N2277" s="55">
        <f>_xlfn.XLOOKUP(Survey!$K2277,pipedata[ID],pipedata[WT])</f>
        <v>0.74</v>
      </c>
      <c r="O2277" s="56">
        <f>_xlfn.XLOOKUP(Survey!$K2277,pipedata[ID],pipedata[104%])</f>
        <v>2565.3333333333335</v>
      </c>
      <c r="P2277" s="57">
        <f t="shared" si="35"/>
        <v>1850</v>
      </c>
      <c r="Q2277" s="58">
        <f>_xlfn.MAXIFS(Survey!$G$2:$G$3647,Survey!$M$2:$M$3647,Survey!$M2277)-Survey!$G2277</f>
        <v>1124.3751523742712</v>
      </c>
      <c r="R2277" s="59">
        <f>Survey!$P2277+(Survey!$Q2277*0.433)</f>
        <v>2336.8544409780593</v>
      </c>
    </row>
    <row r="2278" spans="1:18" x14ac:dyDescent="0.25">
      <c r="A2278" s="71" t="s">
        <v>17</v>
      </c>
      <c r="B2278" s="72" t="s">
        <v>22</v>
      </c>
      <c r="C2278" s="73" t="s">
        <v>19</v>
      </c>
      <c r="D2278" s="74">
        <v>243.83314931923999</v>
      </c>
      <c r="E2278" s="81">
        <v>1317929</v>
      </c>
      <c r="F2278" s="82">
        <v>1288433.1666666637</v>
      </c>
      <c r="G2278" s="75">
        <v>2611.3053780832502</v>
      </c>
      <c r="H2278" s="76">
        <v>2</v>
      </c>
      <c r="I2278" s="54" t="s">
        <v>20</v>
      </c>
      <c r="J2278" s="77">
        <v>40</v>
      </c>
      <c r="K2278" s="78">
        <v>2</v>
      </c>
      <c r="L2278" s="54">
        <v>1</v>
      </c>
      <c r="M2278" s="54">
        <f>_xlfn.XLOOKUP(Survey!$F2278,sections[Start],sections[Test Section],,-1,1)</f>
        <v>6</v>
      </c>
      <c r="N2278" s="55">
        <f>_xlfn.XLOOKUP(Survey!$K2278,pipedata[ID],pipedata[WT])</f>
        <v>0.74</v>
      </c>
      <c r="O2278" s="56">
        <f>_xlfn.XLOOKUP(Survey!$K2278,pipedata[ID],pipedata[104%])</f>
        <v>2565.3333333333335</v>
      </c>
      <c r="P2278" s="57">
        <f t="shared" si="35"/>
        <v>1850</v>
      </c>
      <c r="Q2278" s="58">
        <f>_xlfn.MAXIFS(Survey!$G$2:$G$3647,Survey!$M$2:$M$3647,Survey!$M2278)-Survey!$G2278</f>
        <v>1123.1192621451664</v>
      </c>
      <c r="R2278" s="59">
        <f>Survey!$P2278+(Survey!$Q2278*0.433)</f>
        <v>2336.310640508857</v>
      </c>
    </row>
    <row r="2279" spans="1:18" x14ac:dyDescent="0.25">
      <c r="A2279" s="60" t="s">
        <v>17</v>
      </c>
      <c r="B2279" s="61" t="s">
        <v>22</v>
      </c>
      <c r="C2279" s="62" t="s">
        <v>19</v>
      </c>
      <c r="D2279" s="63">
        <v>243.84118962769693</v>
      </c>
      <c r="E2279" s="79">
        <v>1317969</v>
      </c>
      <c r="F2279" s="80">
        <v>1288472.249999997</v>
      </c>
      <c r="G2279" s="66">
        <v>2613.7946938495638</v>
      </c>
      <c r="H2279" s="67">
        <v>2</v>
      </c>
      <c r="I2279" s="68" t="s">
        <v>20</v>
      </c>
      <c r="J2279" s="69">
        <v>40</v>
      </c>
      <c r="K2279" s="70">
        <v>2</v>
      </c>
      <c r="L2279" s="68">
        <v>1</v>
      </c>
      <c r="M2279" s="68">
        <f>_xlfn.XLOOKUP(Survey!$F2279,sections[Start],sections[Test Section],,-1,1)</f>
        <v>6</v>
      </c>
      <c r="N2279" s="55">
        <f>_xlfn.XLOOKUP(Survey!$K2279,pipedata[ID],pipedata[WT])</f>
        <v>0.74</v>
      </c>
      <c r="O2279" s="56">
        <f>_xlfn.XLOOKUP(Survey!$K2279,pipedata[ID],pipedata[104%])</f>
        <v>2565.3333333333335</v>
      </c>
      <c r="P2279" s="57">
        <f t="shared" si="35"/>
        <v>1850</v>
      </c>
      <c r="Q2279" s="58">
        <f>_xlfn.MAXIFS(Survey!$G$2:$G$3647,Survey!$M$2:$M$3647,Survey!$M2279)-Survey!$G2279</f>
        <v>1120.6299463788528</v>
      </c>
      <c r="R2279" s="59">
        <f>Survey!$P2279+(Survey!$Q2279*0.433)</f>
        <v>2335.2327667820432</v>
      </c>
    </row>
    <row r="2280" spans="1:18" x14ac:dyDescent="0.25">
      <c r="A2280" s="71" t="s">
        <v>17</v>
      </c>
      <c r="B2280" s="72" t="s">
        <v>22</v>
      </c>
      <c r="C2280" s="73" t="s">
        <v>19</v>
      </c>
      <c r="D2280" s="74">
        <v>243.84807481722694</v>
      </c>
      <c r="E2280" s="81">
        <v>1318009</v>
      </c>
      <c r="F2280" s="82">
        <v>1288511.3333333302</v>
      </c>
      <c r="G2280" s="75">
        <v>2613.9951581191212</v>
      </c>
      <c r="H2280" s="76">
        <v>2</v>
      </c>
      <c r="I2280" s="54" t="s">
        <v>20</v>
      </c>
      <c r="J2280" s="77">
        <v>40</v>
      </c>
      <c r="K2280" s="78">
        <v>2</v>
      </c>
      <c r="L2280" s="54">
        <v>1</v>
      </c>
      <c r="M2280" s="54">
        <f>_xlfn.XLOOKUP(Survey!$F2280,sections[Start],sections[Test Section],,-1,1)</f>
        <v>6</v>
      </c>
      <c r="N2280" s="55">
        <f>_xlfn.XLOOKUP(Survey!$K2280,pipedata[ID],pipedata[WT])</f>
        <v>0.74</v>
      </c>
      <c r="O2280" s="56">
        <f>_xlfn.XLOOKUP(Survey!$K2280,pipedata[ID],pipedata[104%])</f>
        <v>2565.3333333333335</v>
      </c>
      <c r="P2280" s="57">
        <f t="shared" si="35"/>
        <v>1850</v>
      </c>
      <c r="Q2280" s="58">
        <f>_xlfn.MAXIFS(Survey!$G$2:$G$3647,Survey!$M$2:$M$3647,Survey!$M2280)-Survey!$G2280</f>
        <v>1120.4294821092953</v>
      </c>
      <c r="R2280" s="59">
        <f>Survey!$P2280+(Survey!$Q2280*0.433)</f>
        <v>2335.1459657533251</v>
      </c>
    </row>
    <row r="2281" spans="1:18" x14ac:dyDescent="0.25">
      <c r="A2281" s="60" t="s">
        <v>17</v>
      </c>
      <c r="B2281" s="61" t="s">
        <v>22</v>
      </c>
      <c r="C2281" s="62" t="s">
        <v>19</v>
      </c>
      <c r="D2281" s="63">
        <v>243.85602591563867</v>
      </c>
      <c r="E2281" s="79">
        <v>1318049</v>
      </c>
      <c r="F2281" s="80">
        <v>1288550.4166666635</v>
      </c>
      <c r="G2281" s="66">
        <v>2613.0884837918211</v>
      </c>
      <c r="H2281" s="67">
        <v>2</v>
      </c>
      <c r="I2281" s="68" t="s">
        <v>20</v>
      </c>
      <c r="J2281" s="69">
        <v>40</v>
      </c>
      <c r="K2281" s="70">
        <v>2</v>
      </c>
      <c r="L2281" s="68">
        <v>1</v>
      </c>
      <c r="M2281" s="68">
        <f>_xlfn.XLOOKUP(Survey!$F2281,sections[Start],sections[Test Section],,-1,1)</f>
        <v>6</v>
      </c>
      <c r="N2281" s="55">
        <f>_xlfn.XLOOKUP(Survey!$K2281,pipedata[ID],pipedata[WT])</f>
        <v>0.74</v>
      </c>
      <c r="O2281" s="56">
        <f>_xlfn.XLOOKUP(Survey!$K2281,pipedata[ID],pipedata[104%])</f>
        <v>2565.3333333333335</v>
      </c>
      <c r="P2281" s="57">
        <f t="shared" si="35"/>
        <v>1850</v>
      </c>
      <c r="Q2281" s="58">
        <f>_xlfn.MAXIFS(Survey!$G$2:$G$3647,Survey!$M$2:$M$3647,Survey!$M2281)-Survey!$G2281</f>
        <v>1121.3361564365955</v>
      </c>
      <c r="R2281" s="59">
        <f>Survey!$P2281+(Survey!$Q2281*0.433)</f>
        <v>2335.538555737046</v>
      </c>
    </row>
    <row r="2282" spans="1:18" x14ac:dyDescent="0.25">
      <c r="A2282" s="71" t="s">
        <v>17</v>
      </c>
      <c r="B2282" s="72" t="s">
        <v>22</v>
      </c>
      <c r="C2282" s="73" t="s">
        <v>19</v>
      </c>
      <c r="D2282" s="74">
        <v>243.86397050165854</v>
      </c>
      <c r="E2282" s="81">
        <v>1318089</v>
      </c>
      <c r="F2282" s="82">
        <v>1288589.4999999967</v>
      </c>
      <c r="G2282" s="75">
        <v>2612.2133699119131</v>
      </c>
      <c r="H2282" s="76">
        <v>2</v>
      </c>
      <c r="I2282" s="54" t="s">
        <v>20</v>
      </c>
      <c r="J2282" s="77">
        <v>40</v>
      </c>
      <c r="K2282" s="78">
        <v>2</v>
      </c>
      <c r="L2282" s="54">
        <v>1</v>
      </c>
      <c r="M2282" s="54">
        <f>_xlfn.XLOOKUP(Survey!$F2282,sections[Start],sections[Test Section],,-1,1)</f>
        <v>6</v>
      </c>
      <c r="N2282" s="55">
        <f>_xlfn.XLOOKUP(Survey!$K2282,pipedata[ID],pipedata[WT])</f>
        <v>0.74</v>
      </c>
      <c r="O2282" s="56">
        <f>_xlfn.XLOOKUP(Survey!$K2282,pipedata[ID],pipedata[104%])</f>
        <v>2565.3333333333335</v>
      </c>
      <c r="P2282" s="57">
        <f t="shared" si="35"/>
        <v>1850</v>
      </c>
      <c r="Q2282" s="58">
        <f>_xlfn.MAXIFS(Survey!$G$2:$G$3647,Survey!$M$2:$M$3647,Survey!$M2282)-Survey!$G2282</f>
        <v>1122.2112703165035</v>
      </c>
      <c r="R2282" s="59">
        <f>Survey!$P2282+(Survey!$Q2282*0.433)</f>
        <v>2335.917480047046</v>
      </c>
    </row>
    <row r="2283" spans="1:18" x14ac:dyDescent="0.25">
      <c r="A2283" s="60" t="s">
        <v>17</v>
      </c>
      <c r="B2283" s="61" t="s">
        <v>22</v>
      </c>
      <c r="C2283" s="62" t="s">
        <v>19</v>
      </c>
      <c r="D2283" s="63">
        <v>243.87137335930973</v>
      </c>
      <c r="E2283" s="79">
        <v>1318129</v>
      </c>
      <c r="F2283" s="80">
        <v>1288628.58333333</v>
      </c>
      <c r="G2283" s="66">
        <v>2611.6742860383633</v>
      </c>
      <c r="H2283" s="67">
        <v>2</v>
      </c>
      <c r="I2283" s="68" t="s">
        <v>20</v>
      </c>
      <c r="J2283" s="69">
        <v>40</v>
      </c>
      <c r="K2283" s="70">
        <v>2</v>
      </c>
      <c r="L2283" s="68">
        <v>1</v>
      </c>
      <c r="M2283" s="68">
        <f>_xlfn.XLOOKUP(Survey!$F2283,sections[Start],sections[Test Section],,-1,1)</f>
        <v>6</v>
      </c>
      <c r="N2283" s="55">
        <f>_xlfn.XLOOKUP(Survey!$K2283,pipedata[ID],pipedata[WT])</f>
        <v>0.74</v>
      </c>
      <c r="O2283" s="56">
        <f>_xlfn.XLOOKUP(Survey!$K2283,pipedata[ID],pipedata[104%])</f>
        <v>2565.3333333333335</v>
      </c>
      <c r="P2283" s="57">
        <f t="shared" si="35"/>
        <v>1850</v>
      </c>
      <c r="Q2283" s="58">
        <f>_xlfn.MAXIFS(Survey!$G$2:$G$3647,Survey!$M$2:$M$3647,Survey!$M2283)-Survey!$G2283</f>
        <v>1122.7503541900533</v>
      </c>
      <c r="R2283" s="59">
        <f>Survey!$P2283+(Survey!$Q2283*0.433)</f>
        <v>2336.1509033642933</v>
      </c>
    </row>
    <row r="2284" spans="1:18" x14ac:dyDescent="0.25">
      <c r="A2284" s="71" t="s">
        <v>17</v>
      </c>
      <c r="B2284" s="72" t="s">
        <v>22</v>
      </c>
      <c r="C2284" s="73" t="s">
        <v>19</v>
      </c>
      <c r="D2284" s="74">
        <v>243.87913954000396</v>
      </c>
      <c r="E2284" s="81">
        <v>1318169</v>
      </c>
      <c r="F2284" s="82">
        <v>1288667.6666666633</v>
      </c>
      <c r="G2284" s="75">
        <v>2610.7269998647675</v>
      </c>
      <c r="H2284" s="76">
        <v>2</v>
      </c>
      <c r="I2284" s="54" t="s">
        <v>20</v>
      </c>
      <c r="J2284" s="77">
        <v>40</v>
      </c>
      <c r="K2284" s="78">
        <v>2</v>
      </c>
      <c r="L2284" s="54">
        <v>1</v>
      </c>
      <c r="M2284" s="54">
        <f>_xlfn.XLOOKUP(Survey!$F2284,sections[Start],sections[Test Section],,-1,1)</f>
        <v>6</v>
      </c>
      <c r="N2284" s="55">
        <f>_xlfn.XLOOKUP(Survey!$K2284,pipedata[ID],pipedata[WT])</f>
        <v>0.74</v>
      </c>
      <c r="O2284" s="56">
        <f>_xlfn.XLOOKUP(Survey!$K2284,pipedata[ID],pipedata[104%])</f>
        <v>2565.3333333333335</v>
      </c>
      <c r="P2284" s="57">
        <f t="shared" si="35"/>
        <v>1850</v>
      </c>
      <c r="Q2284" s="58">
        <f>_xlfn.MAXIFS(Survey!$G$2:$G$3647,Survey!$M$2:$M$3647,Survey!$M2284)-Survey!$G2284</f>
        <v>1123.697640363649</v>
      </c>
      <c r="R2284" s="59">
        <f>Survey!$P2284+(Survey!$Q2284*0.433)</f>
        <v>2336.5610782774602</v>
      </c>
    </row>
    <row r="2285" spans="1:18" x14ac:dyDescent="0.25">
      <c r="A2285" s="60" t="s">
        <v>17</v>
      </c>
      <c r="B2285" s="61" t="s">
        <v>22</v>
      </c>
      <c r="C2285" s="62" t="s">
        <v>19</v>
      </c>
      <c r="D2285" s="63">
        <v>243.88677382913565</v>
      </c>
      <c r="E2285" s="79">
        <v>1318209</v>
      </c>
      <c r="F2285" s="80">
        <v>1288706.7499999965</v>
      </c>
      <c r="G2285" s="66">
        <v>2609.7450311042926</v>
      </c>
      <c r="H2285" s="67">
        <v>2</v>
      </c>
      <c r="I2285" s="68" t="s">
        <v>20</v>
      </c>
      <c r="J2285" s="69">
        <v>40</v>
      </c>
      <c r="K2285" s="70">
        <v>2</v>
      </c>
      <c r="L2285" s="68">
        <v>1</v>
      </c>
      <c r="M2285" s="68">
        <f>_xlfn.XLOOKUP(Survey!$F2285,sections[Start],sections[Test Section],,-1,1)</f>
        <v>6</v>
      </c>
      <c r="N2285" s="55">
        <f>_xlfn.XLOOKUP(Survey!$K2285,pipedata[ID],pipedata[WT])</f>
        <v>0.74</v>
      </c>
      <c r="O2285" s="56">
        <f>_xlfn.XLOOKUP(Survey!$K2285,pipedata[ID],pipedata[104%])</f>
        <v>2565.3333333333335</v>
      </c>
      <c r="P2285" s="57">
        <f t="shared" si="35"/>
        <v>1850</v>
      </c>
      <c r="Q2285" s="58">
        <f>_xlfn.MAXIFS(Survey!$G$2:$G$3647,Survey!$M$2:$M$3647,Survey!$M2285)-Survey!$G2285</f>
        <v>1124.679609124124</v>
      </c>
      <c r="R2285" s="59">
        <f>Survey!$P2285+(Survey!$Q2285*0.433)</f>
        <v>2336.9862707507455</v>
      </c>
    </row>
    <row r="2286" spans="1:18" x14ac:dyDescent="0.25">
      <c r="A2286" s="71" t="s">
        <v>17</v>
      </c>
      <c r="B2286" s="72" t="s">
        <v>22</v>
      </c>
      <c r="C2286" s="73" t="s">
        <v>19</v>
      </c>
      <c r="D2286" s="74">
        <v>243.89392206665656</v>
      </c>
      <c r="E2286" s="81">
        <v>1318249</v>
      </c>
      <c r="F2286" s="82">
        <v>1288745.8333333298</v>
      </c>
      <c r="G2286" s="75">
        <v>2608.3170490438333</v>
      </c>
      <c r="H2286" s="76">
        <v>2</v>
      </c>
      <c r="I2286" s="54" t="s">
        <v>20</v>
      </c>
      <c r="J2286" s="77">
        <v>21</v>
      </c>
      <c r="K2286" s="78">
        <v>2</v>
      </c>
      <c r="L2286" s="54">
        <v>1</v>
      </c>
      <c r="M2286" s="54">
        <f>_xlfn.XLOOKUP(Survey!$F2286,sections[Start],sections[Test Section],,-1,1)</f>
        <v>6</v>
      </c>
      <c r="N2286" s="55">
        <f>_xlfn.XLOOKUP(Survey!$K2286,pipedata[ID],pipedata[WT])</f>
        <v>0.74</v>
      </c>
      <c r="O2286" s="56">
        <f>_xlfn.XLOOKUP(Survey!$K2286,pipedata[ID],pipedata[104%])</f>
        <v>2565.3333333333335</v>
      </c>
      <c r="P2286" s="57">
        <f t="shared" si="35"/>
        <v>1850</v>
      </c>
      <c r="Q2286" s="58">
        <f>_xlfn.MAXIFS(Survey!$G$2:$G$3647,Survey!$M$2:$M$3647,Survey!$M2286)-Survey!$G2286</f>
        <v>1126.1075911845833</v>
      </c>
      <c r="R2286" s="59">
        <f>Survey!$P2286+(Survey!$Q2286*0.433)</f>
        <v>2337.6045869829245</v>
      </c>
    </row>
    <row r="2287" spans="1:18" x14ac:dyDescent="0.25">
      <c r="A2287" s="60" t="s">
        <v>17</v>
      </c>
      <c r="B2287" s="61" t="s">
        <v>22</v>
      </c>
      <c r="C2287" s="62" t="s">
        <v>19</v>
      </c>
      <c r="D2287" s="63">
        <v>243.90159327078226</v>
      </c>
      <c r="E2287" s="79">
        <v>1318270</v>
      </c>
      <c r="F2287" s="80">
        <v>1288824</v>
      </c>
      <c r="G2287" s="66">
        <v>2607.5143945113236</v>
      </c>
      <c r="H2287" s="67">
        <v>2</v>
      </c>
      <c r="I2287" s="68" t="s">
        <v>21</v>
      </c>
      <c r="J2287" s="69">
        <v>40</v>
      </c>
      <c r="K2287" s="70">
        <v>4</v>
      </c>
      <c r="L2287" s="68">
        <v>1</v>
      </c>
      <c r="M2287" s="68">
        <f>_xlfn.XLOOKUP(Survey!$F2287,sections[Start],sections[Test Section],,-1,1)</f>
        <v>6</v>
      </c>
      <c r="N2287" s="55">
        <f>_xlfn.XLOOKUP(Survey!$K2287,pipedata[ID],pipedata[WT])</f>
        <v>0.74</v>
      </c>
      <c r="O2287" s="56">
        <f>_xlfn.XLOOKUP(Survey!$K2287,pipedata[ID],pipedata[104%])</f>
        <v>2565.3333333333335</v>
      </c>
      <c r="P2287" s="57">
        <f t="shared" si="35"/>
        <v>1850</v>
      </c>
      <c r="Q2287" s="58">
        <f>_xlfn.MAXIFS(Survey!$G$2:$G$3647,Survey!$M$2:$M$3647,Survey!$M2287)-Survey!$G2287</f>
        <v>1126.9102457170929</v>
      </c>
      <c r="R2287" s="59">
        <f>Survey!$P2287+(Survey!$Q2287*0.433)</f>
        <v>2337.9521363955014</v>
      </c>
    </row>
    <row r="2288" spans="1:18" x14ac:dyDescent="0.25">
      <c r="A2288" s="71" t="s">
        <v>17</v>
      </c>
      <c r="B2288" s="72" t="s">
        <v>22</v>
      </c>
      <c r="C2288" s="73" t="s">
        <v>19</v>
      </c>
      <c r="D2288" s="74">
        <v>243.90849321662284</v>
      </c>
      <c r="E2288" s="81">
        <v>1318310</v>
      </c>
      <c r="F2288" s="82">
        <v>1288864</v>
      </c>
      <c r="G2288" s="75">
        <v>2604.5758079962247</v>
      </c>
      <c r="H2288" s="76">
        <v>2</v>
      </c>
      <c r="I2288" s="54" t="s">
        <v>20</v>
      </c>
      <c r="J2288" s="77">
        <v>59</v>
      </c>
      <c r="K2288" s="78">
        <v>2</v>
      </c>
      <c r="L2288" s="54">
        <v>1</v>
      </c>
      <c r="M2288" s="54">
        <f>_xlfn.XLOOKUP(Survey!$F2288,sections[Start],sections[Test Section],,-1,1)</f>
        <v>6</v>
      </c>
      <c r="N2288" s="55">
        <f>_xlfn.XLOOKUP(Survey!$K2288,pipedata[ID],pipedata[WT])</f>
        <v>0.74</v>
      </c>
      <c r="O2288" s="56">
        <f>_xlfn.XLOOKUP(Survey!$K2288,pipedata[ID],pipedata[104%])</f>
        <v>2565.3333333333335</v>
      </c>
      <c r="P2288" s="57">
        <f t="shared" si="35"/>
        <v>1850</v>
      </c>
      <c r="Q2288" s="58">
        <f>_xlfn.MAXIFS(Survey!$G$2:$G$3647,Survey!$M$2:$M$3647,Survey!$M2288)-Survey!$G2288</f>
        <v>1129.8488322321919</v>
      </c>
      <c r="R2288" s="59">
        <f>Survey!$P2288+(Survey!$Q2288*0.433)</f>
        <v>2339.2245443565389</v>
      </c>
    </row>
    <row r="2289" spans="1:18" x14ac:dyDescent="0.25">
      <c r="A2289" s="60" t="s">
        <v>17</v>
      </c>
      <c r="B2289" s="61" t="s">
        <v>22</v>
      </c>
      <c r="C2289" s="62" t="s">
        <v>19</v>
      </c>
      <c r="D2289" s="63">
        <v>243.91641271242878</v>
      </c>
      <c r="E2289" s="79">
        <v>1318369</v>
      </c>
      <c r="F2289" s="80">
        <v>1288902.7582417582</v>
      </c>
      <c r="G2289" s="66">
        <v>2612.5448211736557</v>
      </c>
      <c r="H2289" s="67">
        <v>2</v>
      </c>
      <c r="I2289" s="68" t="s">
        <v>20</v>
      </c>
      <c r="J2289" s="69">
        <v>40</v>
      </c>
      <c r="K2289" s="70">
        <v>2</v>
      </c>
      <c r="L2289" s="68">
        <v>1</v>
      </c>
      <c r="M2289" s="68">
        <f>_xlfn.XLOOKUP(Survey!$F2289,sections[Start],sections[Test Section],,-1,1)</f>
        <v>6</v>
      </c>
      <c r="N2289" s="55">
        <f>_xlfn.XLOOKUP(Survey!$K2289,pipedata[ID],pipedata[WT])</f>
        <v>0.74</v>
      </c>
      <c r="O2289" s="56">
        <f>_xlfn.XLOOKUP(Survey!$K2289,pipedata[ID],pipedata[104%])</f>
        <v>2565.3333333333335</v>
      </c>
      <c r="P2289" s="57">
        <f t="shared" si="35"/>
        <v>1850</v>
      </c>
      <c r="Q2289" s="58">
        <f>_xlfn.MAXIFS(Survey!$G$2:$G$3647,Survey!$M$2:$M$3647,Survey!$M2289)-Survey!$G2289</f>
        <v>1121.8798190547609</v>
      </c>
      <c r="R2289" s="59">
        <f>Survey!$P2289+(Survey!$Q2289*0.433)</f>
        <v>2335.7739616507115</v>
      </c>
    </row>
    <row r="2290" spans="1:18" x14ac:dyDescent="0.25">
      <c r="A2290" s="71" t="s">
        <v>17</v>
      </c>
      <c r="B2290" s="72" t="s">
        <v>22</v>
      </c>
      <c r="C2290" s="73" t="s">
        <v>19</v>
      </c>
      <c r="D2290" s="74">
        <v>243.9232540476703</v>
      </c>
      <c r="E2290" s="81">
        <v>1318409</v>
      </c>
      <c r="F2290" s="82">
        <v>1288941.5164835164</v>
      </c>
      <c r="G2290" s="75">
        <v>2616.7061539008096</v>
      </c>
      <c r="H2290" s="76">
        <v>2</v>
      </c>
      <c r="I2290" s="54" t="s">
        <v>20</v>
      </c>
      <c r="J2290" s="77">
        <v>40</v>
      </c>
      <c r="K2290" s="78">
        <v>2</v>
      </c>
      <c r="L2290" s="54">
        <v>1</v>
      </c>
      <c r="M2290" s="54">
        <f>_xlfn.XLOOKUP(Survey!$F2290,sections[Start],sections[Test Section],,-1,1)</f>
        <v>6</v>
      </c>
      <c r="N2290" s="55">
        <f>_xlfn.XLOOKUP(Survey!$K2290,pipedata[ID],pipedata[WT])</f>
        <v>0.74</v>
      </c>
      <c r="O2290" s="56">
        <f>_xlfn.XLOOKUP(Survey!$K2290,pipedata[ID],pipedata[104%])</f>
        <v>2565.3333333333335</v>
      </c>
      <c r="P2290" s="57">
        <f t="shared" si="35"/>
        <v>1850</v>
      </c>
      <c r="Q2290" s="58">
        <f>_xlfn.MAXIFS(Survey!$G$2:$G$3647,Survey!$M$2:$M$3647,Survey!$M2290)-Survey!$G2290</f>
        <v>1117.718486327607</v>
      </c>
      <c r="R2290" s="59">
        <f>Survey!$P2290+(Survey!$Q2290*0.433)</f>
        <v>2333.9721045798537</v>
      </c>
    </row>
    <row r="2291" spans="1:18" x14ac:dyDescent="0.25">
      <c r="A2291" s="60" t="s">
        <v>17</v>
      </c>
      <c r="B2291" s="61" t="s">
        <v>22</v>
      </c>
      <c r="C2291" s="62" t="s">
        <v>19</v>
      </c>
      <c r="D2291" s="63">
        <v>243.93123215407527</v>
      </c>
      <c r="E2291" s="79">
        <v>1318449</v>
      </c>
      <c r="F2291" s="80">
        <v>1288980.2747252746</v>
      </c>
      <c r="G2291" s="66">
        <v>2622.0378215237533</v>
      </c>
      <c r="H2291" s="67">
        <v>2</v>
      </c>
      <c r="I2291" s="68" t="s">
        <v>20</v>
      </c>
      <c r="J2291" s="69">
        <v>40</v>
      </c>
      <c r="K2291" s="70">
        <v>2</v>
      </c>
      <c r="L2291" s="68">
        <v>1</v>
      </c>
      <c r="M2291" s="68">
        <f>_xlfn.XLOOKUP(Survey!$F2291,sections[Start],sections[Test Section],,-1,1)</f>
        <v>6</v>
      </c>
      <c r="N2291" s="55">
        <f>_xlfn.XLOOKUP(Survey!$K2291,pipedata[ID],pipedata[WT])</f>
        <v>0.74</v>
      </c>
      <c r="O2291" s="56">
        <f>_xlfn.XLOOKUP(Survey!$K2291,pipedata[ID],pipedata[104%])</f>
        <v>2565.3333333333335</v>
      </c>
      <c r="P2291" s="57">
        <f t="shared" si="35"/>
        <v>1850</v>
      </c>
      <c r="Q2291" s="58">
        <f>_xlfn.MAXIFS(Survey!$G$2:$G$3647,Survey!$M$2:$M$3647,Survey!$M2291)-Survey!$G2291</f>
        <v>1112.3868187046633</v>
      </c>
      <c r="R2291" s="59">
        <f>Survey!$P2291+(Survey!$Q2291*0.433)</f>
        <v>2331.663492499119</v>
      </c>
    </row>
    <row r="2292" spans="1:18" x14ac:dyDescent="0.25">
      <c r="A2292" s="71" t="s">
        <v>17</v>
      </c>
      <c r="B2292" s="72" t="s">
        <v>22</v>
      </c>
      <c r="C2292" s="73" t="s">
        <v>19</v>
      </c>
      <c r="D2292" s="74">
        <v>243.93931548588253</v>
      </c>
      <c r="E2292" s="81">
        <v>1318489</v>
      </c>
      <c r="F2292" s="82">
        <v>1289019.0329670329</v>
      </c>
      <c r="G2292" s="75">
        <v>2627.1054562499594</v>
      </c>
      <c r="H2292" s="76">
        <v>2</v>
      </c>
      <c r="I2292" s="54" t="s">
        <v>20</v>
      </c>
      <c r="J2292" s="77">
        <v>40</v>
      </c>
      <c r="K2292" s="78">
        <v>2</v>
      </c>
      <c r="L2292" s="54">
        <v>1</v>
      </c>
      <c r="M2292" s="54">
        <f>_xlfn.XLOOKUP(Survey!$F2292,sections[Start],sections[Test Section],,-1,1)</f>
        <v>6</v>
      </c>
      <c r="N2292" s="55">
        <f>_xlfn.XLOOKUP(Survey!$K2292,pipedata[ID],pipedata[WT])</f>
        <v>0.74</v>
      </c>
      <c r="O2292" s="56">
        <f>_xlfn.XLOOKUP(Survey!$K2292,pipedata[ID],pipedata[104%])</f>
        <v>2565.3333333333335</v>
      </c>
      <c r="P2292" s="57">
        <f t="shared" si="35"/>
        <v>1850</v>
      </c>
      <c r="Q2292" s="58">
        <f>_xlfn.MAXIFS(Survey!$G$2:$G$3647,Survey!$M$2:$M$3647,Survey!$M2292)-Survey!$G2292</f>
        <v>1107.3191839784572</v>
      </c>
      <c r="R2292" s="59">
        <f>Survey!$P2292+(Survey!$Q2292*0.433)</f>
        <v>2329.4692066626721</v>
      </c>
    </row>
    <row r="2293" spans="1:18" x14ac:dyDescent="0.25">
      <c r="A2293" s="60" t="s">
        <v>17</v>
      </c>
      <c r="B2293" s="61" t="s">
        <v>22</v>
      </c>
      <c r="C2293" s="62" t="s">
        <v>19</v>
      </c>
      <c r="D2293" s="63">
        <v>243.94605159572191</v>
      </c>
      <c r="E2293" s="79">
        <v>1318529</v>
      </c>
      <c r="F2293" s="80">
        <v>1289057.7912087911</v>
      </c>
      <c r="G2293" s="66">
        <v>2632.1297458868053</v>
      </c>
      <c r="H2293" s="67">
        <v>2</v>
      </c>
      <c r="I2293" s="68" t="s">
        <v>20</v>
      </c>
      <c r="J2293" s="69">
        <v>40</v>
      </c>
      <c r="K2293" s="70">
        <v>2</v>
      </c>
      <c r="L2293" s="68">
        <v>1</v>
      </c>
      <c r="M2293" s="68">
        <f>_xlfn.XLOOKUP(Survey!$F2293,sections[Start],sections[Test Section],,-1,1)</f>
        <v>6</v>
      </c>
      <c r="N2293" s="55">
        <f>_xlfn.XLOOKUP(Survey!$K2293,pipedata[ID],pipedata[WT])</f>
        <v>0.74</v>
      </c>
      <c r="O2293" s="56">
        <f>_xlfn.XLOOKUP(Survey!$K2293,pipedata[ID],pipedata[104%])</f>
        <v>2565.3333333333335</v>
      </c>
      <c r="P2293" s="57">
        <f t="shared" si="35"/>
        <v>1850</v>
      </c>
      <c r="Q2293" s="58">
        <f>_xlfn.MAXIFS(Survey!$G$2:$G$3647,Survey!$M$2:$M$3647,Survey!$M2293)-Survey!$G2293</f>
        <v>1102.2948943416113</v>
      </c>
      <c r="R2293" s="59">
        <f>Survey!$P2293+(Survey!$Q2293*0.433)</f>
        <v>2327.2936892499179</v>
      </c>
    </row>
    <row r="2294" spans="1:18" x14ac:dyDescent="0.25">
      <c r="A2294" s="71" t="s">
        <v>17</v>
      </c>
      <c r="B2294" s="72" t="s">
        <v>22</v>
      </c>
      <c r="C2294" s="73" t="s">
        <v>19</v>
      </c>
      <c r="D2294" s="74">
        <v>243.95413492752877</v>
      </c>
      <c r="E2294" s="81">
        <v>1318569</v>
      </c>
      <c r="F2294" s="82">
        <v>1289096.5494505493</v>
      </c>
      <c r="G2294" s="75">
        <v>2638.3678645768432</v>
      </c>
      <c r="H2294" s="76">
        <v>2</v>
      </c>
      <c r="I2294" s="54" t="s">
        <v>20</v>
      </c>
      <c r="J2294" s="77">
        <v>40</v>
      </c>
      <c r="K2294" s="78">
        <v>2</v>
      </c>
      <c r="L2294" s="54">
        <v>1</v>
      </c>
      <c r="M2294" s="54">
        <f>_xlfn.XLOOKUP(Survey!$F2294,sections[Start],sections[Test Section],,-1,1)</f>
        <v>6</v>
      </c>
      <c r="N2294" s="55">
        <f>_xlfn.XLOOKUP(Survey!$K2294,pipedata[ID],pipedata[WT])</f>
        <v>0.74</v>
      </c>
      <c r="O2294" s="56">
        <f>_xlfn.XLOOKUP(Survey!$K2294,pipedata[ID],pipedata[104%])</f>
        <v>2565.3333333333335</v>
      </c>
      <c r="P2294" s="57">
        <f t="shared" si="35"/>
        <v>1850</v>
      </c>
      <c r="Q2294" s="58">
        <f>_xlfn.MAXIFS(Survey!$G$2:$G$3647,Survey!$M$2:$M$3647,Survey!$M2294)-Survey!$G2294</f>
        <v>1096.0567756515734</v>
      </c>
      <c r="R2294" s="59">
        <f>Survey!$P2294+(Survey!$Q2294*0.433)</f>
        <v>2324.5925838571311</v>
      </c>
    </row>
    <row r="2295" spans="1:18" x14ac:dyDescent="0.25">
      <c r="A2295" s="60" t="s">
        <v>17</v>
      </c>
      <c r="B2295" s="61" t="s">
        <v>22</v>
      </c>
      <c r="C2295" s="62" t="s">
        <v>19</v>
      </c>
      <c r="D2295" s="63">
        <v>243.96087103736835</v>
      </c>
      <c r="E2295" s="79">
        <v>1318609</v>
      </c>
      <c r="F2295" s="80">
        <v>1289135.3076923075</v>
      </c>
      <c r="G2295" s="66">
        <v>2644.8577248457209</v>
      </c>
      <c r="H2295" s="67">
        <v>2</v>
      </c>
      <c r="I2295" s="68" t="s">
        <v>20</v>
      </c>
      <c r="J2295" s="69">
        <v>40</v>
      </c>
      <c r="K2295" s="70">
        <v>2</v>
      </c>
      <c r="L2295" s="68">
        <v>1</v>
      </c>
      <c r="M2295" s="68">
        <f>_xlfn.XLOOKUP(Survey!$F2295,sections[Start],sections[Test Section],,-1,1)</f>
        <v>6</v>
      </c>
      <c r="N2295" s="55">
        <f>_xlfn.XLOOKUP(Survey!$K2295,pipedata[ID],pipedata[WT])</f>
        <v>0.74</v>
      </c>
      <c r="O2295" s="56">
        <f>_xlfn.XLOOKUP(Survey!$K2295,pipedata[ID],pipedata[104%])</f>
        <v>2565.3333333333335</v>
      </c>
      <c r="P2295" s="57">
        <f t="shared" si="35"/>
        <v>1850</v>
      </c>
      <c r="Q2295" s="58">
        <f>_xlfn.MAXIFS(Survey!$G$2:$G$3647,Survey!$M$2:$M$3647,Survey!$M2295)-Survey!$G2295</f>
        <v>1089.5669153826957</v>
      </c>
      <c r="R2295" s="59">
        <f>Survey!$P2295+(Survey!$Q2295*0.433)</f>
        <v>2321.7824743607071</v>
      </c>
    </row>
    <row r="2296" spans="1:18" x14ac:dyDescent="0.25">
      <c r="A2296" s="71" t="s">
        <v>17</v>
      </c>
      <c r="B2296" s="72" t="s">
        <v>22</v>
      </c>
      <c r="C2296" s="73" t="s">
        <v>19</v>
      </c>
      <c r="D2296" s="74">
        <v>243.96920634148199</v>
      </c>
      <c r="E2296" s="81">
        <v>1318649</v>
      </c>
      <c r="F2296" s="82">
        <v>1289174.0659340657</v>
      </c>
      <c r="G2296" s="75">
        <v>2645.1760726756265</v>
      </c>
      <c r="H2296" s="76">
        <v>2</v>
      </c>
      <c r="I2296" s="54" t="s">
        <v>20</v>
      </c>
      <c r="J2296" s="77">
        <v>40</v>
      </c>
      <c r="K2296" s="78">
        <v>2</v>
      </c>
      <c r="L2296" s="54">
        <v>1</v>
      </c>
      <c r="M2296" s="54">
        <f>_xlfn.XLOOKUP(Survey!$F2296,sections[Start],sections[Test Section],,-1,1)</f>
        <v>6</v>
      </c>
      <c r="N2296" s="55">
        <f>_xlfn.XLOOKUP(Survey!$K2296,pipedata[ID],pipedata[WT])</f>
        <v>0.74</v>
      </c>
      <c r="O2296" s="56">
        <f>_xlfn.XLOOKUP(Survey!$K2296,pipedata[ID],pipedata[104%])</f>
        <v>2565.3333333333335</v>
      </c>
      <c r="P2296" s="57">
        <f t="shared" si="35"/>
        <v>1850</v>
      </c>
      <c r="Q2296" s="58">
        <f>_xlfn.MAXIFS(Survey!$G$2:$G$3647,Survey!$M$2:$M$3647,Survey!$M2296)-Survey!$G2296</f>
        <v>1089.2485675527901</v>
      </c>
      <c r="R2296" s="59">
        <f>Survey!$P2296+(Survey!$Q2296*0.433)</f>
        <v>2321.644629750358</v>
      </c>
    </row>
    <row r="2297" spans="1:18" x14ac:dyDescent="0.25">
      <c r="A2297" s="60" t="s">
        <v>17</v>
      </c>
      <c r="B2297" s="61" t="s">
        <v>22</v>
      </c>
      <c r="C2297" s="62" t="s">
        <v>19</v>
      </c>
      <c r="D2297" s="63">
        <v>243.97649191646539</v>
      </c>
      <c r="E2297" s="79">
        <v>1318689</v>
      </c>
      <c r="F2297" s="80">
        <v>1289212.8241758239</v>
      </c>
      <c r="G2297" s="66">
        <v>2643.6519144146705</v>
      </c>
      <c r="H2297" s="67">
        <v>2</v>
      </c>
      <c r="I2297" s="68" t="s">
        <v>20</v>
      </c>
      <c r="J2297" s="69">
        <v>40</v>
      </c>
      <c r="K2297" s="70">
        <v>2</v>
      </c>
      <c r="L2297" s="68">
        <v>1</v>
      </c>
      <c r="M2297" s="68">
        <f>_xlfn.XLOOKUP(Survey!$F2297,sections[Start],sections[Test Section],,-1,1)</f>
        <v>6</v>
      </c>
      <c r="N2297" s="55">
        <f>_xlfn.XLOOKUP(Survey!$K2297,pipedata[ID],pipedata[WT])</f>
        <v>0.74</v>
      </c>
      <c r="O2297" s="56">
        <f>_xlfn.XLOOKUP(Survey!$K2297,pipedata[ID],pipedata[104%])</f>
        <v>2565.3333333333335</v>
      </c>
      <c r="P2297" s="57">
        <f t="shared" si="35"/>
        <v>1850</v>
      </c>
      <c r="Q2297" s="58">
        <f>_xlfn.MAXIFS(Survey!$G$2:$G$3647,Survey!$M$2:$M$3647,Survey!$M2297)-Survey!$G2297</f>
        <v>1090.7727258137461</v>
      </c>
      <c r="R2297" s="59">
        <f>Survey!$P2297+(Survey!$Q2297*0.433)</f>
        <v>2322.304590277352</v>
      </c>
    </row>
    <row r="2298" spans="1:18" x14ac:dyDescent="0.25">
      <c r="A2298" s="71" t="s">
        <v>17</v>
      </c>
      <c r="B2298" s="72" t="s">
        <v>22</v>
      </c>
      <c r="C2298" s="73" t="s">
        <v>19</v>
      </c>
      <c r="D2298" s="74">
        <v>243.98377749144879</v>
      </c>
      <c r="E2298" s="81">
        <v>1318729</v>
      </c>
      <c r="F2298" s="82">
        <v>1289251.5824175822</v>
      </c>
      <c r="G2298" s="75">
        <v>2640.1461592944402</v>
      </c>
      <c r="H2298" s="76">
        <v>2</v>
      </c>
      <c r="I2298" s="54" t="s">
        <v>20</v>
      </c>
      <c r="J2298" s="77">
        <v>40</v>
      </c>
      <c r="K2298" s="78">
        <v>2</v>
      </c>
      <c r="L2298" s="54">
        <v>1</v>
      </c>
      <c r="M2298" s="54">
        <f>_xlfn.XLOOKUP(Survey!$F2298,sections[Start],sections[Test Section],,-1,1)</f>
        <v>6</v>
      </c>
      <c r="N2298" s="55">
        <f>_xlfn.XLOOKUP(Survey!$K2298,pipedata[ID],pipedata[WT])</f>
        <v>0.74</v>
      </c>
      <c r="O2298" s="56">
        <f>_xlfn.XLOOKUP(Survey!$K2298,pipedata[ID],pipedata[104%])</f>
        <v>2565.3333333333335</v>
      </c>
      <c r="P2298" s="57">
        <f t="shared" si="35"/>
        <v>1850</v>
      </c>
      <c r="Q2298" s="58">
        <f>_xlfn.MAXIFS(Survey!$G$2:$G$3647,Survey!$M$2:$M$3647,Survey!$M2298)-Survey!$G2298</f>
        <v>1094.2784809339764</v>
      </c>
      <c r="R2298" s="59">
        <f>Survey!$P2298+(Survey!$Q2298*0.433)</f>
        <v>2323.8225822444119</v>
      </c>
    </row>
    <row r="2299" spans="1:18" x14ac:dyDescent="0.25">
      <c r="A2299" s="60" t="s">
        <v>17</v>
      </c>
      <c r="B2299" s="61" t="s">
        <v>22</v>
      </c>
      <c r="C2299" s="62" t="s">
        <v>19</v>
      </c>
      <c r="D2299" s="63">
        <v>243.99185714262919</v>
      </c>
      <c r="E2299" s="79">
        <v>1318769</v>
      </c>
      <c r="F2299" s="80">
        <v>1289290.3406593404</v>
      </c>
      <c r="G2299" s="66">
        <v>2636.8482832050622</v>
      </c>
      <c r="H2299" s="67">
        <v>2</v>
      </c>
      <c r="I2299" s="68" t="s">
        <v>20</v>
      </c>
      <c r="J2299" s="69">
        <v>40</v>
      </c>
      <c r="K2299" s="70">
        <v>2</v>
      </c>
      <c r="L2299" s="68">
        <v>1</v>
      </c>
      <c r="M2299" s="68">
        <f>_xlfn.XLOOKUP(Survey!$F2299,sections[Start],sections[Test Section],,-1,1)</f>
        <v>6</v>
      </c>
      <c r="N2299" s="55">
        <f>_xlfn.XLOOKUP(Survey!$K2299,pipedata[ID],pipedata[WT])</f>
        <v>0.74</v>
      </c>
      <c r="O2299" s="56">
        <f>_xlfn.XLOOKUP(Survey!$K2299,pipedata[ID],pipedata[104%])</f>
        <v>2565.3333333333335</v>
      </c>
      <c r="P2299" s="57">
        <f t="shared" si="35"/>
        <v>1850</v>
      </c>
      <c r="Q2299" s="58">
        <f>_xlfn.MAXIFS(Survey!$G$2:$G$3647,Survey!$M$2:$M$3647,Survey!$M2299)-Survey!$G2299</f>
        <v>1097.5763570233544</v>
      </c>
      <c r="R2299" s="59">
        <f>Survey!$P2299+(Survey!$Q2299*0.433)</f>
        <v>2325.2505625911126</v>
      </c>
    </row>
    <row r="2300" spans="1:18" x14ac:dyDescent="0.25">
      <c r="A2300" s="71" t="s">
        <v>17</v>
      </c>
      <c r="B2300" s="72" t="s">
        <v>22</v>
      </c>
      <c r="C2300" s="73" t="s">
        <v>19</v>
      </c>
      <c r="D2300" s="74">
        <v>243.99889801937925</v>
      </c>
      <c r="E2300" s="81">
        <v>1318809</v>
      </c>
      <c r="F2300" s="82">
        <v>1289329.0989010986</v>
      </c>
      <c r="G2300" s="75">
        <v>2634.4137069416033</v>
      </c>
      <c r="H2300" s="76">
        <v>2</v>
      </c>
      <c r="I2300" s="54" t="s">
        <v>20</v>
      </c>
      <c r="J2300" s="77">
        <v>40</v>
      </c>
      <c r="K2300" s="78">
        <v>2</v>
      </c>
      <c r="L2300" s="54">
        <v>1</v>
      </c>
      <c r="M2300" s="54">
        <f>_xlfn.XLOOKUP(Survey!$F2300,sections[Start],sections[Test Section],,-1,1)</f>
        <v>6</v>
      </c>
      <c r="N2300" s="55">
        <f>_xlfn.XLOOKUP(Survey!$K2300,pipedata[ID],pipedata[WT])</f>
        <v>0.74</v>
      </c>
      <c r="O2300" s="56">
        <f>_xlfn.XLOOKUP(Survey!$K2300,pipedata[ID],pipedata[104%])</f>
        <v>2565.3333333333335</v>
      </c>
      <c r="P2300" s="57">
        <f t="shared" si="35"/>
        <v>1850</v>
      </c>
      <c r="Q2300" s="58">
        <f>_xlfn.MAXIFS(Survey!$G$2:$G$3647,Survey!$M$2:$M$3647,Survey!$M2300)-Survey!$G2300</f>
        <v>1100.0109332868133</v>
      </c>
      <c r="R2300" s="59">
        <f>Survey!$P2300+(Survey!$Q2300*0.433)</f>
        <v>2326.3047341131901</v>
      </c>
    </row>
    <row r="2301" spans="1:18" x14ac:dyDescent="0.25">
      <c r="A2301" s="60" t="s">
        <v>17</v>
      </c>
      <c r="B2301" s="61" t="s">
        <v>22</v>
      </c>
      <c r="C2301" s="62" t="s">
        <v>19</v>
      </c>
      <c r="D2301" s="63">
        <v>244.00667658427525</v>
      </c>
      <c r="E2301" s="79">
        <v>1318849</v>
      </c>
      <c r="F2301" s="80">
        <v>1289367.8571428568</v>
      </c>
      <c r="G2301" s="66">
        <v>2632.5060701796419</v>
      </c>
      <c r="H2301" s="67">
        <v>2</v>
      </c>
      <c r="I2301" s="68" t="s">
        <v>20</v>
      </c>
      <c r="J2301" s="69">
        <v>40</v>
      </c>
      <c r="K2301" s="70">
        <v>2</v>
      </c>
      <c r="L2301" s="68">
        <v>1</v>
      </c>
      <c r="M2301" s="68">
        <f>_xlfn.XLOOKUP(Survey!$F2301,sections[Start],sections[Test Section],,-1,1)</f>
        <v>6</v>
      </c>
      <c r="N2301" s="55">
        <f>_xlfn.XLOOKUP(Survey!$K2301,pipedata[ID],pipedata[WT])</f>
        <v>0.74</v>
      </c>
      <c r="O2301" s="56">
        <f>_xlfn.XLOOKUP(Survey!$K2301,pipedata[ID],pipedata[104%])</f>
        <v>2565.3333333333335</v>
      </c>
      <c r="P2301" s="57">
        <f t="shared" si="35"/>
        <v>1850</v>
      </c>
      <c r="Q2301" s="58">
        <f>_xlfn.MAXIFS(Survey!$G$2:$G$3647,Survey!$M$2:$M$3647,Survey!$M2301)-Survey!$G2301</f>
        <v>1101.9185700487747</v>
      </c>
      <c r="R2301" s="59">
        <f>Survey!$P2301+(Survey!$Q2301*0.433)</f>
        <v>2327.1307408311195</v>
      </c>
    </row>
    <row r="2302" spans="1:18" x14ac:dyDescent="0.25">
      <c r="A2302" s="71" t="s">
        <v>17</v>
      </c>
      <c r="B2302" s="72" t="s">
        <v>22</v>
      </c>
      <c r="C2302" s="73" t="s">
        <v>19</v>
      </c>
      <c r="D2302" s="74">
        <v>244.0147599160826</v>
      </c>
      <c r="E2302" s="81">
        <v>1318889</v>
      </c>
      <c r="F2302" s="82">
        <v>1289406.615384615</v>
      </c>
      <c r="G2302" s="75">
        <v>2628.5173591225398</v>
      </c>
      <c r="H2302" s="76">
        <v>2</v>
      </c>
      <c r="I2302" s="54" t="s">
        <v>20</v>
      </c>
      <c r="J2302" s="77">
        <v>40</v>
      </c>
      <c r="K2302" s="78">
        <v>2</v>
      </c>
      <c r="L2302" s="54">
        <v>1</v>
      </c>
      <c r="M2302" s="54">
        <f>_xlfn.XLOOKUP(Survey!$F2302,sections[Start],sections[Test Section],,-1,1)</f>
        <v>6</v>
      </c>
      <c r="N2302" s="55">
        <f>_xlfn.XLOOKUP(Survey!$K2302,pipedata[ID],pipedata[WT])</f>
        <v>0.74</v>
      </c>
      <c r="O2302" s="56">
        <f>_xlfn.XLOOKUP(Survey!$K2302,pipedata[ID],pipedata[104%])</f>
        <v>2565.3333333333335</v>
      </c>
      <c r="P2302" s="57">
        <f t="shared" si="35"/>
        <v>1850</v>
      </c>
      <c r="Q2302" s="58">
        <f>_xlfn.MAXIFS(Survey!$G$2:$G$3647,Survey!$M$2:$M$3647,Survey!$M2302)-Survey!$G2302</f>
        <v>1105.9072811058768</v>
      </c>
      <c r="R2302" s="59">
        <f>Survey!$P2302+(Survey!$Q2302*0.433)</f>
        <v>2328.8578527188447</v>
      </c>
    </row>
    <row r="2303" spans="1:18" x14ac:dyDescent="0.25">
      <c r="A2303" s="60" t="s">
        <v>17</v>
      </c>
      <c r="B2303" s="61" t="s">
        <v>22</v>
      </c>
      <c r="C2303" s="62" t="s">
        <v>19</v>
      </c>
      <c r="D2303" s="63">
        <v>244.02194219452124</v>
      </c>
      <c r="E2303" s="79">
        <v>1318929</v>
      </c>
      <c r="F2303" s="80">
        <v>1289445.3736263732</v>
      </c>
      <c r="G2303" s="66">
        <v>2622.6983195084968</v>
      </c>
      <c r="H2303" s="67">
        <v>2</v>
      </c>
      <c r="I2303" s="68" t="s">
        <v>20</v>
      </c>
      <c r="J2303" s="69">
        <v>40</v>
      </c>
      <c r="K2303" s="70">
        <v>2</v>
      </c>
      <c r="L2303" s="68">
        <v>1</v>
      </c>
      <c r="M2303" s="68">
        <f>_xlfn.XLOOKUP(Survey!$F2303,sections[Start],sections[Test Section],,-1,1)</f>
        <v>6</v>
      </c>
      <c r="N2303" s="55">
        <f>_xlfn.XLOOKUP(Survey!$K2303,pipedata[ID],pipedata[WT])</f>
        <v>0.74</v>
      </c>
      <c r="O2303" s="56">
        <f>_xlfn.XLOOKUP(Survey!$K2303,pipedata[ID],pipedata[104%])</f>
        <v>2565.3333333333335</v>
      </c>
      <c r="P2303" s="57">
        <f t="shared" si="35"/>
        <v>1850</v>
      </c>
      <c r="Q2303" s="58">
        <f>_xlfn.MAXIFS(Survey!$G$2:$G$3647,Survey!$M$2:$M$3647,Survey!$M2303)-Survey!$G2303</f>
        <v>1111.7263207199198</v>
      </c>
      <c r="R2303" s="59">
        <f>Survey!$P2303+(Survey!$Q2303*0.433)</f>
        <v>2331.3774968717253</v>
      </c>
    </row>
    <row r="2304" spans="1:18" x14ac:dyDescent="0.25">
      <c r="A2304" s="71" t="s">
        <v>17</v>
      </c>
      <c r="B2304" s="72" t="s">
        <v>22</v>
      </c>
      <c r="C2304" s="73" t="s">
        <v>19</v>
      </c>
      <c r="D2304" s="74">
        <v>244.02973023225499</v>
      </c>
      <c r="E2304" s="81">
        <v>1318969</v>
      </c>
      <c r="F2304" s="82">
        <v>1289484.1318681315</v>
      </c>
      <c r="G2304" s="75">
        <v>2618.209645588996</v>
      </c>
      <c r="H2304" s="76">
        <v>2</v>
      </c>
      <c r="I2304" s="54" t="s">
        <v>20</v>
      </c>
      <c r="J2304" s="77">
        <v>40</v>
      </c>
      <c r="K2304" s="78">
        <v>2</v>
      </c>
      <c r="L2304" s="54">
        <v>1</v>
      </c>
      <c r="M2304" s="54">
        <f>_xlfn.XLOOKUP(Survey!$F2304,sections[Start],sections[Test Section],,-1,1)</f>
        <v>7</v>
      </c>
      <c r="N2304" s="55">
        <f>_xlfn.XLOOKUP(Survey!$K2304,pipedata[ID],pipedata[WT])</f>
        <v>0.74</v>
      </c>
      <c r="O2304" s="56">
        <f>_xlfn.XLOOKUP(Survey!$K2304,pipedata[ID],pipedata[104%])</f>
        <v>2565.3333333333335</v>
      </c>
      <c r="P2304" s="57">
        <f t="shared" si="35"/>
        <v>1850</v>
      </c>
      <c r="Q2304" s="58">
        <f>_xlfn.MAXIFS(Survey!$G$2:$G$3647,Survey!$M$2:$M$3647,Survey!$M2304)-Survey!$G2304</f>
        <v>216.76413182497799</v>
      </c>
      <c r="R2304" s="59">
        <f>Survey!$P2304+(Survey!$Q2304*0.433)</f>
        <v>1943.8588690802155</v>
      </c>
    </row>
    <row r="2305" spans="1:18" x14ac:dyDescent="0.25">
      <c r="A2305" s="60" t="s">
        <v>17</v>
      </c>
      <c r="B2305" s="61" t="s">
        <v>22</v>
      </c>
      <c r="C2305" s="62" t="s">
        <v>19</v>
      </c>
      <c r="D2305" s="63">
        <v>244.0365711232007</v>
      </c>
      <c r="E2305" s="79">
        <v>1319009</v>
      </c>
      <c r="F2305" s="80">
        <v>1289522.8901098897</v>
      </c>
      <c r="G2305" s="66">
        <v>2615.6000000000085</v>
      </c>
      <c r="H2305" s="67">
        <v>2</v>
      </c>
      <c r="I2305" s="68" t="s">
        <v>20</v>
      </c>
      <c r="J2305" s="69">
        <v>40</v>
      </c>
      <c r="K2305" s="70">
        <v>2</v>
      </c>
      <c r="L2305" s="68">
        <v>1</v>
      </c>
      <c r="M2305" s="68">
        <f>_xlfn.XLOOKUP(Survey!$F2305,sections[Start],sections[Test Section],,-1,1)</f>
        <v>7</v>
      </c>
      <c r="N2305" s="55">
        <f>_xlfn.XLOOKUP(Survey!$K2305,pipedata[ID],pipedata[WT])</f>
        <v>0.74</v>
      </c>
      <c r="O2305" s="56">
        <f>_xlfn.XLOOKUP(Survey!$K2305,pipedata[ID],pipedata[104%])</f>
        <v>2565.3333333333335</v>
      </c>
      <c r="P2305" s="57">
        <f t="shared" si="35"/>
        <v>1850</v>
      </c>
      <c r="Q2305" s="58">
        <f>_xlfn.MAXIFS(Survey!$G$2:$G$3647,Survey!$M$2:$M$3647,Survey!$M2305)-Survey!$G2305</f>
        <v>219.3737774139654</v>
      </c>
      <c r="R2305" s="59">
        <f>Survey!$P2305+(Survey!$Q2305*0.433)</f>
        <v>1944.988845620247</v>
      </c>
    </row>
    <row r="2306" spans="1:18" x14ac:dyDescent="0.25">
      <c r="A2306" s="71" t="s">
        <v>17</v>
      </c>
      <c r="B2306" s="72" t="s">
        <v>22</v>
      </c>
      <c r="C2306" s="73" t="s">
        <v>19</v>
      </c>
      <c r="D2306" s="74">
        <v>244.04395699720982</v>
      </c>
      <c r="E2306" s="81">
        <v>1319049</v>
      </c>
      <c r="F2306" s="82">
        <v>1289561.6483516479</v>
      </c>
      <c r="G2306" s="75">
        <v>2613.1760811343738</v>
      </c>
      <c r="H2306" s="76">
        <v>2</v>
      </c>
      <c r="I2306" s="54" t="s">
        <v>20</v>
      </c>
      <c r="J2306" s="77">
        <v>40</v>
      </c>
      <c r="K2306" s="78">
        <v>2</v>
      </c>
      <c r="L2306" s="54">
        <v>1</v>
      </c>
      <c r="M2306" s="54">
        <f>_xlfn.XLOOKUP(Survey!$F2306,sections[Start],sections[Test Section],,-1,1)</f>
        <v>7</v>
      </c>
      <c r="N2306" s="55">
        <f>_xlfn.XLOOKUP(Survey!$K2306,pipedata[ID],pipedata[WT])</f>
        <v>0.74</v>
      </c>
      <c r="O2306" s="56">
        <f>_xlfn.XLOOKUP(Survey!$K2306,pipedata[ID],pipedata[104%])</f>
        <v>2565.3333333333335</v>
      </c>
      <c r="P2306" s="57">
        <f t="shared" ref="P2306:P2369" si="36">IF(L2306=1,1850,IF(L2306=2,1850,2220))</f>
        <v>1850</v>
      </c>
      <c r="Q2306" s="58">
        <f>_xlfn.MAXIFS(Survey!$G$2:$G$3647,Survey!$M$2:$M$3647,Survey!$M2306)-Survey!$G2306</f>
        <v>221.79769627960013</v>
      </c>
      <c r="R2306" s="59">
        <f>Survey!$P2306+(Survey!$Q2306*0.433)</f>
        <v>1946.0384024890668</v>
      </c>
    </row>
    <row r="2307" spans="1:18" x14ac:dyDescent="0.25">
      <c r="A2307" s="60" t="s">
        <v>17</v>
      </c>
      <c r="B2307" s="61" t="s">
        <v>22</v>
      </c>
      <c r="C2307" s="62" t="s">
        <v>19</v>
      </c>
      <c r="D2307" s="63">
        <v>244.05208657718416</v>
      </c>
      <c r="E2307" s="79">
        <v>1319089</v>
      </c>
      <c r="F2307" s="80">
        <v>1289600.4065934061</v>
      </c>
      <c r="G2307" s="66">
        <v>2605.7433198509452</v>
      </c>
      <c r="H2307" s="67">
        <v>2</v>
      </c>
      <c r="I2307" s="68" t="s">
        <v>20</v>
      </c>
      <c r="J2307" s="69">
        <v>40</v>
      </c>
      <c r="K2307" s="70">
        <v>2</v>
      </c>
      <c r="L2307" s="68">
        <v>1</v>
      </c>
      <c r="M2307" s="68">
        <f>_xlfn.XLOOKUP(Survey!$F2307,sections[Start],sections[Test Section],,-1,1)</f>
        <v>7</v>
      </c>
      <c r="N2307" s="55">
        <f>_xlfn.XLOOKUP(Survey!$K2307,pipedata[ID],pipedata[WT])</f>
        <v>0.74</v>
      </c>
      <c r="O2307" s="56">
        <f>_xlfn.XLOOKUP(Survey!$K2307,pipedata[ID],pipedata[104%])</f>
        <v>2565.3333333333335</v>
      </c>
      <c r="P2307" s="57">
        <f t="shared" si="36"/>
        <v>1850</v>
      </c>
      <c r="Q2307" s="58">
        <f>_xlfn.MAXIFS(Survey!$G$2:$G$3647,Survey!$M$2:$M$3647,Survey!$M2307)-Survey!$G2307</f>
        <v>229.23045756302872</v>
      </c>
      <c r="R2307" s="59">
        <f>Survey!$P2307+(Survey!$Q2307*0.433)</f>
        <v>1949.2567881247915</v>
      </c>
    </row>
    <row r="2308" spans="1:18" x14ac:dyDescent="0.25">
      <c r="A2308" s="71" t="s">
        <v>17</v>
      </c>
      <c r="B2308" s="72" t="s">
        <v>22</v>
      </c>
      <c r="C2308" s="73" t="s">
        <v>19</v>
      </c>
      <c r="D2308" s="74">
        <v>244.05936413157164</v>
      </c>
      <c r="E2308" s="81">
        <v>1319129</v>
      </c>
      <c r="F2308" s="82">
        <v>1289639.1648351643</v>
      </c>
      <c r="G2308" s="75">
        <v>2611.7153960211854</v>
      </c>
      <c r="H2308" s="76">
        <v>2</v>
      </c>
      <c r="I2308" s="54" t="s">
        <v>20</v>
      </c>
      <c r="J2308" s="77">
        <v>40</v>
      </c>
      <c r="K2308" s="78">
        <v>2</v>
      </c>
      <c r="L2308" s="54">
        <v>1</v>
      </c>
      <c r="M2308" s="54">
        <f>_xlfn.XLOOKUP(Survey!$F2308,sections[Start],sections[Test Section],,-1,1)</f>
        <v>7</v>
      </c>
      <c r="N2308" s="55">
        <f>_xlfn.XLOOKUP(Survey!$K2308,pipedata[ID],pipedata[WT])</f>
        <v>0.74</v>
      </c>
      <c r="O2308" s="56">
        <f>_xlfn.XLOOKUP(Survey!$K2308,pipedata[ID],pipedata[104%])</f>
        <v>2565.3333333333335</v>
      </c>
      <c r="P2308" s="57">
        <f t="shared" si="36"/>
        <v>1850</v>
      </c>
      <c r="Q2308" s="58">
        <f>_xlfn.MAXIFS(Survey!$G$2:$G$3647,Survey!$M$2:$M$3647,Survey!$M2308)-Survey!$G2308</f>
        <v>223.25838139278858</v>
      </c>
      <c r="R2308" s="59">
        <f>Survey!$P2308+(Survey!$Q2308*0.433)</f>
        <v>1946.6708791430774</v>
      </c>
    </row>
    <row r="2309" spans="1:18" x14ac:dyDescent="0.25">
      <c r="A2309" s="60" t="s">
        <v>17</v>
      </c>
      <c r="B2309" s="61" t="s">
        <v>22</v>
      </c>
      <c r="C2309" s="62" t="s">
        <v>19</v>
      </c>
      <c r="D2309" s="63">
        <v>244.06631334213913</v>
      </c>
      <c r="E2309" s="79">
        <v>1319169</v>
      </c>
      <c r="F2309" s="80">
        <v>1289677.9230769225</v>
      </c>
      <c r="G2309" s="66">
        <v>2618.0535635716692</v>
      </c>
      <c r="H2309" s="67">
        <v>2</v>
      </c>
      <c r="I2309" s="68" t="s">
        <v>20</v>
      </c>
      <c r="J2309" s="69">
        <v>40</v>
      </c>
      <c r="K2309" s="70">
        <v>2</v>
      </c>
      <c r="L2309" s="68">
        <v>1</v>
      </c>
      <c r="M2309" s="68">
        <f>_xlfn.XLOOKUP(Survey!$F2309,sections[Start],sections[Test Section],,-1,1)</f>
        <v>7</v>
      </c>
      <c r="N2309" s="55">
        <f>_xlfn.XLOOKUP(Survey!$K2309,pipedata[ID],pipedata[WT])</f>
        <v>0.74</v>
      </c>
      <c r="O2309" s="56">
        <f>_xlfn.XLOOKUP(Survey!$K2309,pipedata[ID],pipedata[104%])</f>
        <v>2565.3333333333335</v>
      </c>
      <c r="P2309" s="57">
        <f t="shared" si="36"/>
        <v>1850</v>
      </c>
      <c r="Q2309" s="58">
        <f>_xlfn.MAXIFS(Survey!$G$2:$G$3647,Survey!$M$2:$M$3647,Survey!$M2309)-Survey!$G2309</f>
        <v>216.92021384230475</v>
      </c>
      <c r="R2309" s="59">
        <f>Survey!$P2309+(Survey!$Q2309*0.433)</f>
        <v>1943.9264525937178</v>
      </c>
    </row>
    <row r="2310" spans="1:18" x14ac:dyDescent="0.25">
      <c r="A2310" s="71" t="s">
        <v>17</v>
      </c>
      <c r="B2310" s="72" t="s">
        <v>22</v>
      </c>
      <c r="C2310" s="73" t="s">
        <v>19</v>
      </c>
      <c r="D2310" s="74">
        <v>244.07314344489984</v>
      </c>
      <c r="E2310" s="81">
        <v>1319209</v>
      </c>
      <c r="F2310" s="82">
        <v>1289716.6813186808</v>
      </c>
      <c r="G2310" s="75">
        <v>2628.9702239004832</v>
      </c>
      <c r="H2310" s="76">
        <v>2</v>
      </c>
      <c r="I2310" s="54" t="s">
        <v>20</v>
      </c>
      <c r="J2310" s="77">
        <v>40</v>
      </c>
      <c r="K2310" s="78">
        <v>2</v>
      </c>
      <c r="L2310" s="54">
        <v>1</v>
      </c>
      <c r="M2310" s="54">
        <f>_xlfn.XLOOKUP(Survey!$F2310,sections[Start],sections[Test Section],,-1,1)</f>
        <v>7</v>
      </c>
      <c r="N2310" s="55">
        <f>_xlfn.XLOOKUP(Survey!$K2310,pipedata[ID],pipedata[WT])</f>
        <v>0.74</v>
      </c>
      <c r="O2310" s="56">
        <f>_xlfn.XLOOKUP(Survey!$K2310,pipedata[ID],pipedata[104%])</f>
        <v>2565.3333333333335</v>
      </c>
      <c r="P2310" s="57">
        <f t="shared" si="36"/>
        <v>1850</v>
      </c>
      <c r="Q2310" s="58">
        <f>_xlfn.MAXIFS(Survey!$G$2:$G$3647,Survey!$M$2:$M$3647,Survey!$M2310)-Survey!$G2310</f>
        <v>206.00355351349071</v>
      </c>
      <c r="R2310" s="59">
        <f>Survey!$P2310+(Survey!$Q2310*0.433)</f>
        <v>1939.1995386713415</v>
      </c>
    </row>
    <row r="2311" spans="1:18" x14ac:dyDescent="0.25">
      <c r="A2311" s="60" t="s">
        <v>17</v>
      </c>
      <c r="B2311" s="61" t="s">
        <v>22</v>
      </c>
      <c r="C2311" s="62" t="s">
        <v>19</v>
      </c>
      <c r="D2311" s="63">
        <v>244.08054010709412</v>
      </c>
      <c r="E2311" s="79">
        <v>1319249</v>
      </c>
      <c r="F2311" s="80">
        <v>1289755.439560439</v>
      </c>
      <c r="G2311" s="66">
        <v>2638.5540706169495</v>
      </c>
      <c r="H2311" s="67">
        <v>2</v>
      </c>
      <c r="I2311" s="68" t="s">
        <v>20</v>
      </c>
      <c r="J2311" s="69">
        <v>40</v>
      </c>
      <c r="K2311" s="70">
        <v>2</v>
      </c>
      <c r="L2311" s="68">
        <v>1</v>
      </c>
      <c r="M2311" s="68">
        <f>_xlfn.XLOOKUP(Survey!$F2311,sections[Start],sections[Test Section],,-1,1)</f>
        <v>7</v>
      </c>
      <c r="N2311" s="55">
        <f>_xlfn.XLOOKUP(Survey!$K2311,pipedata[ID],pipedata[WT])</f>
        <v>0.74</v>
      </c>
      <c r="O2311" s="56">
        <f>_xlfn.XLOOKUP(Survey!$K2311,pipedata[ID],pipedata[104%])</f>
        <v>2565.3333333333335</v>
      </c>
      <c r="P2311" s="57">
        <f t="shared" si="36"/>
        <v>1850</v>
      </c>
      <c r="Q2311" s="58">
        <f>_xlfn.MAXIFS(Survey!$G$2:$G$3647,Survey!$M$2:$M$3647,Survey!$M2311)-Survey!$G2311</f>
        <v>196.41970679702445</v>
      </c>
      <c r="R2311" s="59">
        <f>Survey!$P2311+(Survey!$Q2311*0.433)</f>
        <v>1935.0497330431117</v>
      </c>
    </row>
    <row r="2312" spans="1:18" x14ac:dyDescent="0.25">
      <c r="A2312" s="71" t="s">
        <v>17</v>
      </c>
      <c r="B2312" s="72" t="s">
        <v>22</v>
      </c>
      <c r="C2312" s="73" t="s">
        <v>19</v>
      </c>
      <c r="D2312" s="74">
        <v>244.08923526644725</v>
      </c>
      <c r="E2312" s="81">
        <v>1319289</v>
      </c>
      <c r="F2312" s="82">
        <v>1289794.1978021972</v>
      </c>
      <c r="G2312" s="75">
        <v>2645.8219528884674</v>
      </c>
      <c r="H2312" s="76">
        <v>2</v>
      </c>
      <c r="I2312" s="54" t="s">
        <v>20</v>
      </c>
      <c r="J2312" s="77">
        <v>40</v>
      </c>
      <c r="K2312" s="78">
        <v>2</v>
      </c>
      <c r="L2312" s="54">
        <v>1</v>
      </c>
      <c r="M2312" s="54">
        <f>_xlfn.XLOOKUP(Survey!$F2312,sections[Start],sections[Test Section],,-1,1)</f>
        <v>7</v>
      </c>
      <c r="N2312" s="55">
        <f>_xlfn.XLOOKUP(Survey!$K2312,pipedata[ID],pipedata[WT])</f>
        <v>0.74</v>
      </c>
      <c r="O2312" s="56">
        <f>_xlfn.XLOOKUP(Survey!$K2312,pipedata[ID],pipedata[104%])</f>
        <v>2565.3333333333335</v>
      </c>
      <c r="P2312" s="57">
        <f t="shared" si="36"/>
        <v>1850</v>
      </c>
      <c r="Q2312" s="58">
        <f>_xlfn.MAXIFS(Survey!$G$2:$G$3647,Survey!$M$2:$M$3647,Survey!$M2312)-Survey!$G2312</f>
        <v>189.15182452550653</v>
      </c>
      <c r="R2312" s="59">
        <f>Survey!$P2312+(Survey!$Q2312*0.433)</f>
        <v>1931.9027400195444</v>
      </c>
    </row>
    <row r="2313" spans="1:18" x14ac:dyDescent="0.25">
      <c r="A2313" s="60" t="s">
        <v>17</v>
      </c>
      <c r="B2313" s="61" t="s">
        <v>22</v>
      </c>
      <c r="C2313" s="62" t="s">
        <v>19</v>
      </c>
      <c r="D2313" s="63">
        <v>244.09654973078713</v>
      </c>
      <c r="E2313" s="79">
        <v>1319329</v>
      </c>
      <c r="F2313" s="80">
        <v>1289832.9560439554</v>
      </c>
      <c r="G2313" s="66">
        <v>2654.8116345259623</v>
      </c>
      <c r="H2313" s="67">
        <v>2</v>
      </c>
      <c r="I2313" s="68" t="s">
        <v>20</v>
      </c>
      <c r="J2313" s="69">
        <v>40</v>
      </c>
      <c r="K2313" s="70">
        <v>2</v>
      </c>
      <c r="L2313" s="68">
        <v>1</v>
      </c>
      <c r="M2313" s="68">
        <f>_xlfn.XLOOKUP(Survey!$F2313,sections[Start],sections[Test Section],,-1,1)</f>
        <v>7</v>
      </c>
      <c r="N2313" s="55">
        <f>_xlfn.XLOOKUP(Survey!$K2313,pipedata[ID],pipedata[WT])</f>
        <v>0.74</v>
      </c>
      <c r="O2313" s="56">
        <f>_xlfn.XLOOKUP(Survey!$K2313,pipedata[ID],pipedata[104%])</f>
        <v>2565.3333333333335</v>
      </c>
      <c r="P2313" s="57">
        <f t="shared" si="36"/>
        <v>1850</v>
      </c>
      <c r="Q2313" s="58">
        <f>_xlfn.MAXIFS(Survey!$G$2:$G$3647,Survey!$M$2:$M$3647,Survey!$M2313)-Survey!$G2313</f>
        <v>180.16214288801166</v>
      </c>
      <c r="R2313" s="59">
        <f>Survey!$P2313+(Survey!$Q2313*0.433)</f>
        <v>1928.010207870509</v>
      </c>
    </row>
    <row r="2314" spans="1:18" x14ac:dyDescent="0.25">
      <c r="A2314" s="71" t="s">
        <v>17</v>
      </c>
      <c r="B2314" s="72" t="s">
        <v>22</v>
      </c>
      <c r="C2314" s="73" t="s">
        <v>19</v>
      </c>
      <c r="D2314" s="74">
        <v>244.10386419512719</v>
      </c>
      <c r="E2314" s="81">
        <v>1319369</v>
      </c>
      <c r="F2314" s="82">
        <v>1289871.7142857136</v>
      </c>
      <c r="G2314" s="75">
        <v>2665.6184879416742</v>
      </c>
      <c r="H2314" s="76">
        <v>2</v>
      </c>
      <c r="I2314" s="54" t="s">
        <v>20</v>
      </c>
      <c r="J2314" s="77">
        <v>40</v>
      </c>
      <c r="K2314" s="78">
        <v>2</v>
      </c>
      <c r="L2314" s="54">
        <v>1</v>
      </c>
      <c r="M2314" s="54">
        <f>_xlfn.XLOOKUP(Survey!$F2314,sections[Start],sections[Test Section],,-1,1)</f>
        <v>7</v>
      </c>
      <c r="N2314" s="55">
        <f>_xlfn.XLOOKUP(Survey!$K2314,pipedata[ID],pipedata[WT])</f>
        <v>0.74</v>
      </c>
      <c r="O2314" s="56">
        <f>_xlfn.XLOOKUP(Survey!$K2314,pipedata[ID],pipedata[104%])</f>
        <v>2565.3333333333335</v>
      </c>
      <c r="P2314" s="57">
        <f t="shared" si="36"/>
        <v>1850</v>
      </c>
      <c r="Q2314" s="58">
        <f>_xlfn.MAXIFS(Survey!$G$2:$G$3647,Survey!$M$2:$M$3647,Survey!$M2314)-Survey!$G2314</f>
        <v>169.35528947229977</v>
      </c>
      <c r="R2314" s="59">
        <f>Survey!$P2314+(Survey!$Q2314*0.433)</f>
        <v>1923.3308403415058</v>
      </c>
    </row>
    <row r="2315" spans="1:18" x14ac:dyDescent="0.25">
      <c r="A2315" s="60" t="s">
        <v>17</v>
      </c>
      <c r="B2315" s="61" t="s">
        <v>22</v>
      </c>
      <c r="C2315" s="62" t="s">
        <v>19</v>
      </c>
      <c r="D2315" s="63">
        <v>244.11102603199762</v>
      </c>
      <c r="E2315" s="79">
        <v>1319409</v>
      </c>
      <c r="F2315" s="80">
        <v>1289910.4725274718</v>
      </c>
      <c r="G2315" s="66">
        <v>2676.7716505255626</v>
      </c>
      <c r="H2315" s="67">
        <v>2</v>
      </c>
      <c r="I2315" s="68" t="s">
        <v>20</v>
      </c>
      <c r="J2315" s="69">
        <v>40</v>
      </c>
      <c r="K2315" s="70">
        <v>2</v>
      </c>
      <c r="L2315" s="68">
        <v>1</v>
      </c>
      <c r="M2315" s="68">
        <f>_xlfn.XLOOKUP(Survey!$F2315,sections[Start],sections[Test Section],,-1,1)</f>
        <v>7</v>
      </c>
      <c r="N2315" s="55">
        <f>_xlfn.XLOOKUP(Survey!$K2315,pipedata[ID],pipedata[WT])</f>
        <v>0.74</v>
      </c>
      <c r="O2315" s="56">
        <f>_xlfn.XLOOKUP(Survey!$K2315,pipedata[ID],pipedata[104%])</f>
        <v>2565.3333333333335</v>
      </c>
      <c r="P2315" s="57">
        <f t="shared" si="36"/>
        <v>1850</v>
      </c>
      <c r="Q2315" s="58">
        <f>_xlfn.MAXIFS(Survey!$G$2:$G$3647,Survey!$M$2:$M$3647,Survey!$M2315)-Survey!$G2315</f>
        <v>158.20212688841139</v>
      </c>
      <c r="R2315" s="59">
        <f>Survey!$P2315+(Survey!$Q2315*0.433)</f>
        <v>1918.5015209426822</v>
      </c>
    </row>
    <row r="2316" spans="1:18" x14ac:dyDescent="0.25">
      <c r="A2316" s="71" t="s">
        <v>17</v>
      </c>
      <c r="B2316" s="72" t="s">
        <v>22</v>
      </c>
      <c r="C2316" s="73" t="s">
        <v>19</v>
      </c>
      <c r="D2316" s="74">
        <v>244.11733475304231</v>
      </c>
      <c r="E2316" s="81">
        <v>1319449</v>
      </c>
      <c r="F2316" s="82">
        <v>1289949.2307692301</v>
      </c>
      <c r="G2316" s="75">
        <v>2690.49222749911</v>
      </c>
      <c r="H2316" s="76">
        <v>2</v>
      </c>
      <c r="I2316" s="54" t="s">
        <v>20</v>
      </c>
      <c r="J2316" s="77">
        <v>40</v>
      </c>
      <c r="K2316" s="78">
        <v>2</v>
      </c>
      <c r="L2316" s="54">
        <v>1</v>
      </c>
      <c r="M2316" s="54">
        <f>_xlfn.XLOOKUP(Survey!$F2316,sections[Start],sections[Test Section],,-1,1)</f>
        <v>7</v>
      </c>
      <c r="N2316" s="55">
        <f>_xlfn.XLOOKUP(Survey!$K2316,pipedata[ID],pipedata[WT])</f>
        <v>0.74</v>
      </c>
      <c r="O2316" s="56">
        <f>_xlfn.XLOOKUP(Survey!$K2316,pipedata[ID],pipedata[104%])</f>
        <v>2565.3333333333335</v>
      </c>
      <c r="P2316" s="57">
        <f t="shared" si="36"/>
        <v>1850</v>
      </c>
      <c r="Q2316" s="58">
        <f>_xlfn.MAXIFS(Survey!$G$2:$G$3647,Survey!$M$2:$M$3647,Survey!$M2316)-Survey!$G2316</f>
        <v>144.48154991486399</v>
      </c>
      <c r="R2316" s="59">
        <f>Survey!$P2316+(Survey!$Q2316*0.433)</f>
        <v>1912.560511113136</v>
      </c>
    </row>
    <row r="2317" spans="1:18" x14ac:dyDescent="0.25">
      <c r="A2317" s="60" t="s">
        <v>17</v>
      </c>
      <c r="B2317" s="61" t="s">
        <v>22</v>
      </c>
      <c r="C2317" s="62" t="s">
        <v>19</v>
      </c>
      <c r="D2317" s="63">
        <v>244.12525279695251</v>
      </c>
      <c r="E2317" s="79">
        <v>1319489</v>
      </c>
      <c r="F2317" s="80">
        <v>1289987.9890109883</v>
      </c>
      <c r="G2317" s="66">
        <v>2699.4193889002659</v>
      </c>
      <c r="H2317" s="67">
        <v>2</v>
      </c>
      <c r="I2317" s="68" t="s">
        <v>20</v>
      </c>
      <c r="J2317" s="69">
        <v>40</v>
      </c>
      <c r="K2317" s="70">
        <v>2</v>
      </c>
      <c r="L2317" s="68">
        <v>1</v>
      </c>
      <c r="M2317" s="68">
        <f>_xlfn.XLOOKUP(Survey!$F2317,sections[Start],sections[Test Section],,-1,1)</f>
        <v>7</v>
      </c>
      <c r="N2317" s="55">
        <f>_xlfn.XLOOKUP(Survey!$K2317,pipedata[ID],pipedata[WT])</f>
        <v>0.74</v>
      </c>
      <c r="O2317" s="56">
        <f>_xlfn.XLOOKUP(Survey!$K2317,pipedata[ID],pipedata[104%])</f>
        <v>2565.3333333333335</v>
      </c>
      <c r="P2317" s="57">
        <f t="shared" si="36"/>
        <v>1850</v>
      </c>
      <c r="Q2317" s="58">
        <f>_xlfn.MAXIFS(Survey!$G$2:$G$3647,Survey!$M$2:$M$3647,Survey!$M2317)-Survey!$G2317</f>
        <v>135.55438851370809</v>
      </c>
      <c r="R2317" s="59">
        <f>Survey!$P2317+(Survey!$Q2317*0.433)</f>
        <v>1908.6950502264356</v>
      </c>
    </row>
    <row r="2318" spans="1:18" x14ac:dyDescent="0.25">
      <c r="A2318" s="71" t="s">
        <v>17</v>
      </c>
      <c r="B2318" s="72" t="s">
        <v>22</v>
      </c>
      <c r="C2318" s="73" t="s">
        <v>19</v>
      </c>
      <c r="D2318" s="74">
        <v>244.13312205248621</v>
      </c>
      <c r="E2318" s="81">
        <v>1319529</v>
      </c>
      <c r="F2318" s="82">
        <v>1290026.7472527465</v>
      </c>
      <c r="G2318" s="75">
        <v>2706.3482843525039</v>
      </c>
      <c r="H2318" s="76">
        <v>2</v>
      </c>
      <c r="I2318" s="54" t="s">
        <v>20</v>
      </c>
      <c r="J2318" s="77">
        <v>40</v>
      </c>
      <c r="K2318" s="78">
        <v>2</v>
      </c>
      <c r="L2318" s="54">
        <v>1</v>
      </c>
      <c r="M2318" s="54">
        <f>_xlfn.XLOOKUP(Survey!$F2318,sections[Start],sections[Test Section],,-1,1)</f>
        <v>7</v>
      </c>
      <c r="N2318" s="55">
        <f>_xlfn.XLOOKUP(Survey!$K2318,pipedata[ID],pipedata[WT])</f>
        <v>0.74</v>
      </c>
      <c r="O2318" s="56">
        <f>_xlfn.XLOOKUP(Survey!$K2318,pipedata[ID],pipedata[104%])</f>
        <v>2565.3333333333335</v>
      </c>
      <c r="P2318" s="57">
        <f t="shared" si="36"/>
        <v>1850</v>
      </c>
      <c r="Q2318" s="58">
        <f>_xlfn.MAXIFS(Survey!$G$2:$G$3647,Survey!$M$2:$M$3647,Survey!$M2318)-Survey!$G2318</f>
        <v>128.62549306147002</v>
      </c>
      <c r="R2318" s="59">
        <f>Survey!$P2318+(Survey!$Q2318*0.433)</f>
        <v>1905.6948384956165</v>
      </c>
    </row>
    <row r="2319" spans="1:18" x14ac:dyDescent="0.25">
      <c r="A2319" s="60" t="s">
        <v>17</v>
      </c>
      <c r="B2319" s="61" t="s">
        <v>22</v>
      </c>
      <c r="C2319" s="62" t="s">
        <v>19</v>
      </c>
      <c r="D2319" s="63">
        <v>244.14043651682627</v>
      </c>
      <c r="E2319" s="79">
        <v>1319569</v>
      </c>
      <c r="F2319" s="80">
        <v>1290065.5054945047</v>
      </c>
      <c r="G2319" s="66">
        <v>2715.3995336659295</v>
      </c>
      <c r="H2319" s="67">
        <v>2</v>
      </c>
      <c r="I2319" s="68" t="s">
        <v>20</v>
      </c>
      <c r="J2319" s="69">
        <v>40</v>
      </c>
      <c r="K2319" s="70">
        <v>2</v>
      </c>
      <c r="L2319" s="68">
        <v>1</v>
      </c>
      <c r="M2319" s="68">
        <f>_xlfn.XLOOKUP(Survey!$F2319,sections[Start],sections[Test Section],,-1,1)</f>
        <v>7</v>
      </c>
      <c r="N2319" s="55">
        <f>_xlfn.XLOOKUP(Survey!$K2319,pipedata[ID],pipedata[WT])</f>
        <v>0.74</v>
      </c>
      <c r="O2319" s="56">
        <f>_xlfn.XLOOKUP(Survey!$K2319,pipedata[ID],pipedata[104%])</f>
        <v>2565.3333333333335</v>
      </c>
      <c r="P2319" s="57">
        <f t="shared" si="36"/>
        <v>1850</v>
      </c>
      <c r="Q2319" s="58">
        <f>_xlfn.MAXIFS(Survey!$G$2:$G$3647,Survey!$M$2:$M$3647,Survey!$M2319)-Survey!$G2319</f>
        <v>119.57424374804441</v>
      </c>
      <c r="R2319" s="59">
        <f>Survey!$P2319+(Survey!$Q2319*0.433)</f>
        <v>1901.7756475429032</v>
      </c>
    </row>
    <row r="2320" spans="1:18" x14ac:dyDescent="0.25">
      <c r="A2320" s="71" t="s">
        <v>17</v>
      </c>
      <c r="B2320" s="72" t="s">
        <v>22</v>
      </c>
      <c r="C2320" s="73" t="s">
        <v>19</v>
      </c>
      <c r="D2320" s="74">
        <v>244.14628808829801</v>
      </c>
      <c r="E2320" s="81">
        <v>1319609</v>
      </c>
      <c r="F2320" s="82">
        <v>1290104.2637362629</v>
      </c>
      <c r="G2320" s="75">
        <v>2728.2504956904781</v>
      </c>
      <c r="H2320" s="76">
        <v>2</v>
      </c>
      <c r="I2320" s="54" t="s">
        <v>20</v>
      </c>
      <c r="J2320" s="77">
        <v>40</v>
      </c>
      <c r="K2320" s="78">
        <v>2</v>
      </c>
      <c r="L2320" s="54">
        <v>1</v>
      </c>
      <c r="M2320" s="54">
        <f>_xlfn.XLOOKUP(Survey!$F2320,sections[Start],sections[Test Section],,-1,1)</f>
        <v>7</v>
      </c>
      <c r="N2320" s="55">
        <f>_xlfn.XLOOKUP(Survey!$K2320,pipedata[ID],pipedata[WT])</f>
        <v>0.74</v>
      </c>
      <c r="O2320" s="56">
        <f>_xlfn.XLOOKUP(Survey!$K2320,pipedata[ID],pipedata[104%])</f>
        <v>2565.3333333333335</v>
      </c>
      <c r="P2320" s="57">
        <f t="shared" si="36"/>
        <v>1850</v>
      </c>
      <c r="Q2320" s="58">
        <f>_xlfn.MAXIFS(Survey!$G$2:$G$3647,Survey!$M$2:$M$3647,Survey!$M2320)-Survey!$G2320</f>
        <v>106.7232817234958</v>
      </c>
      <c r="R2320" s="59">
        <f>Survey!$P2320+(Survey!$Q2320*0.433)</f>
        <v>1896.2111809862736</v>
      </c>
    </row>
    <row r="2321" spans="1:18" x14ac:dyDescent="0.25">
      <c r="A2321" s="60" t="s">
        <v>17</v>
      </c>
      <c r="B2321" s="61" t="s">
        <v>22</v>
      </c>
      <c r="C2321" s="62" t="s">
        <v>19</v>
      </c>
      <c r="D2321" s="63">
        <v>244.15404926579694</v>
      </c>
      <c r="E2321" s="79">
        <v>1319649</v>
      </c>
      <c r="F2321" s="80">
        <v>1290143.0219780211</v>
      </c>
      <c r="G2321" s="66">
        <v>2742.3087709884262</v>
      </c>
      <c r="H2321" s="67">
        <v>2</v>
      </c>
      <c r="I2321" s="68" t="s">
        <v>20</v>
      </c>
      <c r="J2321" s="69">
        <v>40</v>
      </c>
      <c r="K2321" s="70">
        <v>2</v>
      </c>
      <c r="L2321" s="68">
        <v>1</v>
      </c>
      <c r="M2321" s="68">
        <f>_xlfn.XLOOKUP(Survey!$F2321,sections[Start],sections[Test Section],,-1,1)</f>
        <v>7</v>
      </c>
      <c r="N2321" s="55">
        <f>_xlfn.XLOOKUP(Survey!$K2321,pipedata[ID],pipedata[WT])</f>
        <v>0.74</v>
      </c>
      <c r="O2321" s="56">
        <f>_xlfn.XLOOKUP(Survey!$K2321,pipedata[ID],pipedata[104%])</f>
        <v>2565.3333333333335</v>
      </c>
      <c r="P2321" s="57">
        <f t="shared" si="36"/>
        <v>1850</v>
      </c>
      <c r="Q2321" s="58">
        <f>_xlfn.MAXIFS(Survey!$G$2:$G$3647,Survey!$M$2:$M$3647,Survey!$M2321)-Survey!$G2321</f>
        <v>92.665006425547745</v>
      </c>
      <c r="R2321" s="59">
        <f>Survey!$P2321+(Survey!$Q2321*0.433)</f>
        <v>1890.1239477822621</v>
      </c>
    </row>
    <row r="2322" spans="1:18" x14ac:dyDescent="0.25">
      <c r="A2322" s="71" t="s">
        <v>17</v>
      </c>
      <c r="B2322" s="72" t="s">
        <v>22</v>
      </c>
      <c r="C2322" s="73" t="s">
        <v>19</v>
      </c>
      <c r="D2322" s="74">
        <v>244.161606854057</v>
      </c>
      <c r="E2322" s="81">
        <v>1319689</v>
      </c>
      <c r="F2322" s="82">
        <v>1290181.7802197793</v>
      </c>
      <c r="G2322" s="75">
        <v>2757.1604931966099</v>
      </c>
      <c r="H2322" s="76">
        <v>2</v>
      </c>
      <c r="I2322" s="54" t="s">
        <v>20</v>
      </c>
      <c r="J2322" s="77">
        <v>40</v>
      </c>
      <c r="K2322" s="78">
        <v>2</v>
      </c>
      <c r="L2322" s="54">
        <v>1</v>
      </c>
      <c r="M2322" s="54">
        <f>_xlfn.XLOOKUP(Survey!$F2322,sections[Start],sections[Test Section],,-1,1)</f>
        <v>7</v>
      </c>
      <c r="N2322" s="55">
        <f>_xlfn.XLOOKUP(Survey!$K2322,pipedata[ID],pipedata[WT])</f>
        <v>0.74</v>
      </c>
      <c r="O2322" s="56">
        <f>_xlfn.XLOOKUP(Survey!$K2322,pipedata[ID],pipedata[104%])</f>
        <v>2565.3333333333335</v>
      </c>
      <c r="P2322" s="57">
        <f t="shared" si="36"/>
        <v>1850</v>
      </c>
      <c r="Q2322" s="58">
        <f>_xlfn.MAXIFS(Survey!$G$2:$G$3647,Survey!$M$2:$M$3647,Survey!$M2322)-Survey!$G2322</f>
        <v>77.813284217364071</v>
      </c>
      <c r="R2322" s="59">
        <f>Survey!$P2322+(Survey!$Q2322*0.433)</f>
        <v>1883.6931520661187</v>
      </c>
    </row>
    <row r="2323" spans="1:18" x14ac:dyDescent="0.25">
      <c r="A2323" s="60" t="s">
        <v>17</v>
      </c>
      <c r="B2323" s="61" t="s">
        <v>22</v>
      </c>
      <c r="C2323" s="62" t="s">
        <v>19</v>
      </c>
      <c r="D2323" s="63">
        <v>244.16863238255812</v>
      </c>
      <c r="E2323" s="79">
        <v>1319729</v>
      </c>
      <c r="F2323" s="80">
        <v>1290220.5384615376</v>
      </c>
      <c r="G2323" s="66">
        <v>2770.1465496705191</v>
      </c>
      <c r="H2323" s="67">
        <v>2</v>
      </c>
      <c r="I2323" s="68" t="s">
        <v>20</v>
      </c>
      <c r="J2323" s="69">
        <v>40</v>
      </c>
      <c r="K2323" s="70">
        <v>2</v>
      </c>
      <c r="L2323" s="68">
        <v>1</v>
      </c>
      <c r="M2323" s="68">
        <f>_xlfn.XLOOKUP(Survey!$F2323,sections[Start],sections[Test Section],,-1,1)</f>
        <v>7</v>
      </c>
      <c r="N2323" s="55">
        <f>_xlfn.XLOOKUP(Survey!$K2323,pipedata[ID],pipedata[WT])</f>
        <v>0.74</v>
      </c>
      <c r="O2323" s="56">
        <f>_xlfn.XLOOKUP(Survey!$K2323,pipedata[ID],pipedata[104%])</f>
        <v>2565.3333333333335</v>
      </c>
      <c r="P2323" s="57">
        <f t="shared" si="36"/>
        <v>1850</v>
      </c>
      <c r="Q2323" s="58">
        <f>_xlfn.MAXIFS(Survey!$G$2:$G$3647,Survey!$M$2:$M$3647,Survey!$M2323)-Survey!$G2323</f>
        <v>64.827227743454841</v>
      </c>
      <c r="R2323" s="59">
        <f>Survey!$P2323+(Survey!$Q2323*0.433)</f>
        <v>1878.070189612916</v>
      </c>
    </row>
    <row r="2324" spans="1:18" x14ac:dyDescent="0.25">
      <c r="A2324" s="71" t="s">
        <v>17</v>
      </c>
      <c r="B2324" s="72" t="s">
        <v>22</v>
      </c>
      <c r="C2324" s="73" t="s">
        <v>19</v>
      </c>
      <c r="D2324" s="74">
        <v>244.17553148491535</v>
      </c>
      <c r="E2324" s="81">
        <v>1319769</v>
      </c>
      <c r="F2324" s="82">
        <v>1290259.2967032958</v>
      </c>
      <c r="G2324" s="75">
        <v>2778.5950615348852</v>
      </c>
      <c r="H2324" s="76">
        <v>2</v>
      </c>
      <c r="I2324" s="54" t="s">
        <v>20</v>
      </c>
      <c r="J2324" s="77">
        <v>40</v>
      </c>
      <c r="K2324" s="78">
        <v>2</v>
      </c>
      <c r="L2324" s="54">
        <v>1</v>
      </c>
      <c r="M2324" s="54">
        <f>_xlfn.XLOOKUP(Survey!$F2324,sections[Start],sections[Test Section],,-1,1)</f>
        <v>7</v>
      </c>
      <c r="N2324" s="55">
        <f>_xlfn.XLOOKUP(Survey!$K2324,pipedata[ID],pipedata[WT])</f>
        <v>0.74</v>
      </c>
      <c r="O2324" s="56">
        <f>_xlfn.XLOOKUP(Survey!$K2324,pipedata[ID],pipedata[104%])</f>
        <v>2565.3333333333335</v>
      </c>
      <c r="P2324" s="57">
        <f t="shared" si="36"/>
        <v>1850</v>
      </c>
      <c r="Q2324" s="58">
        <f>_xlfn.MAXIFS(Survey!$G$2:$G$3647,Survey!$M$2:$M$3647,Survey!$M2324)-Survey!$G2324</f>
        <v>56.378715879088759</v>
      </c>
      <c r="R2324" s="59">
        <f>Survey!$P2324+(Survey!$Q2324*0.433)</f>
        <v>1874.4119839756454</v>
      </c>
    </row>
    <row r="2325" spans="1:18" x14ac:dyDescent="0.25">
      <c r="A2325" s="60" t="s">
        <v>17</v>
      </c>
      <c r="B2325" s="61" t="s">
        <v>22</v>
      </c>
      <c r="C2325" s="62" t="s">
        <v>19</v>
      </c>
      <c r="D2325" s="63">
        <v>244.18321549931923</v>
      </c>
      <c r="E2325" s="79">
        <v>1319809</v>
      </c>
      <c r="F2325" s="80">
        <v>1290298.054945054</v>
      </c>
      <c r="G2325" s="66">
        <v>2782.3812099244601</v>
      </c>
      <c r="H2325" s="67">
        <v>2</v>
      </c>
      <c r="I2325" s="68" t="s">
        <v>20</v>
      </c>
      <c r="J2325" s="69">
        <v>40</v>
      </c>
      <c r="K2325" s="70">
        <v>2</v>
      </c>
      <c r="L2325" s="68">
        <v>1</v>
      </c>
      <c r="M2325" s="68">
        <f>_xlfn.XLOOKUP(Survey!$F2325,sections[Start],sections[Test Section],,-1,1)</f>
        <v>7</v>
      </c>
      <c r="N2325" s="55">
        <f>_xlfn.XLOOKUP(Survey!$K2325,pipedata[ID],pipedata[WT])</f>
        <v>0.74</v>
      </c>
      <c r="O2325" s="56">
        <f>_xlfn.XLOOKUP(Survey!$K2325,pipedata[ID],pipedata[104%])</f>
        <v>2565.3333333333335</v>
      </c>
      <c r="P2325" s="57">
        <f t="shared" si="36"/>
        <v>1850</v>
      </c>
      <c r="Q2325" s="58">
        <f>_xlfn.MAXIFS(Survey!$G$2:$G$3647,Survey!$M$2:$M$3647,Survey!$M2325)-Survey!$G2325</f>
        <v>52.59256748951384</v>
      </c>
      <c r="R2325" s="59">
        <f>Survey!$P2325+(Survey!$Q2325*0.433)</f>
        <v>1872.7725817229596</v>
      </c>
    </row>
    <row r="2326" spans="1:18" x14ac:dyDescent="0.25">
      <c r="A2326" s="71" t="s">
        <v>17</v>
      </c>
      <c r="B2326" s="72" t="s">
        <v>22</v>
      </c>
      <c r="C2326" s="73" t="s">
        <v>19</v>
      </c>
      <c r="D2326" s="74">
        <v>244.1911610099917</v>
      </c>
      <c r="E2326" s="81">
        <v>1319849</v>
      </c>
      <c r="F2326" s="82">
        <v>1290336.8131868122</v>
      </c>
      <c r="G2326" s="75">
        <v>2791.4164332011173</v>
      </c>
      <c r="H2326" s="76">
        <v>2</v>
      </c>
      <c r="I2326" s="54" t="s">
        <v>20</v>
      </c>
      <c r="J2326" s="77">
        <v>40</v>
      </c>
      <c r="K2326" s="78">
        <v>2</v>
      </c>
      <c r="L2326" s="54">
        <v>1</v>
      </c>
      <c r="M2326" s="54">
        <f>_xlfn.XLOOKUP(Survey!$F2326,sections[Start],sections[Test Section],,-1,1)</f>
        <v>7</v>
      </c>
      <c r="N2326" s="55">
        <f>_xlfn.XLOOKUP(Survey!$K2326,pipedata[ID],pipedata[WT])</f>
        <v>0.74</v>
      </c>
      <c r="O2326" s="56">
        <f>_xlfn.XLOOKUP(Survey!$K2326,pipedata[ID],pipedata[104%])</f>
        <v>2565.3333333333335</v>
      </c>
      <c r="P2326" s="57">
        <f t="shared" si="36"/>
        <v>1850</v>
      </c>
      <c r="Q2326" s="58">
        <f>_xlfn.MAXIFS(Survey!$G$2:$G$3647,Survey!$M$2:$M$3647,Survey!$M2326)-Survey!$G2326</f>
        <v>43.557344212856606</v>
      </c>
      <c r="R2326" s="59">
        <f>Survey!$P2326+(Survey!$Q2326*0.433)</f>
        <v>1868.8603300441669</v>
      </c>
    </row>
    <row r="2327" spans="1:18" x14ac:dyDescent="0.25">
      <c r="A2327" s="60" t="s">
        <v>17</v>
      </c>
      <c r="B2327" s="61" t="s">
        <v>22</v>
      </c>
      <c r="C2327" s="62" t="s">
        <v>19</v>
      </c>
      <c r="D2327" s="63">
        <v>244.19794553158599</v>
      </c>
      <c r="E2327" s="79">
        <v>1319889</v>
      </c>
      <c r="F2327" s="80">
        <v>1290375.5714285704</v>
      </c>
      <c r="G2327" s="66">
        <v>2801.2165315590019</v>
      </c>
      <c r="H2327" s="67">
        <v>2</v>
      </c>
      <c r="I2327" s="68" t="s">
        <v>20</v>
      </c>
      <c r="J2327" s="69">
        <v>40</v>
      </c>
      <c r="K2327" s="70">
        <v>2</v>
      </c>
      <c r="L2327" s="68">
        <v>1</v>
      </c>
      <c r="M2327" s="68">
        <f>_xlfn.XLOOKUP(Survey!$F2327,sections[Start],sections[Test Section],,-1,1)</f>
        <v>7</v>
      </c>
      <c r="N2327" s="55">
        <f>_xlfn.XLOOKUP(Survey!$K2327,pipedata[ID],pipedata[WT])</f>
        <v>0.74</v>
      </c>
      <c r="O2327" s="56">
        <f>_xlfn.XLOOKUP(Survey!$K2327,pipedata[ID],pipedata[104%])</f>
        <v>2565.3333333333335</v>
      </c>
      <c r="P2327" s="57">
        <f t="shared" si="36"/>
        <v>1850</v>
      </c>
      <c r="Q2327" s="58">
        <f>_xlfn.MAXIFS(Survey!$G$2:$G$3647,Survey!$M$2:$M$3647,Survey!$M2327)-Survey!$G2327</f>
        <v>33.757245854972098</v>
      </c>
      <c r="R2327" s="59">
        <f>Survey!$P2327+(Survey!$Q2327*0.433)</f>
        <v>1864.6168874552029</v>
      </c>
    </row>
    <row r="2328" spans="1:18" x14ac:dyDescent="0.25">
      <c r="A2328" s="71" t="s">
        <v>17</v>
      </c>
      <c r="B2328" s="72" t="s">
        <v>22</v>
      </c>
      <c r="C2328" s="73" t="s">
        <v>19</v>
      </c>
      <c r="D2328" s="74">
        <v>244.20593808795934</v>
      </c>
      <c r="E2328" s="81">
        <v>1319929</v>
      </c>
      <c r="F2328" s="82">
        <v>1290414.3296703286</v>
      </c>
      <c r="G2328" s="75">
        <v>2805.0164578743056</v>
      </c>
      <c r="H2328" s="76">
        <v>2</v>
      </c>
      <c r="I2328" s="54" t="s">
        <v>20</v>
      </c>
      <c r="J2328" s="77">
        <v>40</v>
      </c>
      <c r="K2328" s="78">
        <v>2</v>
      </c>
      <c r="L2328" s="54">
        <v>1</v>
      </c>
      <c r="M2328" s="54">
        <f>_xlfn.XLOOKUP(Survey!$F2328,sections[Start],sections[Test Section],,-1,1)</f>
        <v>7</v>
      </c>
      <c r="N2328" s="55">
        <f>_xlfn.XLOOKUP(Survey!$K2328,pipedata[ID],pipedata[WT])</f>
        <v>0.74</v>
      </c>
      <c r="O2328" s="56">
        <f>_xlfn.XLOOKUP(Survey!$K2328,pipedata[ID],pipedata[104%])</f>
        <v>2565.3333333333335</v>
      </c>
      <c r="P2328" s="57">
        <f t="shared" si="36"/>
        <v>1850</v>
      </c>
      <c r="Q2328" s="58">
        <f>_xlfn.MAXIFS(Survey!$G$2:$G$3647,Survey!$M$2:$M$3647,Survey!$M2328)-Survey!$G2328</f>
        <v>29.957319539668333</v>
      </c>
      <c r="R2328" s="59">
        <f>Survey!$P2328+(Survey!$Q2328*0.433)</f>
        <v>1862.9715193606764</v>
      </c>
    </row>
    <row r="2329" spans="1:18" x14ac:dyDescent="0.25">
      <c r="A2329" s="60" t="s">
        <v>17</v>
      </c>
      <c r="B2329" s="61" t="s">
        <v>22</v>
      </c>
      <c r="C2329" s="62" t="s">
        <v>19</v>
      </c>
      <c r="D2329" s="63">
        <v>244.21288822936611</v>
      </c>
      <c r="E2329" s="79">
        <v>1319969</v>
      </c>
      <c r="F2329" s="80">
        <v>1290453.0879120869</v>
      </c>
      <c r="G2329" s="66">
        <v>2806.7231609898099</v>
      </c>
      <c r="H2329" s="67">
        <v>2</v>
      </c>
      <c r="I2329" s="68" t="s">
        <v>20</v>
      </c>
      <c r="J2329" s="69">
        <v>40</v>
      </c>
      <c r="K2329" s="70">
        <v>2</v>
      </c>
      <c r="L2329" s="68">
        <v>1</v>
      </c>
      <c r="M2329" s="68">
        <f>_xlfn.XLOOKUP(Survey!$F2329,sections[Start],sections[Test Section],,-1,1)</f>
        <v>7</v>
      </c>
      <c r="N2329" s="55">
        <f>_xlfn.XLOOKUP(Survey!$K2329,pipedata[ID],pipedata[WT])</f>
        <v>0.74</v>
      </c>
      <c r="O2329" s="56">
        <f>_xlfn.XLOOKUP(Survey!$K2329,pipedata[ID],pipedata[104%])</f>
        <v>2565.3333333333335</v>
      </c>
      <c r="P2329" s="57">
        <f t="shared" si="36"/>
        <v>1850</v>
      </c>
      <c r="Q2329" s="58">
        <f>_xlfn.MAXIFS(Survey!$G$2:$G$3647,Survey!$M$2:$M$3647,Survey!$M2329)-Survey!$G2329</f>
        <v>28.250616424164036</v>
      </c>
      <c r="R2329" s="59">
        <f>Survey!$P2329+(Survey!$Q2329*0.433)</f>
        <v>1862.232516911663</v>
      </c>
    </row>
    <row r="2330" spans="1:18" x14ac:dyDescent="0.25">
      <c r="A2330" s="71" t="s">
        <v>17</v>
      </c>
      <c r="B2330" s="72" t="s">
        <v>22</v>
      </c>
      <c r="C2330" s="73" t="s">
        <v>19</v>
      </c>
      <c r="D2330" s="74">
        <v>244.21979831386327</v>
      </c>
      <c r="E2330" s="81">
        <v>1320009</v>
      </c>
      <c r="F2330" s="82">
        <v>1290491.8461538451</v>
      </c>
      <c r="G2330" s="75">
        <v>2805.3705945946836</v>
      </c>
      <c r="H2330" s="76">
        <v>2</v>
      </c>
      <c r="I2330" s="54" t="s">
        <v>20</v>
      </c>
      <c r="J2330" s="77">
        <v>40</v>
      </c>
      <c r="K2330" s="78">
        <v>2</v>
      </c>
      <c r="L2330" s="54">
        <v>1</v>
      </c>
      <c r="M2330" s="54">
        <f>_xlfn.XLOOKUP(Survey!$F2330,sections[Start],sections[Test Section],,-1,1)</f>
        <v>7</v>
      </c>
      <c r="N2330" s="55">
        <f>_xlfn.XLOOKUP(Survey!$K2330,pipedata[ID],pipedata[WT])</f>
        <v>0.74</v>
      </c>
      <c r="O2330" s="56">
        <f>_xlfn.XLOOKUP(Survey!$K2330,pipedata[ID],pipedata[104%])</f>
        <v>2565.3333333333335</v>
      </c>
      <c r="P2330" s="57">
        <f t="shared" si="36"/>
        <v>1850</v>
      </c>
      <c r="Q2330" s="58">
        <f>_xlfn.MAXIFS(Survey!$G$2:$G$3647,Survey!$M$2:$M$3647,Survey!$M2330)-Survey!$G2330</f>
        <v>29.603182819290396</v>
      </c>
      <c r="R2330" s="59">
        <f>Survey!$P2330+(Survey!$Q2330*0.433)</f>
        <v>1862.8181781607527</v>
      </c>
    </row>
    <row r="2331" spans="1:18" x14ac:dyDescent="0.25">
      <c r="A2331" s="60" t="s">
        <v>17</v>
      </c>
      <c r="B2331" s="61" t="s">
        <v>22</v>
      </c>
      <c r="C2331" s="62" t="s">
        <v>19</v>
      </c>
      <c r="D2331" s="63">
        <v>244.22838207274296</v>
      </c>
      <c r="E2331" s="79">
        <v>1320049</v>
      </c>
      <c r="F2331" s="80">
        <v>1290530.6043956033</v>
      </c>
      <c r="G2331" s="66">
        <v>2814.0564702048655</v>
      </c>
      <c r="H2331" s="67">
        <v>2</v>
      </c>
      <c r="I2331" s="68" t="s">
        <v>20</v>
      </c>
      <c r="J2331" s="69">
        <v>40</v>
      </c>
      <c r="K2331" s="70">
        <v>2</v>
      </c>
      <c r="L2331" s="68">
        <v>1</v>
      </c>
      <c r="M2331" s="68">
        <f>_xlfn.XLOOKUP(Survey!$F2331,sections[Start],sections[Test Section],,-1,1)</f>
        <v>7</v>
      </c>
      <c r="N2331" s="55">
        <f>_xlfn.XLOOKUP(Survey!$K2331,pipedata[ID],pipedata[WT])</f>
        <v>0.74</v>
      </c>
      <c r="O2331" s="56">
        <f>_xlfn.XLOOKUP(Survey!$K2331,pipedata[ID],pipedata[104%])</f>
        <v>2565.3333333333335</v>
      </c>
      <c r="P2331" s="57">
        <f t="shared" si="36"/>
        <v>1850</v>
      </c>
      <c r="Q2331" s="58">
        <f>_xlfn.MAXIFS(Survey!$G$2:$G$3647,Survey!$M$2:$M$3647,Survey!$M2331)-Survey!$G2331</f>
        <v>20.917307209108458</v>
      </c>
      <c r="R2331" s="59">
        <f>Survey!$P2331+(Survey!$Q2331*0.433)</f>
        <v>1859.0571940215439</v>
      </c>
    </row>
    <row r="2332" spans="1:18" x14ac:dyDescent="0.25">
      <c r="A2332" s="71" t="s">
        <v>17</v>
      </c>
      <c r="B2332" s="72" t="s">
        <v>22</v>
      </c>
      <c r="C2332" s="73" t="s">
        <v>19</v>
      </c>
      <c r="D2332" s="74">
        <v>244.23569291521929</v>
      </c>
      <c r="E2332" s="81">
        <v>1320089</v>
      </c>
      <c r="F2332" s="82">
        <v>1290569.3626373615</v>
      </c>
      <c r="G2332" s="75">
        <v>2823.0419977795782</v>
      </c>
      <c r="H2332" s="76">
        <v>2</v>
      </c>
      <c r="I2332" s="54" t="s">
        <v>20</v>
      </c>
      <c r="J2332" s="77">
        <v>40</v>
      </c>
      <c r="K2332" s="78">
        <v>2</v>
      </c>
      <c r="L2332" s="54">
        <v>1</v>
      </c>
      <c r="M2332" s="54">
        <f>_xlfn.XLOOKUP(Survey!$F2332,sections[Start],sections[Test Section],,-1,1)</f>
        <v>7</v>
      </c>
      <c r="N2332" s="55">
        <f>_xlfn.XLOOKUP(Survey!$K2332,pipedata[ID],pipedata[WT])</f>
        <v>0.74</v>
      </c>
      <c r="O2332" s="56">
        <f>_xlfn.XLOOKUP(Survey!$K2332,pipedata[ID],pipedata[104%])</f>
        <v>2565.3333333333335</v>
      </c>
      <c r="P2332" s="57">
        <f t="shared" si="36"/>
        <v>1850</v>
      </c>
      <c r="Q2332" s="58">
        <f>_xlfn.MAXIFS(Survey!$G$2:$G$3647,Survey!$M$2:$M$3647,Survey!$M2332)-Survey!$G2332</f>
        <v>11.931779634395753</v>
      </c>
      <c r="R2332" s="59">
        <f>Survey!$P2332+(Survey!$Q2332*0.433)</f>
        <v>1855.1664605816934</v>
      </c>
    </row>
    <row r="2333" spans="1:18" x14ac:dyDescent="0.25">
      <c r="A2333" s="60" t="s">
        <v>17</v>
      </c>
      <c r="B2333" s="61" t="s">
        <v>22</v>
      </c>
      <c r="C2333" s="62" t="s">
        <v>19</v>
      </c>
      <c r="D2333" s="63">
        <v>244.24300604997919</v>
      </c>
      <c r="E2333" s="79">
        <v>1320129</v>
      </c>
      <c r="F2333" s="80">
        <v>1290608.1208791197</v>
      </c>
      <c r="G2333" s="66">
        <v>2827.4702947450605</v>
      </c>
      <c r="H2333" s="67">
        <v>2</v>
      </c>
      <c r="I2333" s="68" t="s">
        <v>20</v>
      </c>
      <c r="J2333" s="69">
        <v>40</v>
      </c>
      <c r="K2333" s="70">
        <v>2</v>
      </c>
      <c r="L2333" s="68">
        <v>1</v>
      </c>
      <c r="M2333" s="68">
        <f>_xlfn.XLOOKUP(Survey!$F2333,sections[Start],sections[Test Section],,-1,1)</f>
        <v>7</v>
      </c>
      <c r="N2333" s="55">
        <f>_xlfn.XLOOKUP(Survey!$K2333,pipedata[ID],pipedata[WT])</f>
        <v>0.74</v>
      </c>
      <c r="O2333" s="56">
        <f>_xlfn.XLOOKUP(Survey!$K2333,pipedata[ID],pipedata[104%])</f>
        <v>2565.3333333333335</v>
      </c>
      <c r="P2333" s="57">
        <f t="shared" si="36"/>
        <v>1850</v>
      </c>
      <c r="Q2333" s="58">
        <f>_xlfn.MAXIFS(Survey!$G$2:$G$3647,Survey!$M$2:$M$3647,Survey!$M2333)-Survey!$G2333</f>
        <v>7.5034826689134206</v>
      </c>
      <c r="R2333" s="59">
        <f>Survey!$P2333+(Survey!$Q2333*0.433)</f>
        <v>1853.2490079956394</v>
      </c>
    </row>
    <row r="2334" spans="1:18" x14ac:dyDescent="0.25">
      <c r="A2334" s="71" t="s">
        <v>17</v>
      </c>
      <c r="B2334" s="72" t="s">
        <v>22</v>
      </c>
      <c r="C2334" s="73" t="s">
        <v>19</v>
      </c>
      <c r="D2334" s="74">
        <v>244.25074196201757</v>
      </c>
      <c r="E2334" s="81">
        <v>1320169</v>
      </c>
      <c r="F2334" s="82">
        <v>1290646.8791208779</v>
      </c>
      <c r="G2334" s="75">
        <v>2828.8066169988642</v>
      </c>
      <c r="H2334" s="76">
        <v>2</v>
      </c>
      <c r="I2334" s="54" t="s">
        <v>20</v>
      </c>
      <c r="J2334" s="77">
        <v>40</v>
      </c>
      <c r="K2334" s="78">
        <v>2</v>
      </c>
      <c r="L2334" s="54">
        <v>1</v>
      </c>
      <c r="M2334" s="54">
        <f>_xlfn.XLOOKUP(Survey!$F2334,sections[Start],sections[Test Section],,-1,1)</f>
        <v>7</v>
      </c>
      <c r="N2334" s="55">
        <f>_xlfn.XLOOKUP(Survey!$K2334,pipedata[ID],pipedata[WT])</f>
        <v>0.74</v>
      </c>
      <c r="O2334" s="56">
        <f>_xlfn.XLOOKUP(Survey!$K2334,pipedata[ID],pipedata[104%])</f>
        <v>2565.3333333333335</v>
      </c>
      <c r="P2334" s="57">
        <f t="shared" si="36"/>
        <v>1850</v>
      </c>
      <c r="Q2334" s="58">
        <f>_xlfn.MAXIFS(Survey!$G$2:$G$3647,Survey!$M$2:$M$3647,Survey!$M2334)-Survey!$G2334</f>
        <v>6.1671604151097199</v>
      </c>
      <c r="R2334" s="59">
        <f>Survey!$P2334+(Survey!$Q2334*0.433)</f>
        <v>1852.6703804597425</v>
      </c>
    </row>
    <row r="2335" spans="1:18" x14ac:dyDescent="0.25">
      <c r="A2335" s="60" t="s">
        <v>17</v>
      </c>
      <c r="B2335" s="61" t="s">
        <v>22</v>
      </c>
      <c r="C2335" s="62" t="s">
        <v>19</v>
      </c>
      <c r="D2335" s="63">
        <v>244.25847787405601</v>
      </c>
      <c r="E2335" s="79">
        <v>1320209</v>
      </c>
      <c r="F2335" s="80">
        <v>1290685.6373626362</v>
      </c>
      <c r="G2335" s="66">
        <v>2830.5537285756395</v>
      </c>
      <c r="H2335" s="67">
        <v>2</v>
      </c>
      <c r="I2335" s="68" t="s">
        <v>20</v>
      </c>
      <c r="J2335" s="69">
        <v>40</v>
      </c>
      <c r="K2335" s="70">
        <v>2</v>
      </c>
      <c r="L2335" s="68">
        <v>1</v>
      </c>
      <c r="M2335" s="68">
        <f>_xlfn.XLOOKUP(Survey!$F2335,sections[Start],sections[Test Section],,-1,1)</f>
        <v>7</v>
      </c>
      <c r="N2335" s="55">
        <f>_xlfn.XLOOKUP(Survey!$K2335,pipedata[ID],pipedata[WT])</f>
        <v>0.74</v>
      </c>
      <c r="O2335" s="56">
        <f>_xlfn.XLOOKUP(Survey!$K2335,pipedata[ID],pipedata[104%])</f>
        <v>2565.3333333333335</v>
      </c>
      <c r="P2335" s="57">
        <f t="shared" si="36"/>
        <v>1850</v>
      </c>
      <c r="Q2335" s="58">
        <f>_xlfn.MAXIFS(Survey!$G$2:$G$3647,Survey!$M$2:$M$3647,Survey!$M2335)-Survey!$G2335</f>
        <v>4.4200488383344236</v>
      </c>
      <c r="R2335" s="59">
        <f>Survey!$P2335+(Survey!$Q2335*0.433)</f>
        <v>1851.9138811469988</v>
      </c>
    </row>
    <row r="2336" spans="1:18" x14ac:dyDescent="0.25">
      <c r="A2336" s="71" t="s">
        <v>17</v>
      </c>
      <c r="B2336" s="72" t="s">
        <v>22</v>
      </c>
      <c r="C2336" s="73" t="s">
        <v>19</v>
      </c>
      <c r="D2336" s="74">
        <v>244.2661440427797</v>
      </c>
      <c r="E2336" s="81">
        <v>1320249</v>
      </c>
      <c r="F2336" s="82">
        <v>1290724.3956043944</v>
      </c>
      <c r="G2336" s="75">
        <v>2833.4439348107549</v>
      </c>
      <c r="H2336" s="76">
        <v>2</v>
      </c>
      <c r="I2336" s="54" t="s">
        <v>20</v>
      </c>
      <c r="J2336" s="77">
        <v>40</v>
      </c>
      <c r="K2336" s="78">
        <v>2</v>
      </c>
      <c r="L2336" s="54">
        <v>1</v>
      </c>
      <c r="M2336" s="54">
        <f>_xlfn.XLOOKUP(Survey!$F2336,sections[Start],sections[Test Section],,-1,1)</f>
        <v>7</v>
      </c>
      <c r="N2336" s="55">
        <f>_xlfn.XLOOKUP(Survey!$K2336,pipedata[ID],pipedata[WT])</f>
        <v>0.74</v>
      </c>
      <c r="O2336" s="56">
        <f>_xlfn.XLOOKUP(Survey!$K2336,pipedata[ID],pipedata[104%])</f>
        <v>2565.3333333333335</v>
      </c>
      <c r="P2336" s="57">
        <f t="shared" si="36"/>
        <v>1850</v>
      </c>
      <c r="Q2336" s="58">
        <f>_xlfn.MAXIFS(Survey!$G$2:$G$3647,Survey!$M$2:$M$3647,Survey!$M2336)-Survey!$G2336</f>
        <v>1.5298426032190946</v>
      </c>
      <c r="R2336" s="59">
        <f>Survey!$P2336+(Survey!$Q2336*0.433)</f>
        <v>1850.6624218471939</v>
      </c>
    </row>
    <row r="2337" spans="1:18" x14ac:dyDescent="0.25">
      <c r="A2337" s="60" t="s">
        <v>17</v>
      </c>
      <c r="B2337" s="61" t="s">
        <v>22</v>
      </c>
      <c r="C2337" s="62" t="s">
        <v>19</v>
      </c>
      <c r="D2337" s="63">
        <v>244.27255480647682</v>
      </c>
      <c r="E2337" s="79">
        <v>1320289</v>
      </c>
      <c r="F2337" s="80">
        <v>1290763.1538461526</v>
      </c>
      <c r="G2337" s="66">
        <v>2834.9737774139739</v>
      </c>
      <c r="H2337" s="67">
        <v>2</v>
      </c>
      <c r="I2337" s="68" t="s">
        <v>20</v>
      </c>
      <c r="J2337" s="69">
        <v>40</v>
      </c>
      <c r="K2337" s="70">
        <v>2</v>
      </c>
      <c r="L2337" s="68">
        <v>1</v>
      </c>
      <c r="M2337" s="68">
        <f>_xlfn.XLOOKUP(Survey!$F2337,sections[Start],sections[Test Section],,-1,1)</f>
        <v>7</v>
      </c>
      <c r="N2337" s="55">
        <f>_xlfn.XLOOKUP(Survey!$K2337,pipedata[ID],pipedata[WT])</f>
        <v>0.74</v>
      </c>
      <c r="O2337" s="56">
        <f>_xlfn.XLOOKUP(Survey!$K2337,pipedata[ID],pipedata[104%])</f>
        <v>2565.3333333333335</v>
      </c>
      <c r="P2337" s="57">
        <f t="shared" si="36"/>
        <v>1850</v>
      </c>
      <c r="Q2337" s="58">
        <f>_xlfn.MAXIFS(Survey!$G$2:$G$3647,Survey!$M$2:$M$3647,Survey!$M2337)-Survey!$G2337</f>
        <v>0</v>
      </c>
      <c r="R2337" s="59">
        <f>Survey!$P2337+(Survey!$Q2337*0.433)</f>
        <v>1850</v>
      </c>
    </row>
    <row r="2338" spans="1:18" x14ac:dyDescent="0.25">
      <c r="A2338" s="71" t="s">
        <v>17</v>
      </c>
      <c r="B2338" s="72" t="s">
        <v>22</v>
      </c>
      <c r="C2338" s="73" t="s">
        <v>19</v>
      </c>
      <c r="D2338" s="74">
        <v>244.28056826109795</v>
      </c>
      <c r="E2338" s="81">
        <v>1320329</v>
      </c>
      <c r="F2338" s="82">
        <v>1290801.9120879108</v>
      </c>
      <c r="G2338" s="75">
        <v>2832.930977646336</v>
      </c>
      <c r="H2338" s="76">
        <v>2</v>
      </c>
      <c r="I2338" s="54" t="s">
        <v>20</v>
      </c>
      <c r="J2338" s="77">
        <v>40</v>
      </c>
      <c r="K2338" s="78">
        <v>2</v>
      </c>
      <c r="L2338" s="54">
        <v>1</v>
      </c>
      <c r="M2338" s="54">
        <f>_xlfn.XLOOKUP(Survey!$F2338,sections[Start],sections[Test Section],,-1,1)</f>
        <v>7</v>
      </c>
      <c r="N2338" s="55">
        <f>_xlfn.XLOOKUP(Survey!$K2338,pipedata[ID],pipedata[WT])</f>
        <v>0.74</v>
      </c>
      <c r="O2338" s="56">
        <f>_xlfn.XLOOKUP(Survey!$K2338,pipedata[ID],pipedata[104%])</f>
        <v>2565.3333333333335</v>
      </c>
      <c r="P2338" s="57">
        <f t="shared" si="36"/>
        <v>1850</v>
      </c>
      <c r="Q2338" s="58">
        <f>_xlfn.MAXIFS(Survey!$G$2:$G$3647,Survey!$M$2:$M$3647,Survey!$M2338)-Survey!$G2338</f>
        <v>2.0427997676379164</v>
      </c>
      <c r="R2338" s="59">
        <f>Survey!$P2338+(Survey!$Q2338*0.433)</f>
        <v>1850.8845322993873</v>
      </c>
    </row>
    <row r="2339" spans="1:18" x14ac:dyDescent="0.25">
      <c r="A2339" s="60" t="s">
        <v>17</v>
      </c>
      <c r="B2339" s="61" t="s">
        <v>22</v>
      </c>
      <c r="C2339" s="62" t="s">
        <v>19</v>
      </c>
      <c r="D2339" s="63">
        <v>244.28858171571898</v>
      </c>
      <c r="E2339" s="79">
        <v>1320369</v>
      </c>
      <c r="F2339" s="80">
        <v>1290840.670329669</v>
      </c>
      <c r="G2339" s="66">
        <v>2829.5037291406247</v>
      </c>
      <c r="H2339" s="67">
        <v>2</v>
      </c>
      <c r="I2339" s="68" t="s">
        <v>20</v>
      </c>
      <c r="J2339" s="69">
        <v>40</v>
      </c>
      <c r="K2339" s="70">
        <v>2</v>
      </c>
      <c r="L2339" s="68">
        <v>1</v>
      </c>
      <c r="M2339" s="68">
        <f>_xlfn.XLOOKUP(Survey!$F2339,sections[Start],sections[Test Section],,-1,1)</f>
        <v>7</v>
      </c>
      <c r="N2339" s="55">
        <f>_xlfn.XLOOKUP(Survey!$K2339,pipedata[ID],pipedata[WT])</f>
        <v>0.74</v>
      </c>
      <c r="O2339" s="56">
        <f>_xlfn.XLOOKUP(Survey!$K2339,pipedata[ID],pipedata[104%])</f>
        <v>2565.3333333333335</v>
      </c>
      <c r="P2339" s="57">
        <f t="shared" si="36"/>
        <v>1850</v>
      </c>
      <c r="Q2339" s="58">
        <f>_xlfn.MAXIFS(Survey!$G$2:$G$3647,Survey!$M$2:$M$3647,Survey!$M2339)-Survey!$G2339</f>
        <v>5.4700482733492208</v>
      </c>
      <c r="R2339" s="59">
        <f>Survey!$P2339+(Survey!$Q2339*0.433)</f>
        <v>1852.3685309023601</v>
      </c>
    </row>
    <row r="2340" spans="1:18" x14ac:dyDescent="0.25">
      <c r="A2340" s="71" t="s">
        <v>17</v>
      </c>
      <c r="B2340" s="72" t="s">
        <v>22</v>
      </c>
      <c r="C2340" s="73" t="s">
        <v>19</v>
      </c>
      <c r="D2340" s="74">
        <v>244.29522345623928</v>
      </c>
      <c r="E2340" s="81">
        <v>1320409</v>
      </c>
      <c r="F2340" s="82">
        <v>1290879.4285714272</v>
      </c>
      <c r="G2340" s="75">
        <v>2822.9088841869775</v>
      </c>
      <c r="H2340" s="76">
        <v>2</v>
      </c>
      <c r="I2340" s="54" t="s">
        <v>20</v>
      </c>
      <c r="J2340" s="77">
        <v>40</v>
      </c>
      <c r="K2340" s="78">
        <v>2</v>
      </c>
      <c r="L2340" s="54">
        <v>1</v>
      </c>
      <c r="M2340" s="54">
        <f>_xlfn.XLOOKUP(Survey!$F2340,sections[Start],sections[Test Section],,-1,1)</f>
        <v>7</v>
      </c>
      <c r="N2340" s="55">
        <f>_xlfn.XLOOKUP(Survey!$K2340,pipedata[ID],pipedata[WT])</f>
        <v>0.74</v>
      </c>
      <c r="O2340" s="56">
        <f>_xlfn.XLOOKUP(Survey!$K2340,pipedata[ID],pipedata[104%])</f>
        <v>2565.3333333333335</v>
      </c>
      <c r="P2340" s="57">
        <f t="shared" si="36"/>
        <v>1850</v>
      </c>
      <c r="Q2340" s="58">
        <f>_xlfn.MAXIFS(Survey!$G$2:$G$3647,Survey!$M$2:$M$3647,Survey!$M2340)-Survey!$G2340</f>
        <v>12.064893226996446</v>
      </c>
      <c r="R2340" s="59">
        <f>Survey!$P2340+(Survey!$Q2340*0.433)</f>
        <v>1855.2240987672894</v>
      </c>
    </row>
    <row r="2341" spans="1:18" x14ac:dyDescent="0.25">
      <c r="A2341" s="60" t="s">
        <v>17</v>
      </c>
      <c r="B2341" s="61" t="s">
        <v>22</v>
      </c>
      <c r="C2341" s="62" t="s">
        <v>19</v>
      </c>
      <c r="D2341" s="63">
        <v>244.30323120848925</v>
      </c>
      <c r="E2341" s="79">
        <v>1320449</v>
      </c>
      <c r="F2341" s="80">
        <v>1290918.1868131855</v>
      </c>
      <c r="G2341" s="66">
        <v>2819.2561588062904</v>
      </c>
      <c r="H2341" s="67">
        <v>2</v>
      </c>
      <c r="I2341" s="68" t="s">
        <v>20</v>
      </c>
      <c r="J2341" s="69">
        <v>40</v>
      </c>
      <c r="K2341" s="70">
        <v>2</v>
      </c>
      <c r="L2341" s="68">
        <v>1</v>
      </c>
      <c r="M2341" s="68">
        <f>_xlfn.XLOOKUP(Survey!$F2341,sections[Start],sections[Test Section],,-1,1)</f>
        <v>7</v>
      </c>
      <c r="N2341" s="55">
        <f>_xlfn.XLOOKUP(Survey!$K2341,pipedata[ID],pipedata[WT])</f>
        <v>0.74</v>
      </c>
      <c r="O2341" s="56">
        <f>_xlfn.XLOOKUP(Survey!$K2341,pipedata[ID],pipedata[104%])</f>
        <v>2565.3333333333335</v>
      </c>
      <c r="P2341" s="57">
        <f t="shared" si="36"/>
        <v>1850</v>
      </c>
      <c r="Q2341" s="58">
        <f>_xlfn.MAXIFS(Survey!$G$2:$G$3647,Survey!$M$2:$M$3647,Survey!$M2341)-Survey!$G2341</f>
        <v>15.717618607683562</v>
      </c>
      <c r="R2341" s="59">
        <f>Survey!$P2341+(Survey!$Q2341*0.433)</f>
        <v>1856.805728857127</v>
      </c>
    </row>
    <row r="2342" spans="1:18" x14ac:dyDescent="0.25">
      <c r="A2342" s="71" t="s">
        <v>17</v>
      </c>
      <c r="B2342" s="72" t="s">
        <v>22</v>
      </c>
      <c r="C2342" s="73" t="s">
        <v>19</v>
      </c>
      <c r="D2342" s="74">
        <v>244.31069528031639</v>
      </c>
      <c r="E2342" s="81">
        <v>1320489</v>
      </c>
      <c r="F2342" s="82">
        <v>1290956.9450549437</v>
      </c>
      <c r="G2342" s="75">
        <v>2817.1717914079568</v>
      </c>
      <c r="H2342" s="76">
        <v>2</v>
      </c>
      <c r="I2342" s="54" t="s">
        <v>20</v>
      </c>
      <c r="J2342" s="77">
        <v>40</v>
      </c>
      <c r="K2342" s="78">
        <v>2</v>
      </c>
      <c r="L2342" s="54">
        <v>1</v>
      </c>
      <c r="M2342" s="54">
        <f>_xlfn.XLOOKUP(Survey!$F2342,sections[Start],sections[Test Section],,-1,1)</f>
        <v>7</v>
      </c>
      <c r="N2342" s="55">
        <f>_xlfn.XLOOKUP(Survey!$K2342,pipedata[ID],pipedata[WT])</f>
        <v>0.74</v>
      </c>
      <c r="O2342" s="56">
        <f>_xlfn.XLOOKUP(Survey!$K2342,pipedata[ID],pipedata[104%])</f>
        <v>2565.3333333333335</v>
      </c>
      <c r="P2342" s="57">
        <f t="shared" si="36"/>
        <v>1850</v>
      </c>
      <c r="Q2342" s="58">
        <f>_xlfn.MAXIFS(Survey!$G$2:$G$3647,Survey!$M$2:$M$3647,Survey!$M2342)-Survey!$G2342</f>
        <v>17.80198600601716</v>
      </c>
      <c r="R2342" s="59">
        <f>Survey!$P2342+(Survey!$Q2342*0.433)</f>
        <v>1857.7082599406053</v>
      </c>
    </row>
    <row r="2343" spans="1:18" x14ac:dyDescent="0.25">
      <c r="A2343" s="60" t="s">
        <v>17</v>
      </c>
      <c r="B2343" s="61" t="s">
        <v>22</v>
      </c>
      <c r="C2343" s="62" t="s">
        <v>19</v>
      </c>
      <c r="D2343" s="63">
        <v>244.31843119235529</v>
      </c>
      <c r="E2343" s="79">
        <v>1320529</v>
      </c>
      <c r="F2343" s="80">
        <v>1290995.7032967019</v>
      </c>
      <c r="G2343" s="66">
        <v>2817.067423306717</v>
      </c>
      <c r="H2343" s="67">
        <v>2</v>
      </c>
      <c r="I2343" s="68" t="s">
        <v>20</v>
      </c>
      <c r="J2343" s="69">
        <v>40</v>
      </c>
      <c r="K2343" s="70">
        <v>2</v>
      </c>
      <c r="L2343" s="68">
        <v>1</v>
      </c>
      <c r="M2343" s="68">
        <f>_xlfn.XLOOKUP(Survey!$F2343,sections[Start],sections[Test Section],,-1,1)</f>
        <v>7</v>
      </c>
      <c r="N2343" s="55">
        <f>_xlfn.XLOOKUP(Survey!$K2343,pipedata[ID],pipedata[WT])</f>
        <v>0.74</v>
      </c>
      <c r="O2343" s="56">
        <f>_xlfn.XLOOKUP(Survey!$K2343,pipedata[ID],pipedata[104%])</f>
        <v>2565.3333333333335</v>
      </c>
      <c r="P2343" s="57">
        <f t="shared" si="36"/>
        <v>1850</v>
      </c>
      <c r="Q2343" s="58">
        <f>_xlfn.MAXIFS(Survey!$G$2:$G$3647,Survey!$M$2:$M$3647,Survey!$M2343)-Survey!$G2343</f>
        <v>17.906354107256902</v>
      </c>
      <c r="R2343" s="59">
        <f>Survey!$P2343+(Survey!$Q2343*0.433)</f>
        <v>1857.7534513284422</v>
      </c>
    </row>
    <row r="2344" spans="1:18" x14ac:dyDescent="0.25">
      <c r="A2344" s="71" t="s">
        <v>17</v>
      </c>
      <c r="B2344" s="72" t="s">
        <v>22</v>
      </c>
      <c r="C2344" s="73" t="s">
        <v>19</v>
      </c>
      <c r="D2344" s="74">
        <v>244.32616710439356</v>
      </c>
      <c r="E2344" s="81">
        <v>1320569</v>
      </c>
      <c r="F2344" s="82">
        <v>1291034.4615384601</v>
      </c>
      <c r="G2344" s="75">
        <v>2815.9338875561766</v>
      </c>
      <c r="H2344" s="76">
        <v>2</v>
      </c>
      <c r="I2344" s="54" t="s">
        <v>20</v>
      </c>
      <c r="J2344" s="77">
        <v>40</v>
      </c>
      <c r="K2344" s="78">
        <v>2</v>
      </c>
      <c r="L2344" s="54">
        <v>1</v>
      </c>
      <c r="M2344" s="54">
        <f>_xlfn.XLOOKUP(Survey!$F2344,sections[Start],sections[Test Section],,-1,1)</f>
        <v>7</v>
      </c>
      <c r="N2344" s="55">
        <f>_xlfn.XLOOKUP(Survey!$K2344,pipedata[ID],pipedata[WT])</f>
        <v>0.74</v>
      </c>
      <c r="O2344" s="56">
        <f>_xlfn.XLOOKUP(Survey!$K2344,pipedata[ID],pipedata[104%])</f>
        <v>2565.3333333333335</v>
      </c>
      <c r="P2344" s="57">
        <f t="shared" si="36"/>
        <v>1850</v>
      </c>
      <c r="Q2344" s="58">
        <f>_xlfn.MAXIFS(Survey!$G$2:$G$3647,Survey!$M$2:$M$3647,Survey!$M2344)-Survey!$G2344</f>
        <v>19.039889857797334</v>
      </c>
      <c r="R2344" s="59">
        <f>Survey!$P2344+(Survey!$Q2344*0.433)</f>
        <v>1858.2442723084262</v>
      </c>
    </row>
    <row r="2345" spans="1:18" x14ac:dyDescent="0.25">
      <c r="A2345" s="60" t="s">
        <v>17</v>
      </c>
      <c r="B2345" s="61" t="s">
        <v>22</v>
      </c>
      <c r="C2345" s="62" t="s">
        <v>19</v>
      </c>
      <c r="D2345" s="63">
        <v>244.33318930755416</v>
      </c>
      <c r="E2345" s="79">
        <v>1320609</v>
      </c>
      <c r="F2345" s="80">
        <v>1291073.2197802183</v>
      </c>
      <c r="G2345" s="66">
        <v>2812.9142383590929</v>
      </c>
      <c r="H2345" s="67">
        <v>2</v>
      </c>
      <c r="I2345" s="68" t="s">
        <v>20</v>
      </c>
      <c r="J2345" s="69">
        <v>40</v>
      </c>
      <c r="K2345" s="70">
        <v>2</v>
      </c>
      <c r="L2345" s="68">
        <v>1</v>
      </c>
      <c r="M2345" s="68">
        <f>_xlfn.XLOOKUP(Survey!$F2345,sections[Start],sections[Test Section],,-1,1)</f>
        <v>7</v>
      </c>
      <c r="N2345" s="55">
        <f>_xlfn.XLOOKUP(Survey!$K2345,pipedata[ID],pipedata[WT])</f>
        <v>0.74</v>
      </c>
      <c r="O2345" s="56">
        <f>_xlfn.XLOOKUP(Survey!$K2345,pipedata[ID],pipedata[104%])</f>
        <v>2565.3333333333335</v>
      </c>
      <c r="P2345" s="57">
        <f t="shared" si="36"/>
        <v>1850</v>
      </c>
      <c r="Q2345" s="58">
        <f>_xlfn.MAXIFS(Survey!$G$2:$G$3647,Survey!$M$2:$M$3647,Survey!$M2345)-Survey!$G2345</f>
        <v>22.059539054881043</v>
      </c>
      <c r="R2345" s="59">
        <f>Survey!$P2345+(Survey!$Q2345*0.433)</f>
        <v>1859.5517804107635</v>
      </c>
    </row>
    <row r="2346" spans="1:18" x14ac:dyDescent="0.25">
      <c r="A2346" s="71" t="s">
        <v>17</v>
      </c>
      <c r="B2346" s="72" t="s">
        <v>22</v>
      </c>
      <c r="C2346" s="73" t="s">
        <v>19</v>
      </c>
      <c r="D2346" s="74">
        <v>244.34090394583473</v>
      </c>
      <c r="E2346" s="81">
        <v>1320649</v>
      </c>
      <c r="F2346" s="82">
        <v>1291111.9780219765</v>
      </c>
      <c r="G2346" s="75">
        <v>2810.3397134176566</v>
      </c>
      <c r="H2346" s="76">
        <v>2</v>
      </c>
      <c r="I2346" s="54" t="s">
        <v>20</v>
      </c>
      <c r="J2346" s="77">
        <v>40</v>
      </c>
      <c r="K2346" s="78">
        <v>2</v>
      </c>
      <c r="L2346" s="54">
        <v>1</v>
      </c>
      <c r="M2346" s="54">
        <f>_xlfn.XLOOKUP(Survey!$F2346,sections[Start],sections[Test Section],,-1,1)</f>
        <v>7</v>
      </c>
      <c r="N2346" s="55">
        <f>_xlfn.XLOOKUP(Survey!$K2346,pipedata[ID],pipedata[WT])</f>
        <v>0.74</v>
      </c>
      <c r="O2346" s="56">
        <f>_xlfn.XLOOKUP(Survey!$K2346,pipedata[ID],pipedata[104%])</f>
        <v>2565.3333333333335</v>
      </c>
      <c r="P2346" s="57">
        <f t="shared" si="36"/>
        <v>1850</v>
      </c>
      <c r="Q2346" s="58">
        <f>_xlfn.MAXIFS(Survey!$G$2:$G$3647,Survey!$M$2:$M$3647,Survey!$M2346)-Survey!$G2346</f>
        <v>24.634063996317309</v>
      </c>
      <c r="R2346" s="59">
        <f>Survey!$P2346+(Survey!$Q2346*0.433)</f>
        <v>1860.6665497104054</v>
      </c>
    </row>
    <row r="2347" spans="1:18" x14ac:dyDescent="0.25">
      <c r="A2347" s="60" t="s">
        <v>17</v>
      </c>
      <c r="B2347" s="61" t="s">
        <v>22</v>
      </c>
      <c r="C2347" s="62" t="s">
        <v>19</v>
      </c>
      <c r="D2347" s="63">
        <v>244.34866113163122</v>
      </c>
      <c r="E2347" s="79">
        <v>1320689</v>
      </c>
      <c r="F2347" s="80">
        <v>1291150.7362637348</v>
      </c>
      <c r="G2347" s="66">
        <v>2802.5422024300219</v>
      </c>
      <c r="H2347" s="67">
        <v>2</v>
      </c>
      <c r="I2347" s="68" t="s">
        <v>20</v>
      </c>
      <c r="J2347" s="69">
        <v>40</v>
      </c>
      <c r="K2347" s="70">
        <v>2</v>
      </c>
      <c r="L2347" s="68">
        <v>1</v>
      </c>
      <c r="M2347" s="68">
        <f>_xlfn.XLOOKUP(Survey!$F2347,sections[Start],sections[Test Section],,-1,1)</f>
        <v>7</v>
      </c>
      <c r="N2347" s="55">
        <f>_xlfn.XLOOKUP(Survey!$K2347,pipedata[ID],pipedata[WT])</f>
        <v>0.74</v>
      </c>
      <c r="O2347" s="56">
        <f>_xlfn.XLOOKUP(Survey!$K2347,pipedata[ID],pipedata[104%])</f>
        <v>2565.3333333333335</v>
      </c>
      <c r="P2347" s="57">
        <f t="shared" si="36"/>
        <v>1850</v>
      </c>
      <c r="Q2347" s="58">
        <f>_xlfn.MAXIFS(Survey!$G$2:$G$3647,Survey!$M$2:$M$3647,Survey!$M2347)-Survey!$G2347</f>
        <v>32.431574983952032</v>
      </c>
      <c r="R2347" s="59">
        <f>Survey!$P2347+(Survey!$Q2347*0.433)</f>
        <v>1864.0428719680513</v>
      </c>
    </row>
    <row r="2348" spans="1:18" x14ac:dyDescent="0.25">
      <c r="A2348" s="71" t="s">
        <v>17</v>
      </c>
      <c r="B2348" s="72" t="s">
        <v>22</v>
      </c>
      <c r="C2348" s="73" t="s">
        <v>19</v>
      </c>
      <c r="D2348" s="74">
        <v>244.35580360192</v>
      </c>
      <c r="E2348" s="81">
        <v>1320729</v>
      </c>
      <c r="F2348" s="82">
        <v>1291189.494505493</v>
      </c>
      <c r="G2348" s="75">
        <v>2792.4089950788916</v>
      </c>
      <c r="H2348" s="76">
        <v>2</v>
      </c>
      <c r="I2348" s="54" t="s">
        <v>20</v>
      </c>
      <c r="J2348" s="77">
        <v>40</v>
      </c>
      <c r="K2348" s="78">
        <v>2</v>
      </c>
      <c r="L2348" s="54">
        <v>1</v>
      </c>
      <c r="M2348" s="54">
        <f>_xlfn.XLOOKUP(Survey!$F2348,sections[Start],sections[Test Section],,-1,1)</f>
        <v>7</v>
      </c>
      <c r="N2348" s="55">
        <f>_xlfn.XLOOKUP(Survey!$K2348,pipedata[ID],pipedata[WT])</f>
        <v>0.74</v>
      </c>
      <c r="O2348" s="56">
        <f>_xlfn.XLOOKUP(Survey!$K2348,pipedata[ID],pipedata[104%])</f>
        <v>2565.3333333333335</v>
      </c>
      <c r="P2348" s="57">
        <f t="shared" si="36"/>
        <v>1850</v>
      </c>
      <c r="Q2348" s="58">
        <f>_xlfn.MAXIFS(Survey!$G$2:$G$3647,Survey!$M$2:$M$3647,Survey!$M2348)-Survey!$G2348</f>
        <v>42.564782335082327</v>
      </c>
      <c r="R2348" s="59">
        <f>Survey!$P2348+(Survey!$Q2348*0.433)</f>
        <v>1868.4305507510905</v>
      </c>
    </row>
    <row r="2349" spans="1:18" x14ac:dyDescent="0.25">
      <c r="A2349" s="60" t="s">
        <v>17</v>
      </c>
      <c r="B2349" s="61" t="s">
        <v>22</v>
      </c>
      <c r="C2349" s="62" t="s">
        <v>19</v>
      </c>
      <c r="D2349" s="63">
        <v>244.36219897769868</v>
      </c>
      <c r="E2349" s="79">
        <v>1320769</v>
      </c>
      <c r="F2349" s="80">
        <v>1291228.2527472512</v>
      </c>
      <c r="G2349" s="66">
        <v>2782.8562731120242</v>
      </c>
      <c r="H2349" s="67">
        <v>2</v>
      </c>
      <c r="I2349" s="68" t="s">
        <v>20</v>
      </c>
      <c r="J2349" s="69">
        <v>40</v>
      </c>
      <c r="K2349" s="70">
        <v>2</v>
      </c>
      <c r="L2349" s="68">
        <v>1</v>
      </c>
      <c r="M2349" s="68">
        <f>_xlfn.XLOOKUP(Survey!$F2349,sections[Start],sections[Test Section],,-1,1)</f>
        <v>7</v>
      </c>
      <c r="N2349" s="55">
        <f>_xlfn.XLOOKUP(Survey!$K2349,pipedata[ID],pipedata[WT])</f>
        <v>0.74</v>
      </c>
      <c r="O2349" s="56">
        <f>_xlfn.XLOOKUP(Survey!$K2349,pipedata[ID],pipedata[104%])</f>
        <v>2565.3333333333335</v>
      </c>
      <c r="P2349" s="57">
        <f t="shared" si="36"/>
        <v>1850</v>
      </c>
      <c r="Q2349" s="58">
        <f>_xlfn.MAXIFS(Survey!$G$2:$G$3647,Survey!$M$2:$M$3647,Survey!$M2349)-Survey!$G2349</f>
        <v>52.117504301949793</v>
      </c>
      <c r="R2349" s="59">
        <f>Survey!$P2349+(Survey!$Q2349*0.433)</f>
        <v>1872.5668793627442</v>
      </c>
    </row>
    <row r="2350" spans="1:18" x14ac:dyDescent="0.25">
      <c r="A2350" s="71" t="s">
        <v>17</v>
      </c>
      <c r="B2350" s="72" t="s">
        <v>22</v>
      </c>
      <c r="C2350" s="73" t="s">
        <v>19</v>
      </c>
      <c r="D2350" s="74">
        <v>244.37073555663329</v>
      </c>
      <c r="E2350" s="81">
        <v>1320809</v>
      </c>
      <c r="F2350" s="82">
        <v>1291267.0109890094</v>
      </c>
      <c r="G2350" s="75">
        <v>2770.4045230046613</v>
      </c>
      <c r="H2350" s="76">
        <v>2</v>
      </c>
      <c r="I2350" s="54" t="s">
        <v>20</v>
      </c>
      <c r="J2350" s="77">
        <v>40</v>
      </c>
      <c r="K2350" s="78">
        <v>2</v>
      </c>
      <c r="L2350" s="54">
        <v>1</v>
      </c>
      <c r="M2350" s="54">
        <f>_xlfn.XLOOKUP(Survey!$F2350,sections[Start],sections[Test Section],,-1,1)</f>
        <v>7</v>
      </c>
      <c r="N2350" s="55">
        <f>_xlfn.XLOOKUP(Survey!$K2350,pipedata[ID],pipedata[WT])</f>
        <v>0.74</v>
      </c>
      <c r="O2350" s="56">
        <f>_xlfn.XLOOKUP(Survey!$K2350,pipedata[ID],pipedata[104%])</f>
        <v>2565.3333333333335</v>
      </c>
      <c r="P2350" s="57">
        <f t="shared" si="36"/>
        <v>1850</v>
      </c>
      <c r="Q2350" s="58">
        <f>_xlfn.MAXIFS(Survey!$G$2:$G$3647,Survey!$M$2:$M$3647,Survey!$M2350)-Survey!$G2350</f>
        <v>64.569254409312634</v>
      </c>
      <c r="R2350" s="59">
        <f>Survey!$P2350+(Survey!$Q2350*0.433)</f>
        <v>1877.9584871592324</v>
      </c>
    </row>
    <row r="2351" spans="1:18" x14ac:dyDescent="0.25">
      <c r="A2351" s="60" t="s">
        <v>17</v>
      </c>
      <c r="B2351" s="61" t="s">
        <v>22</v>
      </c>
      <c r="C2351" s="62" t="s">
        <v>19</v>
      </c>
      <c r="D2351" s="63">
        <v>244.3775786552267</v>
      </c>
      <c r="E2351" s="79">
        <v>1320849</v>
      </c>
      <c r="F2351" s="80">
        <v>1291305.7692307676</v>
      </c>
      <c r="G2351" s="66">
        <v>2757.146443883722</v>
      </c>
      <c r="H2351" s="67">
        <v>2</v>
      </c>
      <c r="I2351" s="68" t="s">
        <v>20</v>
      </c>
      <c r="J2351" s="69">
        <v>40</v>
      </c>
      <c r="K2351" s="70">
        <v>2</v>
      </c>
      <c r="L2351" s="68">
        <v>1</v>
      </c>
      <c r="M2351" s="68">
        <f>_xlfn.XLOOKUP(Survey!$F2351,sections[Start],sections[Test Section],,-1,1)</f>
        <v>7</v>
      </c>
      <c r="N2351" s="55">
        <f>_xlfn.XLOOKUP(Survey!$K2351,pipedata[ID],pipedata[WT])</f>
        <v>0.74</v>
      </c>
      <c r="O2351" s="56">
        <f>_xlfn.XLOOKUP(Survey!$K2351,pipedata[ID],pipedata[104%])</f>
        <v>2565.3333333333335</v>
      </c>
      <c r="P2351" s="57">
        <f t="shared" si="36"/>
        <v>1850</v>
      </c>
      <c r="Q2351" s="58">
        <f>_xlfn.MAXIFS(Survey!$G$2:$G$3647,Survey!$M$2:$M$3647,Survey!$M2351)-Survey!$G2351</f>
        <v>77.827333530251963</v>
      </c>
      <c r="R2351" s="59">
        <f>Survey!$P2351+(Survey!$Q2351*0.433)</f>
        <v>1883.6992354185991</v>
      </c>
    </row>
    <row r="2352" spans="1:18" x14ac:dyDescent="0.25">
      <c r="A2352" s="71" t="s">
        <v>17</v>
      </c>
      <c r="B2352" s="72" t="s">
        <v>22</v>
      </c>
      <c r="C2352" s="73" t="s">
        <v>19</v>
      </c>
      <c r="D2352" s="74">
        <v>244.38489238728206</v>
      </c>
      <c r="E2352" s="81">
        <v>1320889</v>
      </c>
      <c r="F2352" s="82">
        <v>1291344.5274725258</v>
      </c>
      <c r="G2352" s="75">
        <v>2745.9822777943314</v>
      </c>
      <c r="H2352" s="76">
        <v>2</v>
      </c>
      <c r="I2352" s="54" t="s">
        <v>20</v>
      </c>
      <c r="J2352" s="77">
        <v>40</v>
      </c>
      <c r="K2352" s="78">
        <v>2</v>
      </c>
      <c r="L2352" s="54">
        <v>1</v>
      </c>
      <c r="M2352" s="54">
        <f>_xlfn.XLOOKUP(Survey!$F2352,sections[Start],sections[Test Section],,-1,1)</f>
        <v>7</v>
      </c>
      <c r="N2352" s="55">
        <f>_xlfn.XLOOKUP(Survey!$K2352,pipedata[ID],pipedata[WT])</f>
        <v>0.74</v>
      </c>
      <c r="O2352" s="56">
        <f>_xlfn.XLOOKUP(Survey!$K2352,pipedata[ID],pipedata[104%])</f>
        <v>2565.3333333333335</v>
      </c>
      <c r="P2352" s="57">
        <f t="shared" si="36"/>
        <v>1850</v>
      </c>
      <c r="Q2352" s="58">
        <f>_xlfn.MAXIFS(Survey!$G$2:$G$3647,Survey!$M$2:$M$3647,Survey!$M2352)-Survey!$G2352</f>
        <v>88.991499619642582</v>
      </c>
      <c r="R2352" s="59">
        <f>Survey!$P2352+(Survey!$Q2352*0.433)</f>
        <v>1888.5333193353054</v>
      </c>
    </row>
    <row r="2353" spans="1:18" x14ac:dyDescent="0.25">
      <c r="A2353" s="60" t="s">
        <v>17</v>
      </c>
      <c r="B2353" s="61" t="s">
        <v>22</v>
      </c>
      <c r="C2353" s="62" t="s">
        <v>19</v>
      </c>
      <c r="D2353" s="63">
        <v>244.39220611933763</v>
      </c>
      <c r="E2353" s="79">
        <v>1320929</v>
      </c>
      <c r="F2353" s="80">
        <v>1291383.2857142841</v>
      </c>
      <c r="G2353" s="66">
        <v>2738.2201357678396</v>
      </c>
      <c r="H2353" s="67">
        <v>2</v>
      </c>
      <c r="I2353" s="68" t="s">
        <v>20</v>
      </c>
      <c r="J2353" s="69">
        <v>40</v>
      </c>
      <c r="K2353" s="70">
        <v>2</v>
      </c>
      <c r="L2353" s="68">
        <v>1</v>
      </c>
      <c r="M2353" s="68">
        <f>_xlfn.XLOOKUP(Survey!$F2353,sections[Start],sections[Test Section],,-1,1)</f>
        <v>7</v>
      </c>
      <c r="N2353" s="55">
        <f>_xlfn.XLOOKUP(Survey!$K2353,pipedata[ID],pipedata[WT])</f>
        <v>0.74</v>
      </c>
      <c r="O2353" s="56">
        <f>_xlfn.XLOOKUP(Survey!$K2353,pipedata[ID],pipedata[104%])</f>
        <v>2565.3333333333335</v>
      </c>
      <c r="P2353" s="57">
        <f t="shared" si="36"/>
        <v>1850</v>
      </c>
      <c r="Q2353" s="58">
        <f>_xlfn.MAXIFS(Survey!$G$2:$G$3647,Survey!$M$2:$M$3647,Survey!$M2353)-Survey!$G2353</f>
        <v>96.753641646134383</v>
      </c>
      <c r="R2353" s="59">
        <f>Survey!$P2353+(Survey!$Q2353*0.433)</f>
        <v>1891.8943268327762</v>
      </c>
    </row>
    <row r="2354" spans="1:18" x14ac:dyDescent="0.25">
      <c r="A2354" s="71" t="s">
        <v>17</v>
      </c>
      <c r="B2354" s="72" t="s">
        <v>22</v>
      </c>
      <c r="C2354" s="73" t="s">
        <v>19</v>
      </c>
      <c r="D2354" s="74">
        <v>244.3997452267779</v>
      </c>
      <c r="E2354" s="81">
        <v>1320969</v>
      </c>
      <c r="F2354" s="82">
        <v>1291422.0439560423</v>
      </c>
      <c r="G2354" s="75">
        <v>2731.661777172154</v>
      </c>
      <c r="H2354" s="76">
        <v>2</v>
      </c>
      <c r="I2354" s="54" t="s">
        <v>20</v>
      </c>
      <c r="J2354" s="77">
        <v>40</v>
      </c>
      <c r="K2354" s="78">
        <v>2</v>
      </c>
      <c r="L2354" s="54">
        <v>1</v>
      </c>
      <c r="M2354" s="54">
        <f>_xlfn.XLOOKUP(Survey!$F2354,sections[Start],sections[Test Section],,-1,1)</f>
        <v>7</v>
      </c>
      <c r="N2354" s="55">
        <f>_xlfn.XLOOKUP(Survey!$K2354,pipedata[ID],pipedata[WT])</f>
        <v>0.74</v>
      </c>
      <c r="O2354" s="56">
        <f>_xlfn.XLOOKUP(Survey!$K2354,pipedata[ID],pipedata[104%])</f>
        <v>2565.3333333333335</v>
      </c>
      <c r="P2354" s="57">
        <f t="shared" si="36"/>
        <v>1850</v>
      </c>
      <c r="Q2354" s="58">
        <f>_xlfn.MAXIFS(Survey!$G$2:$G$3647,Survey!$M$2:$M$3647,Survey!$M2354)-Survey!$G2354</f>
        <v>103.31200024181999</v>
      </c>
      <c r="R2354" s="59">
        <f>Survey!$P2354+(Survey!$Q2354*0.433)</f>
        <v>1894.734096104708</v>
      </c>
    </row>
    <row r="2355" spans="1:18" x14ac:dyDescent="0.25">
      <c r="A2355" s="60" t="s">
        <v>17</v>
      </c>
      <c r="B2355" s="61" t="s">
        <v>22</v>
      </c>
      <c r="C2355" s="62" t="s">
        <v>19</v>
      </c>
      <c r="D2355" s="63">
        <v>244.40748113881648</v>
      </c>
      <c r="E2355" s="79">
        <v>1321009</v>
      </c>
      <c r="F2355" s="80">
        <v>1291460.8021978005</v>
      </c>
      <c r="G2355" s="66">
        <v>2725.480112746312</v>
      </c>
      <c r="H2355" s="67">
        <v>2</v>
      </c>
      <c r="I2355" s="68" t="s">
        <v>20</v>
      </c>
      <c r="J2355" s="69">
        <v>40</v>
      </c>
      <c r="K2355" s="70">
        <v>2</v>
      </c>
      <c r="L2355" s="68">
        <v>1</v>
      </c>
      <c r="M2355" s="68">
        <f>_xlfn.XLOOKUP(Survey!$F2355,sections[Start],sections[Test Section],,-1,1)</f>
        <v>7</v>
      </c>
      <c r="N2355" s="55">
        <f>_xlfn.XLOOKUP(Survey!$K2355,pipedata[ID],pipedata[WT])</f>
        <v>0.74</v>
      </c>
      <c r="O2355" s="56">
        <f>_xlfn.XLOOKUP(Survey!$K2355,pipedata[ID],pipedata[104%])</f>
        <v>2565.3333333333335</v>
      </c>
      <c r="P2355" s="57">
        <f t="shared" si="36"/>
        <v>1850</v>
      </c>
      <c r="Q2355" s="58">
        <f>_xlfn.MAXIFS(Survey!$G$2:$G$3647,Survey!$M$2:$M$3647,Survey!$M2355)-Survey!$G2355</f>
        <v>109.49366466766196</v>
      </c>
      <c r="R2355" s="59">
        <f>Survey!$P2355+(Survey!$Q2355*0.433)</f>
        <v>1897.4107568010977</v>
      </c>
    </row>
    <row r="2356" spans="1:18" x14ac:dyDescent="0.25">
      <c r="A2356" s="71" t="s">
        <v>17</v>
      </c>
      <c r="B2356" s="72" t="s">
        <v>22</v>
      </c>
      <c r="C2356" s="73" t="s">
        <v>19</v>
      </c>
      <c r="D2356" s="74">
        <v>244.41521705085509</v>
      </c>
      <c r="E2356" s="81">
        <v>1321049</v>
      </c>
      <c r="F2356" s="82">
        <v>1291499.5604395587</v>
      </c>
      <c r="G2356" s="75">
        <v>2722.0334199707058</v>
      </c>
      <c r="H2356" s="76">
        <v>2</v>
      </c>
      <c r="I2356" s="54" t="s">
        <v>20</v>
      </c>
      <c r="J2356" s="77">
        <v>40</v>
      </c>
      <c r="K2356" s="78">
        <v>2</v>
      </c>
      <c r="L2356" s="54">
        <v>1</v>
      </c>
      <c r="M2356" s="54">
        <f>_xlfn.XLOOKUP(Survey!$F2356,sections[Start],sections[Test Section],,-1,1)</f>
        <v>7</v>
      </c>
      <c r="N2356" s="55">
        <f>_xlfn.XLOOKUP(Survey!$K2356,pipedata[ID],pipedata[WT])</f>
        <v>0.74</v>
      </c>
      <c r="O2356" s="56">
        <f>_xlfn.XLOOKUP(Survey!$K2356,pipedata[ID],pipedata[104%])</f>
        <v>2565.3333333333335</v>
      </c>
      <c r="P2356" s="57">
        <f t="shared" si="36"/>
        <v>1850</v>
      </c>
      <c r="Q2356" s="58">
        <f>_xlfn.MAXIFS(Survey!$G$2:$G$3647,Survey!$M$2:$M$3647,Survey!$M2356)-Survey!$G2356</f>
        <v>112.94035744326811</v>
      </c>
      <c r="R2356" s="59">
        <f>Survey!$P2356+(Survey!$Q2356*0.433)</f>
        <v>1898.903174772935</v>
      </c>
    </row>
    <row r="2357" spans="1:18" x14ac:dyDescent="0.25">
      <c r="A2357" s="60" t="s">
        <v>17</v>
      </c>
      <c r="B2357" s="61" t="s">
        <v>22</v>
      </c>
      <c r="C2357" s="62" t="s">
        <v>19</v>
      </c>
      <c r="D2357" s="63">
        <v>244.42146104755929</v>
      </c>
      <c r="E2357" s="79">
        <v>1321089</v>
      </c>
      <c r="F2357" s="80">
        <v>1291538.3186813169</v>
      </c>
      <c r="G2357" s="66">
        <v>2721.3141932433196</v>
      </c>
      <c r="H2357" s="67">
        <v>2</v>
      </c>
      <c r="I2357" s="68" t="s">
        <v>20</v>
      </c>
      <c r="J2357" s="69">
        <v>40</v>
      </c>
      <c r="K2357" s="70">
        <v>2</v>
      </c>
      <c r="L2357" s="68">
        <v>1</v>
      </c>
      <c r="M2357" s="68">
        <f>_xlfn.XLOOKUP(Survey!$F2357,sections[Start],sections[Test Section],,-1,1)</f>
        <v>7</v>
      </c>
      <c r="N2357" s="55">
        <f>_xlfn.XLOOKUP(Survey!$K2357,pipedata[ID],pipedata[WT])</f>
        <v>0.74</v>
      </c>
      <c r="O2357" s="56">
        <f>_xlfn.XLOOKUP(Survey!$K2357,pipedata[ID],pipedata[104%])</f>
        <v>2565.3333333333335</v>
      </c>
      <c r="P2357" s="57">
        <f t="shared" si="36"/>
        <v>1850</v>
      </c>
      <c r="Q2357" s="58">
        <f>_xlfn.MAXIFS(Survey!$G$2:$G$3647,Survey!$M$2:$M$3647,Survey!$M2357)-Survey!$G2357</f>
        <v>113.6595841706544</v>
      </c>
      <c r="R2357" s="59">
        <f>Survey!$P2357+(Survey!$Q2357*0.433)</f>
        <v>1899.2145999458933</v>
      </c>
    </row>
    <row r="2358" spans="1:18" x14ac:dyDescent="0.25">
      <c r="A2358" s="71" t="s">
        <v>17</v>
      </c>
      <c r="B2358" s="72" t="s">
        <v>22</v>
      </c>
      <c r="C2358" s="73" t="s">
        <v>19</v>
      </c>
      <c r="D2358" s="74">
        <v>244.42877477961429</v>
      </c>
      <c r="E2358" s="81">
        <v>1321129</v>
      </c>
      <c r="F2358" s="82">
        <v>1291577.0769230751</v>
      </c>
      <c r="G2358" s="75">
        <v>2718.0357936489768</v>
      </c>
      <c r="H2358" s="76">
        <v>2</v>
      </c>
      <c r="I2358" s="54" t="s">
        <v>20</v>
      </c>
      <c r="J2358" s="77">
        <v>40</v>
      </c>
      <c r="K2358" s="78">
        <v>2</v>
      </c>
      <c r="L2358" s="54">
        <v>1</v>
      </c>
      <c r="M2358" s="54">
        <f>_xlfn.XLOOKUP(Survey!$F2358,sections[Start],sections[Test Section],,-1,1)</f>
        <v>7</v>
      </c>
      <c r="N2358" s="55">
        <f>_xlfn.XLOOKUP(Survey!$K2358,pipedata[ID],pipedata[WT])</f>
        <v>0.74</v>
      </c>
      <c r="O2358" s="56">
        <f>_xlfn.XLOOKUP(Survey!$K2358,pipedata[ID],pipedata[104%])</f>
        <v>2565.3333333333335</v>
      </c>
      <c r="P2358" s="57">
        <f t="shared" si="36"/>
        <v>1850</v>
      </c>
      <c r="Q2358" s="58">
        <f>_xlfn.MAXIFS(Survey!$G$2:$G$3647,Survey!$M$2:$M$3647,Survey!$M2358)-Survey!$G2358</f>
        <v>116.93798376499717</v>
      </c>
      <c r="R2358" s="59">
        <f>Survey!$P2358+(Survey!$Q2358*0.433)</f>
        <v>1900.6341469702438</v>
      </c>
    </row>
    <row r="2359" spans="1:18" x14ac:dyDescent="0.25">
      <c r="A2359" s="60" t="s">
        <v>17</v>
      </c>
      <c r="B2359" s="61" t="s">
        <v>22</v>
      </c>
      <c r="C2359" s="62" t="s">
        <v>19</v>
      </c>
      <c r="D2359" s="63">
        <v>244.43649080896103</v>
      </c>
      <c r="E2359" s="79">
        <v>1321169</v>
      </c>
      <c r="F2359" s="80">
        <v>1291615.8351648333</v>
      </c>
      <c r="G2359" s="66">
        <v>2709.8551960047689</v>
      </c>
      <c r="H2359" s="67">
        <v>2</v>
      </c>
      <c r="I2359" s="68" t="s">
        <v>20</v>
      </c>
      <c r="J2359" s="69">
        <v>40</v>
      </c>
      <c r="K2359" s="70">
        <v>2</v>
      </c>
      <c r="L2359" s="68">
        <v>1</v>
      </c>
      <c r="M2359" s="68">
        <f>_xlfn.XLOOKUP(Survey!$F2359,sections[Start],sections[Test Section],,-1,1)</f>
        <v>7</v>
      </c>
      <c r="N2359" s="55">
        <f>_xlfn.XLOOKUP(Survey!$K2359,pipedata[ID],pipedata[WT])</f>
        <v>0.74</v>
      </c>
      <c r="O2359" s="56">
        <f>_xlfn.XLOOKUP(Survey!$K2359,pipedata[ID],pipedata[104%])</f>
        <v>2565.3333333333335</v>
      </c>
      <c r="P2359" s="57">
        <f t="shared" si="36"/>
        <v>1850</v>
      </c>
      <c r="Q2359" s="58">
        <f>_xlfn.MAXIFS(Survey!$G$2:$G$3647,Survey!$M$2:$M$3647,Survey!$M2359)-Survey!$G2359</f>
        <v>125.11858140920504</v>
      </c>
      <c r="R2359" s="59">
        <f>Survey!$P2359+(Survey!$Q2359*0.433)</f>
        <v>1904.1763457501859</v>
      </c>
    </row>
    <row r="2360" spans="1:18" x14ac:dyDescent="0.25">
      <c r="A2360" s="71" t="s">
        <v>17</v>
      </c>
      <c r="B2360" s="72" t="s">
        <v>22</v>
      </c>
      <c r="C2360" s="73" t="s">
        <v>19</v>
      </c>
      <c r="D2360" s="74">
        <v>244.44476873521401</v>
      </c>
      <c r="E2360" s="81">
        <v>1321209</v>
      </c>
      <c r="F2360" s="82">
        <v>1291654.5934065916</v>
      </c>
      <c r="G2360" s="75">
        <v>2702.5828046978882</v>
      </c>
      <c r="H2360" s="76">
        <v>2</v>
      </c>
      <c r="I2360" s="54" t="s">
        <v>20</v>
      </c>
      <c r="J2360" s="77">
        <v>40</v>
      </c>
      <c r="K2360" s="78">
        <v>2</v>
      </c>
      <c r="L2360" s="54">
        <v>1</v>
      </c>
      <c r="M2360" s="54">
        <f>_xlfn.XLOOKUP(Survey!$F2360,sections[Start],sections[Test Section],,-1,1)</f>
        <v>7</v>
      </c>
      <c r="N2360" s="55">
        <f>_xlfn.XLOOKUP(Survey!$K2360,pipedata[ID],pipedata[WT])</f>
        <v>0.74</v>
      </c>
      <c r="O2360" s="56">
        <f>_xlfn.XLOOKUP(Survey!$K2360,pipedata[ID],pipedata[104%])</f>
        <v>2565.3333333333335</v>
      </c>
      <c r="P2360" s="57">
        <f t="shared" si="36"/>
        <v>1850</v>
      </c>
      <c r="Q2360" s="58">
        <f>_xlfn.MAXIFS(Survey!$G$2:$G$3647,Survey!$M$2:$M$3647,Survey!$M2360)-Survey!$G2360</f>
        <v>132.3909727160858</v>
      </c>
      <c r="R2360" s="59">
        <f>Survey!$P2360+(Survey!$Q2360*0.433)</f>
        <v>1907.3252911860652</v>
      </c>
    </row>
    <row r="2361" spans="1:18" x14ac:dyDescent="0.25">
      <c r="A2361" s="60" t="s">
        <v>17</v>
      </c>
      <c r="B2361" s="61" t="s">
        <v>22</v>
      </c>
      <c r="C2361" s="62" t="s">
        <v>19</v>
      </c>
      <c r="D2361" s="63">
        <v>244.45196263303814</v>
      </c>
      <c r="E2361" s="79">
        <v>1321249</v>
      </c>
      <c r="F2361" s="80">
        <v>1291693.3516483498</v>
      </c>
      <c r="G2361" s="66">
        <v>2696.5461966446169</v>
      </c>
      <c r="H2361" s="67">
        <v>2</v>
      </c>
      <c r="I2361" s="68" t="s">
        <v>20</v>
      </c>
      <c r="J2361" s="69">
        <v>40</v>
      </c>
      <c r="K2361" s="70">
        <v>2</v>
      </c>
      <c r="L2361" s="68">
        <v>1</v>
      </c>
      <c r="M2361" s="68">
        <f>_xlfn.XLOOKUP(Survey!$F2361,sections[Start],sections[Test Section],,-1,1)</f>
        <v>7</v>
      </c>
      <c r="N2361" s="55">
        <f>_xlfn.XLOOKUP(Survey!$K2361,pipedata[ID],pipedata[WT])</f>
        <v>0.74</v>
      </c>
      <c r="O2361" s="56">
        <f>_xlfn.XLOOKUP(Survey!$K2361,pipedata[ID],pipedata[104%])</f>
        <v>2565.3333333333335</v>
      </c>
      <c r="P2361" s="57">
        <f t="shared" si="36"/>
        <v>1850</v>
      </c>
      <c r="Q2361" s="58">
        <f>_xlfn.MAXIFS(Survey!$G$2:$G$3647,Survey!$M$2:$M$3647,Survey!$M2361)-Survey!$G2361</f>
        <v>138.42758076935706</v>
      </c>
      <c r="R2361" s="59">
        <f>Survey!$P2361+(Survey!$Q2361*0.433)</f>
        <v>1909.9391424731316</v>
      </c>
    </row>
    <row r="2362" spans="1:18" x14ac:dyDescent="0.25">
      <c r="A2362" s="71" t="s">
        <v>17</v>
      </c>
      <c r="B2362" s="72" t="s">
        <v>22</v>
      </c>
      <c r="C2362" s="73" t="s">
        <v>19</v>
      </c>
      <c r="D2362" s="74">
        <v>244.45969854507666</v>
      </c>
      <c r="E2362" s="81">
        <v>1321289</v>
      </c>
      <c r="F2362" s="82">
        <v>1291732.109890108</v>
      </c>
      <c r="G2362" s="75">
        <v>2696.1060622760583</v>
      </c>
      <c r="H2362" s="76">
        <v>2</v>
      </c>
      <c r="I2362" s="54" t="s">
        <v>20</v>
      </c>
      <c r="J2362" s="77">
        <v>40</v>
      </c>
      <c r="K2362" s="78">
        <v>2</v>
      </c>
      <c r="L2362" s="54">
        <v>1</v>
      </c>
      <c r="M2362" s="54">
        <f>_xlfn.XLOOKUP(Survey!$F2362,sections[Start],sections[Test Section],,-1,1)</f>
        <v>7</v>
      </c>
      <c r="N2362" s="55">
        <f>_xlfn.XLOOKUP(Survey!$K2362,pipedata[ID],pipedata[WT])</f>
        <v>0.74</v>
      </c>
      <c r="O2362" s="56">
        <f>_xlfn.XLOOKUP(Survey!$K2362,pipedata[ID],pipedata[104%])</f>
        <v>2565.3333333333335</v>
      </c>
      <c r="P2362" s="57">
        <f t="shared" si="36"/>
        <v>1850</v>
      </c>
      <c r="Q2362" s="58">
        <f>_xlfn.MAXIFS(Survey!$G$2:$G$3647,Survey!$M$2:$M$3647,Survey!$M2362)-Survey!$G2362</f>
        <v>138.86771513791564</v>
      </c>
      <c r="R2362" s="59">
        <f>Survey!$P2362+(Survey!$Q2362*0.433)</f>
        <v>1910.1297206547174</v>
      </c>
    </row>
    <row r="2363" spans="1:18" x14ac:dyDescent="0.25">
      <c r="A2363" s="60" t="s">
        <v>17</v>
      </c>
      <c r="B2363" s="61" t="s">
        <v>22</v>
      </c>
      <c r="C2363" s="62" t="s">
        <v>19</v>
      </c>
      <c r="D2363" s="63">
        <v>244.4677813505765</v>
      </c>
      <c r="E2363" s="79">
        <v>1321329</v>
      </c>
      <c r="F2363" s="80">
        <v>1291770.8681318662</v>
      </c>
      <c r="G2363" s="66">
        <v>2698.1802517982937</v>
      </c>
      <c r="H2363" s="67">
        <v>2</v>
      </c>
      <c r="I2363" s="68" t="s">
        <v>20</v>
      </c>
      <c r="J2363" s="69">
        <v>40</v>
      </c>
      <c r="K2363" s="70">
        <v>2</v>
      </c>
      <c r="L2363" s="68">
        <v>1</v>
      </c>
      <c r="M2363" s="68">
        <f>_xlfn.XLOOKUP(Survey!$F2363,sections[Start],sections[Test Section],,-1,1)</f>
        <v>7</v>
      </c>
      <c r="N2363" s="55">
        <f>_xlfn.XLOOKUP(Survey!$K2363,pipedata[ID],pipedata[WT])</f>
        <v>0.74</v>
      </c>
      <c r="O2363" s="56">
        <f>_xlfn.XLOOKUP(Survey!$K2363,pipedata[ID],pipedata[104%])</f>
        <v>2565.3333333333335</v>
      </c>
      <c r="P2363" s="57">
        <f t="shared" si="36"/>
        <v>1850</v>
      </c>
      <c r="Q2363" s="58">
        <f>_xlfn.MAXIFS(Survey!$G$2:$G$3647,Survey!$M$2:$M$3647,Survey!$M2363)-Survey!$G2363</f>
        <v>136.79352561568021</v>
      </c>
      <c r="R2363" s="59">
        <f>Survey!$P2363+(Survey!$Q2363*0.433)</f>
        <v>1909.2315965915896</v>
      </c>
    </row>
    <row r="2364" spans="1:18" x14ac:dyDescent="0.25">
      <c r="A2364" s="71" t="s">
        <v>17</v>
      </c>
      <c r="B2364" s="72" t="s">
        <v>22</v>
      </c>
      <c r="C2364" s="73" t="s">
        <v>19</v>
      </c>
      <c r="D2364" s="74">
        <v>244.47517036915374</v>
      </c>
      <c r="E2364" s="81">
        <v>1321369</v>
      </c>
      <c r="F2364" s="82">
        <v>1291809.6263736244</v>
      </c>
      <c r="G2364" s="75">
        <v>2699.2338358424063</v>
      </c>
      <c r="H2364" s="76">
        <v>2</v>
      </c>
      <c r="I2364" s="54" t="s">
        <v>20</v>
      </c>
      <c r="J2364" s="77">
        <v>40</v>
      </c>
      <c r="K2364" s="78">
        <v>2</v>
      </c>
      <c r="L2364" s="54">
        <v>1</v>
      </c>
      <c r="M2364" s="54">
        <f>_xlfn.XLOOKUP(Survey!$F2364,sections[Start],sections[Test Section],,-1,1)</f>
        <v>7</v>
      </c>
      <c r="N2364" s="55">
        <f>_xlfn.XLOOKUP(Survey!$K2364,pipedata[ID],pipedata[WT])</f>
        <v>0.74</v>
      </c>
      <c r="O2364" s="56">
        <f>_xlfn.XLOOKUP(Survey!$K2364,pipedata[ID],pipedata[104%])</f>
        <v>2565.3333333333335</v>
      </c>
      <c r="P2364" s="57">
        <f t="shared" si="36"/>
        <v>1850</v>
      </c>
      <c r="Q2364" s="58">
        <f>_xlfn.MAXIFS(Survey!$G$2:$G$3647,Survey!$M$2:$M$3647,Survey!$M2364)-Survey!$G2364</f>
        <v>135.73994157156767</v>
      </c>
      <c r="R2364" s="59">
        <f>Survey!$P2364+(Survey!$Q2364*0.433)</f>
        <v>1908.7753947004887</v>
      </c>
    </row>
    <row r="2365" spans="1:18" x14ac:dyDescent="0.25">
      <c r="A2365" s="60" t="s">
        <v>17</v>
      </c>
      <c r="B2365" s="61" t="s">
        <v>22</v>
      </c>
      <c r="C2365" s="62" t="s">
        <v>19</v>
      </c>
      <c r="D2365" s="63">
        <v>244.48282836221412</v>
      </c>
      <c r="E2365" s="79">
        <v>1321409</v>
      </c>
      <c r="F2365" s="80">
        <v>1291848.3846153826</v>
      </c>
      <c r="G2365" s="66">
        <v>2698.9053574711802</v>
      </c>
      <c r="H2365" s="67">
        <v>2</v>
      </c>
      <c r="I2365" s="68" t="s">
        <v>20</v>
      </c>
      <c r="J2365" s="69">
        <v>40</v>
      </c>
      <c r="K2365" s="70">
        <v>2</v>
      </c>
      <c r="L2365" s="68">
        <v>1</v>
      </c>
      <c r="M2365" s="68">
        <f>_xlfn.XLOOKUP(Survey!$F2365,sections[Start],sections[Test Section],,-1,1)</f>
        <v>7</v>
      </c>
      <c r="N2365" s="55">
        <f>_xlfn.XLOOKUP(Survey!$K2365,pipedata[ID],pipedata[WT])</f>
        <v>0.74</v>
      </c>
      <c r="O2365" s="56">
        <f>_xlfn.XLOOKUP(Survey!$K2365,pipedata[ID],pipedata[104%])</f>
        <v>2565.3333333333335</v>
      </c>
      <c r="P2365" s="57">
        <f t="shared" si="36"/>
        <v>1850</v>
      </c>
      <c r="Q2365" s="58">
        <f>_xlfn.MAXIFS(Survey!$G$2:$G$3647,Survey!$M$2:$M$3647,Survey!$M2365)-Survey!$G2365</f>
        <v>136.06841994279375</v>
      </c>
      <c r="R2365" s="59">
        <f>Survey!$P2365+(Survey!$Q2365*0.433)</f>
        <v>1908.9176258352297</v>
      </c>
    </row>
    <row r="2366" spans="1:18" x14ac:dyDescent="0.25">
      <c r="A2366" s="71" t="s">
        <v>17</v>
      </c>
      <c r="B2366" s="72" t="s">
        <v>22</v>
      </c>
      <c r="C2366" s="73" t="s">
        <v>19</v>
      </c>
      <c r="D2366" s="74">
        <v>244.49037457705842</v>
      </c>
      <c r="E2366" s="81">
        <v>1321449</v>
      </c>
      <c r="F2366" s="82">
        <v>1291887.1428571409</v>
      </c>
      <c r="G2366" s="75">
        <v>2696.9982902737534</v>
      </c>
      <c r="H2366" s="76">
        <v>2</v>
      </c>
      <c r="I2366" s="54" t="s">
        <v>20</v>
      </c>
      <c r="J2366" s="77">
        <v>40</v>
      </c>
      <c r="K2366" s="78">
        <v>2</v>
      </c>
      <c r="L2366" s="54">
        <v>1</v>
      </c>
      <c r="M2366" s="54">
        <f>_xlfn.XLOOKUP(Survey!$F2366,sections[Start],sections[Test Section],,-1,1)</f>
        <v>7</v>
      </c>
      <c r="N2366" s="55">
        <f>_xlfn.XLOOKUP(Survey!$K2366,pipedata[ID],pipedata[WT])</f>
        <v>0.74</v>
      </c>
      <c r="O2366" s="56">
        <f>_xlfn.XLOOKUP(Survey!$K2366,pipedata[ID],pipedata[104%])</f>
        <v>2565.3333333333335</v>
      </c>
      <c r="P2366" s="57">
        <f t="shared" si="36"/>
        <v>1850</v>
      </c>
      <c r="Q2366" s="58">
        <f>_xlfn.MAXIFS(Survey!$G$2:$G$3647,Survey!$M$2:$M$3647,Survey!$M2366)-Survey!$G2366</f>
        <v>137.97548714022059</v>
      </c>
      <c r="R2366" s="59">
        <f>Survey!$P2366+(Survey!$Q2366*0.433)</f>
        <v>1909.7433859317155</v>
      </c>
    </row>
    <row r="2367" spans="1:18" x14ac:dyDescent="0.25">
      <c r="A2367" s="60" t="s">
        <v>17</v>
      </c>
      <c r="B2367" s="61" t="s">
        <v>22</v>
      </c>
      <c r="C2367" s="62" t="s">
        <v>19</v>
      </c>
      <c r="D2367" s="63">
        <v>244.49691232416174</v>
      </c>
      <c r="E2367" s="79">
        <v>1321489</v>
      </c>
      <c r="F2367" s="80">
        <v>1291925.9010988991</v>
      </c>
      <c r="G2367" s="66">
        <v>2694.9132095288637</v>
      </c>
      <c r="H2367" s="67">
        <v>2</v>
      </c>
      <c r="I2367" s="68" t="s">
        <v>20</v>
      </c>
      <c r="J2367" s="69">
        <v>40</v>
      </c>
      <c r="K2367" s="70">
        <v>2</v>
      </c>
      <c r="L2367" s="68">
        <v>1</v>
      </c>
      <c r="M2367" s="68">
        <f>_xlfn.XLOOKUP(Survey!$F2367,sections[Start],sections[Test Section],,-1,1)</f>
        <v>7</v>
      </c>
      <c r="N2367" s="55">
        <f>_xlfn.XLOOKUP(Survey!$K2367,pipedata[ID],pipedata[WT])</f>
        <v>0.74</v>
      </c>
      <c r="O2367" s="56">
        <f>_xlfn.XLOOKUP(Survey!$K2367,pipedata[ID],pipedata[104%])</f>
        <v>2565.3333333333335</v>
      </c>
      <c r="P2367" s="57">
        <f t="shared" si="36"/>
        <v>1850</v>
      </c>
      <c r="Q2367" s="58">
        <f>_xlfn.MAXIFS(Survey!$G$2:$G$3647,Survey!$M$2:$M$3647,Survey!$M2367)-Survey!$G2367</f>
        <v>140.06056788511023</v>
      </c>
      <c r="R2367" s="59">
        <f>Survey!$P2367+(Survey!$Q2367*0.433)</f>
        <v>1910.6462258942527</v>
      </c>
    </row>
    <row r="2368" spans="1:18" x14ac:dyDescent="0.25">
      <c r="A2368" s="71" t="s">
        <v>17</v>
      </c>
      <c r="B2368" s="72" t="s">
        <v>22</v>
      </c>
      <c r="C2368" s="73" t="s">
        <v>19</v>
      </c>
      <c r="D2368" s="74">
        <v>244.50536270133026</v>
      </c>
      <c r="E2368" s="81">
        <v>1321529</v>
      </c>
      <c r="F2368" s="82">
        <v>1291964.6593406573</v>
      </c>
      <c r="G2368" s="75">
        <v>2691.8023130447964</v>
      </c>
      <c r="H2368" s="76">
        <v>2</v>
      </c>
      <c r="I2368" s="54" t="s">
        <v>20</v>
      </c>
      <c r="J2368" s="77">
        <v>40</v>
      </c>
      <c r="K2368" s="78">
        <v>2</v>
      </c>
      <c r="L2368" s="54">
        <v>1</v>
      </c>
      <c r="M2368" s="54">
        <f>_xlfn.XLOOKUP(Survey!$F2368,sections[Start],sections[Test Section],,-1,1)</f>
        <v>7</v>
      </c>
      <c r="N2368" s="55">
        <f>_xlfn.XLOOKUP(Survey!$K2368,pipedata[ID],pipedata[WT])</f>
        <v>0.74</v>
      </c>
      <c r="O2368" s="56">
        <f>_xlfn.XLOOKUP(Survey!$K2368,pipedata[ID],pipedata[104%])</f>
        <v>2565.3333333333335</v>
      </c>
      <c r="P2368" s="57">
        <f t="shared" si="36"/>
        <v>1850</v>
      </c>
      <c r="Q2368" s="58">
        <f>_xlfn.MAXIFS(Survey!$G$2:$G$3647,Survey!$M$2:$M$3647,Survey!$M2368)-Survey!$G2368</f>
        <v>143.17146436917756</v>
      </c>
      <c r="R2368" s="59">
        <f>Survey!$P2368+(Survey!$Q2368*0.433)</f>
        <v>1911.993244071854</v>
      </c>
    </row>
    <row r="2369" spans="1:18" x14ac:dyDescent="0.25">
      <c r="A2369" s="60" t="s">
        <v>17</v>
      </c>
      <c r="B2369" s="61" t="s">
        <v>22</v>
      </c>
      <c r="C2369" s="62" t="s">
        <v>19</v>
      </c>
      <c r="D2369" s="63">
        <v>244.51298883037123</v>
      </c>
      <c r="E2369" s="79">
        <v>1321569</v>
      </c>
      <c r="F2369" s="80">
        <v>1292003.4175824155</v>
      </c>
      <c r="G2369" s="66">
        <v>2690.4877795808047</v>
      </c>
      <c r="H2369" s="67">
        <v>2</v>
      </c>
      <c r="I2369" s="68" t="s">
        <v>20</v>
      </c>
      <c r="J2369" s="69">
        <v>40</v>
      </c>
      <c r="K2369" s="70">
        <v>2</v>
      </c>
      <c r="L2369" s="68">
        <v>1</v>
      </c>
      <c r="M2369" s="68">
        <f>_xlfn.XLOOKUP(Survey!$F2369,sections[Start],sections[Test Section],,-1,1)</f>
        <v>7</v>
      </c>
      <c r="N2369" s="55">
        <f>_xlfn.XLOOKUP(Survey!$K2369,pipedata[ID],pipedata[WT])</f>
        <v>0.74</v>
      </c>
      <c r="O2369" s="56">
        <f>_xlfn.XLOOKUP(Survey!$K2369,pipedata[ID],pipedata[104%])</f>
        <v>2565.3333333333335</v>
      </c>
      <c r="P2369" s="57">
        <f t="shared" si="36"/>
        <v>1850</v>
      </c>
      <c r="Q2369" s="58">
        <f>_xlfn.MAXIFS(Survey!$G$2:$G$3647,Survey!$M$2:$M$3647,Survey!$M2369)-Survey!$G2369</f>
        <v>144.48599783316922</v>
      </c>
      <c r="R2369" s="59">
        <f>Survey!$P2369+(Survey!$Q2369*0.433)</f>
        <v>1912.5624370617622</v>
      </c>
    </row>
    <row r="2370" spans="1:18" x14ac:dyDescent="0.25">
      <c r="A2370" s="71" t="s">
        <v>17</v>
      </c>
      <c r="B2370" s="72" t="s">
        <v>22</v>
      </c>
      <c r="C2370" s="73" t="s">
        <v>19</v>
      </c>
      <c r="D2370" s="74">
        <v>244.51960943487401</v>
      </c>
      <c r="E2370" s="81">
        <v>1321609</v>
      </c>
      <c r="F2370" s="82">
        <v>1292042.1758241737</v>
      </c>
      <c r="G2370" s="75">
        <v>2689.7086681309233</v>
      </c>
      <c r="H2370" s="76">
        <v>2</v>
      </c>
      <c r="I2370" s="54" t="s">
        <v>20</v>
      </c>
      <c r="J2370" s="77">
        <v>40</v>
      </c>
      <c r="K2370" s="78">
        <v>2</v>
      </c>
      <c r="L2370" s="54">
        <v>1</v>
      </c>
      <c r="M2370" s="54">
        <f>_xlfn.XLOOKUP(Survey!$F2370,sections[Start],sections[Test Section],,-1,1)</f>
        <v>7</v>
      </c>
      <c r="N2370" s="55">
        <f>_xlfn.XLOOKUP(Survey!$K2370,pipedata[ID],pipedata[WT])</f>
        <v>0.74</v>
      </c>
      <c r="O2370" s="56">
        <f>_xlfn.XLOOKUP(Survey!$K2370,pipedata[ID],pipedata[104%])</f>
        <v>2565.3333333333335</v>
      </c>
      <c r="P2370" s="57">
        <f t="shared" ref="P2370:P2433" si="37">IF(L2370=1,1850,IF(L2370=2,1850,2220))</f>
        <v>1850</v>
      </c>
      <c r="Q2370" s="58">
        <f>_xlfn.MAXIFS(Survey!$G$2:$G$3647,Survey!$M$2:$M$3647,Survey!$M2370)-Survey!$G2370</f>
        <v>145.26510928305061</v>
      </c>
      <c r="R2370" s="59">
        <f>Survey!$P2370+(Survey!$Q2370*0.433)</f>
        <v>1912.8997923195609</v>
      </c>
    </row>
    <row r="2371" spans="1:18" x14ac:dyDescent="0.25">
      <c r="A2371" s="60" t="s">
        <v>17</v>
      </c>
      <c r="B2371" s="61" t="s">
        <v>22</v>
      </c>
      <c r="C2371" s="62" t="s">
        <v>19</v>
      </c>
      <c r="D2371" s="63">
        <v>244.52796225139463</v>
      </c>
      <c r="E2371" s="79">
        <v>1321649</v>
      </c>
      <c r="F2371" s="80">
        <v>1292080.9340659319</v>
      </c>
      <c r="G2371" s="66">
        <v>2688.4149923821537</v>
      </c>
      <c r="H2371" s="67">
        <v>2</v>
      </c>
      <c r="I2371" s="68" t="s">
        <v>20</v>
      </c>
      <c r="J2371" s="69">
        <v>40</v>
      </c>
      <c r="K2371" s="70">
        <v>2</v>
      </c>
      <c r="L2371" s="68">
        <v>1</v>
      </c>
      <c r="M2371" s="68">
        <f>_xlfn.XLOOKUP(Survey!$F2371,sections[Start],sections[Test Section],,-1,1)</f>
        <v>7</v>
      </c>
      <c r="N2371" s="55">
        <f>_xlfn.XLOOKUP(Survey!$K2371,pipedata[ID],pipedata[WT])</f>
        <v>0.74</v>
      </c>
      <c r="O2371" s="56">
        <f>_xlfn.XLOOKUP(Survey!$K2371,pipedata[ID],pipedata[104%])</f>
        <v>2565.3333333333335</v>
      </c>
      <c r="P2371" s="57">
        <f t="shared" si="37"/>
        <v>1850</v>
      </c>
      <c r="Q2371" s="58">
        <f>_xlfn.MAXIFS(Survey!$G$2:$G$3647,Survey!$M$2:$M$3647,Survey!$M2371)-Survey!$G2371</f>
        <v>146.55878503182021</v>
      </c>
      <c r="R2371" s="59">
        <f>Survey!$P2371+(Survey!$Q2371*0.433)</f>
        <v>1913.4599539187782</v>
      </c>
    </row>
    <row r="2372" spans="1:18" x14ac:dyDescent="0.25">
      <c r="A2372" s="71" t="s">
        <v>17</v>
      </c>
      <c r="B2372" s="72" t="s">
        <v>22</v>
      </c>
      <c r="C2372" s="73" t="s">
        <v>19</v>
      </c>
      <c r="D2372" s="74">
        <v>244.53484933058098</v>
      </c>
      <c r="E2372" s="81">
        <v>1321689</v>
      </c>
      <c r="F2372" s="82">
        <v>1292119.6923076902</v>
      </c>
      <c r="G2372" s="75">
        <v>2686.5533314366357</v>
      </c>
      <c r="H2372" s="76">
        <v>2</v>
      </c>
      <c r="I2372" s="54" t="s">
        <v>20</v>
      </c>
      <c r="J2372" s="77">
        <v>40</v>
      </c>
      <c r="K2372" s="78">
        <v>2</v>
      </c>
      <c r="L2372" s="54">
        <v>1</v>
      </c>
      <c r="M2372" s="54">
        <f>_xlfn.XLOOKUP(Survey!$F2372,sections[Start],sections[Test Section],,-1,1)</f>
        <v>7</v>
      </c>
      <c r="N2372" s="55">
        <f>_xlfn.XLOOKUP(Survey!$K2372,pipedata[ID],pipedata[WT])</f>
        <v>0.74</v>
      </c>
      <c r="O2372" s="56">
        <f>_xlfn.XLOOKUP(Survey!$K2372,pipedata[ID],pipedata[104%])</f>
        <v>2565.3333333333335</v>
      </c>
      <c r="P2372" s="57">
        <f t="shared" si="37"/>
        <v>1850</v>
      </c>
      <c r="Q2372" s="58">
        <f>_xlfn.MAXIFS(Survey!$G$2:$G$3647,Survey!$M$2:$M$3647,Survey!$M2372)-Survey!$G2372</f>
        <v>148.4204459773382</v>
      </c>
      <c r="R2372" s="59">
        <f>Survey!$P2372+(Survey!$Q2372*0.433)</f>
        <v>1914.2660531081874</v>
      </c>
    </row>
    <row r="2373" spans="1:18" x14ac:dyDescent="0.25">
      <c r="A2373" s="60" t="s">
        <v>17</v>
      </c>
      <c r="B2373" s="61" t="s">
        <v>22</v>
      </c>
      <c r="C2373" s="62" t="s">
        <v>19</v>
      </c>
      <c r="D2373" s="63">
        <v>244.54307908438091</v>
      </c>
      <c r="E2373" s="79">
        <v>1321729</v>
      </c>
      <c r="F2373" s="80">
        <v>1292158.4505494484</v>
      </c>
      <c r="G2373" s="66">
        <v>2681.8288469280255</v>
      </c>
      <c r="H2373" s="67">
        <v>2</v>
      </c>
      <c r="I2373" s="68" t="s">
        <v>20</v>
      </c>
      <c r="J2373" s="69">
        <v>40</v>
      </c>
      <c r="K2373" s="70">
        <v>2</v>
      </c>
      <c r="L2373" s="68">
        <v>1</v>
      </c>
      <c r="M2373" s="68">
        <f>_xlfn.XLOOKUP(Survey!$F2373,sections[Start],sections[Test Section],,-1,1)</f>
        <v>7</v>
      </c>
      <c r="N2373" s="55">
        <f>_xlfn.XLOOKUP(Survey!$K2373,pipedata[ID],pipedata[WT])</f>
        <v>0.74</v>
      </c>
      <c r="O2373" s="56">
        <f>_xlfn.XLOOKUP(Survey!$K2373,pipedata[ID],pipedata[104%])</f>
        <v>2565.3333333333335</v>
      </c>
      <c r="P2373" s="57">
        <f t="shared" si="37"/>
        <v>1850</v>
      </c>
      <c r="Q2373" s="58">
        <f>_xlfn.MAXIFS(Survey!$G$2:$G$3647,Survey!$M$2:$M$3647,Survey!$M2373)-Survey!$G2373</f>
        <v>153.14493048594841</v>
      </c>
      <c r="R2373" s="59">
        <f>Survey!$P2373+(Survey!$Q2373*0.433)</f>
        <v>1916.3117549004157</v>
      </c>
    </row>
    <row r="2374" spans="1:18" x14ac:dyDescent="0.25">
      <c r="A2374" s="71" t="s">
        <v>17</v>
      </c>
      <c r="B2374" s="72" t="s">
        <v>22</v>
      </c>
      <c r="C2374" s="73" t="s">
        <v>19</v>
      </c>
      <c r="D2374" s="74">
        <v>244.55046543981422</v>
      </c>
      <c r="E2374" s="81">
        <v>1321769</v>
      </c>
      <c r="F2374" s="82">
        <v>1292197.2087912066</v>
      </c>
      <c r="G2374" s="75">
        <v>2676.2995808527153</v>
      </c>
      <c r="H2374" s="76">
        <v>2</v>
      </c>
      <c r="I2374" s="54" t="s">
        <v>20</v>
      </c>
      <c r="J2374" s="77">
        <v>40</v>
      </c>
      <c r="K2374" s="78">
        <v>2</v>
      </c>
      <c r="L2374" s="54">
        <v>1</v>
      </c>
      <c r="M2374" s="54">
        <f>_xlfn.XLOOKUP(Survey!$F2374,sections[Start],sections[Test Section],,-1,1)</f>
        <v>7</v>
      </c>
      <c r="N2374" s="55">
        <f>_xlfn.XLOOKUP(Survey!$K2374,pipedata[ID],pipedata[WT])</f>
        <v>0.74</v>
      </c>
      <c r="O2374" s="56">
        <f>_xlfn.XLOOKUP(Survey!$K2374,pipedata[ID],pipedata[104%])</f>
        <v>2565.3333333333335</v>
      </c>
      <c r="P2374" s="57">
        <f t="shared" si="37"/>
        <v>1850</v>
      </c>
      <c r="Q2374" s="58">
        <f>_xlfn.MAXIFS(Survey!$G$2:$G$3647,Survey!$M$2:$M$3647,Survey!$M2374)-Survey!$G2374</f>
        <v>158.67419656125867</v>
      </c>
      <c r="R2374" s="59">
        <f>Survey!$P2374+(Survey!$Q2374*0.433)</f>
        <v>1918.7059271110249</v>
      </c>
    </row>
    <row r="2375" spans="1:18" x14ac:dyDescent="0.25">
      <c r="A2375" s="60" t="s">
        <v>17</v>
      </c>
      <c r="B2375" s="61" t="s">
        <v>22</v>
      </c>
      <c r="C2375" s="62" t="s">
        <v>19</v>
      </c>
      <c r="D2375" s="63">
        <v>244.55757520146523</v>
      </c>
      <c r="E2375" s="79">
        <v>1321809</v>
      </c>
      <c r="F2375" s="80">
        <v>1292235.9670329648</v>
      </c>
      <c r="G2375" s="66">
        <v>2669.881241858644</v>
      </c>
      <c r="H2375" s="67">
        <v>2</v>
      </c>
      <c r="I2375" s="68" t="s">
        <v>20</v>
      </c>
      <c r="J2375" s="69">
        <v>40</v>
      </c>
      <c r="K2375" s="70">
        <v>2</v>
      </c>
      <c r="L2375" s="68">
        <v>1</v>
      </c>
      <c r="M2375" s="68">
        <f>_xlfn.XLOOKUP(Survey!$F2375,sections[Start],sections[Test Section],,-1,1)</f>
        <v>7</v>
      </c>
      <c r="N2375" s="55">
        <f>_xlfn.XLOOKUP(Survey!$K2375,pipedata[ID],pipedata[WT])</f>
        <v>0.74</v>
      </c>
      <c r="O2375" s="56">
        <f>_xlfn.XLOOKUP(Survey!$K2375,pipedata[ID],pipedata[104%])</f>
        <v>2565.3333333333335</v>
      </c>
      <c r="P2375" s="57">
        <f t="shared" si="37"/>
        <v>1850</v>
      </c>
      <c r="Q2375" s="58">
        <f>_xlfn.MAXIFS(Survey!$G$2:$G$3647,Survey!$M$2:$M$3647,Survey!$M2375)-Survey!$G2375</f>
        <v>165.09253555532996</v>
      </c>
      <c r="R2375" s="59">
        <f>Survey!$P2375+(Survey!$Q2375*0.433)</f>
        <v>1921.4850678954579</v>
      </c>
    </row>
    <row r="2376" spans="1:18" x14ac:dyDescent="0.25">
      <c r="A2376" s="71" t="s">
        <v>17</v>
      </c>
      <c r="B2376" s="72" t="s">
        <v>22</v>
      </c>
      <c r="C2376" s="73" t="s">
        <v>19</v>
      </c>
      <c r="D2376" s="74">
        <v>244.56502509451437</v>
      </c>
      <c r="E2376" s="81">
        <v>1321849</v>
      </c>
      <c r="F2376" s="82">
        <v>1292274.725274723</v>
      </c>
      <c r="G2376" s="75">
        <v>2663.351101794889</v>
      </c>
      <c r="H2376" s="76">
        <v>2</v>
      </c>
      <c r="I2376" s="54" t="s">
        <v>20</v>
      </c>
      <c r="J2376" s="77">
        <v>40</v>
      </c>
      <c r="K2376" s="78">
        <v>2</v>
      </c>
      <c r="L2376" s="54">
        <v>1</v>
      </c>
      <c r="M2376" s="54">
        <f>_xlfn.XLOOKUP(Survey!$F2376,sections[Start],sections[Test Section],,-1,1)</f>
        <v>7</v>
      </c>
      <c r="N2376" s="55">
        <f>_xlfn.XLOOKUP(Survey!$K2376,pipedata[ID],pipedata[WT])</f>
        <v>0.74</v>
      </c>
      <c r="O2376" s="56">
        <f>_xlfn.XLOOKUP(Survey!$K2376,pipedata[ID],pipedata[104%])</f>
        <v>2565.3333333333335</v>
      </c>
      <c r="P2376" s="57">
        <f t="shared" si="37"/>
        <v>1850</v>
      </c>
      <c r="Q2376" s="58">
        <f>_xlfn.MAXIFS(Survey!$G$2:$G$3647,Survey!$M$2:$M$3647,Survey!$M2376)-Survey!$G2376</f>
        <v>171.62267561908493</v>
      </c>
      <c r="R2376" s="59">
        <f>Survey!$P2376+(Survey!$Q2376*0.433)</f>
        <v>1924.3126185430638</v>
      </c>
    </row>
    <row r="2377" spans="1:18" x14ac:dyDescent="0.25">
      <c r="A2377" s="60" t="s">
        <v>17</v>
      </c>
      <c r="B2377" s="61" t="s">
        <v>22</v>
      </c>
      <c r="C2377" s="62" t="s">
        <v>19</v>
      </c>
      <c r="D2377" s="63">
        <v>244.57231061199749</v>
      </c>
      <c r="E2377" s="79">
        <v>1321889</v>
      </c>
      <c r="F2377" s="80">
        <v>1292313.4835164812</v>
      </c>
      <c r="G2377" s="66">
        <v>2652.75149222031</v>
      </c>
      <c r="H2377" s="67">
        <v>2</v>
      </c>
      <c r="I2377" s="68" t="s">
        <v>20</v>
      </c>
      <c r="J2377" s="69">
        <v>8</v>
      </c>
      <c r="K2377" s="70">
        <v>2</v>
      </c>
      <c r="L2377" s="68">
        <v>1</v>
      </c>
      <c r="M2377" s="68">
        <f>_xlfn.XLOOKUP(Survey!$F2377,sections[Start],sections[Test Section],,-1,1)</f>
        <v>7</v>
      </c>
      <c r="N2377" s="55">
        <f>_xlfn.XLOOKUP(Survey!$K2377,pipedata[ID],pipedata[WT])</f>
        <v>0.74</v>
      </c>
      <c r="O2377" s="56">
        <f>_xlfn.XLOOKUP(Survey!$K2377,pipedata[ID],pipedata[104%])</f>
        <v>2565.3333333333335</v>
      </c>
      <c r="P2377" s="57">
        <f t="shared" si="37"/>
        <v>1850</v>
      </c>
      <c r="Q2377" s="58">
        <f>_xlfn.MAXIFS(Survey!$G$2:$G$3647,Survey!$M$2:$M$3647,Survey!$M2377)-Survey!$G2377</f>
        <v>182.22228519366399</v>
      </c>
      <c r="R2377" s="59">
        <f>Survey!$P2377+(Survey!$Q2377*0.433)</f>
        <v>1928.9022494888566</v>
      </c>
    </row>
    <row r="2378" spans="1:18" x14ac:dyDescent="0.25">
      <c r="A2378" s="71" t="s">
        <v>17</v>
      </c>
      <c r="B2378" s="72" t="s">
        <v>22</v>
      </c>
      <c r="C2378" s="73" t="s">
        <v>19</v>
      </c>
      <c r="D2378" s="74">
        <v>244.58015900031782</v>
      </c>
      <c r="E2378" s="81">
        <v>1321897</v>
      </c>
      <c r="F2378" s="82">
        <v>1292391</v>
      </c>
      <c r="G2378" s="75">
        <v>2635.0707464159059</v>
      </c>
      <c r="H2378" s="76">
        <v>2</v>
      </c>
      <c r="I2378" s="54" t="s">
        <v>21</v>
      </c>
      <c r="J2378" s="77">
        <v>40</v>
      </c>
      <c r="K2378" s="78">
        <v>4</v>
      </c>
      <c r="L2378" s="54">
        <v>1</v>
      </c>
      <c r="M2378" s="54">
        <f>_xlfn.XLOOKUP(Survey!$F2378,sections[Start],sections[Test Section],,-1,1)</f>
        <v>7</v>
      </c>
      <c r="N2378" s="55">
        <f>_xlfn.XLOOKUP(Survey!$K2378,pipedata[ID],pipedata[WT])</f>
        <v>0.74</v>
      </c>
      <c r="O2378" s="56">
        <f>_xlfn.XLOOKUP(Survey!$K2378,pipedata[ID],pipedata[104%])</f>
        <v>2565.3333333333335</v>
      </c>
      <c r="P2378" s="57">
        <f t="shared" si="37"/>
        <v>1850</v>
      </c>
      <c r="Q2378" s="58">
        <f>_xlfn.MAXIFS(Survey!$G$2:$G$3647,Survey!$M$2:$M$3647,Survey!$M2378)-Survey!$G2378</f>
        <v>199.90303099806806</v>
      </c>
      <c r="R2378" s="59">
        <f>Survey!$P2378+(Survey!$Q2378*0.433)</f>
        <v>1936.5580124221635</v>
      </c>
    </row>
    <row r="2379" spans="1:18" x14ac:dyDescent="0.25">
      <c r="A2379" s="60" t="s">
        <v>17</v>
      </c>
      <c r="B2379" s="61" t="s">
        <v>22</v>
      </c>
      <c r="C2379" s="62" t="s">
        <v>19</v>
      </c>
      <c r="D2379" s="63">
        <v>244.5860322503014</v>
      </c>
      <c r="E2379" s="79">
        <v>1321937</v>
      </c>
      <c r="F2379" s="80">
        <v>1292431</v>
      </c>
      <c r="G2379" s="66">
        <v>2631.7301400587939</v>
      </c>
      <c r="H2379" s="67">
        <v>2</v>
      </c>
      <c r="I2379" s="68" t="s">
        <v>20</v>
      </c>
      <c r="J2379" s="69">
        <v>72</v>
      </c>
      <c r="K2379" s="70">
        <v>2</v>
      </c>
      <c r="L2379" s="68">
        <v>1</v>
      </c>
      <c r="M2379" s="68">
        <f>_xlfn.XLOOKUP(Survey!$F2379,sections[Start],sections[Test Section],,-1,1)</f>
        <v>7</v>
      </c>
      <c r="N2379" s="55">
        <f>_xlfn.XLOOKUP(Survey!$K2379,pipedata[ID],pipedata[WT])</f>
        <v>0.74</v>
      </c>
      <c r="O2379" s="56">
        <f>_xlfn.XLOOKUP(Survey!$K2379,pipedata[ID],pipedata[104%])</f>
        <v>2565.3333333333335</v>
      </c>
      <c r="P2379" s="57">
        <f t="shared" si="37"/>
        <v>1850</v>
      </c>
      <c r="Q2379" s="58">
        <f>_xlfn.MAXIFS(Survey!$G$2:$G$3647,Survey!$M$2:$M$3647,Survey!$M2379)-Survey!$G2379</f>
        <v>203.24363735518</v>
      </c>
      <c r="R2379" s="59">
        <f>Survey!$P2379+(Survey!$Q2379*0.433)</f>
        <v>1938.004494974793</v>
      </c>
    </row>
    <row r="2380" spans="1:18" x14ac:dyDescent="0.25">
      <c r="A2380" s="71" t="s">
        <v>17</v>
      </c>
      <c r="B2380" s="72" t="s">
        <v>22</v>
      </c>
      <c r="C2380" s="73" t="s">
        <v>19</v>
      </c>
      <c r="D2380" s="74">
        <v>244.5935741526059</v>
      </c>
      <c r="E2380" s="81">
        <v>1322009</v>
      </c>
      <c r="F2380" s="82">
        <v>1292469.7906976745</v>
      </c>
      <c r="G2380" s="75">
        <v>2638.6118063600402</v>
      </c>
      <c r="H2380" s="76">
        <v>2</v>
      </c>
      <c r="I2380" s="54" t="s">
        <v>20</v>
      </c>
      <c r="J2380" s="77">
        <v>40</v>
      </c>
      <c r="K2380" s="78">
        <v>2</v>
      </c>
      <c r="L2380" s="54">
        <v>1</v>
      </c>
      <c r="M2380" s="54">
        <f>_xlfn.XLOOKUP(Survey!$F2380,sections[Start],sections[Test Section],,-1,1)</f>
        <v>7</v>
      </c>
      <c r="N2380" s="55">
        <f>_xlfn.XLOOKUP(Survey!$K2380,pipedata[ID],pipedata[WT])</f>
        <v>0.74</v>
      </c>
      <c r="O2380" s="56">
        <f>_xlfn.XLOOKUP(Survey!$K2380,pipedata[ID],pipedata[104%])</f>
        <v>2565.3333333333335</v>
      </c>
      <c r="P2380" s="57">
        <f t="shared" si="37"/>
        <v>1850</v>
      </c>
      <c r="Q2380" s="58">
        <f>_xlfn.MAXIFS(Survey!$G$2:$G$3647,Survey!$M$2:$M$3647,Survey!$M2380)-Survey!$G2380</f>
        <v>196.36197105393376</v>
      </c>
      <c r="R2380" s="59">
        <f>Survey!$P2380+(Survey!$Q2380*0.433)</f>
        <v>1935.0247334663534</v>
      </c>
    </row>
    <row r="2381" spans="1:18" x14ac:dyDescent="0.25">
      <c r="A2381" s="60" t="s">
        <v>17</v>
      </c>
      <c r="B2381" s="61" t="s">
        <v>22</v>
      </c>
      <c r="C2381" s="62" t="s">
        <v>19</v>
      </c>
      <c r="D2381" s="63">
        <v>244.60111605491011</v>
      </c>
      <c r="E2381" s="79">
        <v>1322049</v>
      </c>
      <c r="F2381" s="80">
        <v>1292508.581395349</v>
      </c>
      <c r="G2381" s="66">
        <v>2655.3260662650036</v>
      </c>
      <c r="H2381" s="67">
        <v>2</v>
      </c>
      <c r="I2381" s="68" t="s">
        <v>20</v>
      </c>
      <c r="J2381" s="69">
        <v>40</v>
      </c>
      <c r="K2381" s="70">
        <v>2</v>
      </c>
      <c r="L2381" s="68">
        <v>1</v>
      </c>
      <c r="M2381" s="68">
        <f>_xlfn.XLOOKUP(Survey!$F2381,sections[Start],sections[Test Section],,-1,1)</f>
        <v>7</v>
      </c>
      <c r="N2381" s="55">
        <f>_xlfn.XLOOKUP(Survey!$K2381,pipedata[ID],pipedata[WT])</f>
        <v>0.74</v>
      </c>
      <c r="O2381" s="56">
        <f>_xlfn.XLOOKUP(Survey!$K2381,pipedata[ID],pipedata[104%])</f>
        <v>2565.3333333333335</v>
      </c>
      <c r="P2381" s="57">
        <f t="shared" si="37"/>
        <v>1850</v>
      </c>
      <c r="Q2381" s="58">
        <f>_xlfn.MAXIFS(Survey!$G$2:$G$3647,Survey!$M$2:$M$3647,Survey!$M2381)-Survey!$G2381</f>
        <v>179.6477111489703</v>
      </c>
      <c r="R2381" s="59">
        <f>Survey!$P2381+(Survey!$Q2381*0.433)</f>
        <v>1927.7874589275041</v>
      </c>
    </row>
    <row r="2382" spans="1:18" x14ac:dyDescent="0.25">
      <c r="A2382" s="71" t="s">
        <v>17</v>
      </c>
      <c r="B2382" s="72" t="s">
        <v>22</v>
      </c>
      <c r="C2382" s="73" t="s">
        <v>19</v>
      </c>
      <c r="D2382" s="74">
        <v>244.60865795721466</v>
      </c>
      <c r="E2382" s="81">
        <v>1322089</v>
      </c>
      <c r="F2382" s="82">
        <v>1292547.3720930235</v>
      </c>
      <c r="G2382" s="75">
        <v>2669.7321603727337</v>
      </c>
      <c r="H2382" s="76">
        <v>2</v>
      </c>
      <c r="I2382" s="54" t="s">
        <v>20</v>
      </c>
      <c r="J2382" s="77">
        <v>40</v>
      </c>
      <c r="K2382" s="78">
        <v>2</v>
      </c>
      <c r="L2382" s="54">
        <v>1</v>
      </c>
      <c r="M2382" s="54">
        <f>_xlfn.XLOOKUP(Survey!$F2382,sections[Start],sections[Test Section],,-1,1)</f>
        <v>7</v>
      </c>
      <c r="N2382" s="55">
        <f>_xlfn.XLOOKUP(Survey!$K2382,pipedata[ID],pipedata[WT])</f>
        <v>0.74</v>
      </c>
      <c r="O2382" s="56">
        <f>_xlfn.XLOOKUP(Survey!$K2382,pipedata[ID],pipedata[104%])</f>
        <v>2565.3333333333335</v>
      </c>
      <c r="P2382" s="57">
        <f t="shared" si="37"/>
        <v>1850</v>
      </c>
      <c r="Q2382" s="58">
        <f>_xlfn.MAXIFS(Survey!$G$2:$G$3647,Survey!$M$2:$M$3647,Survey!$M2382)-Survey!$G2382</f>
        <v>165.24161704124026</v>
      </c>
      <c r="R2382" s="59">
        <f>Survey!$P2382+(Survey!$Q2382*0.433)</f>
        <v>1921.5496201788569</v>
      </c>
    </row>
    <row r="2383" spans="1:18" x14ac:dyDescent="0.25">
      <c r="A2383" s="60" t="s">
        <v>17</v>
      </c>
      <c r="B2383" s="61" t="s">
        <v>22</v>
      </c>
      <c r="C2383" s="62" t="s">
        <v>19</v>
      </c>
      <c r="D2383" s="63">
        <v>244.61619985951921</v>
      </c>
      <c r="E2383" s="79">
        <v>1322129</v>
      </c>
      <c r="F2383" s="80">
        <v>1292586.162790698</v>
      </c>
      <c r="G2383" s="66">
        <v>2678.9387187178959</v>
      </c>
      <c r="H2383" s="67">
        <v>2</v>
      </c>
      <c r="I2383" s="68" t="s">
        <v>20</v>
      </c>
      <c r="J2383" s="69">
        <v>40</v>
      </c>
      <c r="K2383" s="70">
        <v>2</v>
      </c>
      <c r="L2383" s="68">
        <v>1</v>
      </c>
      <c r="M2383" s="68">
        <f>_xlfn.XLOOKUP(Survey!$F2383,sections[Start],sections[Test Section],,-1,1)</f>
        <v>7</v>
      </c>
      <c r="N2383" s="55">
        <f>_xlfn.XLOOKUP(Survey!$K2383,pipedata[ID],pipedata[WT])</f>
        <v>0.74</v>
      </c>
      <c r="O2383" s="56">
        <f>_xlfn.XLOOKUP(Survey!$K2383,pipedata[ID],pipedata[104%])</f>
        <v>2565.3333333333335</v>
      </c>
      <c r="P2383" s="57">
        <f t="shared" si="37"/>
        <v>1850</v>
      </c>
      <c r="Q2383" s="58">
        <f>_xlfn.MAXIFS(Survey!$G$2:$G$3647,Survey!$M$2:$M$3647,Survey!$M2383)-Survey!$G2383</f>
        <v>156.03505869607807</v>
      </c>
      <c r="R2383" s="59">
        <f>Survey!$P2383+(Survey!$Q2383*0.433)</f>
        <v>1917.5631804154018</v>
      </c>
    </row>
    <row r="2384" spans="1:18" x14ac:dyDescent="0.25">
      <c r="A2384" s="71" t="s">
        <v>17</v>
      </c>
      <c r="B2384" s="72" t="s">
        <v>22</v>
      </c>
      <c r="C2384" s="73" t="s">
        <v>19</v>
      </c>
      <c r="D2384" s="74">
        <v>244.62357958015318</v>
      </c>
      <c r="E2384" s="81">
        <v>1322169</v>
      </c>
      <c r="F2384" s="82">
        <v>1292624.9534883725</v>
      </c>
      <c r="G2384" s="75">
        <v>2678.1611340511045</v>
      </c>
      <c r="H2384" s="76">
        <v>2</v>
      </c>
      <c r="I2384" s="54" t="s">
        <v>20</v>
      </c>
      <c r="J2384" s="77">
        <v>40</v>
      </c>
      <c r="K2384" s="78">
        <v>2</v>
      </c>
      <c r="L2384" s="54">
        <v>1</v>
      </c>
      <c r="M2384" s="54">
        <f>_xlfn.XLOOKUP(Survey!$F2384,sections[Start],sections[Test Section],,-1,1)</f>
        <v>7</v>
      </c>
      <c r="N2384" s="55">
        <f>_xlfn.XLOOKUP(Survey!$K2384,pipedata[ID],pipedata[WT])</f>
        <v>0.74</v>
      </c>
      <c r="O2384" s="56">
        <f>_xlfn.XLOOKUP(Survey!$K2384,pipedata[ID],pipedata[104%])</f>
        <v>2565.3333333333335</v>
      </c>
      <c r="P2384" s="57">
        <f t="shared" si="37"/>
        <v>1850</v>
      </c>
      <c r="Q2384" s="58">
        <f>_xlfn.MAXIFS(Survey!$G$2:$G$3647,Survey!$M$2:$M$3647,Survey!$M2384)-Survey!$G2384</f>
        <v>156.81264336286949</v>
      </c>
      <c r="R2384" s="59">
        <f>Survey!$P2384+(Survey!$Q2384*0.433)</f>
        <v>1917.8998745761226</v>
      </c>
    </row>
    <row r="2385" spans="1:18" x14ac:dyDescent="0.25">
      <c r="A2385" s="60" t="s">
        <v>17</v>
      </c>
      <c r="B2385" s="61" t="s">
        <v>22</v>
      </c>
      <c r="C2385" s="62" t="s">
        <v>19</v>
      </c>
      <c r="D2385" s="63">
        <v>244.63082218205514</v>
      </c>
      <c r="E2385" s="79">
        <v>1322209</v>
      </c>
      <c r="F2385" s="80">
        <v>1292663.744186047</v>
      </c>
      <c r="G2385" s="66">
        <v>2673.4941943854392</v>
      </c>
      <c r="H2385" s="67">
        <v>2</v>
      </c>
      <c r="I2385" s="68" t="s">
        <v>20</v>
      </c>
      <c r="J2385" s="69">
        <v>40</v>
      </c>
      <c r="K2385" s="70">
        <v>2</v>
      </c>
      <c r="L2385" s="68">
        <v>1</v>
      </c>
      <c r="M2385" s="68">
        <f>_xlfn.XLOOKUP(Survey!$F2385,sections[Start],sections[Test Section],,-1,1)</f>
        <v>7</v>
      </c>
      <c r="N2385" s="55">
        <f>_xlfn.XLOOKUP(Survey!$K2385,pipedata[ID],pipedata[WT])</f>
        <v>0.74</v>
      </c>
      <c r="O2385" s="56">
        <f>_xlfn.XLOOKUP(Survey!$K2385,pipedata[ID],pipedata[104%])</f>
        <v>2565.3333333333335</v>
      </c>
      <c r="P2385" s="57">
        <f t="shared" si="37"/>
        <v>1850</v>
      </c>
      <c r="Q2385" s="58">
        <f>_xlfn.MAXIFS(Survey!$G$2:$G$3647,Survey!$M$2:$M$3647,Survey!$M2385)-Survey!$G2385</f>
        <v>161.47958302853476</v>
      </c>
      <c r="R2385" s="59">
        <f>Survey!$P2385+(Survey!$Q2385*0.433)</f>
        <v>1919.9206594513555</v>
      </c>
    </row>
    <row r="2386" spans="1:18" x14ac:dyDescent="0.25">
      <c r="A2386" s="71" t="s">
        <v>17</v>
      </c>
      <c r="B2386" s="72" t="s">
        <v>22</v>
      </c>
      <c r="C2386" s="73" t="s">
        <v>19</v>
      </c>
      <c r="D2386" s="74">
        <v>244.63865645875754</v>
      </c>
      <c r="E2386" s="81">
        <v>1322249</v>
      </c>
      <c r="F2386" s="82">
        <v>1292702.5348837215</v>
      </c>
      <c r="G2386" s="75">
        <v>2665.9898002308291</v>
      </c>
      <c r="H2386" s="76">
        <v>2</v>
      </c>
      <c r="I2386" s="54" t="s">
        <v>20</v>
      </c>
      <c r="J2386" s="77">
        <v>40</v>
      </c>
      <c r="K2386" s="78">
        <v>2</v>
      </c>
      <c r="L2386" s="54">
        <v>1</v>
      </c>
      <c r="M2386" s="54">
        <f>_xlfn.XLOOKUP(Survey!$F2386,sections[Start],sections[Test Section],,-1,1)</f>
        <v>7</v>
      </c>
      <c r="N2386" s="55">
        <f>_xlfn.XLOOKUP(Survey!$K2386,pipedata[ID],pipedata[WT])</f>
        <v>0.74</v>
      </c>
      <c r="O2386" s="56">
        <f>_xlfn.XLOOKUP(Survey!$K2386,pipedata[ID],pipedata[104%])</f>
        <v>2565.3333333333335</v>
      </c>
      <c r="P2386" s="57">
        <f t="shared" si="37"/>
        <v>1850</v>
      </c>
      <c r="Q2386" s="58">
        <f>_xlfn.MAXIFS(Survey!$G$2:$G$3647,Survey!$M$2:$M$3647,Survey!$M2386)-Survey!$G2386</f>
        <v>168.98397718314482</v>
      </c>
      <c r="R2386" s="59">
        <f>Survey!$P2386+(Survey!$Q2386*0.433)</f>
        <v>1923.1700621203017</v>
      </c>
    </row>
    <row r="2387" spans="1:18" x14ac:dyDescent="0.25">
      <c r="A2387" s="60" t="s">
        <v>17</v>
      </c>
      <c r="B2387" s="61" t="s">
        <v>22</v>
      </c>
      <c r="C2387" s="62" t="s">
        <v>19</v>
      </c>
      <c r="D2387" s="63">
        <v>244.64530738585819</v>
      </c>
      <c r="E2387" s="79">
        <v>1322289</v>
      </c>
      <c r="F2387" s="80">
        <v>1292741.325581396</v>
      </c>
      <c r="G2387" s="66">
        <v>2656.48058209702</v>
      </c>
      <c r="H2387" s="67">
        <v>2</v>
      </c>
      <c r="I2387" s="68" t="s">
        <v>20</v>
      </c>
      <c r="J2387" s="69">
        <v>40</v>
      </c>
      <c r="K2387" s="70">
        <v>2</v>
      </c>
      <c r="L2387" s="68">
        <v>1</v>
      </c>
      <c r="M2387" s="68">
        <f>_xlfn.XLOOKUP(Survey!$F2387,sections[Start],sections[Test Section],,-1,1)</f>
        <v>7</v>
      </c>
      <c r="N2387" s="55">
        <f>_xlfn.XLOOKUP(Survey!$K2387,pipedata[ID],pipedata[WT])</f>
        <v>0.74</v>
      </c>
      <c r="O2387" s="56">
        <f>_xlfn.XLOOKUP(Survey!$K2387,pipedata[ID],pipedata[104%])</f>
        <v>2565.3333333333335</v>
      </c>
      <c r="P2387" s="57">
        <f t="shared" si="37"/>
        <v>1850</v>
      </c>
      <c r="Q2387" s="58">
        <f>_xlfn.MAXIFS(Survey!$G$2:$G$3647,Survey!$M$2:$M$3647,Survey!$M2387)-Survey!$G2387</f>
        <v>178.49319531695392</v>
      </c>
      <c r="R2387" s="59">
        <f>Survey!$P2387+(Survey!$Q2387*0.433)</f>
        <v>1927.287553572241</v>
      </c>
    </row>
    <row r="2388" spans="1:18" x14ac:dyDescent="0.25">
      <c r="A2388" s="71" t="s">
        <v>17</v>
      </c>
      <c r="B2388" s="72" t="s">
        <v>22</v>
      </c>
      <c r="C2388" s="73" t="s">
        <v>19</v>
      </c>
      <c r="D2388" s="74">
        <v>244.6530166897129</v>
      </c>
      <c r="E2388" s="81">
        <v>1322329</v>
      </c>
      <c r="F2388" s="82">
        <v>1292780.1162790705</v>
      </c>
      <c r="G2388" s="75">
        <v>2646.9213935220578</v>
      </c>
      <c r="H2388" s="76">
        <v>2</v>
      </c>
      <c r="I2388" s="54" t="s">
        <v>20</v>
      </c>
      <c r="J2388" s="77">
        <v>40</v>
      </c>
      <c r="K2388" s="78">
        <v>2</v>
      </c>
      <c r="L2388" s="54">
        <v>1</v>
      </c>
      <c r="M2388" s="54">
        <f>_xlfn.XLOOKUP(Survey!$F2388,sections[Start],sections[Test Section],,-1,1)</f>
        <v>7</v>
      </c>
      <c r="N2388" s="55">
        <f>_xlfn.XLOOKUP(Survey!$K2388,pipedata[ID],pipedata[WT])</f>
        <v>0.74</v>
      </c>
      <c r="O2388" s="56">
        <f>_xlfn.XLOOKUP(Survey!$K2388,pipedata[ID],pipedata[104%])</f>
        <v>2565.3333333333335</v>
      </c>
      <c r="P2388" s="57">
        <f t="shared" si="37"/>
        <v>1850</v>
      </c>
      <c r="Q2388" s="58">
        <f>_xlfn.MAXIFS(Survey!$G$2:$G$3647,Survey!$M$2:$M$3647,Survey!$M2388)-Survey!$G2388</f>
        <v>188.05238389191618</v>
      </c>
      <c r="R2388" s="59">
        <f>Survey!$P2388+(Survey!$Q2388*0.433)</f>
        <v>1931.4266822251998</v>
      </c>
    </row>
    <row r="2389" spans="1:18" x14ac:dyDescent="0.25">
      <c r="A2389" s="60" t="s">
        <v>17</v>
      </c>
      <c r="B2389" s="61" t="s">
        <v>22</v>
      </c>
      <c r="C2389" s="62" t="s">
        <v>19</v>
      </c>
      <c r="D2389" s="63">
        <v>244.66124111004177</v>
      </c>
      <c r="E2389" s="79">
        <v>1322369</v>
      </c>
      <c r="F2389" s="80">
        <v>1292818.906976745</v>
      </c>
      <c r="G2389" s="66">
        <v>2645.3209479249495</v>
      </c>
      <c r="H2389" s="67">
        <v>2</v>
      </c>
      <c r="I2389" s="68" t="s">
        <v>20</v>
      </c>
      <c r="J2389" s="69">
        <v>40</v>
      </c>
      <c r="K2389" s="70">
        <v>2</v>
      </c>
      <c r="L2389" s="68">
        <v>1</v>
      </c>
      <c r="M2389" s="68">
        <f>_xlfn.XLOOKUP(Survey!$F2389,sections[Start],sections[Test Section],,-1,1)</f>
        <v>7</v>
      </c>
      <c r="N2389" s="55">
        <f>_xlfn.XLOOKUP(Survey!$K2389,pipedata[ID],pipedata[WT])</f>
        <v>0.74</v>
      </c>
      <c r="O2389" s="56">
        <f>_xlfn.XLOOKUP(Survey!$K2389,pipedata[ID],pipedata[104%])</f>
        <v>2565.3333333333335</v>
      </c>
      <c r="P2389" s="57">
        <f t="shared" si="37"/>
        <v>1850</v>
      </c>
      <c r="Q2389" s="58">
        <f>_xlfn.MAXIFS(Survey!$G$2:$G$3647,Survey!$M$2:$M$3647,Survey!$M2389)-Survey!$G2389</f>
        <v>189.6528294890245</v>
      </c>
      <c r="R2389" s="59">
        <f>Survey!$P2389+(Survey!$Q2389*0.433)</f>
        <v>1932.1196751687476</v>
      </c>
    </row>
    <row r="2390" spans="1:18" x14ac:dyDescent="0.25">
      <c r="A2390" s="71" t="s">
        <v>17</v>
      </c>
      <c r="B2390" s="72" t="s">
        <v>22</v>
      </c>
      <c r="C2390" s="73" t="s">
        <v>19</v>
      </c>
      <c r="D2390" s="74">
        <v>244.66848371194374</v>
      </c>
      <c r="E2390" s="81">
        <v>1322409</v>
      </c>
      <c r="F2390" s="82">
        <v>1292857.6976744195</v>
      </c>
      <c r="G2390" s="75">
        <v>2647.4353951354233</v>
      </c>
      <c r="H2390" s="76">
        <v>2</v>
      </c>
      <c r="I2390" s="54" t="s">
        <v>20</v>
      </c>
      <c r="J2390" s="77">
        <v>40</v>
      </c>
      <c r="K2390" s="78">
        <v>2</v>
      </c>
      <c r="L2390" s="54">
        <v>1</v>
      </c>
      <c r="M2390" s="54">
        <f>_xlfn.XLOOKUP(Survey!$F2390,sections[Start],sections[Test Section],,-1,1)</f>
        <v>7</v>
      </c>
      <c r="N2390" s="55">
        <f>_xlfn.XLOOKUP(Survey!$K2390,pipedata[ID],pipedata[WT])</f>
        <v>0.74</v>
      </c>
      <c r="O2390" s="56">
        <f>_xlfn.XLOOKUP(Survey!$K2390,pipedata[ID],pipedata[104%])</f>
        <v>2565.3333333333335</v>
      </c>
      <c r="P2390" s="57">
        <f t="shared" si="37"/>
        <v>1850</v>
      </c>
      <c r="Q2390" s="58">
        <f>_xlfn.MAXIFS(Survey!$G$2:$G$3647,Survey!$M$2:$M$3647,Survey!$M2390)-Survey!$G2390</f>
        <v>187.53838227855067</v>
      </c>
      <c r="R2390" s="59">
        <f>Survey!$P2390+(Survey!$Q2390*0.433)</f>
        <v>1931.2041195266124</v>
      </c>
    </row>
    <row r="2391" spans="1:18" x14ac:dyDescent="0.25">
      <c r="A2391" s="60" t="s">
        <v>17</v>
      </c>
      <c r="B2391" s="61" t="s">
        <v>22</v>
      </c>
      <c r="C2391" s="62" t="s">
        <v>19</v>
      </c>
      <c r="D2391" s="63">
        <v>244.6760711744044</v>
      </c>
      <c r="E2391" s="79">
        <v>1322449</v>
      </c>
      <c r="F2391" s="80">
        <v>1292896.488372094</v>
      </c>
      <c r="G2391" s="66">
        <v>2656.3211072905187</v>
      </c>
      <c r="H2391" s="67">
        <v>2</v>
      </c>
      <c r="I2391" s="68" t="s">
        <v>20</v>
      </c>
      <c r="J2391" s="69">
        <v>40</v>
      </c>
      <c r="K2391" s="70">
        <v>2</v>
      </c>
      <c r="L2391" s="68">
        <v>1</v>
      </c>
      <c r="M2391" s="68">
        <f>_xlfn.XLOOKUP(Survey!$F2391,sections[Start],sections[Test Section],,-1,1)</f>
        <v>7</v>
      </c>
      <c r="N2391" s="55">
        <f>_xlfn.XLOOKUP(Survey!$K2391,pipedata[ID],pipedata[WT])</f>
        <v>0.74</v>
      </c>
      <c r="O2391" s="56">
        <f>_xlfn.XLOOKUP(Survey!$K2391,pipedata[ID],pipedata[104%])</f>
        <v>2565.3333333333335</v>
      </c>
      <c r="P2391" s="57">
        <f t="shared" si="37"/>
        <v>1850</v>
      </c>
      <c r="Q2391" s="58">
        <f>_xlfn.MAXIFS(Survey!$G$2:$G$3647,Survey!$M$2:$M$3647,Survey!$M2391)-Survey!$G2391</f>
        <v>178.65267012345521</v>
      </c>
      <c r="R2391" s="59">
        <f>Survey!$P2391+(Survey!$Q2391*0.433)</f>
        <v>1927.356606163456</v>
      </c>
    </row>
    <row r="2392" spans="1:18" x14ac:dyDescent="0.25">
      <c r="A2392" s="71" t="s">
        <v>17</v>
      </c>
      <c r="B2392" s="72" t="s">
        <v>22</v>
      </c>
      <c r="C2392" s="73" t="s">
        <v>19</v>
      </c>
      <c r="D2392" s="74">
        <v>244.68296891574678</v>
      </c>
      <c r="E2392" s="81">
        <v>1322489</v>
      </c>
      <c r="F2392" s="82">
        <v>1292935.2790697685</v>
      </c>
      <c r="G2392" s="75">
        <v>2666.4139091824986</v>
      </c>
      <c r="H2392" s="76">
        <v>2</v>
      </c>
      <c r="I2392" s="54" t="s">
        <v>20</v>
      </c>
      <c r="J2392" s="77">
        <v>40</v>
      </c>
      <c r="K2392" s="78">
        <v>2</v>
      </c>
      <c r="L2392" s="54">
        <v>1</v>
      </c>
      <c r="M2392" s="54">
        <f>_xlfn.XLOOKUP(Survey!$F2392,sections[Start],sections[Test Section],,-1,1)</f>
        <v>7</v>
      </c>
      <c r="N2392" s="55">
        <f>_xlfn.XLOOKUP(Survey!$K2392,pipedata[ID],pipedata[WT])</f>
        <v>0.74</v>
      </c>
      <c r="O2392" s="56">
        <f>_xlfn.XLOOKUP(Survey!$K2392,pipedata[ID],pipedata[104%])</f>
        <v>2565.3333333333335</v>
      </c>
      <c r="P2392" s="57">
        <f t="shared" si="37"/>
        <v>1850</v>
      </c>
      <c r="Q2392" s="58">
        <f>_xlfn.MAXIFS(Survey!$G$2:$G$3647,Survey!$M$2:$M$3647,Survey!$M2392)-Survey!$G2392</f>
        <v>168.55986823147532</v>
      </c>
      <c r="R2392" s="59">
        <f>Survey!$P2392+(Survey!$Q2392*0.433)</f>
        <v>1922.9864229442287</v>
      </c>
    </row>
    <row r="2393" spans="1:18" x14ac:dyDescent="0.25">
      <c r="A2393" s="60" t="s">
        <v>17</v>
      </c>
      <c r="B2393" s="61" t="s">
        <v>22</v>
      </c>
      <c r="C2393" s="62" t="s">
        <v>19</v>
      </c>
      <c r="D2393" s="63">
        <v>244.69085661597867</v>
      </c>
      <c r="E2393" s="79">
        <v>1322529</v>
      </c>
      <c r="F2393" s="80">
        <v>1292974.069767443</v>
      </c>
      <c r="G2393" s="66">
        <v>2674.9506272769609</v>
      </c>
      <c r="H2393" s="67">
        <v>2</v>
      </c>
      <c r="I2393" s="68" t="s">
        <v>20</v>
      </c>
      <c r="J2393" s="69">
        <v>40</v>
      </c>
      <c r="K2393" s="70">
        <v>2</v>
      </c>
      <c r="L2393" s="68">
        <v>1</v>
      </c>
      <c r="M2393" s="68">
        <f>_xlfn.XLOOKUP(Survey!$F2393,sections[Start],sections[Test Section],,-1,1)</f>
        <v>7</v>
      </c>
      <c r="N2393" s="55">
        <f>_xlfn.XLOOKUP(Survey!$K2393,pipedata[ID],pipedata[WT])</f>
        <v>0.74</v>
      </c>
      <c r="O2393" s="56">
        <f>_xlfn.XLOOKUP(Survey!$K2393,pipedata[ID],pipedata[104%])</f>
        <v>2565.3333333333335</v>
      </c>
      <c r="P2393" s="57">
        <f t="shared" si="37"/>
        <v>1850</v>
      </c>
      <c r="Q2393" s="58">
        <f>_xlfn.MAXIFS(Survey!$G$2:$G$3647,Survey!$M$2:$M$3647,Survey!$M2393)-Survey!$G2393</f>
        <v>160.02315013701309</v>
      </c>
      <c r="R2393" s="59">
        <f>Survey!$P2393+(Survey!$Q2393*0.433)</f>
        <v>1919.2900240093268</v>
      </c>
    </row>
    <row r="2394" spans="1:18" x14ac:dyDescent="0.25">
      <c r="A2394" s="71" t="s">
        <v>17</v>
      </c>
      <c r="B2394" s="72" t="s">
        <v>22</v>
      </c>
      <c r="C2394" s="73" t="s">
        <v>19</v>
      </c>
      <c r="D2394" s="74">
        <v>244.69814884414438</v>
      </c>
      <c r="E2394" s="81">
        <v>1322569</v>
      </c>
      <c r="F2394" s="82">
        <v>1293012.8604651175</v>
      </c>
      <c r="G2394" s="75">
        <v>2676.5842675029389</v>
      </c>
      <c r="H2394" s="76">
        <v>2</v>
      </c>
      <c r="I2394" s="54" t="s">
        <v>20</v>
      </c>
      <c r="J2394" s="77">
        <v>40</v>
      </c>
      <c r="K2394" s="78">
        <v>2</v>
      </c>
      <c r="L2394" s="54">
        <v>1</v>
      </c>
      <c r="M2394" s="54">
        <f>_xlfn.XLOOKUP(Survey!$F2394,sections[Start],sections[Test Section],,-1,1)</f>
        <v>7</v>
      </c>
      <c r="N2394" s="55">
        <f>_xlfn.XLOOKUP(Survey!$K2394,pipedata[ID],pipedata[WT])</f>
        <v>0.74</v>
      </c>
      <c r="O2394" s="56">
        <f>_xlfn.XLOOKUP(Survey!$K2394,pipedata[ID],pipedata[104%])</f>
        <v>2565.3333333333335</v>
      </c>
      <c r="P2394" s="57">
        <f t="shared" si="37"/>
        <v>1850</v>
      </c>
      <c r="Q2394" s="58">
        <f>_xlfn.MAXIFS(Survey!$G$2:$G$3647,Survey!$M$2:$M$3647,Survey!$M2394)-Survey!$G2394</f>
        <v>158.38950991103502</v>
      </c>
      <c r="R2394" s="59">
        <f>Survey!$P2394+(Survey!$Q2394*0.433)</f>
        <v>1918.5826577914781</v>
      </c>
    </row>
    <row r="2395" spans="1:18" x14ac:dyDescent="0.25">
      <c r="A2395" s="60" t="s">
        <v>17</v>
      </c>
      <c r="B2395" s="61" t="s">
        <v>22</v>
      </c>
      <c r="C2395" s="62" t="s">
        <v>19</v>
      </c>
      <c r="D2395" s="63">
        <v>244.70564205755355</v>
      </c>
      <c r="E2395" s="79">
        <v>1322609</v>
      </c>
      <c r="F2395" s="80">
        <v>1293051.651162792</v>
      </c>
      <c r="G2395" s="66">
        <v>2673.1363797821264</v>
      </c>
      <c r="H2395" s="67">
        <v>2</v>
      </c>
      <c r="I2395" s="68" t="s">
        <v>20</v>
      </c>
      <c r="J2395" s="69">
        <v>40</v>
      </c>
      <c r="K2395" s="70">
        <v>2</v>
      </c>
      <c r="L2395" s="68">
        <v>1</v>
      </c>
      <c r="M2395" s="68">
        <f>_xlfn.XLOOKUP(Survey!$F2395,sections[Start],sections[Test Section],,-1,1)</f>
        <v>7</v>
      </c>
      <c r="N2395" s="55">
        <f>_xlfn.XLOOKUP(Survey!$K2395,pipedata[ID],pipedata[WT])</f>
        <v>0.74</v>
      </c>
      <c r="O2395" s="56">
        <f>_xlfn.XLOOKUP(Survey!$K2395,pipedata[ID],pipedata[104%])</f>
        <v>2565.3333333333335</v>
      </c>
      <c r="P2395" s="57">
        <f t="shared" si="37"/>
        <v>1850</v>
      </c>
      <c r="Q2395" s="58">
        <f>_xlfn.MAXIFS(Survey!$G$2:$G$3647,Survey!$M$2:$M$3647,Survey!$M2395)-Survey!$G2395</f>
        <v>161.83739763184758</v>
      </c>
      <c r="R2395" s="59">
        <f>Survey!$P2395+(Survey!$Q2395*0.433)</f>
        <v>1920.07559317459</v>
      </c>
    </row>
    <row r="2396" spans="1:18" x14ac:dyDescent="0.25">
      <c r="A2396" s="71" t="s">
        <v>17</v>
      </c>
      <c r="B2396" s="72" t="s">
        <v>22</v>
      </c>
      <c r="C2396" s="73" t="s">
        <v>19</v>
      </c>
      <c r="D2396" s="74">
        <v>244.7133878437341</v>
      </c>
      <c r="E2396" s="81">
        <v>1322649</v>
      </c>
      <c r="F2396" s="82">
        <v>1293090.4418604665</v>
      </c>
      <c r="G2396" s="75">
        <v>2668.3974668527626</v>
      </c>
      <c r="H2396" s="76">
        <v>2</v>
      </c>
      <c r="I2396" s="54" t="s">
        <v>20</v>
      </c>
      <c r="J2396" s="77">
        <v>40</v>
      </c>
      <c r="K2396" s="78">
        <v>2</v>
      </c>
      <c r="L2396" s="54">
        <v>1</v>
      </c>
      <c r="M2396" s="54">
        <f>_xlfn.XLOOKUP(Survey!$F2396,sections[Start],sections[Test Section],,-1,1)</f>
        <v>7</v>
      </c>
      <c r="N2396" s="55">
        <f>_xlfn.XLOOKUP(Survey!$K2396,pipedata[ID],pipedata[WT])</f>
        <v>0.74</v>
      </c>
      <c r="O2396" s="56">
        <f>_xlfn.XLOOKUP(Survey!$K2396,pipedata[ID],pipedata[104%])</f>
        <v>2565.3333333333335</v>
      </c>
      <c r="P2396" s="57">
        <f t="shared" si="37"/>
        <v>1850</v>
      </c>
      <c r="Q2396" s="58">
        <f>_xlfn.MAXIFS(Survey!$G$2:$G$3647,Survey!$M$2:$M$3647,Survey!$M2396)-Survey!$G2396</f>
        <v>166.57631056121136</v>
      </c>
      <c r="R2396" s="59">
        <f>Survey!$P2396+(Survey!$Q2396*0.433)</f>
        <v>1922.1275424730045</v>
      </c>
    </row>
    <row r="2397" spans="1:18" x14ac:dyDescent="0.25">
      <c r="A2397" s="60" t="s">
        <v>17</v>
      </c>
      <c r="B2397" s="61" t="s">
        <v>22</v>
      </c>
      <c r="C2397" s="62" t="s">
        <v>19</v>
      </c>
      <c r="D2397" s="63">
        <v>244.72071492135998</v>
      </c>
      <c r="E2397" s="79">
        <v>1322689</v>
      </c>
      <c r="F2397" s="80">
        <v>1293129.232558141</v>
      </c>
      <c r="G2397" s="66">
        <v>2666.6899066949136</v>
      </c>
      <c r="H2397" s="67">
        <v>2</v>
      </c>
      <c r="I2397" s="68" t="s">
        <v>20</v>
      </c>
      <c r="J2397" s="69">
        <v>40</v>
      </c>
      <c r="K2397" s="70">
        <v>2</v>
      </c>
      <c r="L2397" s="68">
        <v>1</v>
      </c>
      <c r="M2397" s="68">
        <f>_xlfn.XLOOKUP(Survey!$F2397,sections[Start],sections[Test Section],,-1,1)</f>
        <v>7</v>
      </c>
      <c r="N2397" s="55">
        <f>_xlfn.XLOOKUP(Survey!$K2397,pipedata[ID],pipedata[WT])</f>
        <v>0.74</v>
      </c>
      <c r="O2397" s="56">
        <f>_xlfn.XLOOKUP(Survey!$K2397,pipedata[ID],pipedata[104%])</f>
        <v>2565.3333333333335</v>
      </c>
      <c r="P2397" s="57">
        <f t="shared" si="37"/>
        <v>1850</v>
      </c>
      <c r="Q2397" s="58">
        <f>_xlfn.MAXIFS(Survey!$G$2:$G$3647,Survey!$M$2:$M$3647,Survey!$M2397)-Survey!$G2397</f>
        <v>168.28387071906036</v>
      </c>
      <c r="R2397" s="59">
        <f>Survey!$P2397+(Survey!$Q2397*0.433)</f>
        <v>1922.8669160213531</v>
      </c>
    </row>
    <row r="2398" spans="1:18" x14ac:dyDescent="0.25">
      <c r="A2398" s="71" t="s">
        <v>17</v>
      </c>
      <c r="B2398" s="72" t="s">
        <v>22</v>
      </c>
      <c r="C2398" s="73" t="s">
        <v>19</v>
      </c>
      <c r="D2398" s="74">
        <v>244.72787304753763</v>
      </c>
      <c r="E2398" s="81">
        <v>1322729</v>
      </c>
      <c r="F2398" s="82">
        <v>1293168.0232558155</v>
      </c>
      <c r="G2398" s="75">
        <v>2671.2383863385644</v>
      </c>
      <c r="H2398" s="76">
        <v>2</v>
      </c>
      <c r="I2398" s="54" t="s">
        <v>20</v>
      </c>
      <c r="J2398" s="77">
        <v>40</v>
      </c>
      <c r="K2398" s="78">
        <v>2</v>
      </c>
      <c r="L2398" s="54">
        <v>1</v>
      </c>
      <c r="M2398" s="54">
        <f>_xlfn.XLOOKUP(Survey!$F2398,sections[Start],sections[Test Section],,-1,1)</f>
        <v>7</v>
      </c>
      <c r="N2398" s="55">
        <f>_xlfn.XLOOKUP(Survey!$K2398,pipedata[ID],pipedata[WT])</f>
        <v>0.74</v>
      </c>
      <c r="O2398" s="56">
        <f>_xlfn.XLOOKUP(Survey!$K2398,pipedata[ID],pipedata[104%])</f>
        <v>2565.3333333333335</v>
      </c>
      <c r="P2398" s="57">
        <f t="shared" si="37"/>
        <v>1850</v>
      </c>
      <c r="Q2398" s="58">
        <f>_xlfn.MAXIFS(Survey!$G$2:$G$3647,Survey!$M$2:$M$3647,Survey!$M2398)-Survey!$G2398</f>
        <v>163.73539107540955</v>
      </c>
      <c r="R2398" s="59">
        <f>Survey!$P2398+(Survey!$Q2398*0.433)</f>
        <v>1920.8974243356524</v>
      </c>
    </row>
    <row r="2399" spans="1:18" x14ac:dyDescent="0.25">
      <c r="A2399" s="60" t="s">
        <v>17</v>
      </c>
      <c r="B2399" s="61" t="s">
        <v>22</v>
      </c>
      <c r="C2399" s="62" t="s">
        <v>19</v>
      </c>
      <c r="D2399" s="63">
        <v>244.73521294070133</v>
      </c>
      <c r="E2399" s="79">
        <v>1322769</v>
      </c>
      <c r="F2399" s="80">
        <v>1293206.81395349</v>
      </c>
      <c r="G2399" s="66">
        <v>2676.3885959780605</v>
      </c>
      <c r="H2399" s="67">
        <v>2</v>
      </c>
      <c r="I2399" s="68" t="s">
        <v>20</v>
      </c>
      <c r="J2399" s="69">
        <v>40</v>
      </c>
      <c r="K2399" s="70">
        <v>2</v>
      </c>
      <c r="L2399" s="68">
        <v>1</v>
      </c>
      <c r="M2399" s="68">
        <f>_xlfn.XLOOKUP(Survey!$F2399,sections[Start],sections[Test Section],,-1,1)</f>
        <v>7</v>
      </c>
      <c r="N2399" s="55">
        <f>_xlfn.XLOOKUP(Survey!$K2399,pipedata[ID],pipedata[WT])</f>
        <v>0.74</v>
      </c>
      <c r="O2399" s="56">
        <f>_xlfn.XLOOKUP(Survey!$K2399,pipedata[ID],pipedata[104%])</f>
        <v>2565.3333333333335</v>
      </c>
      <c r="P2399" s="57">
        <f t="shared" si="37"/>
        <v>1850</v>
      </c>
      <c r="Q2399" s="58">
        <f>_xlfn.MAXIFS(Survey!$G$2:$G$3647,Survey!$M$2:$M$3647,Survey!$M2399)-Survey!$G2399</f>
        <v>158.58518143591346</v>
      </c>
      <c r="R2399" s="59">
        <f>Survey!$P2399+(Survey!$Q2399*0.433)</f>
        <v>1918.6673835617505</v>
      </c>
    </row>
    <row r="2400" spans="1:18" x14ac:dyDescent="0.25">
      <c r="A2400" s="71" t="s">
        <v>17</v>
      </c>
      <c r="B2400" s="72" t="s">
        <v>22</v>
      </c>
      <c r="C2400" s="73" t="s">
        <v>19</v>
      </c>
      <c r="D2400" s="74">
        <v>244.74328099857578</v>
      </c>
      <c r="E2400" s="81">
        <v>1322809</v>
      </c>
      <c r="F2400" s="82">
        <v>1293245.6046511645</v>
      </c>
      <c r="G2400" s="75">
        <v>2679.1524671980528</v>
      </c>
      <c r="H2400" s="76">
        <v>2</v>
      </c>
      <c r="I2400" s="54" t="s">
        <v>20</v>
      </c>
      <c r="J2400" s="77">
        <v>40</v>
      </c>
      <c r="K2400" s="78">
        <v>2</v>
      </c>
      <c r="L2400" s="54">
        <v>1</v>
      </c>
      <c r="M2400" s="54">
        <f>_xlfn.XLOOKUP(Survey!$F2400,sections[Start],sections[Test Section],,-1,1)</f>
        <v>7</v>
      </c>
      <c r="N2400" s="55">
        <f>_xlfn.XLOOKUP(Survey!$K2400,pipedata[ID],pipedata[WT])</f>
        <v>0.74</v>
      </c>
      <c r="O2400" s="56">
        <f>_xlfn.XLOOKUP(Survey!$K2400,pipedata[ID],pipedata[104%])</f>
        <v>2565.3333333333335</v>
      </c>
      <c r="P2400" s="57">
        <f t="shared" si="37"/>
        <v>1850</v>
      </c>
      <c r="Q2400" s="58">
        <f>_xlfn.MAXIFS(Survey!$G$2:$G$3647,Survey!$M$2:$M$3647,Survey!$M2400)-Survey!$G2400</f>
        <v>155.82131021592113</v>
      </c>
      <c r="R2400" s="59">
        <f>Survey!$P2400+(Survey!$Q2400*0.433)</f>
        <v>1917.4706273234938</v>
      </c>
    </row>
    <row r="2401" spans="1:18" x14ac:dyDescent="0.25">
      <c r="A2401" s="60" t="s">
        <v>17</v>
      </c>
      <c r="B2401" s="61" t="s">
        <v>22</v>
      </c>
      <c r="C2401" s="62" t="s">
        <v>19</v>
      </c>
      <c r="D2401" s="63">
        <v>244.75104937362278</v>
      </c>
      <c r="E2401" s="79">
        <v>1322849</v>
      </c>
      <c r="F2401" s="80">
        <v>1293284.395348839</v>
      </c>
      <c r="G2401" s="66">
        <v>2679.4525475429664</v>
      </c>
      <c r="H2401" s="67">
        <v>2</v>
      </c>
      <c r="I2401" s="68" t="s">
        <v>20</v>
      </c>
      <c r="J2401" s="69">
        <v>40</v>
      </c>
      <c r="K2401" s="70">
        <v>2</v>
      </c>
      <c r="L2401" s="68">
        <v>1</v>
      </c>
      <c r="M2401" s="68">
        <f>_xlfn.XLOOKUP(Survey!$F2401,sections[Start],sections[Test Section],,-1,1)</f>
        <v>7</v>
      </c>
      <c r="N2401" s="55">
        <f>_xlfn.XLOOKUP(Survey!$K2401,pipedata[ID],pipedata[WT])</f>
        <v>0.74</v>
      </c>
      <c r="O2401" s="56">
        <f>_xlfn.XLOOKUP(Survey!$K2401,pipedata[ID],pipedata[104%])</f>
        <v>2565.3333333333335</v>
      </c>
      <c r="P2401" s="57">
        <f t="shared" si="37"/>
        <v>1850</v>
      </c>
      <c r="Q2401" s="58">
        <f>_xlfn.MAXIFS(Survey!$G$2:$G$3647,Survey!$M$2:$M$3647,Survey!$M2401)-Survey!$G2401</f>
        <v>155.52122987100756</v>
      </c>
      <c r="R2401" s="59">
        <f>Survey!$P2401+(Survey!$Q2401*0.433)</f>
        <v>1917.3406925341462</v>
      </c>
    </row>
    <row r="2402" spans="1:18" x14ac:dyDescent="0.25">
      <c r="A2402" s="71" t="s">
        <v>17</v>
      </c>
      <c r="B2402" s="72" t="s">
        <v>22</v>
      </c>
      <c r="C2402" s="73" t="s">
        <v>19</v>
      </c>
      <c r="D2402" s="74">
        <v>244.75829197552477</v>
      </c>
      <c r="E2402" s="81">
        <v>1322889</v>
      </c>
      <c r="F2402" s="82">
        <v>1293323.1860465135</v>
      </c>
      <c r="G2402" s="75">
        <v>2676.9272273620013</v>
      </c>
      <c r="H2402" s="76">
        <v>2</v>
      </c>
      <c r="I2402" s="54" t="s">
        <v>20</v>
      </c>
      <c r="J2402" s="77">
        <v>40</v>
      </c>
      <c r="K2402" s="78">
        <v>2</v>
      </c>
      <c r="L2402" s="54">
        <v>1</v>
      </c>
      <c r="M2402" s="54">
        <f>_xlfn.XLOOKUP(Survey!$F2402,sections[Start],sections[Test Section],,-1,1)</f>
        <v>7</v>
      </c>
      <c r="N2402" s="55">
        <f>_xlfn.XLOOKUP(Survey!$K2402,pipedata[ID],pipedata[WT])</f>
        <v>0.74</v>
      </c>
      <c r="O2402" s="56">
        <f>_xlfn.XLOOKUP(Survey!$K2402,pipedata[ID],pipedata[104%])</f>
        <v>2565.3333333333335</v>
      </c>
      <c r="P2402" s="57">
        <f t="shared" si="37"/>
        <v>1850</v>
      </c>
      <c r="Q2402" s="58">
        <f>_xlfn.MAXIFS(Survey!$G$2:$G$3647,Survey!$M$2:$M$3647,Survey!$M2402)-Survey!$G2402</f>
        <v>158.04655005197264</v>
      </c>
      <c r="R2402" s="59">
        <f>Survey!$P2402+(Survey!$Q2402*0.433)</f>
        <v>1918.4341561725041</v>
      </c>
    </row>
    <row r="2403" spans="1:18" x14ac:dyDescent="0.25">
      <c r="A2403" s="60" t="s">
        <v>17</v>
      </c>
      <c r="B2403" s="61" t="s">
        <v>22</v>
      </c>
      <c r="C2403" s="62" t="s">
        <v>19</v>
      </c>
      <c r="D2403" s="63">
        <v>244.7658470757915</v>
      </c>
      <c r="E2403" s="79">
        <v>1322929</v>
      </c>
      <c r="F2403" s="80">
        <v>1293361.976744188</v>
      </c>
      <c r="G2403" s="66">
        <v>2675.602563051516</v>
      </c>
      <c r="H2403" s="67">
        <v>2</v>
      </c>
      <c r="I2403" s="68" t="s">
        <v>20</v>
      </c>
      <c r="J2403" s="69">
        <v>40</v>
      </c>
      <c r="K2403" s="70">
        <v>2</v>
      </c>
      <c r="L2403" s="68">
        <v>1</v>
      </c>
      <c r="M2403" s="68">
        <f>_xlfn.XLOOKUP(Survey!$F2403,sections[Start],sections[Test Section],,-1,1)</f>
        <v>7</v>
      </c>
      <c r="N2403" s="55">
        <f>_xlfn.XLOOKUP(Survey!$K2403,pipedata[ID],pipedata[WT])</f>
        <v>0.74</v>
      </c>
      <c r="O2403" s="56">
        <f>_xlfn.XLOOKUP(Survey!$K2403,pipedata[ID],pipedata[104%])</f>
        <v>2565.3333333333335</v>
      </c>
      <c r="P2403" s="57">
        <f t="shared" si="37"/>
        <v>1850</v>
      </c>
      <c r="Q2403" s="58">
        <f>_xlfn.MAXIFS(Survey!$G$2:$G$3647,Survey!$M$2:$M$3647,Survey!$M2403)-Survey!$G2403</f>
        <v>159.37121436245798</v>
      </c>
      <c r="R2403" s="59">
        <f>Survey!$P2403+(Survey!$Q2403*0.433)</f>
        <v>1919.0077358189442</v>
      </c>
    </row>
    <row r="2404" spans="1:18" x14ac:dyDescent="0.25">
      <c r="A2404" s="71" t="s">
        <v>17</v>
      </c>
      <c r="B2404" s="72" t="s">
        <v>22</v>
      </c>
      <c r="C2404" s="73" t="s">
        <v>19</v>
      </c>
      <c r="D2404" s="74">
        <v>244.7727771793279</v>
      </c>
      <c r="E2404" s="81">
        <v>1322969</v>
      </c>
      <c r="F2404" s="82">
        <v>1293400.7674418625</v>
      </c>
      <c r="G2404" s="75">
        <v>2674.0683886147599</v>
      </c>
      <c r="H2404" s="76">
        <v>2</v>
      </c>
      <c r="I2404" s="54" t="s">
        <v>20</v>
      </c>
      <c r="J2404" s="77">
        <v>40</v>
      </c>
      <c r="K2404" s="78">
        <v>2</v>
      </c>
      <c r="L2404" s="54">
        <v>1</v>
      </c>
      <c r="M2404" s="54">
        <f>_xlfn.XLOOKUP(Survey!$F2404,sections[Start],sections[Test Section],,-1,1)</f>
        <v>7</v>
      </c>
      <c r="N2404" s="55">
        <f>_xlfn.XLOOKUP(Survey!$K2404,pipedata[ID],pipedata[WT])</f>
        <v>0.74</v>
      </c>
      <c r="O2404" s="56">
        <f>_xlfn.XLOOKUP(Survey!$K2404,pipedata[ID],pipedata[104%])</f>
        <v>2565.3333333333335</v>
      </c>
      <c r="P2404" s="57">
        <f t="shared" si="37"/>
        <v>1850</v>
      </c>
      <c r="Q2404" s="58">
        <f>_xlfn.MAXIFS(Survey!$G$2:$G$3647,Survey!$M$2:$M$3647,Survey!$M2404)-Survey!$G2404</f>
        <v>160.90538879921405</v>
      </c>
      <c r="R2404" s="59">
        <f>Survey!$P2404+(Survey!$Q2404*0.433)</f>
        <v>1919.6720333500598</v>
      </c>
    </row>
    <row r="2405" spans="1:18" x14ac:dyDescent="0.25">
      <c r="A2405" s="60" t="s">
        <v>17</v>
      </c>
      <c r="B2405" s="61" t="s">
        <v>22</v>
      </c>
      <c r="C2405" s="62" t="s">
        <v>19</v>
      </c>
      <c r="D2405" s="63">
        <v>244.78020730674709</v>
      </c>
      <c r="E2405" s="79">
        <v>1323009</v>
      </c>
      <c r="F2405" s="80">
        <v>1293439.558139537</v>
      </c>
      <c r="G2405" s="66">
        <v>2669.8373777124284</v>
      </c>
      <c r="H2405" s="67">
        <v>2</v>
      </c>
      <c r="I2405" s="68" t="s">
        <v>20</v>
      </c>
      <c r="J2405" s="69">
        <v>40</v>
      </c>
      <c r="K2405" s="70">
        <v>2</v>
      </c>
      <c r="L2405" s="68">
        <v>1</v>
      </c>
      <c r="M2405" s="68">
        <f>_xlfn.XLOOKUP(Survey!$F2405,sections[Start],sections[Test Section],,-1,1)</f>
        <v>7</v>
      </c>
      <c r="N2405" s="55">
        <f>_xlfn.XLOOKUP(Survey!$K2405,pipedata[ID],pipedata[WT])</f>
        <v>0.74</v>
      </c>
      <c r="O2405" s="56">
        <f>_xlfn.XLOOKUP(Survey!$K2405,pipedata[ID],pipedata[104%])</f>
        <v>2565.3333333333335</v>
      </c>
      <c r="P2405" s="57">
        <f t="shared" si="37"/>
        <v>1850</v>
      </c>
      <c r="Q2405" s="58">
        <f>_xlfn.MAXIFS(Survey!$G$2:$G$3647,Survey!$M$2:$M$3647,Survey!$M2405)-Survey!$G2405</f>
        <v>165.13639970154554</v>
      </c>
      <c r="R2405" s="59">
        <f>Survey!$P2405+(Survey!$Q2405*0.433)</f>
        <v>1921.5040610707692</v>
      </c>
    </row>
    <row r="2406" spans="1:18" x14ac:dyDescent="0.25">
      <c r="A2406" s="71" t="s">
        <v>17</v>
      </c>
      <c r="B2406" s="72" t="s">
        <v>22</v>
      </c>
      <c r="C2406" s="73" t="s">
        <v>19</v>
      </c>
      <c r="D2406" s="74">
        <v>244.78841315300727</v>
      </c>
      <c r="E2406" s="81">
        <v>1323049</v>
      </c>
      <c r="F2406" s="82">
        <v>1293478.3488372115</v>
      </c>
      <c r="G2406" s="75">
        <v>2664.7227815325709</v>
      </c>
      <c r="H2406" s="76">
        <v>2</v>
      </c>
      <c r="I2406" s="54" t="s">
        <v>20</v>
      </c>
      <c r="J2406" s="77">
        <v>40</v>
      </c>
      <c r="K2406" s="78">
        <v>2</v>
      </c>
      <c r="L2406" s="54">
        <v>1</v>
      </c>
      <c r="M2406" s="54">
        <f>_xlfn.XLOOKUP(Survey!$F2406,sections[Start],sections[Test Section],,-1,1)</f>
        <v>7</v>
      </c>
      <c r="N2406" s="55">
        <f>_xlfn.XLOOKUP(Survey!$K2406,pipedata[ID],pipedata[WT])</f>
        <v>0.74</v>
      </c>
      <c r="O2406" s="56">
        <f>_xlfn.XLOOKUP(Survey!$K2406,pipedata[ID],pipedata[104%])</f>
        <v>2565.3333333333335</v>
      </c>
      <c r="P2406" s="57">
        <f t="shared" si="37"/>
        <v>1850</v>
      </c>
      <c r="Q2406" s="58">
        <f>_xlfn.MAXIFS(Survey!$G$2:$G$3647,Survey!$M$2:$M$3647,Survey!$M2406)-Survey!$G2406</f>
        <v>170.25099588140301</v>
      </c>
      <c r="R2406" s="59">
        <f>Survey!$P2406+(Survey!$Q2406*0.433)</f>
        <v>1923.7186812166476</v>
      </c>
    </row>
    <row r="2407" spans="1:18" x14ac:dyDescent="0.25">
      <c r="A2407" s="60" t="s">
        <v>17</v>
      </c>
      <c r="B2407" s="61" t="s">
        <v>22</v>
      </c>
      <c r="C2407" s="62" t="s">
        <v>19</v>
      </c>
      <c r="D2407" s="63">
        <v>244.79595350541348</v>
      </c>
      <c r="E2407" s="79">
        <v>1323089</v>
      </c>
      <c r="F2407" s="80">
        <v>1293517.139534886</v>
      </c>
      <c r="G2407" s="66">
        <v>2655.0010206862339</v>
      </c>
      <c r="H2407" s="67">
        <v>2</v>
      </c>
      <c r="I2407" s="68" t="s">
        <v>20</v>
      </c>
      <c r="J2407" s="69">
        <v>40</v>
      </c>
      <c r="K2407" s="70">
        <v>2</v>
      </c>
      <c r="L2407" s="68">
        <v>1</v>
      </c>
      <c r="M2407" s="68">
        <f>_xlfn.XLOOKUP(Survey!$F2407,sections[Start],sections[Test Section],,-1,1)</f>
        <v>7</v>
      </c>
      <c r="N2407" s="55">
        <f>_xlfn.XLOOKUP(Survey!$K2407,pipedata[ID],pipedata[WT])</f>
        <v>0.74</v>
      </c>
      <c r="O2407" s="56">
        <f>_xlfn.XLOOKUP(Survey!$K2407,pipedata[ID],pipedata[104%])</f>
        <v>2565.3333333333335</v>
      </c>
      <c r="P2407" s="57">
        <f t="shared" si="37"/>
        <v>1850</v>
      </c>
      <c r="Q2407" s="58">
        <f>_xlfn.MAXIFS(Survey!$G$2:$G$3647,Survey!$M$2:$M$3647,Survey!$M2407)-Survey!$G2407</f>
        <v>179.97275672774003</v>
      </c>
      <c r="R2407" s="59">
        <f>Survey!$P2407+(Survey!$Q2407*0.433)</f>
        <v>1927.9282036631114</v>
      </c>
    </row>
    <row r="2408" spans="1:18" x14ac:dyDescent="0.25">
      <c r="A2408" s="71" t="s">
        <v>17</v>
      </c>
      <c r="B2408" s="72" t="s">
        <v>22</v>
      </c>
      <c r="C2408" s="73" t="s">
        <v>19</v>
      </c>
      <c r="D2408" s="74">
        <v>244.80319610731536</v>
      </c>
      <c r="E2408" s="81">
        <v>1323129</v>
      </c>
      <c r="F2408" s="82">
        <v>1293555.9302325605</v>
      </c>
      <c r="G2408" s="75">
        <v>2644.6026735250593</v>
      </c>
      <c r="H2408" s="76">
        <v>2</v>
      </c>
      <c r="I2408" s="54" t="s">
        <v>20</v>
      </c>
      <c r="J2408" s="77">
        <v>40</v>
      </c>
      <c r="K2408" s="78">
        <v>2</v>
      </c>
      <c r="L2408" s="54">
        <v>1</v>
      </c>
      <c r="M2408" s="54">
        <f>_xlfn.XLOOKUP(Survey!$F2408,sections[Start],sections[Test Section],,-1,1)</f>
        <v>7</v>
      </c>
      <c r="N2408" s="55">
        <f>_xlfn.XLOOKUP(Survey!$K2408,pipedata[ID],pipedata[WT])</f>
        <v>0.74</v>
      </c>
      <c r="O2408" s="56">
        <f>_xlfn.XLOOKUP(Survey!$K2408,pipedata[ID],pipedata[104%])</f>
        <v>2565.3333333333335</v>
      </c>
      <c r="P2408" s="57">
        <f t="shared" si="37"/>
        <v>1850</v>
      </c>
      <c r="Q2408" s="58">
        <f>_xlfn.MAXIFS(Survey!$G$2:$G$3647,Survey!$M$2:$M$3647,Survey!$M2408)-Survey!$G2408</f>
        <v>190.3711038889146</v>
      </c>
      <c r="R2408" s="59">
        <f>Survey!$P2408+(Survey!$Q2408*0.433)</f>
        <v>1932.4306879839</v>
      </c>
    </row>
    <row r="2409" spans="1:18" x14ac:dyDescent="0.25">
      <c r="A2409" s="60" t="s">
        <v>17</v>
      </c>
      <c r="B2409" s="61" t="s">
        <v>22</v>
      </c>
      <c r="C2409" s="62" t="s">
        <v>19</v>
      </c>
      <c r="D2409" s="63">
        <v>244.81043870921695</v>
      </c>
      <c r="E2409" s="79">
        <v>1323169</v>
      </c>
      <c r="F2409" s="80">
        <v>1293594.720930235</v>
      </c>
      <c r="G2409" s="66">
        <v>2633.742675091381</v>
      </c>
      <c r="H2409" s="67">
        <v>2</v>
      </c>
      <c r="I2409" s="68" t="s">
        <v>20</v>
      </c>
      <c r="J2409" s="69">
        <v>40</v>
      </c>
      <c r="K2409" s="70">
        <v>2</v>
      </c>
      <c r="L2409" s="68">
        <v>1</v>
      </c>
      <c r="M2409" s="68">
        <f>_xlfn.XLOOKUP(Survey!$F2409,sections[Start],sections[Test Section],,-1,1)</f>
        <v>7</v>
      </c>
      <c r="N2409" s="55">
        <f>_xlfn.XLOOKUP(Survey!$K2409,pipedata[ID],pipedata[WT])</f>
        <v>0.74</v>
      </c>
      <c r="O2409" s="56">
        <f>_xlfn.XLOOKUP(Survey!$K2409,pipedata[ID],pipedata[104%])</f>
        <v>2565.3333333333335</v>
      </c>
      <c r="P2409" s="57">
        <f t="shared" si="37"/>
        <v>1850</v>
      </c>
      <c r="Q2409" s="58">
        <f>_xlfn.MAXIFS(Survey!$G$2:$G$3647,Survey!$M$2:$M$3647,Survey!$M2409)-Survey!$G2409</f>
        <v>201.23110232259296</v>
      </c>
      <c r="R2409" s="59">
        <f>Survey!$P2409+(Survey!$Q2409*0.433)</f>
        <v>1937.1330673056827</v>
      </c>
    </row>
    <row r="2410" spans="1:18" x14ac:dyDescent="0.25">
      <c r="A2410" s="71" t="s">
        <v>17</v>
      </c>
      <c r="B2410" s="72" t="s">
        <v>22</v>
      </c>
      <c r="C2410" s="73" t="s">
        <v>19</v>
      </c>
      <c r="D2410" s="74">
        <v>244.81768131111849</v>
      </c>
      <c r="E2410" s="81">
        <v>1323209</v>
      </c>
      <c r="F2410" s="82">
        <v>1293633.5116279095</v>
      </c>
      <c r="G2410" s="75">
        <v>2622.9746359241453</v>
      </c>
      <c r="H2410" s="76">
        <v>2</v>
      </c>
      <c r="I2410" s="54" t="s">
        <v>20</v>
      </c>
      <c r="J2410" s="77">
        <v>40</v>
      </c>
      <c r="K2410" s="78">
        <v>2</v>
      </c>
      <c r="L2410" s="54">
        <v>1</v>
      </c>
      <c r="M2410" s="54">
        <f>_xlfn.XLOOKUP(Survey!$F2410,sections[Start],sections[Test Section],,-1,1)</f>
        <v>7</v>
      </c>
      <c r="N2410" s="55">
        <f>_xlfn.XLOOKUP(Survey!$K2410,pipedata[ID],pipedata[WT])</f>
        <v>0.74</v>
      </c>
      <c r="O2410" s="56">
        <f>_xlfn.XLOOKUP(Survey!$K2410,pipedata[ID],pipedata[104%])</f>
        <v>2565.3333333333335</v>
      </c>
      <c r="P2410" s="57">
        <f t="shared" si="37"/>
        <v>1850</v>
      </c>
      <c r="Q2410" s="58">
        <f>_xlfn.MAXIFS(Survey!$G$2:$G$3647,Survey!$M$2:$M$3647,Survey!$M2410)-Survey!$G2410</f>
        <v>211.99914148982862</v>
      </c>
      <c r="R2410" s="59">
        <f>Survey!$P2410+(Survey!$Q2410*0.433)</f>
        <v>1941.7956282650957</v>
      </c>
    </row>
    <row r="2411" spans="1:18" x14ac:dyDescent="0.25">
      <c r="A2411" s="60" t="s">
        <v>17</v>
      </c>
      <c r="B2411" s="61" t="s">
        <v>22</v>
      </c>
      <c r="C2411" s="62" t="s">
        <v>19</v>
      </c>
      <c r="D2411" s="63">
        <v>244.82492391302</v>
      </c>
      <c r="E2411" s="79">
        <v>1323249</v>
      </c>
      <c r="F2411" s="80">
        <v>1293672.302325584</v>
      </c>
      <c r="G2411" s="66">
        <v>2611.7602187227908</v>
      </c>
      <c r="H2411" s="67">
        <v>2</v>
      </c>
      <c r="I2411" s="68" t="s">
        <v>20</v>
      </c>
      <c r="J2411" s="69">
        <v>40</v>
      </c>
      <c r="K2411" s="70">
        <v>2</v>
      </c>
      <c r="L2411" s="68">
        <v>1</v>
      </c>
      <c r="M2411" s="68">
        <f>_xlfn.XLOOKUP(Survey!$F2411,sections[Start],sections[Test Section],,-1,1)</f>
        <v>7</v>
      </c>
      <c r="N2411" s="55">
        <f>_xlfn.XLOOKUP(Survey!$K2411,pipedata[ID],pipedata[WT])</f>
        <v>0.74</v>
      </c>
      <c r="O2411" s="56">
        <f>_xlfn.XLOOKUP(Survey!$K2411,pipedata[ID],pipedata[104%])</f>
        <v>2565.3333333333335</v>
      </c>
      <c r="P2411" s="57">
        <f t="shared" si="37"/>
        <v>1850</v>
      </c>
      <c r="Q2411" s="58">
        <f>_xlfn.MAXIFS(Survey!$G$2:$G$3647,Survey!$M$2:$M$3647,Survey!$M2411)-Survey!$G2411</f>
        <v>223.21355869118315</v>
      </c>
      <c r="R2411" s="59">
        <f>Survey!$P2411+(Survey!$Q2411*0.433)</f>
        <v>1946.6514709132823</v>
      </c>
    </row>
    <row r="2412" spans="1:18" x14ac:dyDescent="0.25">
      <c r="A2412" s="71" t="s">
        <v>17</v>
      </c>
      <c r="B2412" s="72" t="s">
        <v>22</v>
      </c>
      <c r="C2412" s="73" t="s">
        <v>19</v>
      </c>
      <c r="D2412" s="74">
        <v>244.83216651492197</v>
      </c>
      <c r="E2412" s="81">
        <v>1323289</v>
      </c>
      <c r="F2412" s="82">
        <v>1293711.0930232585</v>
      </c>
      <c r="G2412" s="75">
        <v>2599.6217795651414</v>
      </c>
      <c r="H2412" s="76">
        <v>2</v>
      </c>
      <c r="I2412" s="54" t="s">
        <v>20</v>
      </c>
      <c r="J2412" s="77">
        <v>40</v>
      </c>
      <c r="K2412" s="78">
        <v>2</v>
      </c>
      <c r="L2412" s="54">
        <v>1</v>
      </c>
      <c r="M2412" s="54">
        <f>_xlfn.XLOOKUP(Survey!$F2412,sections[Start],sections[Test Section],,-1,1)</f>
        <v>7</v>
      </c>
      <c r="N2412" s="55">
        <f>_xlfn.XLOOKUP(Survey!$K2412,pipedata[ID],pipedata[WT])</f>
        <v>0.74</v>
      </c>
      <c r="O2412" s="56">
        <f>_xlfn.XLOOKUP(Survey!$K2412,pipedata[ID],pipedata[104%])</f>
        <v>2565.3333333333335</v>
      </c>
      <c r="P2412" s="57">
        <f t="shared" si="37"/>
        <v>1850</v>
      </c>
      <c r="Q2412" s="58">
        <f>_xlfn.MAXIFS(Survey!$G$2:$G$3647,Survey!$M$2:$M$3647,Survey!$M2412)-Survey!$G2412</f>
        <v>235.35199784883253</v>
      </c>
      <c r="R2412" s="59">
        <f>Survey!$P2412+(Survey!$Q2412*0.433)</f>
        <v>1951.9074150685444</v>
      </c>
    </row>
    <row r="2413" spans="1:18" x14ac:dyDescent="0.25">
      <c r="A2413" s="60" t="s">
        <v>17</v>
      </c>
      <c r="B2413" s="61" t="s">
        <v>22</v>
      </c>
      <c r="C2413" s="62" t="s">
        <v>19</v>
      </c>
      <c r="D2413" s="63">
        <v>244.83940911682348</v>
      </c>
      <c r="E2413" s="79">
        <v>1323329</v>
      </c>
      <c r="F2413" s="80">
        <v>1293749.883720933</v>
      </c>
      <c r="G2413" s="66">
        <v>2584.9288160623469</v>
      </c>
      <c r="H2413" s="67">
        <v>2</v>
      </c>
      <c r="I2413" s="68" t="s">
        <v>20</v>
      </c>
      <c r="J2413" s="69">
        <v>40</v>
      </c>
      <c r="K2413" s="70">
        <v>2</v>
      </c>
      <c r="L2413" s="68">
        <v>1</v>
      </c>
      <c r="M2413" s="68">
        <f>_xlfn.XLOOKUP(Survey!$F2413,sections[Start],sections[Test Section],,-1,1)</f>
        <v>7</v>
      </c>
      <c r="N2413" s="55">
        <f>_xlfn.XLOOKUP(Survey!$K2413,pipedata[ID],pipedata[WT])</f>
        <v>0.74</v>
      </c>
      <c r="O2413" s="56">
        <f>_xlfn.XLOOKUP(Survey!$K2413,pipedata[ID],pipedata[104%])</f>
        <v>2565.3333333333335</v>
      </c>
      <c r="P2413" s="57">
        <f t="shared" si="37"/>
        <v>1850</v>
      </c>
      <c r="Q2413" s="58">
        <f>_xlfn.MAXIFS(Survey!$G$2:$G$3647,Survey!$M$2:$M$3647,Survey!$M2413)-Survey!$G2413</f>
        <v>250.04496135162708</v>
      </c>
      <c r="R2413" s="59">
        <f>Survey!$P2413+(Survey!$Q2413*0.433)</f>
        <v>1958.2694682652545</v>
      </c>
    </row>
    <row r="2414" spans="1:18" x14ac:dyDescent="0.25">
      <c r="A2414" s="71" t="s">
        <v>17</v>
      </c>
      <c r="B2414" s="72" t="s">
        <v>22</v>
      </c>
      <c r="C2414" s="73" t="s">
        <v>19</v>
      </c>
      <c r="D2414" s="74">
        <v>244.84665171872541</v>
      </c>
      <c r="E2414" s="81">
        <v>1323369</v>
      </c>
      <c r="F2414" s="82">
        <v>1293788.6744186075</v>
      </c>
      <c r="G2414" s="75">
        <v>2572.5717983129334</v>
      </c>
      <c r="H2414" s="76">
        <v>2</v>
      </c>
      <c r="I2414" s="54" t="s">
        <v>20</v>
      </c>
      <c r="J2414" s="77">
        <v>40</v>
      </c>
      <c r="K2414" s="78">
        <v>2</v>
      </c>
      <c r="L2414" s="54">
        <v>1</v>
      </c>
      <c r="M2414" s="54">
        <f>_xlfn.XLOOKUP(Survey!$F2414,sections[Start],sections[Test Section],,-1,1)</f>
        <v>7</v>
      </c>
      <c r="N2414" s="55">
        <f>_xlfn.XLOOKUP(Survey!$K2414,pipedata[ID],pipedata[WT])</f>
        <v>0.74</v>
      </c>
      <c r="O2414" s="56">
        <f>_xlfn.XLOOKUP(Survey!$K2414,pipedata[ID],pipedata[104%])</f>
        <v>2565.3333333333335</v>
      </c>
      <c r="P2414" s="57">
        <f t="shared" si="37"/>
        <v>1850</v>
      </c>
      <c r="Q2414" s="58">
        <f>_xlfn.MAXIFS(Survey!$G$2:$G$3647,Survey!$M$2:$M$3647,Survey!$M2414)-Survey!$G2414</f>
        <v>262.40197910104052</v>
      </c>
      <c r="R2414" s="59">
        <f>Survey!$P2414+(Survey!$Q2414*0.433)</f>
        <v>1963.6200569507505</v>
      </c>
    </row>
    <row r="2415" spans="1:18" x14ac:dyDescent="0.25">
      <c r="A2415" s="60" t="s">
        <v>17</v>
      </c>
      <c r="B2415" s="61" t="s">
        <v>22</v>
      </c>
      <c r="C2415" s="62" t="s">
        <v>19</v>
      </c>
      <c r="D2415" s="63">
        <v>244.85402036951251</v>
      </c>
      <c r="E2415" s="79">
        <v>1323409</v>
      </c>
      <c r="F2415" s="80">
        <v>1293827.465116282</v>
      </c>
      <c r="G2415" s="66">
        <v>2563.8297410490818</v>
      </c>
      <c r="H2415" s="67">
        <v>2</v>
      </c>
      <c r="I2415" s="68" t="s">
        <v>20</v>
      </c>
      <c r="J2415" s="69">
        <v>40</v>
      </c>
      <c r="K2415" s="70">
        <v>2</v>
      </c>
      <c r="L2415" s="68">
        <v>1</v>
      </c>
      <c r="M2415" s="68">
        <f>_xlfn.XLOOKUP(Survey!$F2415,sections[Start],sections[Test Section],,-1,1)</f>
        <v>7</v>
      </c>
      <c r="N2415" s="55">
        <f>_xlfn.XLOOKUP(Survey!$K2415,pipedata[ID],pipedata[WT])</f>
        <v>0.74</v>
      </c>
      <c r="O2415" s="56">
        <f>_xlfn.XLOOKUP(Survey!$K2415,pipedata[ID],pipedata[104%])</f>
        <v>2565.3333333333335</v>
      </c>
      <c r="P2415" s="57">
        <f t="shared" si="37"/>
        <v>1850</v>
      </c>
      <c r="Q2415" s="58">
        <f>_xlfn.MAXIFS(Survey!$G$2:$G$3647,Survey!$M$2:$M$3647,Survey!$M2415)-Survey!$G2415</f>
        <v>271.14403636489214</v>
      </c>
      <c r="R2415" s="59">
        <f>Survey!$P2415+(Survey!$Q2415*0.433)</f>
        <v>1967.4053677459983</v>
      </c>
    </row>
    <row r="2416" spans="1:18" x14ac:dyDescent="0.25">
      <c r="A2416" s="71" t="s">
        <v>17</v>
      </c>
      <c r="B2416" s="72" t="s">
        <v>22</v>
      </c>
      <c r="C2416" s="73" t="s">
        <v>19</v>
      </c>
      <c r="D2416" s="74">
        <v>244.86115931004434</v>
      </c>
      <c r="E2416" s="81">
        <v>1323449</v>
      </c>
      <c r="F2416" s="82">
        <v>1293866.2558139565</v>
      </c>
      <c r="G2416" s="75">
        <v>2558.1038532401099</v>
      </c>
      <c r="H2416" s="76">
        <v>2</v>
      </c>
      <c r="I2416" s="54" t="s">
        <v>20</v>
      </c>
      <c r="J2416" s="77">
        <v>40</v>
      </c>
      <c r="K2416" s="78">
        <v>2</v>
      </c>
      <c r="L2416" s="54">
        <v>1</v>
      </c>
      <c r="M2416" s="54">
        <f>_xlfn.XLOOKUP(Survey!$F2416,sections[Start],sections[Test Section],,-1,1)</f>
        <v>7</v>
      </c>
      <c r="N2416" s="55">
        <f>_xlfn.XLOOKUP(Survey!$K2416,pipedata[ID],pipedata[WT])</f>
        <v>0.74</v>
      </c>
      <c r="O2416" s="56">
        <f>_xlfn.XLOOKUP(Survey!$K2416,pipedata[ID],pipedata[104%])</f>
        <v>2565.3333333333335</v>
      </c>
      <c r="P2416" s="57">
        <f t="shared" si="37"/>
        <v>1850</v>
      </c>
      <c r="Q2416" s="58">
        <f>_xlfn.MAXIFS(Survey!$G$2:$G$3647,Survey!$M$2:$M$3647,Survey!$M2416)-Survey!$G2416</f>
        <v>276.86992417386409</v>
      </c>
      <c r="R2416" s="59">
        <f>Survey!$P2416+(Survey!$Q2416*0.433)</f>
        <v>1969.8846771672831</v>
      </c>
    </row>
    <row r="2417" spans="1:18" x14ac:dyDescent="0.25">
      <c r="A2417" s="60" t="s">
        <v>17</v>
      </c>
      <c r="B2417" s="61" t="s">
        <v>22</v>
      </c>
      <c r="C2417" s="62" t="s">
        <v>19</v>
      </c>
      <c r="D2417" s="63">
        <v>244.86901427872058</v>
      </c>
      <c r="E2417" s="79">
        <v>1323489</v>
      </c>
      <c r="F2417" s="80">
        <v>1293905.046511631</v>
      </c>
      <c r="G2417" s="66">
        <v>2555.3392711918514</v>
      </c>
      <c r="H2417" s="67">
        <v>2</v>
      </c>
      <c r="I2417" s="68" t="s">
        <v>20</v>
      </c>
      <c r="J2417" s="69">
        <v>40</v>
      </c>
      <c r="K2417" s="70">
        <v>2</v>
      </c>
      <c r="L2417" s="68">
        <v>1</v>
      </c>
      <c r="M2417" s="68">
        <f>_xlfn.XLOOKUP(Survey!$F2417,sections[Start],sections[Test Section],,-1,1)</f>
        <v>7</v>
      </c>
      <c r="N2417" s="55">
        <f>_xlfn.XLOOKUP(Survey!$K2417,pipedata[ID],pipedata[WT])</f>
        <v>0.74</v>
      </c>
      <c r="O2417" s="56">
        <f>_xlfn.XLOOKUP(Survey!$K2417,pipedata[ID],pipedata[104%])</f>
        <v>2565.3333333333335</v>
      </c>
      <c r="P2417" s="57">
        <f t="shared" si="37"/>
        <v>1850</v>
      </c>
      <c r="Q2417" s="58">
        <f>_xlfn.MAXIFS(Survey!$G$2:$G$3647,Survey!$M$2:$M$3647,Survey!$M2417)-Survey!$G2417</f>
        <v>279.63450622212258</v>
      </c>
      <c r="R2417" s="59">
        <f>Survey!$P2417+(Survey!$Q2417*0.433)</f>
        <v>1971.0817411941791</v>
      </c>
    </row>
    <row r="2418" spans="1:18" x14ac:dyDescent="0.25">
      <c r="A2418" s="71" t="s">
        <v>17</v>
      </c>
      <c r="B2418" s="72" t="s">
        <v>22</v>
      </c>
      <c r="C2418" s="73" t="s">
        <v>19</v>
      </c>
      <c r="D2418" s="74">
        <v>244.87631796665138</v>
      </c>
      <c r="E2418" s="64">
        <v>1323529</v>
      </c>
      <c r="F2418" s="65">
        <v>1293943.8372093055</v>
      </c>
      <c r="G2418" s="75">
        <v>2552.9005527456161</v>
      </c>
      <c r="H2418" s="76">
        <v>2</v>
      </c>
      <c r="I2418" s="54" t="s">
        <v>20</v>
      </c>
      <c r="J2418" s="77">
        <v>40</v>
      </c>
      <c r="K2418" s="78">
        <v>2</v>
      </c>
      <c r="L2418" s="54">
        <v>1</v>
      </c>
      <c r="M2418" s="54">
        <f>_xlfn.XLOOKUP(Survey!$F2418,sections[Start],sections[Test Section],,-1,1)</f>
        <v>7</v>
      </c>
      <c r="N2418" s="55">
        <f>_xlfn.XLOOKUP(Survey!$K2418,pipedata[ID],pipedata[WT])</f>
        <v>0.74</v>
      </c>
      <c r="O2418" s="56">
        <f>_xlfn.XLOOKUP(Survey!$K2418,pipedata[ID],pipedata[104%])</f>
        <v>2565.3333333333335</v>
      </c>
      <c r="P2418" s="57">
        <f t="shared" si="37"/>
        <v>1850</v>
      </c>
      <c r="Q2418" s="58">
        <f>_xlfn.MAXIFS(Survey!$G$2:$G$3647,Survey!$M$2:$M$3647,Survey!$M2418)-Survey!$G2418</f>
        <v>282.07322466835785</v>
      </c>
      <c r="R2418" s="59">
        <f>Survey!$P2418+(Survey!$Q2418*0.433)</f>
        <v>1972.137706281399</v>
      </c>
    </row>
    <row r="2419" spans="1:18" x14ac:dyDescent="0.25">
      <c r="A2419" s="60" t="s">
        <v>17</v>
      </c>
      <c r="B2419" s="61" t="s">
        <v>22</v>
      </c>
      <c r="C2419" s="62" t="s">
        <v>19</v>
      </c>
      <c r="D2419" s="63">
        <v>244.88442618379278</v>
      </c>
      <c r="E2419" s="64">
        <v>1323569</v>
      </c>
      <c r="F2419" s="65">
        <v>1293982.62790698</v>
      </c>
      <c r="G2419" s="66">
        <v>2552.6899999999969</v>
      </c>
      <c r="H2419" s="67">
        <v>2</v>
      </c>
      <c r="I2419" s="68" t="s">
        <v>20</v>
      </c>
      <c r="J2419" s="69">
        <v>40</v>
      </c>
      <c r="K2419" s="70">
        <v>2</v>
      </c>
      <c r="L2419" s="68">
        <v>1</v>
      </c>
      <c r="M2419" s="68">
        <f>_xlfn.XLOOKUP(Survey!$F2419,sections[Start],sections[Test Section],,-1,1)</f>
        <v>7</v>
      </c>
      <c r="N2419" s="55">
        <f>_xlfn.XLOOKUP(Survey!$K2419,pipedata[ID],pipedata[WT])</f>
        <v>0.74</v>
      </c>
      <c r="O2419" s="56">
        <f>_xlfn.XLOOKUP(Survey!$K2419,pipedata[ID],pipedata[104%])</f>
        <v>2565.3333333333335</v>
      </c>
      <c r="P2419" s="57">
        <f t="shared" si="37"/>
        <v>1850</v>
      </c>
      <c r="Q2419" s="58">
        <f>_xlfn.MAXIFS(Survey!$G$2:$G$3647,Survey!$M$2:$M$3647,Survey!$M2419)-Survey!$G2419</f>
        <v>282.28377741397708</v>
      </c>
      <c r="R2419" s="59">
        <f>Survey!$P2419+(Survey!$Q2419*0.433)</f>
        <v>1972.228875620252</v>
      </c>
    </row>
    <row r="2420" spans="1:18" x14ac:dyDescent="0.25">
      <c r="A2420" s="71" t="s">
        <v>17</v>
      </c>
      <c r="B2420" s="72" t="s">
        <v>22</v>
      </c>
      <c r="C2420" s="73" t="s">
        <v>19</v>
      </c>
      <c r="D2420" s="74">
        <v>244.89065359171323</v>
      </c>
      <c r="E2420" s="81">
        <v>1323609</v>
      </c>
      <c r="F2420" s="82">
        <v>1294021.4186046545</v>
      </c>
      <c r="G2420" s="75">
        <v>2552.6216894438189</v>
      </c>
      <c r="H2420" s="76">
        <v>2</v>
      </c>
      <c r="I2420" s="54" t="s">
        <v>20</v>
      </c>
      <c r="J2420" s="77">
        <v>29</v>
      </c>
      <c r="K2420" s="78">
        <v>2</v>
      </c>
      <c r="L2420" s="54">
        <v>1</v>
      </c>
      <c r="M2420" s="54">
        <f>_xlfn.XLOOKUP(Survey!$F2420,sections[Start],sections[Test Section],,-1,1)</f>
        <v>7</v>
      </c>
      <c r="N2420" s="55">
        <f>_xlfn.XLOOKUP(Survey!$K2420,pipedata[ID],pipedata[WT])</f>
        <v>0.74</v>
      </c>
      <c r="O2420" s="56">
        <f>_xlfn.XLOOKUP(Survey!$K2420,pipedata[ID],pipedata[104%])</f>
        <v>2565.3333333333335</v>
      </c>
      <c r="P2420" s="57">
        <f t="shared" si="37"/>
        <v>1850</v>
      </c>
      <c r="Q2420" s="58">
        <f>_xlfn.MAXIFS(Survey!$G$2:$G$3647,Survey!$M$2:$M$3647,Survey!$M2420)-Survey!$G2420</f>
        <v>282.35208797015503</v>
      </c>
      <c r="R2420" s="59">
        <f>Survey!$P2420+(Survey!$Q2420*0.433)</f>
        <v>1972.2584540910771</v>
      </c>
    </row>
    <row r="2421" spans="1:18" x14ac:dyDescent="0.25">
      <c r="A2421" s="60" t="s">
        <v>17</v>
      </c>
      <c r="B2421" s="61" t="s">
        <v>22</v>
      </c>
      <c r="C2421" s="62" t="s">
        <v>19</v>
      </c>
      <c r="D2421" s="63">
        <v>244.89861556379037</v>
      </c>
      <c r="E2421" s="64">
        <v>1323638</v>
      </c>
      <c r="F2421" s="65">
        <v>1294099</v>
      </c>
      <c r="G2421" s="66">
        <v>2552.6583138048118</v>
      </c>
      <c r="H2421" s="67">
        <v>2</v>
      </c>
      <c r="I2421" s="68" t="s">
        <v>21</v>
      </c>
      <c r="J2421" s="69">
        <v>40</v>
      </c>
      <c r="K2421" s="70">
        <v>4</v>
      </c>
      <c r="L2421" s="68">
        <v>1</v>
      </c>
      <c r="M2421" s="68">
        <f>_xlfn.XLOOKUP(Survey!$F2421,sections[Start],sections[Test Section],,-1,1)</f>
        <v>7</v>
      </c>
      <c r="N2421" s="55">
        <f>_xlfn.XLOOKUP(Survey!$K2421,pipedata[ID],pipedata[WT])</f>
        <v>0.74</v>
      </c>
      <c r="O2421" s="56">
        <f>_xlfn.XLOOKUP(Survey!$K2421,pipedata[ID],pipedata[104%])</f>
        <v>2565.3333333333335</v>
      </c>
      <c r="P2421" s="57">
        <f t="shared" si="37"/>
        <v>1850</v>
      </c>
      <c r="Q2421" s="58">
        <f>_xlfn.MAXIFS(Survey!$G$2:$G$3647,Survey!$M$2:$M$3647,Survey!$M2421)-Survey!$G2421</f>
        <v>282.31546360916218</v>
      </c>
      <c r="R2421" s="59">
        <f>Survey!$P2421+(Survey!$Q2421*0.433)</f>
        <v>1972.2425957427672</v>
      </c>
    </row>
    <row r="2422" spans="1:18" x14ac:dyDescent="0.25">
      <c r="A2422" s="71" t="s">
        <v>17</v>
      </c>
      <c r="B2422" s="72" t="s">
        <v>22</v>
      </c>
      <c r="C2422" s="73" t="s">
        <v>19</v>
      </c>
      <c r="D2422" s="74">
        <v>244.90703930375128</v>
      </c>
      <c r="E2422" s="81">
        <v>1323678</v>
      </c>
      <c r="F2422" s="82">
        <v>1294139</v>
      </c>
      <c r="G2422" s="75">
        <v>2552.296951394896</v>
      </c>
      <c r="H2422" s="76">
        <v>2</v>
      </c>
      <c r="I2422" s="54" t="s">
        <v>20</v>
      </c>
      <c r="J2422" s="77">
        <v>51</v>
      </c>
      <c r="K2422" s="78">
        <v>2</v>
      </c>
      <c r="L2422" s="54">
        <v>1</v>
      </c>
      <c r="M2422" s="54">
        <f>_xlfn.XLOOKUP(Survey!$F2422,sections[Start],sections[Test Section],,-1,1)</f>
        <v>7</v>
      </c>
      <c r="N2422" s="55">
        <f>_xlfn.XLOOKUP(Survey!$K2422,pipedata[ID],pipedata[WT])</f>
        <v>0.74</v>
      </c>
      <c r="O2422" s="56">
        <f>_xlfn.XLOOKUP(Survey!$K2422,pipedata[ID],pipedata[104%])</f>
        <v>2565.3333333333335</v>
      </c>
      <c r="P2422" s="57">
        <f t="shared" si="37"/>
        <v>1850</v>
      </c>
      <c r="Q2422" s="58">
        <f>_xlfn.MAXIFS(Survey!$G$2:$G$3647,Survey!$M$2:$M$3647,Survey!$M2422)-Survey!$G2422</f>
        <v>282.67682601907791</v>
      </c>
      <c r="R2422" s="59">
        <f>Survey!$P2422+(Survey!$Q2422*0.433)</f>
        <v>1972.3990656662606</v>
      </c>
    </row>
    <row r="2423" spans="1:18" x14ac:dyDescent="0.25">
      <c r="A2423" s="60" t="s">
        <v>17</v>
      </c>
      <c r="B2423" s="61" t="s">
        <v>22</v>
      </c>
      <c r="C2423" s="62" t="s">
        <v>19</v>
      </c>
      <c r="D2423" s="63">
        <v>244.91359358856673</v>
      </c>
      <c r="E2423" s="79">
        <v>1323729</v>
      </c>
      <c r="F2423" s="80">
        <v>1294178.0677966101</v>
      </c>
      <c r="G2423" s="66">
        <v>2557.7805928909411</v>
      </c>
      <c r="H2423" s="67">
        <v>2</v>
      </c>
      <c r="I2423" s="68" t="s">
        <v>20</v>
      </c>
      <c r="J2423" s="69">
        <v>40</v>
      </c>
      <c r="K2423" s="70">
        <v>2</v>
      </c>
      <c r="L2423" s="68">
        <v>1</v>
      </c>
      <c r="M2423" s="68">
        <f>_xlfn.XLOOKUP(Survey!$F2423,sections[Start],sections[Test Section],,-1,1)</f>
        <v>7</v>
      </c>
      <c r="N2423" s="55">
        <f>_xlfn.XLOOKUP(Survey!$K2423,pipedata[ID],pipedata[WT])</f>
        <v>0.74</v>
      </c>
      <c r="O2423" s="56">
        <f>_xlfn.XLOOKUP(Survey!$K2423,pipedata[ID],pipedata[104%])</f>
        <v>2565.3333333333335</v>
      </c>
      <c r="P2423" s="57">
        <f t="shared" si="37"/>
        <v>1850</v>
      </c>
      <c r="Q2423" s="58">
        <f>_xlfn.MAXIFS(Survey!$G$2:$G$3647,Survey!$M$2:$M$3647,Survey!$M2423)-Survey!$G2423</f>
        <v>277.19318452303287</v>
      </c>
      <c r="R2423" s="59">
        <f>Survey!$P2423+(Survey!$Q2423*0.433)</f>
        <v>1970.0246488984733</v>
      </c>
    </row>
    <row r="2424" spans="1:18" x14ac:dyDescent="0.25">
      <c r="A2424" s="71" t="s">
        <v>17</v>
      </c>
      <c r="B2424" s="72" t="s">
        <v>22</v>
      </c>
      <c r="C2424" s="73" t="s">
        <v>19</v>
      </c>
      <c r="D2424" s="74">
        <v>244.9209131609293</v>
      </c>
      <c r="E2424" s="81">
        <v>1323769</v>
      </c>
      <c r="F2424" s="82">
        <v>1294217.1355932201</v>
      </c>
      <c r="G2424" s="75">
        <v>2571.7835018108367</v>
      </c>
      <c r="H2424" s="76">
        <v>2</v>
      </c>
      <c r="I2424" s="54" t="s">
        <v>20</v>
      </c>
      <c r="J2424" s="77">
        <v>40</v>
      </c>
      <c r="K2424" s="78">
        <v>2</v>
      </c>
      <c r="L2424" s="54">
        <v>1</v>
      </c>
      <c r="M2424" s="54">
        <f>_xlfn.XLOOKUP(Survey!$F2424,sections[Start],sections[Test Section],,-1,1)</f>
        <v>7</v>
      </c>
      <c r="N2424" s="55">
        <f>_xlfn.XLOOKUP(Survey!$K2424,pipedata[ID],pipedata[WT])</f>
        <v>0.74</v>
      </c>
      <c r="O2424" s="56">
        <f>_xlfn.XLOOKUP(Survey!$K2424,pipedata[ID],pipedata[104%])</f>
        <v>2565.3333333333335</v>
      </c>
      <c r="P2424" s="57">
        <f t="shared" si="37"/>
        <v>1850</v>
      </c>
      <c r="Q2424" s="58">
        <f>_xlfn.MAXIFS(Survey!$G$2:$G$3647,Survey!$M$2:$M$3647,Survey!$M2424)-Survey!$G2424</f>
        <v>263.19027560313725</v>
      </c>
      <c r="R2424" s="59">
        <f>Survey!$P2424+(Survey!$Q2424*0.433)</f>
        <v>1963.9613893361584</v>
      </c>
    </row>
    <row r="2425" spans="1:18" x14ac:dyDescent="0.25">
      <c r="A2425" s="60" t="s">
        <v>17</v>
      </c>
      <c r="B2425" s="61" t="s">
        <v>22</v>
      </c>
      <c r="C2425" s="62" t="s">
        <v>19</v>
      </c>
      <c r="D2425" s="63">
        <v>244.92902137807079</v>
      </c>
      <c r="E2425" s="79">
        <v>1323809</v>
      </c>
      <c r="F2425" s="80">
        <v>1294256.2033898302</v>
      </c>
      <c r="G2425" s="66">
        <v>2582.5960433338942</v>
      </c>
      <c r="H2425" s="67">
        <v>2</v>
      </c>
      <c r="I2425" s="68" t="s">
        <v>20</v>
      </c>
      <c r="J2425" s="69">
        <v>40</v>
      </c>
      <c r="K2425" s="70">
        <v>2</v>
      </c>
      <c r="L2425" s="68">
        <v>1</v>
      </c>
      <c r="M2425" s="68">
        <f>_xlfn.XLOOKUP(Survey!$F2425,sections[Start],sections[Test Section],,-1,1)</f>
        <v>7</v>
      </c>
      <c r="N2425" s="55">
        <f>_xlfn.XLOOKUP(Survey!$K2425,pipedata[ID],pipedata[WT])</f>
        <v>0.74</v>
      </c>
      <c r="O2425" s="56">
        <f>_xlfn.XLOOKUP(Survey!$K2425,pipedata[ID],pipedata[104%])</f>
        <v>2565.3333333333335</v>
      </c>
      <c r="P2425" s="57">
        <f t="shared" si="37"/>
        <v>1850</v>
      </c>
      <c r="Q2425" s="58">
        <f>_xlfn.MAXIFS(Survey!$G$2:$G$3647,Survey!$M$2:$M$3647,Survey!$M2425)-Survey!$G2425</f>
        <v>252.37773408007979</v>
      </c>
      <c r="R2425" s="59">
        <f>Survey!$P2425+(Survey!$Q2425*0.433)</f>
        <v>1959.2795588566746</v>
      </c>
    </row>
    <row r="2426" spans="1:18" x14ac:dyDescent="0.25">
      <c r="A2426" s="71" t="s">
        <v>17</v>
      </c>
      <c r="B2426" s="72" t="s">
        <v>22</v>
      </c>
      <c r="C2426" s="73" t="s">
        <v>19</v>
      </c>
      <c r="D2426" s="74">
        <v>244.93510254092681</v>
      </c>
      <c r="E2426" s="81">
        <v>1323849</v>
      </c>
      <c r="F2426" s="82">
        <v>1294295.2711864403</v>
      </c>
      <c r="G2426" s="75">
        <v>2587.3053776428214</v>
      </c>
      <c r="H2426" s="76">
        <v>2</v>
      </c>
      <c r="I2426" s="54" t="s">
        <v>20</v>
      </c>
      <c r="J2426" s="77">
        <v>40</v>
      </c>
      <c r="K2426" s="78">
        <v>2</v>
      </c>
      <c r="L2426" s="54">
        <v>1</v>
      </c>
      <c r="M2426" s="54">
        <f>_xlfn.XLOOKUP(Survey!$F2426,sections[Start],sections[Test Section],,-1,1)</f>
        <v>7</v>
      </c>
      <c r="N2426" s="55">
        <f>_xlfn.XLOOKUP(Survey!$K2426,pipedata[ID],pipedata[WT])</f>
        <v>0.74</v>
      </c>
      <c r="O2426" s="56">
        <f>_xlfn.XLOOKUP(Survey!$K2426,pipedata[ID],pipedata[104%])</f>
        <v>2565.3333333333335</v>
      </c>
      <c r="P2426" s="57">
        <f t="shared" si="37"/>
        <v>1850</v>
      </c>
      <c r="Q2426" s="58">
        <f>_xlfn.MAXIFS(Survey!$G$2:$G$3647,Survey!$M$2:$M$3647,Survey!$M2426)-Survey!$G2426</f>
        <v>247.66839977115251</v>
      </c>
      <c r="R2426" s="59">
        <f>Survey!$P2426+(Survey!$Q2426*0.433)</f>
        <v>1957.2404171009091</v>
      </c>
    </row>
    <row r="2427" spans="1:18" x14ac:dyDescent="0.25">
      <c r="A2427" s="60" t="s">
        <v>17</v>
      </c>
      <c r="B2427" s="61" t="s">
        <v>22</v>
      </c>
      <c r="C2427" s="62" t="s">
        <v>19</v>
      </c>
      <c r="D2427" s="63">
        <v>244.94341002426518</v>
      </c>
      <c r="E2427" s="79">
        <v>1323889</v>
      </c>
      <c r="F2427" s="80">
        <v>1294334.3389830503</v>
      </c>
      <c r="G2427" s="66">
        <v>2591.2315197804151</v>
      </c>
      <c r="H2427" s="67">
        <v>2</v>
      </c>
      <c r="I2427" s="68" t="s">
        <v>20</v>
      </c>
      <c r="J2427" s="69">
        <v>40</v>
      </c>
      <c r="K2427" s="70">
        <v>2</v>
      </c>
      <c r="L2427" s="68">
        <v>1</v>
      </c>
      <c r="M2427" s="68">
        <f>_xlfn.XLOOKUP(Survey!$F2427,sections[Start],sections[Test Section],,-1,1)</f>
        <v>7</v>
      </c>
      <c r="N2427" s="55">
        <f>_xlfn.XLOOKUP(Survey!$K2427,pipedata[ID],pipedata[WT])</f>
        <v>0.74</v>
      </c>
      <c r="O2427" s="56">
        <f>_xlfn.XLOOKUP(Survey!$K2427,pipedata[ID],pipedata[104%])</f>
        <v>2565.3333333333335</v>
      </c>
      <c r="P2427" s="57">
        <f t="shared" si="37"/>
        <v>1850</v>
      </c>
      <c r="Q2427" s="58">
        <f>_xlfn.MAXIFS(Survey!$G$2:$G$3647,Survey!$M$2:$M$3647,Survey!$M2427)-Survey!$G2427</f>
        <v>243.74225763355889</v>
      </c>
      <c r="R2427" s="59">
        <f>Survey!$P2427+(Survey!$Q2427*0.433)</f>
        <v>1955.5403975553311</v>
      </c>
    </row>
    <row r="2428" spans="1:18" x14ac:dyDescent="0.25">
      <c r="A2428" s="71" t="s">
        <v>17</v>
      </c>
      <c r="B2428" s="72" t="s">
        <v>22</v>
      </c>
      <c r="C2428" s="73" t="s">
        <v>19</v>
      </c>
      <c r="D2428" s="74">
        <v>244.95131897520986</v>
      </c>
      <c r="E2428" s="81">
        <v>1323929</v>
      </c>
      <c r="F2428" s="82">
        <v>1294373.4067796604</v>
      </c>
      <c r="G2428" s="75">
        <v>2595.2956210418533</v>
      </c>
      <c r="H2428" s="76">
        <v>2</v>
      </c>
      <c r="I2428" s="54" t="s">
        <v>20</v>
      </c>
      <c r="J2428" s="77">
        <v>40</v>
      </c>
      <c r="K2428" s="78">
        <v>2</v>
      </c>
      <c r="L2428" s="54">
        <v>1</v>
      </c>
      <c r="M2428" s="54">
        <f>_xlfn.XLOOKUP(Survey!$F2428,sections[Start],sections[Test Section],,-1,1)</f>
        <v>7</v>
      </c>
      <c r="N2428" s="55">
        <f>_xlfn.XLOOKUP(Survey!$K2428,pipedata[ID],pipedata[WT])</f>
        <v>0.74</v>
      </c>
      <c r="O2428" s="56">
        <f>_xlfn.XLOOKUP(Survey!$K2428,pipedata[ID],pipedata[104%])</f>
        <v>2565.3333333333335</v>
      </c>
      <c r="P2428" s="57">
        <f t="shared" si="37"/>
        <v>1850</v>
      </c>
      <c r="Q2428" s="58">
        <f>_xlfn.MAXIFS(Survey!$G$2:$G$3647,Survey!$M$2:$M$3647,Survey!$M2428)-Survey!$G2428</f>
        <v>239.67815637212061</v>
      </c>
      <c r="R2428" s="59">
        <f>Survey!$P2428+(Survey!$Q2428*0.433)</f>
        <v>1953.7806417091283</v>
      </c>
    </row>
    <row r="2429" spans="1:18" x14ac:dyDescent="0.25">
      <c r="A2429" s="60" t="s">
        <v>17</v>
      </c>
      <c r="B2429" s="61" t="s">
        <v>22</v>
      </c>
      <c r="C2429" s="62" t="s">
        <v>19</v>
      </c>
      <c r="D2429" s="63">
        <v>244.95740013806588</v>
      </c>
      <c r="E2429" s="79">
        <v>1323969</v>
      </c>
      <c r="F2429" s="80">
        <v>1294412.4745762704</v>
      </c>
      <c r="G2429" s="66">
        <v>2598.4566472771239</v>
      </c>
      <c r="H2429" s="67">
        <v>2</v>
      </c>
      <c r="I2429" s="68" t="s">
        <v>20</v>
      </c>
      <c r="J2429" s="69">
        <v>40</v>
      </c>
      <c r="K2429" s="70">
        <v>2</v>
      </c>
      <c r="L2429" s="68">
        <v>1</v>
      </c>
      <c r="M2429" s="68">
        <f>_xlfn.XLOOKUP(Survey!$F2429,sections[Start],sections[Test Section],,-1,1)</f>
        <v>7</v>
      </c>
      <c r="N2429" s="55">
        <f>_xlfn.XLOOKUP(Survey!$K2429,pipedata[ID],pipedata[WT])</f>
        <v>0.74</v>
      </c>
      <c r="O2429" s="56">
        <f>_xlfn.XLOOKUP(Survey!$K2429,pipedata[ID],pipedata[104%])</f>
        <v>2565.3333333333335</v>
      </c>
      <c r="P2429" s="57">
        <f t="shared" si="37"/>
        <v>1850</v>
      </c>
      <c r="Q2429" s="58">
        <f>_xlfn.MAXIFS(Survey!$G$2:$G$3647,Survey!$M$2:$M$3647,Survey!$M2429)-Survey!$G2429</f>
        <v>236.51713013685003</v>
      </c>
      <c r="R2429" s="59">
        <f>Survey!$P2429+(Survey!$Q2429*0.433)</f>
        <v>1952.4119173492561</v>
      </c>
    </row>
    <row r="2430" spans="1:18" x14ac:dyDescent="0.25">
      <c r="A2430" s="71" t="s">
        <v>17</v>
      </c>
      <c r="B2430" s="72" t="s">
        <v>22</v>
      </c>
      <c r="C2430" s="73" t="s">
        <v>19</v>
      </c>
      <c r="D2430" s="74">
        <v>244.9660278670909</v>
      </c>
      <c r="E2430" s="81">
        <v>1324009</v>
      </c>
      <c r="F2430" s="82">
        <v>1294451.5423728805</v>
      </c>
      <c r="G2430" s="75">
        <v>2600.0570934303551</v>
      </c>
      <c r="H2430" s="76">
        <v>2</v>
      </c>
      <c r="I2430" s="54" t="s">
        <v>20</v>
      </c>
      <c r="J2430" s="77">
        <v>40</v>
      </c>
      <c r="K2430" s="78">
        <v>2</v>
      </c>
      <c r="L2430" s="54">
        <v>1</v>
      </c>
      <c r="M2430" s="54">
        <f>_xlfn.XLOOKUP(Survey!$F2430,sections[Start],sections[Test Section],,-1,1)</f>
        <v>7</v>
      </c>
      <c r="N2430" s="55">
        <f>_xlfn.XLOOKUP(Survey!$K2430,pipedata[ID],pipedata[WT])</f>
        <v>0.74</v>
      </c>
      <c r="O2430" s="56">
        <f>_xlfn.XLOOKUP(Survey!$K2430,pipedata[ID],pipedata[104%])</f>
        <v>2565.3333333333335</v>
      </c>
      <c r="P2430" s="57">
        <f t="shared" si="37"/>
        <v>1850</v>
      </c>
      <c r="Q2430" s="58">
        <f>_xlfn.MAXIFS(Survey!$G$2:$G$3647,Survey!$M$2:$M$3647,Survey!$M2430)-Survey!$G2430</f>
        <v>234.9166839836189</v>
      </c>
      <c r="R2430" s="59">
        <f>Survey!$P2430+(Survey!$Q2430*0.433)</f>
        <v>1951.7189241649071</v>
      </c>
    </row>
    <row r="2431" spans="1:18" x14ac:dyDescent="0.25">
      <c r="A2431" s="60" t="s">
        <v>17</v>
      </c>
      <c r="B2431" s="61" t="s">
        <v>22</v>
      </c>
      <c r="C2431" s="62" t="s">
        <v>19</v>
      </c>
      <c r="D2431" s="63">
        <v>244.97361657234887</v>
      </c>
      <c r="E2431" s="79">
        <v>1324049</v>
      </c>
      <c r="F2431" s="80">
        <v>1294490.6101694906</v>
      </c>
      <c r="G2431" s="66">
        <v>2601.6951958472346</v>
      </c>
      <c r="H2431" s="67">
        <v>2</v>
      </c>
      <c r="I2431" s="68" t="s">
        <v>20</v>
      </c>
      <c r="J2431" s="69">
        <v>40</v>
      </c>
      <c r="K2431" s="70">
        <v>2</v>
      </c>
      <c r="L2431" s="68">
        <v>1</v>
      </c>
      <c r="M2431" s="68">
        <f>_xlfn.XLOOKUP(Survey!$F2431,sections[Start],sections[Test Section],,-1,1)</f>
        <v>7</v>
      </c>
      <c r="N2431" s="55">
        <f>_xlfn.XLOOKUP(Survey!$K2431,pipedata[ID],pipedata[WT])</f>
        <v>0.74</v>
      </c>
      <c r="O2431" s="56">
        <f>_xlfn.XLOOKUP(Survey!$K2431,pipedata[ID],pipedata[104%])</f>
        <v>2565.3333333333335</v>
      </c>
      <c r="P2431" s="57">
        <f t="shared" si="37"/>
        <v>1850</v>
      </c>
      <c r="Q2431" s="58">
        <f>_xlfn.MAXIFS(Survey!$G$2:$G$3647,Survey!$M$2:$M$3647,Survey!$M2431)-Survey!$G2431</f>
        <v>233.27858156673938</v>
      </c>
      <c r="R2431" s="59">
        <f>Survey!$P2431+(Survey!$Q2431*0.433)</f>
        <v>1951.009625818398</v>
      </c>
    </row>
    <row r="2432" spans="1:18" x14ac:dyDescent="0.25">
      <c r="A2432" s="71" t="s">
        <v>17</v>
      </c>
      <c r="B2432" s="72" t="s">
        <v>22</v>
      </c>
      <c r="C2432" s="73" t="s">
        <v>19</v>
      </c>
      <c r="D2432" s="74">
        <v>244.98172478949027</v>
      </c>
      <c r="E2432" s="81">
        <v>1324089</v>
      </c>
      <c r="F2432" s="82">
        <v>1294529.6779661006</v>
      </c>
      <c r="G2432" s="75">
        <v>2602.8312185485406</v>
      </c>
      <c r="H2432" s="76">
        <v>2</v>
      </c>
      <c r="I2432" s="54" t="s">
        <v>20</v>
      </c>
      <c r="J2432" s="77">
        <v>40</v>
      </c>
      <c r="K2432" s="78">
        <v>2</v>
      </c>
      <c r="L2432" s="54">
        <v>1</v>
      </c>
      <c r="M2432" s="54">
        <f>_xlfn.XLOOKUP(Survey!$F2432,sections[Start],sections[Test Section],,-1,1)</f>
        <v>7</v>
      </c>
      <c r="N2432" s="55">
        <f>_xlfn.XLOOKUP(Survey!$K2432,pipedata[ID],pipedata[WT])</f>
        <v>0.74</v>
      </c>
      <c r="O2432" s="56">
        <f>_xlfn.XLOOKUP(Survey!$K2432,pipedata[ID],pipedata[104%])</f>
        <v>2565.3333333333335</v>
      </c>
      <c r="P2432" s="57">
        <f t="shared" si="37"/>
        <v>1850</v>
      </c>
      <c r="Q2432" s="58">
        <f>_xlfn.MAXIFS(Survey!$G$2:$G$3647,Survey!$M$2:$M$3647,Survey!$M2432)-Survey!$G2432</f>
        <v>232.14255886543333</v>
      </c>
      <c r="R2432" s="59">
        <f>Survey!$P2432+(Survey!$Q2432*0.433)</f>
        <v>1950.5177279887325</v>
      </c>
    </row>
    <row r="2433" spans="1:18" x14ac:dyDescent="0.25">
      <c r="A2433" s="60" t="s">
        <v>17</v>
      </c>
      <c r="B2433" s="61" t="s">
        <v>22</v>
      </c>
      <c r="C2433" s="62" t="s">
        <v>19</v>
      </c>
      <c r="D2433" s="63">
        <v>244.98896786394516</v>
      </c>
      <c r="E2433" s="79">
        <v>1324129</v>
      </c>
      <c r="F2433" s="80">
        <v>1294568.7457627107</v>
      </c>
      <c r="G2433" s="66">
        <v>2605.7600481007603</v>
      </c>
      <c r="H2433" s="67">
        <v>2</v>
      </c>
      <c r="I2433" s="68" t="s">
        <v>20</v>
      </c>
      <c r="J2433" s="69">
        <v>40</v>
      </c>
      <c r="K2433" s="70">
        <v>2</v>
      </c>
      <c r="L2433" s="68">
        <v>1</v>
      </c>
      <c r="M2433" s="68">
        <f>_xlfn.XLOOKUP(Survey!$F2433,sections[Start],sections[Test Section],,-1,1)</f>
        <v>7</v>
      </c>
      <c r="N2433" s="55">
        <f>_xlfn.XLOOKUP(Survey!$K2433,pipedata[ID],pipedata[WT])</f>
        <v>0.74</v>
      </c>
      <c r="O2433" s="56">
        <f>_xlfn.XLOOKUP(Survey!$K2433,pipedata[ID],pipedata[104%])</f>
        <v>2565.3333333333335</v>
      </c>
      <c r="P2433" s="57">
        <f t="shared" si="37"/>
        <v>1850</v>
      </c>
      <c r="Q2433" s="58">
        <f>_xlfn.MAXIFS(Survey!$G$2:$G$3647,Survey!$M$2:$M$3647,Survey!$M2433)-Survey!$G2433</f>
        <v>229.21372931321366</v>
      </c>
      <c r="R2433" s="59">
        <f>Survey!$P2433+(Survey!$Q2433*0.433)</f>
        <v>1949.2495447926215</v>
      </c>
    </row>
    <row r="2434" spans="1:18" x14ac:dyDescent="0.25">
      <c r="A2434" s="71" t="s">
        <v>17</v>
      </c>
      <c r="B2434" s="72" t="s">
        <v>22</v>
      </c>
      <c r="C2434" s="73" t="s">
        <v>19</v>
      </c>
      <c r="D2434" s="74">
        <v>244.9965498425108</v>
      </c>
      <c r="E2434" s="81">
        <v>1324169</v>
      </c>
      <c r="F2434" s="82">
        <v>1294607.8135593208</v>
      </c>
      <c r="G2434" s="75">
        <v>2609.2631086561923</v>
      </c>
      <c r="H2434" s="76">
        <v>2</v>
      </c>
      <c r="I2434" s="54" t="s">
        <v>20</v>
      </c>
      <c r="J2434" s="77">
        <v>40</v>
      </c>
      <c r="K2434" s="78">
        <v>2</v>
      </c>
      <c r="L2434" s="54">
        <v>1</v>
      </c>
      <c r="M2434" s="54">
        <f>_xlfn.XLOOKUP(Survey!$F2434,sections[Start],sections[Test Section],,-1,1)</f>
        <v>7</v>
      </c>
      <c r="N2434" s="55">
        <f>_xlfn.XLOOKUP(Survey!$K2434,pipedata[ID],pipedata[WT])</f>
        <v>0.74</v>
      </c>
      <c r="O2434" s="56">
        <f>_xlfn.XLOOKUP(Survey!$K2434,pipedata[ID],pipedata[104%])</f>
        <v>2565.3333333333335</v>
      </c>
      <c r="P2434" s="57">
        <f t="shared" ref="P2434:P2497" si="38">IF(L2434=1,1850,IF(L2434=2,1850,2220))</f>
        <v>1850</v>
      </c>
      <c r="Q2434" s="58">
        <f>_xlfn.MAXIFS(Survey!$G$2:$G$3647,Survey!$M$2:$M$3647,Survey!$M2434)-Survey!$G2434</f>
        <v>225.7106687577816</v>
      </c>
      <c r="R2434" s="59">
        <f>Survey!$P2434+(Survey!$Q2434*0.433)</f>
        <v>1947.7327195721195</v>
      </c>
    </row>
    <row r="2435" spans="1:18" x14ac:dyDescent="0.25">
      <c r="A2435" s="60" t="s">
        <v>17</v>
      </c>
      <c r="B2435" s="61" t="s">
        <v>22</v>
      </c>
      <c r="C2435" s="62" t="s">
        <v>19</v>
      </c>
      <c r="D2435" s="63">
        <v>245.00402238662929</v>
      </c>
      <c r="E2435" s="79">
        <v>1324209</v>
      </c>
      <c r="F2435" s="80">
        <v>1294646.8813559308</v>
      </c>
      <c r="G2435" s="66">
        <v>2612.4747815669102</v>
      </c>
      <c r="H2435" s="67">
        <v>2</v>
      </c>
      <c r="I2435" s="68" t="s">
        <v>20</v>
      </c>
      <c r="J2435" s="69">
        <v>40</v>
      </c>
      <c r="K2435" s="70">
        <v>2</v>
      </c>
      <c r="L2435" s="68">
        <v>1</v>
      </c>
      <c r="M2435" s="68">
        <f>_xlfn.XLOOKUP(Survey!$F2435,sections[Start],sections[Test Section],,-1,1)</f>
        <v>7</v>
      </c>
      <c r="N2435" s="55">
        <f>_xlfn.XLOOKUP(Survey!$K2435,pipedata[ID],pipedata[WT])</f>
        <v>0.74</v>
      </c>
      <c r="O2435" s="56">
        <f>_xlfn.XLOOKUP(Survey!$K2435,pipedata[ID],pipedata[104%])</f>
        <v>2565.3333333333335</v>
      </c>
      <c r="P2435" s="57">
        <f t="shared" si="38"/>
        <v>1850</v>
      </c>
      <c r="Q2435" s="58">
        <f>_xlfn.MAXIFS(Survey!$G$2:$G$3647,Survey!$M$2:$M$3647,Survey!$M2435)-Survey!$G2435</f>
        <v>222.49899584706372</v>
      </c>
      <c r="R2435" s="59">
        <f>Survey!$P2435+(Survey!$Q2435*0.433)</f>
        <v>1946.3420652017785</v>
      </c>
    </row>
    <row r="2436" spans="1:18" x14ac:dyDescent="0.25">
      <c r="A2436" s="71" t="s">
        <v>17</v>
      </c>
      <c r="B2436" s="72" t="s">
        <v>22</v>
      </c>
      <c r="C2436" s="73" t="s">
        <v>19</v>
      </c>
      <c r="D2436" s="74">
        <v>245.01076300531847</v>
      </c>
      <c r="E2436" s="81">
        <v>1324249</v>
      </c>
      <c r="F2436" s="82">
        <v>1294685.9491525409</v>
      </c>
      <c r="G2436" s="75">
        <v>2616.7831719086989</v>
      </c>
      <c r="H2436" s="76">
        <v>2</v>
      </c>
      <c r="I2436" s="54" t="s">
        <v>20</v>
      </c>
      <c r="J2436" s="77">
        <v>40</v>
      </c>
      <c r="K2436" s="78">
        <v>2</v>
      </c>
      <c r="L2436" s="54">
        <v>1</v>
      </c>
      <c r="M2436" s="54">
        <f>_xlfn.XLOOKUP(Survey!$F2436,sections[Start],sections[Test Section],,-1,1)</f>
        <v>7</v>
      </c>
      <c r="N2436" s="55">
        <f>_xlfn.XLOOKUP(Survey!$K2436,pipedata[ID],pipedata[WT])</f>
        <v>0.74</v>
      </c>
      <c r="O2436" s="56">
        <f>_xlfn.XLOOKUP(Survey!$K2436,pipedata[ID],pipedata[104%])</f>
        <v>2565.3333333333335</v>
      </c>
      <c r="P2436" s="57">
        <f t="shared" si="38"/>
        <v>1850</v>
      </c>
      <c r="Q2436" s="58">
        <f>_xlfn.MAXIFS(Survey!$G$2:$G$3647,Survey!$M$2:$M$3647,Survey!$M2436)-Survey!$G2436</f>
        <v>218.19060550527502</v>
      </c>
      <c r="R2436" s="59">
        <f>Survey!$P2436+(Survey!$Q2436*0.433)</f>
        <v>1944.476532183784</v>
      </c>
    </row>
    <row r="2437" spans="1:18" x14ac:dyDescent="0.25">
      <c r="A2437" s="60" t="s">
        <v>17</v>
      </c>
      <c r="B2437" s="61" t="s">
        <v>22</v>
      </c>
      <c r="C2437" s="62" t="s">
        <v>19</v>
      </c>
      <c r="D2437" s="63">
        <v>245.0184621456138</v>
      </c>
      <c r="E2437" s="79">
        <v>1324289</v>
      </c>
      <c r="F2437" s="80">
        <v>1294725.0169491509</v>
      </c>
      <c r="G2437" s="66">
        <v>2623.2535890827094</v>
      </c>
      <c r="H2437" s="67">
        <v>2</v>
      </c>
      <c r="I2437" s="68" t="s">
        <v>20</v>
      </c>
      <c r="J2437" s="69">
        <v>40</v>
      </c>
      <c r="K2437" s="70">
        <v>2</v>
      </c>
      <c r="L2437" s="68">
        <v>2</v>
      </c>
      <c r="M2437" s="68">
        <f>_xlfn.XLOOKUP(Survey!$F2437,sections[Start],sections[Test Section],,-1,1)</f>
        <v>7</v>
      </c>
      <c r="N2437" s="55">
        <f>_xlfn.XLOOKUP(Survey!$K2437,pipedata[ID],pipedata[WT])</f>
        <v>0.74</v>
      </c>
      <c r="O2437" s="56">
        <f>_xlfn.XLOOKUP(Survey!$K2437,pipedata[ID],pipedata[104%])</f>
        <v>2565.3333333333335</v>
      </c>
      <c r="P2437" s="57">
        <f t="shared" si="38"/>
        <v>1850</v>
      </c>
      <c r="Q2437" s="58">
        <f>_xlfn.MAXIFS(Survey!$G$2:$G$3647,Survey!$M$2:$M$3647,Survey!$M2437)-Survey!$G2437</f>
        <v>211.72018833126458</v>
      </c>
      <c r="R2437" s="59">
        <f>Survey!$P2437+(Survey!$Q2437*0.433)</f>
        <v>1941.6748415474376</v>
      </c>
    </row>
    <row r="2438" spans="1:18" x14ac:dyDescent="0.25">
      <c r="A2438" s="71" t="s">
        <v>17</v>
      </c>
      <c r="B2438" s="72" t="s">
        <v>22</v>
      </c>
      <c r="C2438" s="73" t="s">
        <v>19</v>
      </c>
      <c r="D2438" s="74">
        <v>245.02631998376825</v>
      </c>
      <c r="E2438" s="81">
        <v>1324329</v>
      </c>
      <c r="F2438" s="82">
        <v>1294764.084745761</v>
      </c>
      <c r="G2438" s="75">
        <v>2631.1230120821856</v>
      </c>
      <c r="H2438" s="76">
        <v>2</v>
      </c>
      <c r="I2438" s="54" t="s">
        <v>20</v>
      </c>
      <c r="J2438" s="77">
        <v>40</v>
      </c>
      <c r="K2438" s="78">
        <v>2</v>
      </c>
      <c r="L2438" s="54">
        <v>2</v>
      </c>
      <c r="M2438" s="54">
        <f>_xlfn.XLOOKUP(Survey!$F2438,sections[Start],sections[Test Section],,-1,1)</f>
        <v>7</v>
      </c>
      <c r="N2438" s="55">
        <f>_xlfn.XLOOKUP(Survey!$K2438,pipedata[ID],pipedata[WT])</f>
        <v>0.74</v>
      </c>
      <c r="O2438" s="56">
        <f>_xlfn.XLOOKUP(Survey!$K2438,pipedata[ID],pipedata[104%])</f>
        <v>2565.3333333333335</v>
      </c>
      <c r="P2438" s="57">
        <f t="shared" si="38"/>
        <v>1850</v>
      </c>
      <c r="Q2438" s="58">
        <f>_xlfn.MAXIFS(Survey!$G$2:$G$3647,Survey!$M$2:$M$3647,Survey!$M2438)-Survey!$G2438</f>
        <v>203.85076533178835</v>
      </c>
      <c r="R2438" s="59">
        <f>Survey!$P2438+(Survey!$Q2438*0.433)</f>
        <v>1938.2673813886643</v>
      </c>
    </row>
    <row r="2439" spans="1:18" x14ac:dyDescent="0.25">
      <c r="A2439" s="60" t="s">
        <v>17</v>
      </c>
      <c r="B2439" s="61" t="s">
        <v>22</v>
      </c>
      <c r="C2439" s="62" t="s">
        <v>19</v>
      </c>
      <c r="D2439" s="63">
        <v>245.03374771528399</v>
      </c>
      <c r="E2439" s="79">
        <v>1324369</v>
      </c>
      <c r="F2439" s="80">
        <v>1294803.1525423711</v>
      </c>
      <c r="G2439" s="66">
        <v>2644.9733174332091</v>
      </c>
      <c r="H2439" s="67">
        <v>2</v>
      </c>
      <c r="I2439" s="68" t="s">
        <v>20</v>
      </c>
      <c r="J2439" s="69">
        <v>40</v>
      </c>
      <c r="K2439" s="70">
        <v>2</v>
      </c>
      <c r="L2439" s="68">
        <v>2</v>
      </c>
      <c r="M2439" s="68">
        <f>_xlfn.XLOOKUP(Survey!$F2439,sections[Start],sections[Test Section],,-1,1)</f>
        <v>7</v>
      </c>
      <c r="N2439" s="55">
        <f>_xlfn.XLOOKUP(Survey!$K2439,pipedata[ID],pipedata[WT])</f>
        <v>0.74</v>
      </c>
      <c r="O2439" s="56">
        <f>_xlfn.XLOOKUP(Survey!$K2439,pipedata[ID],pipedata[104%])</f>
        <v>2565.3333333333335</v>
      </c>
      <c r="P2439" s="57">
        <f t="shared" si="38"/>
        <v>1850</v>
      </c>
      <c r="Q2439" s="58">
        <f>_xlfn.MAXIFS(Survey!$G$2:$G$3647,Survey!$M$2:$M$3647,Survey!$M2439)-Survey!$G2439</f>
        <v>190.00045998076484</v>
      </c>
      <c r="R2439" s="59">
        <f>Survey!$P2439+(Survey!$Q2439*0.433)</f>
        <v>1932.2701991716713</v>
      </c>
    </row>
    <row r="2440" spans="1:18" x14ac:dyDescent="0.25">
      <c r="A2440" s="71" t="s">
        <v>17</v>
      </c>
      <c r="B2440" s="72" t="s">
        <v>22</v>
      </c>
      <c r="C2440" s="73" t="s">
        <v>19</v>
      </c>
      <c r="D2440" s="74">
        <v>245.04050936376575</v>
      </c>
      <c r="E2440" s="81">
        <v>1324409</v>
      </c>
      <c r="F2440" s="82">
        <v>1294842.2203389811</v>
      </c>
      <c r="G2440" s="75">
        <v>2657.1413613405975</v>
      </c>
      <c r="H2440" s="76">
        <v>2</v>
      </c>
      <c r="I2440" s="54" t="s">
        <v>20</v>
      </c>
      <c r="J2440" s="77">
        <v>40</v>
      </c>
      <c r="K2440" s="78">
        <v>2</v>
      </c>
      <c r="L2440" s="54">
        <v>2</v>
      </c>
      <c r="M2440" s="54">
        <f>_xlfn.XLOOKUP(Survey!$F2440,sections[Start],sections[Test Section],,-1,1)</f>
        <v>7</v>
      </c>
      <c r="N2440" s="55">
        <f>_xlfn.XLOOKUP(Survey!$K2440,pipedata[ID],pipedata[WT])</f>
        <v>0.74</v>
      </c>
      <c r="O2440" s="56">
        <f>_xlfn.XLOOKUP(Survey!$K2440,pipedata[ID],pipedata[104%])</f>
        <v>2565.3333333333335</v>
      </c>
      <c r="P2440" s="57">
        <f t="shared" si="38"/>
        <v>1850</v>
      </c>
      <c r="Q2440" s="58">
        <f>_xlfn.MAXIFS(Survey!$G$2:$G$3647,Survey!$M$2:$M$3647,Survey!$M2440)-Survey!$G2440</f>
        <v>177.83241607337641</v>
      </c>
      <c r="R2440" s="59">
        <f>Survey!$P2440+(Survey!$Q2440*0.433)</f>
        <v>1927.0014361597721</v>
      </c>
    </row>
    <row r="2441" spans="1:18" x14ac:dyDescent="0.25">
      <c r="A2441" s="60" t="s">
        <v>17</v>
      </c>
      <c r="B2441" s="61" t="s">
        <v>22</v>
      </c>
      <c r="C2441" s="62" t="s">
        <v>19</v>
      </c>
      <c r="D2441" s="63">
        <v>245.04861758090723</v>
      </c>
      <c r="E2441" s="79">
        <v>1324449</v>
      </c>
      <c r="F2441" s="80">
        <v>1294881.2881355912</v>
      </c>
      <c r="G2441" s="66">
        <v>2667.2324195412311</v>
      </c>
      <c r="H2441" s="67">
        <v>2</v>
      </c>
      <c r="I2441" s="68" t="s">
        <v>20</v>
      </c>
      <c r="J2441" s="69">
        <v>40</v>
      </c>
      <c r="K2441" s="70">
        <v>2</v>
      </c>
      <c r="L2441" s="68">
        <v>2</v>
      </c>
      <c r="M2441" s="68">
        <f>_xlfn.XLOOKUP(Survey!$F2441,sections[Start],sections[Test Section],,-1,1)</f>
        <v>7</v>
      </c>
      <c r="N2441" s="55">
        <f>_xlfn.XLOOKUP(Survey!$K2441,pipedata[ID],pipedata[WT])</f>
        <v>0.74</v>
      </c>
      <c r="O2441" s="56">
        <f>_xlfn.XLOOKUP(Survey!$K2441,pipedata[ID],pipedata[104%])</f>
        <v>2565.3333333333335</v>
      </c>
      <c r="P2441" s="57">
        <f t="shared" si="38"/>
        <v>1850</v>
      </c>
      <c r="Q2441" s="58">
        <f>_xlfn.MAXIFS(Survey!$G$2:$G$3647,Survey!$M$2:$M$3647,Survey!$M2441)-Survey!$G2441</f>
        <v>167.74135787274281</v>
      </c>
      <c r="R2441" s="59">
        <f>Survey!$P2441+(Survey!$Q2441*0.433)</f>
        <v>1922.6320079588977</v>
      </c>
    </row>
    <row r="2442" spans="1:18" x14ac:dyDescent="0.25">
      <c r="A2442" s="71" t="s">
        <v>17</v>
      </c>
      <c r="B2442" s="72" t="s">
        <v>22</v>
      </c>
      <c r="C2442" s="73" t="s">
        <v>19</v>
      </c>
      <c r="D2442" s="74">
        <v>245.05500364258256</v>
      </c>
      <c r="E2442" s="81">
        <v>1324489</v>
      </c>
      <c r="F2442" s="82">
        <v>1294920.3559322013</v>
      </c>
      <c r="G2442" s="75">
        <v>2678.4684226922604</v>
      </c>
      <c r="H2442" s="76">
        <v>2</v>
      </c>
      <c r="I2442" s="54" t="s">
        <v>20</v>
      </c>
      <c r="J2442" s="77">
        <v>40</v>
      </c>
      <c r="K2442" s="78">
        <v>2</v>
      </c>
      <c r="L2442" s="54">
        <v>2</v>
      </c>
      <c r="M2442" s="54">
        <f>_xlfn.XLOOKUP(Survey!$F2442,sections[Start],sections[Test Section],,-1,1)</f>
        <v>7</v>
      </c>
      <c r="N2442" s="55">
        <f>_xlfn.XLOOKUP(Survey!$K2442,pipedata[ID],pipedata[WT])</f>
        <v>0.74</v>
      </c>
      <c r="O2442" s="56">
        <f>_xlfn.XLOOKUP(Survey!$K2442,pipedata[ID],pipedata[104%])</f>
        <v>2565.3333333333335</v>
      </c>
      <c r="P2442" s="57">
        <f t="shared" si="38"/>
        <v>1850</v>
      </c>
      <c r="Q2442" s="58">
        <f>_xlfn.MAXIFS(Survey!$G$2:$G$3647,Survey!$M$2:$M$3647,Survey!$M2442)-Survey!$G2442</f>
        <v>156.5053547217135</v>
      </c>
      <c r="R2442" s="59">
        <f>Survey!$P2442+(Survey!$Q2442*0.433)</f>
        <v>1917.766818594502</v>
      </c>
    </row>
    <row r="2443" spans="1:18" x14ac:dyDescent="0.25">
      <c r="A2443" s="60" t="s">
        <v>17</v>
      </c>
      <c r="B2443" s="61" t="s">
        <v>22</v>
      </c>
      <c r="C2443" s="62" t="s">
        <v>19</v>
      </c>
      <c r="D2443" s="63">
        <v>245.06280696090468</v>
      </c>
      <c r="E2443" s="79">
        <v>1324529</v>
      </c>
      <c r="F2443" s="80">
        <v>1294959.4237288113</v>
      </c>
      <c r="G2443" s="66">
        <v>2689.4369644159619</v>
      </c>
      <c r="H2443" s="67">
        <v>2</v>
      </c>
      <c r="I2443" s="68" t="s">
        <v>20</v>
      </c>
      <c r="J2443" s="69">
        <v>40</v>
      </c>
      <c r="K2443" s="70">
        <v>2</v>
      </c>
      <c r="L2443" s="68">
        <v>2</v>
      </c>
      <c r="M2443" s="68">
        <f>_xlfn.XLOOKUP(Survey!$F2443,sections[Start],sections[Test Section],,-1,1)</f>
        <v>7</v>
      </c>
      <c r="N2443" s="55">
        <f>_xlfn.XLOOKUP(Survey!$K2443,pipedata[ID],pipedata[WT])</f>
        <v>0.74</v>
      </c>
      <c r="O2443" s="56">
        <f>_xlfn.XLOOKUP(Survey!$K2443,pipedata[ID],pipedata[104%])</f>
        <v>2565.3333333333335</v>
      </c>
      <c r="P2443" s="57">
        <f t="shared" si="38"/>
        <v>1850</v>
      </c>
      <c r="Q2443" s="58">
        <f>_xlfn.MAXIFS(Survey!$G$2:$G$3647,Survey!$M$2:$M$3647,Survey!$M2443)-Survey!$G2443</f>
        <v>145.53681299801201</v>
      </c>
      <c r="R2443" s="59">
        <f>Survey!$P2443+(Survey!$Q2443*0.433)</f>
        <v>1913.0174400281392</v>
      </c>
    </row>
    <row r="2444" spans="1:18" x14ac:dyDescent="0.25">
      <c r="A2444" s="71" t="s">
        <v>17</v>
      </c>
      <c r="B2444" s="72" t="s">
        <v>22</v>
      </c>
      <c r="C2444" s="73" t="s">
        <v>19</v>
      </c>
      <c r="D2444" s="74">
        <v>245.06888812376076</v>
      </c>
      <c r="E2444" s="81">
        <v>1324569</v>
      </c>
      <c r="F2444" s="82">
        <v>1294998.4915254214</v>
      </c>
      <c r="G2444" s="75">
        <v>2696.8196089181415</v>
      </c>
      <c r="H2444" s="76">
        <v>2</v>
      </c>
      <c r="I2444" s="54" t="s">
        <v>20</v>
      </c>
      <c r="J2444" s="77">
        <v>40</v>
      </c>
      <c r="K2444" s="78">
        <v>2</v>
      </c>
      <c r="L2444" s="54">
        <v>2</v>
      </c>
      <c r="M2444" s="54">
        <f>_xlfn.XLOOKUP(Survey!$F2444,sections[Start],sections[Test Section],,-1,1)</f>
        <v>7</v>
      </c>
      <c r="N2444" s="55">
        <f>_xlfn.XLOOKUP(Survey!$K2444,pipedata[ID],pipedata[WT])</f>
        <v>0.74</v>
      </c>
      <c r="O2444" s="56">
        <f>_xlfn.XLOOKUP(Survey!$K2444,pipedata[ID],pipedata[104%])</f>
        <v>2565.3333333333335</v>
      </c>
      <c r="P2444" s="57">
        <f t="shared" si="38"/>
        <v>1850</v>
      </c>
      <c r="Q2444" s="58">
        <f>_xlfn.MAXIFS(Survey!$G$2:$G$3647,Survey!$M$2:$M$3647,Survey!$M2444)-Survey!$G2444</f>
        <v>138.15416849583244</v>
      </c>
      <c r="R2444" s="59">
        <f>Survey!$P2444+(Survey!$Q2444*0.433)</f>
        <v>1909.8207549586955</v>
      </c>
    </row>
    <row r="2445" spans="1:18" x14ac:dyDescent="0.25">
      <c r="A2445" s="60" t="s">
        <v>17</v>
      </c>
      <c r="B2445" s="61" t="s">
        <v>22</v>
      </c>
      <c r="C2445" s="62" t="s">
        <v>19</v>
      </c>
      <c r="D2445" s="63">
        <v>245.07745070895126</v>
      </c>
      <c r="E2445" s="79">
        <v>1324609</v>
      </c>
      <c r="F2445" s="80">
        <v>1295037.5593220314</v>
      </c>
      <c r="G2445" s="66">
        <v>2706.0129661942919</v>
      </c>
      <c r="H2445" s="67">
        <v>2</v>
      </c>
      <c r="I2445" s="68" t="s">
        <v>20</v>
      </c>
      <c r="J2445" s="69">
        <v>40</v>
      </c>
      <c r="K2445" s="70">
        <v>2</v>
      </c>
      <c r="L2445" s="68">
        <v>2</v>
      </c>
      <c r="M2445" s="68">
        <f>_xlfn.XLOOKUP(Survey!$F2445,sections[Start],sections[Test Section],,-1,1)</f>
        <v>7</v>
      </c>
      <c r="N2445" s="55">
        <f>_xlfn.XLOOKUP(Survey!$K2445,pipedata[ID],pipedata[WT])</f>
        <v>0.74</v>
      </c>
      <c r="O2445" s="56">
        <f>_xlfn.XLOOKUP(Survey!$K2445,pipedata[ID],pipedata[104%])</f>
        <v>2565.3333333333335</v>
      </c>
      <c r="P2445" s="57">
        <f t="shared" si="38"/>
        <v>1850</v>
      </c>
      <c r="Q2445" s="58">
        <f>_xlfn.MAXIFS(Survey!$G$2:$G$3647,Survey!$M$2:$M$3647,Survey!$M2445)-Survey!$G2445</f>
        <v>128.960811219682</v>
      </c>
      <c r="R2445" s="59">
        <f>Survey!$P2445+(Survey!$Q2445*0.433)</f>
        <v>1905.8400312581223</v>
      </c>
    </row>
    <row r="2446" spans="1:18" x14ac:dyDescent="0.25">
      <c r="A2446" s="71" t="s">
        <v>17</v>
      </c>
      <c r="B2446" s="72" t="s">
        <v>22</v>
      </c>
      <c r="C2446" s="73" t="s">
        <v>19</v>
      </c>
      <c r="D2446" s="74">
        <v>245.08510455804358</v>
      </c>
      <c r="E2446" s="81">
        <v>1324649</v>
      </c>
      <c r="F2446" s="82">
        <v>1295076.6271186415</v>
      </c>
      <c r="G2446" s="75">
        <v>2709.2037623902293</v>
      </c>
      <c r="H2446" s="76">
        <v>2</v>
      </c>
      <c r="I2446" s="54" t="s">
        <v>20</v>
      </c>
      <c r="J2446" s="77">
        <v>40</v>
      </c>
      <c r="K2446" s="78">
        <v>2</v>
      </c>
      <c r="L2446" s="54">
        <v>2</v>
      </c>
      <c r="M2446" s="54">
        <f>_xlfn.XLOOKUP(Survey!$F2446,sections[Start],sections[Test Section],,-1,1)</f>
        <v>7</v>
      </c>
      <c r="N2446" s="55">
        <f>_xlfn.XLOOKUP(Survey!$K2446,pipedata[ID],pipedata[WT])</f>
        <v>0.74</v>
      </c>
      <c r="O2446" s="56">
        <f>_xlfn.XLOOKUP(Survey!$K2446,pipedata[ID],pipedata[104%])</f>
        <v>2565.3333333333335</v>
      </c>
      <c r="P2446" s="57">
        <f t="shared" si="38"/>
        <v>1850</v>
      </c>
      <c r="Q2446" s="58">
        <f>_xlfn.MAXIFS(Survey!$G$2:$G$3647,Survey!$M$2:$M$3647,Survey!$M2446)-Survey!$G2446</f>
        <v>125.77001502374469</v>
      </c>
      <c r="R2446" s="59">
        <f>Survey!$P2446+(Survey!$Q2446*0.433)</f>
        <v>1904.4584165052815</v>
      </c>
    </row>
    <row r="2447" spans="1:18" x14ac:dyDescent="0.25">
      <c r="A2447" s="60" t="s">
        <v>17</v>
      </c>
      <c r="B2447" s="61" t="s">
        <v>22</v>
      </c>
      <c r="C2447" s="62" t="s">
        <v>19</v>
      </c>
      <c r="D2447" s="63">
        <v>245.09220151535635</v>
      </c>
      <c r="E2447" s="79">
        <v>1324689</v>
      </c>
      <c r="F2447" s="80">
        <v>1295115.6949152516</v>
      </c>
      <c r="G2447" s="66">
        <v>2712.7347673651593</v>
      </c>
      <c r="H2447" s="67">
        <v>2</v>
      </c>
      <c r="I2447" s="68" t="s">
        <v>20</v>
      </c>
      <c r="J2447" s="69">
        <v>40</v>
      </c>
      <c r="K2447" s="70">
        <v>2</v>
      </c>
      <c r="L2447" s="68">
        <v>2</v>
      </c>
      <c r="M2447" s="68">
        <f>_xlfn.XLOOKUP(Survey!$F2447,sections[Start],sections[Test Section],,-1,1)</f>
        <v>7</v>
      </c>
      <c r="N2447" s="55">
        <f>_xlfn.XLOOKUP(Survey!$K2447,pipedata[ID],pipedata[WT])</f>
        <v>0.74</v>
      </c>
      <c r="O2447" s="56">
        <f>_xlfn.XLOOKUP(Survey!$K2447,pipedata[ID],pipedata[104%])</f>
        <v>2565.3333333333335</v>
      </c>
      <c r="P2447" s="57">
        <f t="shared" si="38"/>
        <v>1850</v>
      </c>
      <c r="Q2447" s="58">
        <f>_xlfn.MAXIFS(Survey!$G$2:$G$3647,Survey!$M$2:$M$3647,Survey!$M2447)-Survey!$G2447</f>
        <v>122.23901004881463</v>
      </c>
      <c r="R2447" s="59">
        <f>Survey!$P2447+(Survey!$Q2447*0.433)</f>
        <v>1902.9294913511367</v>
      </c>
    </row>
    <row r="2448" spans="1:18" x14ac:dyDescent="0.25">
      <c r="A2448" s="71" t="s">
        <v>17</v>
      </c>
      <c r="B2448" s="72" t="s">
        <v>22</v>
      </c>
      <c r="C2448" s="73" t="s">
        <v>19</v>
      </c>
      <c r="D2448" s="74">
        <v>245.10039070580453</v>
      </c>
      <c r="E2448" s="81">
        <v>1324729</v>
      </c>
      <c r="F2448" s="82">
        <v>1295154.7627118616</v>
      </c>
      <c r="G2448" s="75">
        <v>2712.1812672739552</v>
      </c>
      <c r="H2448" s="76">
        <v>2</v>
      </c>
      <c r="I2448" s="54" t="s">
        <v>20</v>
      </c>
      <c r="J2448" s="77">
        <v>40</v>
      </c>
      <c r="K2448" s="78">
        <v>2</v>
      </c>
      <c r="L2448" s="54">
        <v>2</v>
      </c>
      <c r="M2448" s="54">
        <f>_xlfn.XLOOKUP(Survey!$F2448,sections[Start],sections[Test Section],,-1,1)</f>
        <v>7</v>
      </c>
      <c r="N2448" s="55">
        <f>_xlfn.XLOOKUP(Survey!$K2448,pipedata[ID],pipedata[WT])</f>
        <v>0.74</v>
      </c>
      <c r="O2448" s="56">
        <f>_xlfn.XLOOKUP(Survey!$K2448,pipedata[ID],pipedata[104%])</f>
        <v>2565.3333333333335</v>
      </c>
      <c r="P2448" s="57">
        <f t="shared" si="38"/>
        <v>1850</v>
      </c>
      <c r="Q2448" s="58">
        <f>_xlfn.MAXIFS(Survey!$G$2:$G$3647,Survey!$M$2:$M$3647,Survey!$M2448)-Survey!$G2448</f>
        <v>122.79251014001875</v>
      </c>
      <c r="R2448" s="59">
        <f>Survey!$P2448+(Survey!$Q2448*0.433)</f>
        <v>1903.1691568906281</v>
      </c>
    </row>
    <row r="2449" spans="1:18" x14ac:dyDescent="0.25">
      <c r="A2449" s="60" t="s">
        <v>17</v>
      </c>
      <c r="B2449" s="61" t="s">
        <v>22</v>
      </c>
      <c r="C2449" s="62" t="s">
        <v>19</v>
      </c>
      <c r="D2449" s="63">
        <v>245.10696606639095</v>
      </c>
      <c r="E2449" s="79">
        <v>1324769</v>
      </c>
      <c r="F2449" s="80">
        <v>1295193.8305084717</v>
      </c>
      <c r="G2449" s="66">
        <v>2710.4894885461345</v>
      </c>
      <c r="H2449" s="67">
        <v>2</v>
      </c>
      <c r="I2449" s="68" t="s">
        <v>20</v>
      </c>
      <c r="J2449" s="69">
        <v>40</v>
      </c>
      <c r="K2449" s="70">
        <v>2</v>
      </c>
      <c r="L2449" s="68">
        <v>2</v>
      </c>
      <c r="M2449" s="68">
        <f>_xlfn.XLOOKUP(Survey!$F2449,sections[Start],sections[Test Section],,-1,1)</f>
        <v>7</v>
      </c>
      <c r="N2449" s="55">
        <f>_xlfn.XLOOKUP(Survey!$K2449,pipedata[ID],pipedata[WT])</f>
        <v>0.74</v>
      </c>
      <c r="O2449" s="56">
        <f>_xlfn.XLOOKUP(Survey!$K2449,pipedata[ID],pipedata[104%])</f>
        <v>2565.3333333333335</v>
      </c>
      <c r="P2449" s="57">
        <f t="shared" si="38"/>
        <v>1850</v>
      </c>
      <c r="Q2449" s="58">
        <f>_xlfn.MAXIFS(Survey!$G$2:$G$3647,Survey!$M$2:$M$3647,Survey!$M2449)-Survey!$G2449</f>
        <v>124.4842888678395</v>
      </c>
      <c r="R2449" s="59">
        <f>Survey!$P2449+(Survey!$Q2449*0.433)</f>
        <v>1903.9016970797745</v>
      </c>
    </row>
    <row r="2450" spans="1:18" x14ac:dyDescent="0.25">
      <c r="A2450" s="71" t="s">
        <v>17</v>
      </c>
      <c r="B2450" s="72" t="s">
        <v>22</v>
      </c>
      <c r="C2450" s="73" t="s">
        <v>19</v>
      </c>
      <c r="D2450" s="74">
        <v>245.11550041289976</v>
      </c>
      <c r="E2450" s="81">
        <v>1324809</v>
      </c>
      <c r="F2450" s="82">
        <v>1295232.8983050818</v>
      </c>
      <c r="G2450" s="75">
        <v>2702.5251819914488</v>
      </c>
      <c r="H2450" s="76">
        <v>2</v>
      </c>
      <c r="I2450" s="54" t="s">
        <v>20</v>
      </c>
      <c r="J2450" s="77">
        <v>40</v>
      </c>
      <c r="K2450" s="78">
        <v>2</v>
      </c>
      <c r="L2450" s="54">
        <v>2</v>
      </c>
      <c r="M2450" s="54">
        <f>_xlfn.XLOOKUP(Survey!$F2450,sections[Start],sections[Test Section],,-1,1)</f>
        <v>7</v>
      </c>
      <c r="N2450" s="55">
        <f>_xlfn.XLOOKUP(Survey!$K2450,pipedata[ID],pipedata[WT])</f>
        <v>0.74</v>
      </c>
      <c r="O2450" s="56">
        <f>_xlfn.XLOOKUP(Survey!$K2450,pipedata[ID],pipedata[104%])</f>
        <v>2565.3333333333335</v>
      </c>
      <c r="P2450" s="57">
        <f t="shared" si="38"/>
        <v>1850</v>
      </c>
      <c r="Q2450" s="58">
        <f>_xlfn.MAXIFS(Survey!$G$2:$G$3647,Survey!$M$2:$M$3647,Survey!$M2450)-Survey!$G2450</f>
        <v>132.44859542252516</v>
      </c>
      <c r="R2450" s="59">
        <f>Survey!$P2450+(Survey!$Q2450*0.433)</f>
        <v>1907.3502418179535</v>
      </c>
    </row>
    <row r="2451" spans="1:18" x14ac:dyDescent="0.25">
      <c r="A2451" s="60" t="s">
        <v>17</v>
      </c>
      <c r="B2451" s="61" t="s">
        <v>22</v>
      </c>
      <c r="C2451" s="62" t="s">
        <v>19</v>
      </c>
      <c r="D2451" s="63">
        <v>245.1225145589824</v>
      </c>
      <c r="E2451" s="79">
        <v>1324849</v>
      </c>
      <c r="F2451" s="80">
        <v>1295271.9661016918</v>
      </c>
      <c r="G2451" s="66">
        <v>2695.0919110581872</v>
      </c>
      <c r="H2451" s="67">
        <v>2</v>
      </c>
      <c r="I2451" s="68" t="s">
        <v>20</v>
      </c>
      <c r="J2451" s="69">
        <v>40</v>
      </c>
      <c r="K2451" s="70">
        <v>2</v>
      </c>
      <c r="L2451" s="68">
        <v>2</v>
      </c>
      <c r="M2451" s="68">
        <f>_xlfn.XLOOKUP(Survey!$F2451,sections[Start],sections[Test Section],,-1,1)</f>
        <v>7</v>
      </c>
      <c r="N2451" s="55">
        <f>_xlfn.XLOOKUP(Survey!$K2451,pipedata[ID],pipedata[WT])</f>
        <v>0.74</v>
      </c>
      <c r="O2451" s="56">
        <f>_xlfn.XLOOKUP(Survey!$K2451,pipedata[ID],pipedata[104%])</f>
        <v>2565.3333333333335</v>
      </c>
      <c r="P2451" s="57">
        <f t="shared" si="38"/>
        <v>1850</v>
      </c>
      <c r="Q2451" s="58">
        <f>_xlfn.MAXIFS(Survey!$G$2:$G$3647,Survey!$M$2:$M$3647,Survey!$M2451)-Survey!$G2451</f>
        <v>139.88186635578677</v>
      </c>
      <c r="R2451" s="59">
        <f>Survey!$P2451+(Survey!$Q2451*0.433)</f>
        <v>1910.5688481320556</v>
      </c>
    </row>
    <row r="2452" spans="1:18" x14ac:dyDescent="0.25">
      <c r="A2452" s="71" t="s">
        <v>17</v>
      </c>
      <c r="B2452" s="72" t="s">
        <v>22</v>
      </c>
      <c r="C2452" s="73" t="s">
        <v>19</v>
      </c>
      <c r="D2452" s="74">
        <v>245.13043551929036</v>
      </c>
      <c r="E2452" s="81">
        <v>1324889</v>
      </c>
      <c r="F2452" s="82">
        <v>1295311.0338983019</v>
      </c>
      <c r="G2452" s="75">
        <v>2685.8971198484301</v>
      </c>
      <c r="H2452" s="76">
        <v>2</v>
      </c>
      <c r="I2452" s="54" t="s">
        <v>20</v>
      </c>
      <c r="J2452" s="77">
        <v>40</v>
      </c>
      <c r="K2452" s="78">
        <v>2</v>
      </c>
      <c r="L2452" s="54">
        <v>2</v>
      </c>
      <c r="M2452" s="54">
        <f>_xlfn.XLOOKUP(Survey!$F2452,sections[Start],sections[Test Section],,-1,1)</f>
        <v>7</v>
      </c>
      <c r="N2452" s="55">
        <f>_xlfn.XLOOKUP(Survey!$K2452,pipedata[ID],pipedata[WT])</f>
        <v>0.74</v>
      </c>
      <c r="O2452" s="56">
        <f>_xlfn.XLOOKUP(Survey!$K2452,pipedata[ID],pipedata[104%])</f>
        <v>2565.3333333333335</v>
      </c>
      <c r="P2452" s="57">
        <f t="shared" si="38"/>
        <v>1850</v>
      </c>
      <c r="Q2452" s="58">
        <f>_xlfn.MAXIFS(Survey!$G$2:$G$3647,Survey!$M$2:$M$3647,Survey!$M2452)-Survey!$G2452</f>
        <v>149.07665756554388</v>
      </c>
      <c r="R2452" s="59">
        <f>Survey!$P2452+(Survey!$Q2452*0.433)</f>
        <v>1914.5501927258806</v>
      </c>
    </row>
    <row r="2453" spans="1:18" x14ac:dyDescent="0.25">
      <c r="A2453" s="60" t="s">
        <v>17</v>
      </c>
      <c r="B2453" s="61" t="s">
        <v>22</v>
      </c>
      <c r="C2453" s="62" t="s">
        <v>19</v>
      </c>
      <c r="D2453" s="63">
        <v>245.13778454105812</v>
      </c>
      <c r="E2453" s="79">
        <v>1324929</v>
      </c>
      <c r="F2453" s="80">
        <v>1295350.101694912</v>
      </c>
      <c r="G2453" s="66">
        <v>2679.7150396119819</v>
      </c>
      <c r="H2453" s="67">
        <v>2</v>
      </c>
      <c r="I2453" s="68" t="s">
        <v>20</v>
      </c>
      <c r="J2453" s="69">
        <v>40</v>
      </c>
      <c r="K2453" s="70">
        <v>2</v>
      </c>
      <c r="L2453" s="68">
        <v>2</v>
      </c>
      <c r="M2453" s="68">
        <f>_xlfn.XLOOKUP(Survey!$F2453,sections[Start],sections[Test Section],,-1,1)</f>
        <v>7</v>
      </c>
      <c r="N2453" s="55">
        <f>_xlfn.XLOOKUP(Survey!$K2453,pipedata[ID],pipedata[WT])</f>
        <v>0.74</v>
      </c>
      <c r="O2453" s="56">
        <f>_xlfn.XLOOKUP(Survey!$K2453,pipedata[ID],pipedata[104%])</f>
        <v>2565.3333333333335</v>
      </c>
      <c r="P2453" s="57">
        <f t="shared" si="38"/>
        <v>1850</v>
      </c>
      <c r="Q2453" s="58">
        <f>_xlfn.MAXIFS(Survey!$G$2:$G$3647,Survey!$M$2:$M$3647,Survey!$M2453)-Survey!$G2453</f>
        <v>155.25873780199208</v>
      </c>
      <c r="R2453" s="59">
        <f>Survey!$P2453+(Survey!$Q2453*0.433)</f>
        <v>1917.2270334682626</v>
      </c>
    </row>
    <row r="2454" spans="1:18" x14ac:dyDescent="0.25">
      <c r="A2454" s="71" t="s">
        <v>17</v>
      </c>
      <c r="B2454" s="72" t="s">
        <v>22</v>
      </c>
      <c r="C2454" s="73" t="s">
        <v>19</v>
      </c>
      <c r="D2454" s="74">
        <v>245.14537062568107</v>
      </c>
      <c r="E2454" s="81">
        <v>1324969</v>
      </c>
      <c r="F2454" s="82">
        <v>1295389.169491522</v>
      </c>
      <c r="G2454" s="75">
        <v>2676.6438648310991</v>
      </c>
      <c r="H2454" s="76">
        <v>2</v>
      </c>
      <c r="I2454" s="54" t="s">
        <v>20</v>
      </c>
      <c r="J2454" s="77">
        <v>40</v>
      </c>
      <c r="K2454" s="78">
        <v>2</v>
      </c>
      <c r="L2454" s="54">
        <v>2</v>
      </c>
      <c r="M2454" s="54">
        <f>_xlfn.XLOOKUP(Survey!$F2454,sections[Start],sections[Test Section],,-1,1)</f>
        <v>7</v>
      </c>
      <c r="N2454" s="55">
        <f>_xlfn.XLOOKUP(Survey!$K2454,pipedata[ID],pipedata[WT])</f>
        <v>0.74</v>
      </c>
      <c r="O2454" s="56">
        <f>_xlfn.XLOOKUP(Survey!$K2454,pipedata[ID],pipedata[104%])</f>
        <v>2565.3333333333335</v>
      </c>
      <c r="P2454" s="57">
        <f t="shared" si="38"/>
        <v>1850</v>
      </c>
      <c r="Q2454" s="58">
        <f>_xlfn.MAXIFS(Survey!$G$2:$G$3647,Survey!$M$2:$M$3647,Survey!$M2454)-Survey!$G2454</f>
        <v>158.32991258287484</v>
      </c>
      <c r="R2454" s="59">
        <f>Survey!$P2454+(Survey!$Q2454*0.433)</f>
        <v>1918.5568521483849</v>
      </c>
    </row>
    <row r="2455" spans="1:18" x14ac:dyDescent="0.25">
      <c r="A2455" s="60" t="s">
        <v>17</v>
      </c>
      <c r="B2455" s="61" t="s">
        <v>22</v>
      </c>
      <c r="C2455" s="62" t="s">
        <v>19</v>
      </c>
      <c r="D2455" s="63">
        <v>245.1517713855628</v>
      </c>
      <c r="E2455" s="79">
        <v>1325009</v>
      </c>
      <c r="F2455" s="80">
        <v>1295428.2372881321</v>
      </c>
      <c r="G2455" s="66">
        <v>2673.3999100829101</v>
      </c>
      <c r="H2455" s="67">
        <v>2</v>
      </c>
      <c r="I2455" s="68" t="s">
        <v>20</v>
      </c>
      <c r="J2455" s="69">
        <v>40</v>
      </c>
      <c r="K2455" s="70">
        <v>2</v>
      </c>
      <c r="L2455" s="68">
        <v>2</v>
      </c>
      <c r="M2455" s="68">
        <f>_xlfn.XLOOKUP(Survey!$F2455,sections[Start],sections[Test Section],,-1,1)</f>
        <v>7</v>
      </c>
      <c r="N2455" s="55">
        <f>_xlfn.XLOOKUP(Survey!$K2455,pipedata[ID],pipedata[WT])</f>
        <v>0.74</v>
      </c>
      <c r="O2455" s="56">
        <f>_xlfn.XLOOKUP(Survey!$K2455,pipedata[ID],pipedata[104%])</f>
        <v>2565.3333333333335</v>
      </c>
      <c r="P2455" s="57">
        <f t="shared" si="38"/>
        <v>1850</v>
      </c>
      <c r="Q2455" s="58">
        <f>_xlfn.MAXIFS(Survey!$G$2:$G$3647,Survey!$M$2:$M$3647,Survey!$M2455)-Survey!$G2455</f>
        <v>161.57386733106387</v>
      </c>
      <c r="R2455" s="59">
        <f>Survey!$P2455+(Survey!$Q2455*0.433)</f>
        <v>1919.9614845543506</v>
      </c>
    </row>
    <row r="2456" spans="1:18" x14ac:dyDescent="0.25">
      <c r="A2456" s="71" t="s">
        <v>17</v>
      </c>
      <c r="B2456" s="72" t="s">
        <v>22</v>
      </c>
      <c r="C2456" s="73" t="s">
        <v>19</v>
      </c>
      <c r="D2456" s="74">
        <v>245.16030573207166</v>
      </c>
      <c r="E2456" s="81">
        <v>1325049</v>
      </c>
      <c r="F2456" s="82">
        <v>1295467.3050847421</v>
      </c>
      <c r="G2456" s="75">
        <v>2667.912062805593</v>
      </c>
      <c r="H2456" s="76">
        <v>2</v>
      </c>
      <c r="I2456" s="54" t="s">
        <v>20</v>
      </c>
      <c r="J2456" s="77">
        <v>40</v>
      </c>
      <c r="K2456" s="78">
        <v>2</v>
      </c>
      <c r="L2456" s="54">
        <v>2</v>
      </c>
      <c r="M2456" s="54">
        <f>_xlfn.XLOOKUP(Survey!$F2456,sections[Start],sections[Test Section],,-1,1)</f>
        <v>7</v>
      </c>
      <c r="N2456" s="55">
        <f>_xlfn.XLOOKUP(Survey!$K2456,pipedata[ID],pipedata[WT])</f>
        <v>0.74</v>
      </c>
      <c r="O2456" s="56">
        <f>_xlfn.XLOOKUP(Survey!$K2456,pipedata[ID],pipedata[104%])</f>
        <v>2565.3333333333335</v>
      </c>
      <c r="P2456" s="57">
        <f t="shared" si="38"/>
        <v>1850</v>
      </c>
      <c r="Q2456" s="58">
        <f>_xlfn.MAXIFS(Survey!$G$2:$G$3647,Survey!$M$2:$M$3647,Survey!$M2456)-Survey!$G2456</f>
        <v>167.06171460838095</v>
      </c>
      <c r="R2456" s="59">
        <f>Survey!$P2456+(Survey!$Q2456*0.433)</f>
        <v>1922.3377224254289</v>
      </c>
    </row>
    <row r="2457" spans="1:18" x14ac:dyDescent="0.25">
      <c r="A2457" s="60" t="s">
        <v>17</v>
      </c>
      <c r="B2457" s="61" t="s">
        <v>22</v>
      </c>
      <c r="C2457" s="62" t="s">
        <v>19</v>
      </c>
      <c r="D2457" s="63">
        <v>245.16684675799414</v>
      </c>
      <c r="E2457" s="79">
        <v>1325089</v>
      </c>
      <c r="F2457" s="80">
        <v>1295506.3728813522</v>
      </c>
      <c r="G2457" s="66">
        <v>2663.4766579436068</v>
      </c>
      <c r="H2457" s="67">
        <v>2</v>
      </c>
      <c r="I2457" s="68" t="s">
        <v>20</v>
      </c>
      <c r="J2457" s="69">
        <v>40</v>
      </c>
      <c r="K2457" s="70">
        <v>2</v>
      </c>
      <c r="L2457" s="68">
        <v>2</v>
      </c>
      <c r="M2457" s="68">
        <f>_xlfn.XLOOKUP(Survey!$F2457,sections[Start],sections[Test Section],,-1,1)</f>
        <v>7</v>
      </c>
      <c r="N2457" s="55">
        <f>_xlfn.XLOOKUP(Survey!$K2457,pipedata[ID],pipedata[WT])</f>
        <v>0.74</v>
      </c>
      <c r="O2457" s="56">
        <f>_xlfn.XLOOKUP(Survey!$K2457,pipedata[ID],pipedata[104%])</f>
        <v>2565.3333333333335</v>
      </c>
      <c r="P2457" s="57">
        <f t="shared" si="38"/>
        <v>1850</v>
      </c>
      <c r="Q2457" s="58">
        <f>_xlfn.MAXIFS(Survey!$G$2:$G$3647,Survey!$M$2:$M$3647,Survey!$M2457)-Survey!$G2457</f>
        <v>171.49711947036712</v>
      </c>
      <c r="R2457" s="59">
        <f>Survey!$P2457+(Survey!$Q2457*0.433)</f>
        <v>1924.258252730669</v>
      </c>
    </row>
    <row r="2458" spans="1:18" x14ac:dyDescent="0.25">
      <c r="A2458" s="71" t="s">
        <v>17</v>
      </c>
      <c r="B2458" s="72" t="s">
        <v>22</v>
      </c>
      <c r="C2458" s="73" t="s">
        <v>19</v>
      </c>
      <c r="D2458" s="74">
        <v>245.17524083846246</v>
      </c>
      <c r="E2458" s="81">
        <v>1325129</v>
      </c>
      <c r="F2458" s="82">
        <v>1295545.4406779623</v>
      </c>
      <c r="G2458" s="75">
        <v>2657.2900887965038</v>
      </c>
      <c r="H2458" s="76">
        <v>2</v>
      </c>
      <c r="I2458" s="54" t="s">
        <v>20</v>
      </c>
      <c r="J2458" s="77">
        <v>40</v>
      </c>
      <c r="K2458" s="78">
        <v>2</v>
      </c>
      <c r="L2458" s="54">
        <v>2</v>
      </c>
      <c r="M2458" s="54">
        <f>_xlfn.XLOOKUP(Survey!$F2458,sections[Start],sections[Test Section],,-1,1)</f>
        <v>7</v>
      </c>
      <c r="N2458" s="55">
        <f>_xlfn.XLOOKUP(Survey!$K2458,pipedata[ID],pipedata[WT])</f>
        <v>0.74</v>
      </c>
      <c r="O2458" s="56">
        <f>_xlfn.XLOOKUP(Survey!$K2458,pipedata[ID],pipedata[104%])</f>
        <v>2565.3333333333335</v>
      </c>
      <c r="P2458" s="57">
        <f t="shared" si="38"/>
        <v>1850</v>
      </c>
      <c r="Q2458" s="58">
        <f>_xlfn.MAXIFS(Survey!$G$2:$G$3647,Survey!$M$2:$M$3647,Survey!$M2458)-Survey!$G2458</f>
        <v>177.68368861747012</v>
      </c>
      <c r="R2458" s="59">
        <f>Survey!$P2458+(Survey!$Q2458*0.433)</f>
        <v>1926.9370371713646</v>
      </c>
    </row>
    <row r="2459" spans="1:18" x14ac:dyDescent="0.25">
      <c r="A2459" s="60" t="s">
        <v>17</v>
      </c>
      <c r="B2459" s="61" t="s">
        <v>22</v>
      </c>
      <c r="C2459" s="62" t="s">
        <v>19</v>
      </c>
      <c r="D2459" s="63">
        <v>245.18164159834396</v>
      </c>
      <c r="E2459" s="79">
        <v>1325169</v>
      </c>
      <c r="F2459" s="80">
        <v>1295584.5084745723</v>
      </c>
      <c r="G2459" s="66">
        <v>2652.3518179869588</v>
      </c>
      <c r="H2459" s="67">
        <v>2</v>
      </c>
      <c r="I2459" s="68" t="s">
        <v>20</v>
      </c>
      <c r="J2459" s="69">
        <v>40</v>
      </c>
      <c r="K2459" s="70">
        <v>2</v>
      </c>
      <c r="L2459" s="68">
        <v>2</v>
      </c>
      <c r="M2459" s="68">
        <f>_xlfn.XLOOKUP(Survey!$F2459,sections[Start],sections[Test Section],,-1,1)</f>
        <v>7</v>
      </c>
      <c r="N2459" s="55">
        <f>_xlfn.XLOOKUP(Survey!$K2459,pipedata[ID],pipedata[WT])</f>
        <v>0.74</v>
      </c>
      <c r="O2459" s="56">
        <f>_xlfn.XLOOKUP(Survey!$K2459,pipedata[ID],pipedata[104%])</f>
        <v>2565.3333333333335</v>
      </c>
      <c r="P2459" s="57">
        <f t="shared" si="38"/>
        <v>1850</v>
      </c>
      <c r="Q2459" s="58">
        <f>_xlfn.MAXIFS(Survey!$G$2:$G$3647,Survey!$M$2:$M$3647,Survey!$M2459)-Survey!$G2459</f>
        <v>182.6219594270151</v>
      </c>
      <c r="R2459" s="59">
        <f>Survey!$P2459+(Survey!$Q2459*0.433)</f>
        <v>1929.0753084318976</v>
      </c>
    </row>
    <row r="2460" spans="1:18" x14ac:dyDescent="0.25">
      <c r="A2460" s="71" t="s">
        <v>17</v>
      </c>
      <c r="B2460" s="72" t="s">
        <v>22</v>
      </c>
      <c r="C2460" s="73" t="s">
        <v>19</v>
      </c>
      <c r="D2460" s="74">
        <v>245.190175944853</v>
      </c>
      <c r="E2460" s="81">
        <v>1325209</v>
      </c>
      <c r="F2460" s="82">
        <v>1295623.5762711824</v>
      </c>
      <c r="G2460" s="75">
        <v>2645.1966251132189</v>
      </c>
      <c r="H2460" s="76">
        <v>2</v>
      </c>
      <c r="I2460" s="54" t="s">
        <v>20</v>
      </c>
      <c r="J2460" s="77">
        <v>40</v>
      </c>
      <c r="K2460" s="78">
        <v>2</v>
      </c>
      <c r="L2460" s="54">
        <v>2</v>
      </c>
      <c r="M2460" s="54">
        <f>_xlfn.XLOOKUP(Survey!$F2460,sections[Start],sections[Test Section],,-1,1)</f>
        <v>7</v>
      </c>
      <c r="N2460" s="55">
        <f>_xlfn.XLOOKUP(Survey!$K2460,pipedata[ID],pipedata[WT])</f>
        <v>0.74</v>
      </c>
      <c r="O2460" s="56">
        <f>_xlfn.XLOOKUP(Survey!$K2460,pipedata[ID],pipedata[104%])</f>
        <v>2565.3333333333335</v>
      </c>
      <c r="P2460" s="57">
        <f t="shared" si="38"/>
        <v>1850</v>
      </c>
      <c r="Q2460" s="58">
        <f>_xlfn.MAXIFS(Survey!$G$2:$G$3647,Survey!$M$2:$M$3647,Survey!$M2460)-Survey!$G2460</f>
        <v>189.77715230075501</v>
      </c>
      <c r="R2460" s="59">
        <f>Survey!$P2460+(Survey!$Q2460*0.433)</f>
        <v>1932.173506946227</v>
      </c>
    </row>
    <row r="2461" spans="1:18" x14ac:dyDescent="0.25">
      <c r="A2461" s="60" t="s">
        <v>17</v>
      </c>
      <c r="B2461" s="61" t="s">
        <v>22</v>
      </c>
      <c r="C2461" s="62" t="s">
        <v>19</v>
      </c>
      <c r="D2461" s="63">
        <v>245.19787929730251</v>
      </c>
      <c r="E2461" s="79">
        <v>1325249</v>
      </c>
      <c r="F2461" s="80">
        <v>1295662.6440677925</v>
      </c>
      <c r="G2461" s="66">
        <v>2637.4129702850432</v>
      </c>
      <c r="H2461" s="67">
        <v>2</v>
      </c>
      <c r="I2461" s="68" t="s">
        <v>20</v>
      </c>
      <c r="J2461" s="69">
        <v>40</v>
      </c>
      <c r="K2461" s="70">
        <v>2</v>
      </c>
      <c r="L2461" s="68">
        <v>2</v>
      </c>
      <c r="M2461" s="68">
        <f>_xlfn.XLOOKUP(Survey!$F2461,sections[Start],sections[Test Section],,-1,1)</f>
        <v>7</v>
      </c>
      <c r="N2461" s="55">
        <f>_xlfn.XLOOKUP(Survey!$K2461,pipedata[ID],pipedata[WT])</f>
        <v>0.74</v>
      </c>
      <c r="O2461" s="56">
        <f>_xlfn.XLOOKUP(Survey!$K2461,pipedata[ID],pipedata[104%])</f>
        <v>2565.3333333333335</v>
      </c>
      <c r="P2461" s="57">
        <f t="shared" si="38"/>
        <v>1850</v>
      </c>
      <c r="Q2461" s="58">
        <f>_xlfn.MAXIFS(Survey!$G$2:$G$3647,Survey!$M$2:$M$3647,Survey!$M2461)-Survey!$G2461</f>
        <v>197.56080712893072</v>
      </c>
      <c r="R2461" s="59">
        <f>Survey!$P2461+(Survey!$Q2461*0.433)</f>
        <v>1935.543829486827</v>
      </c>
    </row>
    <row r="2462" spans="1:18" x14ac:dyDescent="0.25">
      <c r="A2462" s="71" t="s">
        <v>17</v>
      </c>
      <c r="B2462" s="72" t="s">
        <v>22</v>
      </c>
      <c r="C2462" s="73" t="s">
        <v>19</v>
      </c>
      <c r="D2462" s="74">
        <v>245.20511105124359</v>
      </c>
      <c r="E2462" s="81">
        <v>1325289</v>
      </c>
      <c r="F2462" s="82">
        <v>1295701.7118644025</v>
      </c>
      <c r="G2462" s="75">
        <v>2629.6458539745108</v>
      </c>
      <c r="H2462" s="76">
        <v>2</v>
      </c>
      <c r="I2462" s="54" t="s">
        <v>20</v>
      </c>
      <c r="J2462" s="77">
        <v>40</v>
      </c>
      <c r="K2462" s="78">
        <v>2</v>
      </c>
      <c r="L2462" s="54">
        <v>2</v>
      </c>
      <c r="M2462" s="54">
        <f>_xlfn.XLOOKUP(Survey!$F2462,sections[Start],sections[Test Section],,-1,1)</f>
        <v>7</v>
      </c>
      <c r="N2462" s="55">
        <f>_xlfn.XLOOKUP(Survey!$K2462,pipedata[ID],pipedata[WT])</f>
        <v>0.74</v>
      </c>
      <c r="O2462" s="56">
        <f>_xlfn.XLOOKUP(Survey!$K2462,pipedata[ID],pipedata[104%])</f>
        <v>2565.3333333333335</v>
      </c>
      <c r="P2462" s="57">
        <f t="shared" si="38"/>
        <v>1850</v>
      </c>
      <c r="Q2462" s="58">
        <f>_xlfn.MAXIFS(Survey!$G$2:$G$3647,Survey!$M$2:$M$3647,Survey!$M2462)-Survey!$G2462</f>
        <v>205.32792343946312</v>
      </c>
      <c r="R2462" s="59">
        <f>Survey!$P2462+(Survey!$Q2462*0.433)</f>
        <v>1938.9069908492875</v>
      </c>
    </row>
    <row r="2463" spans="1:18" x14ac:dyDescent="0.25">
      <c r="A2463" s="60" t="s">
        <v>17</v>
      </c>
      <c r="B2463" s="61" t="s">
        <v>22</v>
      </c>
      <c r="C2463" s="62" t="s">
        <v>19</v>
      </c>
      <c r="D2463" s="63">
        <v>245.21182063127821</v>
      </c>
      <c r="E2463" s="79">
        <v>1325329</v>
      </c>
      <c r="F2463" s="80">
        <v>1295740.7796610126</v>
      </c>
      <c r="G2463" s="66">
        <v>2626.2001867775198</v>
      </c>
      <c r="H2463" s="67">
        <v>2</v>
      </c>
      <c r="I2463" s="68" t="s">
        <v>20</v>
      </c>
      <c r="J2463" s="69">
        <v>40</v>
      </c>
      <c r="K2463" s="70">
        <v>2</v>
      </c>
      <c r="L2463" s="68">
        <v>2</v>
      </c>
      <c r="M2463" s="68">
        <f>_xlfn.XLOOKUP(Survey!$F2463,sections[Start],sections[Test Section],,-1,1)</f>
        <v>7</v>
      </c>
      <c r="N2463" s="55">
        <f>_xlfn.XLOOKUP(Survey!$K2463,pipedata[ID],pipedata[WT])</f>
        <v>0.74</v>
      </c>
      <c r="O2463" s="56">
        <f>_xlfn.XLOOKUP(Survey!$K2463,pipedata[ID],pipedata[104%])</f>
        <v>2565.3333333333335</v>
      </c>
      <c r="P2463" s="57">
        <f t="shared" si="38"/>
        <v>1850</v>
      </c>
      <c r="Q2463" s="58">
        <f>_xlfn.MAXIFS(Survey!$G$2:$G$3647,Survey!$M$2:$M$3647,Survey!$M2463)-Survey!$G2463</f>
        <v>208.77359063645417</v>
      </c>
      <c r="R2463" s="59">
        <f>Survey!$P2463+(Survey!$Q2463*0.433)</f>
        <v>1940.3989647455846</v>
      </c>
    </row>
    <row r="2464" spans="1:18" x14ac:dyDescent="0.25">
      <c r="A2464" s="71" t="s">
        <v>17</v>
      </c>
      <c r="B2464" s="72" t="s">
        <v>22</v>
      </c>
      <c r="C2464" s="73" t="s">
        <v>19</v>
      </c>
      <c r="D2464" s="74">
        <v>245.21998526529532</v>
      </c>
      <c r="E2464" s="81">
        <v>1325369</v>
      </c>
      <c r="F2464" s="82">
        <v>1295779.8474576226</v>
      </c>
      <c r="G2464" s="75">
        <v>2620.2338927867054</v>
      </c>
      <c r="H2464" s="76">
        <v>2</v>
      </c>
      <c r="I2464" s="54" t="s">
        <v>20</v>
      </c>
      <c r="J2464" s="77">
        <v>40</v>
      </c>
      <c r="K2464" s="78">
        <v>2</v>
      </c>
      <c r="L2464" s="54">
        <v>2</v>
      </c>
      <c r="M2464" s="54">
        <f>_xlfn.XLOOKUP(Survey!$F2464,sections[Start],sections[Test Section],,-1,1)</f>
        <v>7</v>
      </c>
      <c r="N2464" s="55">
        <f>_xlfn.XLOOKUP(Survey!$K2464,pipedata[ID],pipedata[WT])</f>
        <v>0.74</v>
      </c>
      <c r="O2464" s="56">
        <f>_xlfn.XLOOKUP(Survey!$K2464,pipedata[ID],pipedata[104%])</f>
        <v>2565.3333333333335</v>
      </c>
      <c r="P2464" s="57">
        <f t="shared" si="38"/>
        <v>1850</v>
      </c>
      <c r="Q2464" s="58">
        <f>_xlfn.MAXIFS(Survey!$G$2:$G$3647,Survey!$M$2:$M$3647,Survey!$M2464)-Survey!$G2464</f>
        <v>214.73988462726857</v>
      </c>
      <c r="R2464" s="59">
        <f>Survey!$P2464+(Survey!$Q2464*0.433)</f>
        <v>1942.9823700436073</v>
      </c>
    </row>
    <row r="2465" spans="1:18" x14ac:dyDescent="0.25">
      <c r="A2465" s="60" t="s">
        <v>17</v>
      </c>
      <c r="B2465" s="61" t="s">
        <v>22</v>
      </c>
      <c r="C2465" s="62" t="s">
        <v>19</v>
      </c>
      <c r="D2465" s="63">
        <v>245.22750389545055</v>
      </c>
      <c r="E2465" s="79">
        <v>1325409</v>
      </c>
      <c r="F2465" s="80">
        <v>1295818.9152542327</v>
      </c>
      <c r="G2465" s="66">
        <v>2620.1809054388305</v>
      </c>
      <c r="H2465" s="67">
        <v>2</v>
      </c>
      <c r="I2465" s="68" t="s">
        <v>20</v>
      </c>
      <c r="J2465" s="69">
        <v>40</v>
      </c>
      <c r="K2465" s="70">
        <v>2</v>
      </c>
      <c r="L2465" s="68">
        <v>2</v>
      </c>
      <c r="M2465" s="68">
        <f>_xlfn.XLOOKUP(Survey!$F2465,sections[Start],sections[Test Section],,-1,1)</f>
        <v>7</v>
      </c>
      <c r="N2465" s="55">
        <f>_xlfn.XLOOKUP(Survey!$K2465,pipedata[ID],pipedata[WT])</f>
        <v>0.74</v>
      </c>
      <c r="O2465" s="56">
        <f>_xlfn.XLOOKUP(Survey!$K2465,pipedata[ID],pipedata[104%])</f>
        <v>2565.3333333333335</v>
      </c>
      <c r="P2465" s="57">
        <f t="shared" si="38"/>
        <v>1850</v>
      </c>
      <c r="Q2465" s="58">
        <f>_xlfn.MAXIFS(Survey!$G$2:$G$3647,Survey!$M$2:$M$3647,Survey!$M2465)-Survey!$G2465</f>
        <v>214.7928719751435</v>
      </c>
      <c r="R2465" s="59">
        <f>Survey!$P2465+(Survey!$Q2465*0.433)</f>
        <v>1943.0053135652372</v>
      </c>
    </row>
    <row r="2466" spans="1:18" x14ac:dyDescent="0.25">
      <c r="A2466" s="71" t="s">
        <v>17</v>
      </c>
      <c r="B2466" s="72" t="s">
        <v>22</v>
      </c>
      <c r="C2466" s="73" t="s">
        <v>19</v>
      </c>
      <c r="D2466" s="74">
        <v>245.23497522268141</v>
      </c>
      <c r="E2466" s="81">
        <v>1325449</v>
      </c>
      <c r="F2466" s="82">
        <v>1295857.9830508428</v>
      </c>
      <c r="G2466" s="75">
        <v>2616.488041389704</v>
      </c>
      <c r="H2466" s="76">
        <v>2</v>
      </c>
      <c r="I2466" s="54" t="s">
        <v>20</v>
      </c>
      <c r="J2466" s="77">
        <v>40</v>
      </c>
      <c r="K2466" s="78">
        <v>2</v>
      </c>
      <c r="L2466" s="54">
        <v>2</v>
      </c>
      <c r="M2466" s="54">
        <f>_xlfn.XLOOKUP(Survey!$F2466,sections[Start],sections[Test Section],,-1,1)</f>
        <v>7</v>
      </c>
      <c r="N2466" s="55">
        <f>_xlfn.XLOOKUP(Survey!$K2466,pipedata[ID],pipedata[WT])</f>
        <v>0.74</v>
      </c>
      <c r="O2466" s="56">
        <f>_xlfn.XLOOKUP(Survey!$K2466,pipedata[ID],pipedata[104%])</f>
        <v>2565.3333333333335</v>
      </c>
      <c r="P2466" s="57">
        <f t="shared" si="38"/>
        <v>1850</v>
      </c>
      <c r="Q2466" s="58">
        <f>_xlfn.MAXIFS(Survey!$G$2:$G$3647,Survey!$M$2:$M$3647,Survey!$M2466)-Survey!$G2466</f>
        <v>218.48573602426995</v>
      </c>
      <c r="R2466" s="59">
        <f>Survey!$P2466+(Survey!$Q2466*0.433)</f>
        <v>1944.6043236985088</v>
      </c>
    </row>
    <row r="2467" spans="1:18" x14ac:dyDescent="0.25">
      <c r="A2467" s="60" t="s">
        <v>17</v>
      </c>
      <c r="B2467" s="61" t="s">
        <v>22</v>
      </c>
      <c r="C2467" s="62" t="s">
        <v>19</v>
      </c>
      <c r="D2467" s="63">
        <v>245.24269606275431</v>
      </c>
      <c r="E2467" s="79">
        <v>1325489</v>
      </c>
      <c r="F2467" s="80">
        <v>1295897.0508474528</v>
      </c>
      <c r="G2467" s="66">
        <v>2617.2821929838246</v>
      </c>
      <c r="H2467" s="67">
        <v>2</v>
      </c>
      <c r="I2467" s="68" t="s">
        <v>20</v>
      </c>
      <c r="J2467" s="69">
        <v>40</v>
      </c>
      <c r="K2467" s="70">
        <v>2</v>
      </c>
      <c r="L2467" s="68">
        <v>2</v>
      </c>
      <c r="M2467" s="68">
        <f>_xlfn.XLOOKUP(Survey!$F2467,sections[Start],sections[Test Section],,-1,1)</f>
        <v>7</v>
      </c>
      <c r="N2467" s="55">
        <f>_xlfn.XLOOKUP(Survey!$K2467,pipedata[ID],pipedata[WT])</f>
        <v>0.74</v>
      </c>
      <c r="O2467" s="56">
        <f>_xlfn.XLOOKUP(Survey!$K2467,pipedata[ID],pipedata[104%])</f>
        <v>2565.3333333333335</v>
      </c>
      <c r="P2467" s="57">
        <f t="shared" si="38"/>
        <v>1850</v>
      </c>
      <c r="Q2467" s="58">
        <f>_xlfn.MAXIFS(Survey!$G$2:$G$3647,Survey!$M$2:$M$3647,Survey!$M2467)-Survey!$G2467</f>
        <v>217.69158443014931</v>
      </c>
      <c r="R2467" s="59">
        <f>Survey!$P2467+(Survey!$Q2467*0.433)</f>
        <v>1944.2604560582547</v>
      </c>
    </row>
    <row r="2468" spans="1:18" x14ac:dyDescent="0.25">
      <c r="A2468" s="71" t="s">
        <v>17</v>
      </c>
      <c r="B2468" s="72" t="s">
        <v>22</v>
      </c>
      <c r="C2468" s="73" t="s">
        <v>19</v>
      </c>
      <c r="D2468" s="74">
        <v>245.24881743465988</v>
      </c>
      <c r="E2468" s="81">
        <v>1325529</v>
      </c>
      <c r="F2468" s="82">
        <v>1295936.1186440629</v>
      </c>
      <c r="G2468" s="75">
        <v>2622.7711239934574</v>
      </c>
      <c r="H2468" s="76">
        <v>2</v>
      </c>
      <c r="I2468" s="54" t="s">
        <v>20</v>
      </c>
      <c r="J2468" s="77">
        <v>40</v>
      </c>
      <c r="K2468" s="78">
        <v>2</v>
      </c>
      <c r="L2468" s="54">
        <v>2</v>
      </c>
      <c r="M2468" s="54">
        <f>_xlfn.XLOOKUP(Survey!$F2468,sections[Start],sections[Test Section],,-1,1)</f>
        <v>7</v>
      </c>
      <c r="N2468" s="55">
        <f>_xlfn.XLOOKUP(Survey!$K2468,pipedata[ID],pipedata[WT])</f>
        <v>0.74</v>
      </c>
      <c r="O2468" s="56">
        <f>_xlfn.XLOOKUP(Survey!$K2468,pipedata[ID],pipedata[104%])</f>
        <v>2565.3333333333335</v>
      </c>
      <c r="P2468" s="57">
        <f t="shared" si="38"/>
        <v>1850</v>
      </c>
      <c r="Q2468" s="58">
        <f>_xlfn.MAXIFS(Survey!$G$2:$G$3647,Survey!$M$2:$M$3647,Survey!$M2468)-Survey!$G2468</f>
        <v>212.20265342051653</v>
      </c>
      <c r="R2468" s="59">
        <f>Survey!$P2468+(Survey!$Q2468*0.433)</f>
        <v>1941.8837489310836</v>
      </c>
    </row>
    <row r="2469" spans="1:18" x14ac:dyDescent="0.25">
      <c r="A2469" s="60" t="s">
        <v>17</v>
      </c>
      <c r="B2469" s="61" t="s">
        <v>22</v>
      </c>
      <c r="C2469" s="62" t="s">
        <v>19</v>
      </c>
      <c r="D2469" s="63">
        <v>245.25695129548845</v>
      </c>
      <c r="E2469" s="79">
        <v>1325569</v>
      </c>
      <c r="F2469" s="80">
        <v>1295975.186440673</v>
      </c>
      <c r="G2469" s="66">
        <v>2637.547242529959</v>
      </c>
      <c r="H2469" s="67">
        <v>2</v>
      </c>
      <c r="I2469" s="68" t="s">
        <v>20</v>
      </c>
      <c r="J2469" s="69">
        <v>40</v>
      </c>
      <c r="K2469" s="70">
        <v>2</v>
      </c>
      <c r="L2469" s="68">
        <v>2</v>
      </c>
      <c r="M2469" s="68">
        <f>_xlfn.XLOOKUP(Survey!$F2469,sections[Start],sections[Test Section],,-1,1)</f>
        <v>7</v>
      </c>
      <c r="N2469" s="55">
        <f>_xlfn.XLOOKUP(Survey!$K2469,pipedata[ID],pipedata[WT])</f>
        <v>0.74</v>
      </c>
      <c r="O2469" s="56">
        <f>_xlfn.XLOOKUP(Survey!$K2469,pipedata[ID],pipedata[104%])</f>
        <v>2565.3333333333335</v>
      </c>
      <c r="P2469" s="57">
        <f t="shared" si="38"/>
        <v>1850</v>
      </c>
      <c r="Q2469" s="58">
        <f>_xlfn.MAXIFS(Survey!$G$2:$G$3647,Survey!$M$2:$M$3647,Survey!$M2469)-Survey!$G2469</f>
        <v>197.42653488401493</v>
      </c>
      <c r="R2469" s="59">
        <f>Survey!$P2469+(Survey!$Q2469*0.433)</f>
        <v>1935.4856896047784</v>
      </c>
    </row>
    <row r="2470" spans="1:18" x14ac:dyDescent="0.25">
      <c r="A2470" s="71" t="s">
        <v>17</v>
      </c>
      <c r="B2470" s="72" t="s">
        <v>22</v>
      </c>
      <c r="C2470" s="73" t="s">
        <v>19</v>
      </c>
      <c r="D2470" s="74">
        <v>245.26392837295469</v>
      </c>
      <c r="E2470" s="81">
        <v>1325609</v>
      </c>
      <c r="F2470" s="82">
        <v>1296014.254237283</v>
      </c>
      <c r="G2470" s="75">
        <v>2649.9705632112864</v>
      </c>
      <c r="H2470" s="76">
        <v>2</v>
      </c>
      <c r="I2470" s="54" t="s">
        <v>20</v>
      </c>
      <c r="J2470" s="77">
        <v>40</v>
      </c>
      <c r="K2470" s="78">
        <v>2</v>
      </c>
      <c r="L2470" s="54">
        <v>2</v>
      </c>
      <c r="M2470" s="54">
        <f>_xlfn.XLOOKUP(Survey!$F2470,sections[Start],sections[Test Section],,-1,1)</f>
        <v>7</v>
      </c>
      <c r="N2470" s="55">
        <f>_xlfn.XLOOKUP(Survey!$K2470,pipedata[ID],pipedata[WT])</f>
        <v>0.74</v>
      </c>
      <c r="O2470" s="56">
        <f>_xlfn.XLOOKUP(Survey!$K2470,pipedata[ID],pipedata[104%])</f>
        <v>2565.3333333333335</v>
      </c>
      <c r="P2470" s="57">
        <f t="shared" si="38"/>
        <v>1850</v>
      </c>
      <c r="Q2470" s="58">
        <f>_xlfn.MAXIFS(Survey!$G$2:$G$3647,Survey!$M$2:$M$3647,Survey!$M2470)-Survey!$G2470</f>
        <v>185.00321420268756</v>
      </c>
      <c r="R2470" s="59">
        <f>Survey!$P2470+(Survey!$Q2470*0.433)</f>
        <v>1930.1063917497638</v>
      </c>
    </row>
    <row r="2471" spans="1:18" x14ac:dyDescent="0.25">
      <c r="A2471" s="60" t="s">
        <v>17</v>
      </c>
      <c r="B2471" s="61" t="s">
        <v>22</v>
      </c>
      <c r="C2471" s="62" t="s">
        <v>19</v>
      </c>
      <c r="D2471" s="63">
        <v>245.2716492130275</v>
      </c>
      <c r="E2471" s="79">
        <v>1325649</v>
      </c>
      <c r="F2471" s="80">
        <v>1296053.3220338931</v>
      </c>
      <c r="G2471" s="66">
        <v>2654.7854532193237</v>
      </c>
      <c r="H2471" s="67">
        <v>2</v>
      </c>
      <c r="I2471" s="68" t="s">
        <v>20</v>
      </c>
      <c r="J2471" s="69">
        <v>40</v>
      </c>
      <c r="K2471" s="70">
        <v>2</v>
      </c>
      <c r="L2471" s="68">
        <v>2</v>
      </c>
      <c r="M2471" s="68">
        <f>_xlfn.XLOOKUP(Survey!$F2471,sections[Start],sections[Test Section],,-1,1)</f>
        <v>7</v>
      </c>
      <c r="N2471" s="55">
        <f>_xlfn.XLOOKUP(Survey!$K2471,pipedata[ID],pipedata[WT])</f>
        <v>0.74</v>
      </c>
      <c r="O2471" s="56">
        <f>_xlfn.XLOOKUP(Survey!$K2471,pipedata[ID],pipedata[104%])</f>
        <v>2565.3333333333335</v>
      </c>
      <c r="P2471" s="57">
        <f t="shared" si="38"/>
        <v>1850</v>
      </c>
      <c r="Q2471" s="58">
        <f>_xlfn.MAXIFS(Survey!$G$2:$G$3647,Survey!$M$2:$M$3647,Survey!$M2471)-Survey!$G2471</f>
        <v>180.18832419465025</v>
      </c>
      <c r="R2471" s="59">
        <f>Survey!$P2471+(Survey!$Q2471*0.433)</f>
        <v>1928.0215443762836</v>
      </c>
    </row>
    <row r="2472" spans="1:18" x14ac:dyDescent="0.25">
      <c r="A2472" s="71" t="s">
        <v>17</v>
      </c>
      <c r="B2472" s="72" t="s">
        <v>22</v>
      </c>
      <c r="C2472" s="73" t="s">
        <v>19</v>
      </c>
      <c r="D2472" s="74">
        <v>245.27937005310034</v>
      </c>
      <c r="E2472" s="81">
        <v>1325689</v>
      </c>
      <c r="F2472" s="82">
        <v>1296092.3898305031</v>
      </c>
      <c r="G2472" s="75">
        <v>2658.4634939416324</v>
      </c>
      <c r="H2472" s="76">
        <v>2</v>
      </c>
      <c r="I2472" s="54" t="s">
        <v>20</v>
      </c>
      <c r="J2472" s="77">
        <v>40</v>
      </c>
      <c r="K2472" s="78">
        <v>2</v>
      </c>
      <c r="L2472" s="54">
        <v>2</v>
      </c>
      <c r="M2472" s="54">
        <f>_xlfn.XLOOKUP(Survey!$F2472,sections[Start],sections[Test Section],,-1,1)</f>
        <v>7</v>
      </c>
      <c r="N2472" s="55">
        <f>_xlfn.XLOOKUP(Survey!$K2472,pipedata[ID],pipedata[WT])</f>
        <v>0.74</v>
      </c>
      <c r="O2472" s="56">
        <f>_xlfn.XLOOKUP(Survey!$K2472,pipedata[ID],pipedata[104%])</f>
        <v>2565.3333333333335</v>
      </c>
      <c r="P2472" s="57">
        <f t="shared" si="38"/>
        <v>1850</v>
      </c>
      <c r="Q2472" s="58">
        <f>_xlfn.MAXIFS(Survey!$G$2:$G$3647,Survey!$M$2:$M$3647,Survey!$M2472)-Survey!$G2472</f>
        <v>176.5102834723416</v>
      </c>
      <c r="R2472" s="59">
        <f>Survey!$P2472+(Survey!$Q2472*0.433)</f>
        <v>1926.428952743524</v>
      </c>
    </row>
    <row r="2473" spans="1:18" x14ac:dyDescent="0.25">
      <c r="A2473" s="60" t="s">
        <v>17</v>
      </c>
      <c r="B2473" s="61" t="s">
        <v>22</v>
      </c>
      <c r="C2473" s="62" t="s">
        <v>19</v>
      </c>
      <c r="D2473" s="63">
        <v>245.28709089317326</v>
      </c>
      <c r="E2473" s="79">
        <v>1325729</v>
      </c>
      <c r="F2473" s="80">
        <v>1296131.4576271132</v>
      </c>
      <c r="G2473" s="66">
        <v>2662.9570916862208</v>
      </c>
      <c r="H2473" s="67">
        <v>2</v>
      </c>
      <c r="I2473" s="68" t="s">
        <v>20</v>
      </c>
      <c r="J2473" s="69">
        <v>40</v>
      </c>
      <c r="K2473" s="70">
        <v>2</v>
      </c>
      <c r="L2473" s="68">
        <v>2</v>
      </c>
      <c r="M2473" s="68">
        <f>_xlfn.XLOOKUP(Survey!$F2473,sections[Start],sections[Test Section],,-1,1)</f>
        <v>7</v>
      </c>
      <c r="N2473" s="55">
        <f>_xlfn.XLOOKUP(Survey!$K2473,pipedata[ID],pipedata[WT])</f>
        <v>0.74</v>
      </c>
      <c r="O2473" s="56">
        <f>_xlfn.XLOOKUP(Survey!$K2473,pipedata[ID],pipedata[104%])</f>
        <v>2565.3333333333335</v>
      </c>
      <c r="P2473" s="57">
        <f t="shared" si="38"/>
        <v>1850</v>
      </c>
      <c r="Q2473" s="58">
        <f>_xlfn.MAXIFS(Survey!$G$2:$G$3647,Survey!$M$2:$M$3647,Survey!$M2473)-Survey!$G2473</f>
        <v>172.01668572775316</v>
      </c>
      <c r="R2473" s="59">
        <f>Survey!$P2473+(Survey!$Q2473*0.433)</f>
        <v>1924.4832249201172</v>
      </c>
    </row>
    <row r="2474" spans="1:18" x14ac:dyDescent="0.25">
      <c r="A2474" s="71" t="s">
        <v>17</v>
      </c>
      <c r="B2474" s="72" t="s">
        <v>22</v>
      </c>
      <c r="C2474" s="73" t="s">
        <v>19</v>
      </c>
      <c r="D2474" s="74">
        <v>245.29446836948583</v>
      </c>
      <c r="E2474" s="81">
        <v>1325769</v>
      </c>
      <c r="F2474" s="82">
        <v>1296170.5254237233</v>
      </c>
      <c r="G2474" s="75">
        <v>2668.1785781187377</v>
      </c>
      <c r="H2474" s="76">
        <v>2</v>
      </c>
      <c r="I2474" s="54" t="s">
        <v>20</v>
      </c>
      <c r="J2474" s="77">
        <v>40</v>
      </c>
      <c r="K2474" s="78">
        <v>2</v>
      </c>
      <c r="L2474" s="54">
        <v>2</v>
      </c>
      <c r="M2474" s="54">
        <f>_xlfn.XLOOKUP(Survey!$F2474,sections[Start],sections[Test Section],,-1,1)</f>
        <v>7</v>
      </c>
      <c r="N2474" s="55">
        <f>_xlfn.XLOOKUP(Survey!$K2474,pipedata[ID],pipedata[WT])</f>
        <v>0.74</v>
      </c>
      <c r="O2474" s="56">
        <f>_xlfn.XLOOKUP(Survey!$K2474,pipedata[ID],pipedata[104%])</f>
        <v>2565.3333333333335</v>
      </c>
      <c r="P2474" s="57">
        <f t="shared" si="38"/>
        <v>1850</v>
      </c>
      <c r="Q2474" s="58">
        <f>_xlfn.MAXIFS(Survey!$G$2:$G$3647,Survey!$M$2:$M$3647,Survey!$M2474)-Survey!$G2474</f>
        <v>166.79519929523622</v>
      </c>
      <c r="R2474" s="59">
        <f>Survey!$P2474+(Survey!$Q2474*0.433)</f>
        <v>1922.2223212948372</v>
      </c>
    </row>
    <row r="2475" spans="1:18" x14ac:dyDescent="0.25">
      <c r="A2475" s="60" t="s">
        <v>17</v>
      </c>
      <c r="B2475" s="61" t="s">
        <v>22</v>
      </c>
      <c r="C2475" s="62" t="s">
        <v>19</v>
      </c>
      <c r="D2475" s="63">
        <v>245.30167641182695</v>
      </c>
      <c r="E2475" s="79">
        <v>1325809</v>
      </c>
      <c r="F2475" s="80">
        <v>1296209.5932203333</v>
      </c>
      <c r="G2475" s="66">
        <v>2674.9198870302994</v>
      </c>
      <c r="H2475" s="67">
        <v>2</v>
      </c>
      <c r="I2475" s="68" t="s">
        <v>20</v>
      </c>
      <c r="J2475" s="69">
        <v>40</v>
      </c>
      <c r="K2475" s="70">
        <v>2</v>
      </c>
      <c r="L2475" s="68">
        <v>2</v>
      </c>
      <c r="M2475" s="68">
        <f>_xlfn.XLOOKUP(Survey!$F2475,sections[Start],sections[Test Section],,-1,1)</f>
        <v>7</v>
      </c>
      <c r="N2475" s="55">
        <f>_xlfn.XLOOKUP(Survey!$K2475,pipedata[ID],pipedata[WT])</f>
        <v>0.74</v>
      </c>
      <c r="O2475" s="56">
        <f>_xlfn.XLOOKUP(Survey!$K2475,pipedata[ID],pipedata[104%])</f>
        <v>2565.3333333333335</v>
      </c>
      <c r="P2475" s="57">
        <f t="shared" si="38"/>
        <v>1850</v>
      </c>
      <c r="Q2475" s="58">
        <f>_xlfn.MAXIFS(Survey!$G$2:$G$3647,Survey!$M$2:$M$3647,Survey!$M2475)-Survey!$G2475</f>
        <v>160.05389038367457</v>
      </c>
      <c r="R2475" s="59">
        <f>Survey!$P2475+(Survey!$Q2475*0.433)</f>
        <v>1919.3033345361312</v>
      </c>
    </row>
    <row r="2476" spans="1:18" x14ac:dyDescent="0.25">
      <c r="A2476" s="71" t="s">
        <v>17</v>
      </c>
      <c r="B2476" s="72" t="s">
        <v>22</v>
      </c>
      <c r="C2476" s="73" t="s">
        <v>19</v>
      </c>
      <c r="D2476" s="74">
        <v>245.30888445416812</v>
      </c>
      <c r="E2476" s="81">
        <v>1325849</v>
      </c>
      <c r="F2476" s="82">
        <v>1296248.6610169434</v>
      </c>
      <c r="G2476" s="75">
        <v>2683.2582550186053</v>
      </c>
      <c r="H2476" s="76">
        <v>2</v>
      </c>
      <c r="I2476" s="54" t="s">
        <v>20</v>
      </c>
      <c r="J2476" s="77">
        <v>40</v>
      </c>
      <c r="K2476" s="78">
        <v>2</v>
      </c>
      <c r="L2476" s="54">
        <v>2</v>
      </c>
      <c r="M2476" s="54">
        <f>_xlfn.XLOOKUP(Survey!$F2476,sections[Start],sections[Test Section],,-1,1)</f>
        <v>7</v>
      </c>
      <c r="N2476" s="55">
        <f>_xlfn.XLOOKUP(Survey!$K2476,pipedata[ID],pipedata[WT])</f>
        <v>0.74</v>
      </c>
      <c r="O2476" s="56">
        <f>_xlfn.XLOOKUP(Survey!$K2476,pipedata[ID],pipedata[104%])</f>
        <v>2565.3333333333335</v>
      </c>
      <c r="P2476" s="57">
        <f t="shared" si="38"/>
        <v>1850</v>
      </c>
      <c r="Q2476" s="58">
        <f>_xlfn.MAXIFS(Survey!$G$2:$G$3647,Survey!$M$2:$M$3647,Survey!$M2476)-Survey!$G2476</f>
        <v>151.71552239536868</v>
      </c>
      <c r="R2476" s="59">
        <f>Survey!$P2476+(Survey!$Q2476*0.433)</f>
        <v>1915.6928211971947</v>
      </c>
    </row>
    <row r="2477" spans="1:18" x14ac:dyDescent="0.25">
      <c r="A2477" s="60" t="s">
        <v>17</v>
      </c>
      <c r="B2477" s="61" t="s">
        <v>22</v>
      </c>
      <c r="C2477" s="62" t="s">
        <v>19</v>
      </c>
      <c r="D2477" s="63">
        <v>245.3160924965089</v>
      </c>
      <c r="E2477" s="79">
        <v>1325889</v>
      </c>
      <c r="F2477" s="80">
        <v>1296287.7288135535</v>
      </c>
      <c r="G2477" s="66">
        <v>2692.1362847974819</v>
      </c>
      <c r="H2477" s="67">
        <v>2</v>
      </c>
      <c r="I2477" s="68" t="s">
        <v>20</v>
      </c>
      <c r="J2477" s="69">
        <v>40</v>
      </c>
      <c r="K2477" s="70">
        <v>2</v>
      </c>
      <c r="L2477" s="68">
        <v>2</v>
      </c>
      <c r="M2477" s="68">
        <f>_xlfn.XLOOKUP(Survey!$F2477,sections[Start],sections[Test Section],,-1,1)</f>
        <v>7</v>
      </c>
      <c r="N2477" s="55">
        <f>_xlfn.XLOOKUP(Survey!$K2477,pipedata[ID],pipedata[WT])</f>
        <v>0.74</v>
      </c>
      <c r="O2477" s="56">
        <f>_xlfn.XLOOKUP(Survey!$K2477,pipedata[ID],pipedata[104%])</f>
        <v>2565.3333333333335</v>
      </c>
      <c r="P2477" s="57">
        <f t="shared" si="38"/>
        <v>1850</v>
      </c>
      <c r="Q2477" s="58">
        <f>_xlfn.MAXIFS(Survey!$G$2:$G$3647,Survey!$M$2:$M$3647,Survey!$M2477)-Survey!$G2477</f>
        <v>142.837492616492</v>
      </c>
      <c r="R2477" s="59">
        <f>Survey!$P2477+(Survey!$Q2477*0.433)</f>
        <v>1911.848634302941</v>
      </c>
    </row>
    <row r="2478" spans="1:18" x14ac:dyDescent="0.25">
      <c r="A2478" s="71" t="s">
        <v>17</v>
      </c>
      <c r="B2478" s="72" t="s">
        <v>22</v>
      </c>
      <c r="C2478" s="73" t="s">
        <v>19</v>
      </c>
      <c r="D2478" s="74">
        <v>245.32376488351949</v>
      </c>
      <c r="E2478" s="81">
        <v>1325929</v>
      </c>
      <c r="F2478" s="82">
        <v>1296326.7966101635</v>
      </c>
      <c r="G2478" s="75">
        <v>2700.1885462038058</v>
      </c>
      <c r="H2478" s="76">
        <v>2</v>
      </c>
      <c r="I2478" s="54" t="s">
        <v>20</v>
      </c>
      <c r="J2478" s="77">
        <v>40</v>
      </c>
      <c r="K2478" s="78">
        <v>2</v>
      </c>
      <c r="L2478" s="54">
        <v>2</v>
      </c>
      <c r="M2478" s="54">
        <f>_xlfn.XLOOKUP(Survey!$F2478,sections[Start],sections[Test Section],,-1,1)</f>
        <v>7</v>
      </c>
      <c r="N2478" s="55">
        <f>_xlfn.XLOOKUP(Survey!$K2478,pipedata[ID],pipedata[WT])</f>
        <v>0.74</v>
      </c>
      <c r="O2478" s="56">
        <f>_xlfn.XLOOKUP(Survey!$K2478,pipedata[ID],pipedata[104%])</f>
        <v>2565.3333333333335</v>
      </c>
      <c r="P2478" s="57">
        <f t="shared" si="38"/>
        <v>1850</v>
      </c>
      <c r="Q2478" s="58">
        <f>_xlfn.MAXIFS(Survey!$G$2:$G$3647,Survey!$M$2:$M$3647,Survey!$M2478)-Survey!$G2478</f>
        <v>134.78523121016815</v>
      </c>
      <c r="R2478" s="59">
        <f>Survey!$P2478+(Survey!$Q2478*0.433)</f>
        <v>1908.3620051140028</v>
      </c>
    </row>
    <row r="2479" spans="1:18" x14ac:dyDescent="0.25">
      <c r="A2479" s="60" t="s">
        <v>17</v>
      </c>
      <c r="B2479" s="61" t="s">
        <v>22</v>
      </c>
      <c r="C2479" s="62" t="s">
        <v>19</v>
      </c>
      <c r="D2479" s="63">
        <v>245.33148572359232</v>
      </c>
      <c r="E2479" s="79">
        <v>1325969</v>
      </c>
      <c r="F2479" s="80">
        <v>1296365.8644067736</v>
      </c>
      <c r="G2479" s="66">
        <v>2709.3293400493199</v>
      </c>
      <c r="H2479" s="67">
        <v>2</v>
      </c>
      <c r="I2479" s="68" t="s">
        <v>20</v>
      </c>
      <c r="J2479" s="69">
        <v>40</v>
      </c>
      <c r="K2479" s="70">
        <v>2</v>
      </c>
      <c r="L2479" s="68">
        <v>2</v>
      </c>
      <c r="M2479" s="68">
        <f>_xlfn.XLOOKUP(Survey!$F2479,sections[Start],sections[Test Section],,-1,1)</f>
        <v>7</v>
      </c>
      <c r="N2479" s="55">
        <f>_xlfn.XLOOKUP(Survey!$K2479,pipedata[ID],pipedata[WT])</f>
        <v>0.74</v>
      </c>
      <c r="O2479" s="56">
        <f>_xlfn.XLOOKUP(Survey!$K2479,pipedata[ID],pipedata[104%])</f>
        <v>2565.3333333333335</v>
      </c>
      <c r="P2479" s="57">
        <f t="shared" si="38"/>
        <v>1850</v>
      </c>
      <c r="Q2479" s="58">
        <f>_xlfn.MAXIFS(Survey!$G$2:$G$3647,Survey!$M$2:$M$3647,Survey!$M2479)-Survey!$G2479</f>
        <v>125.6444373646541</v>
      </c>
      <c r="R2479" s="59">
        <f>Survey!$P2479+(Survey!$Q2479*0.433)</f>
        <v>1904.4040413788953</v>
      </c>
    </row>
    <row r="2480" spans="1:18" x14ac:dyDescent="0.25">
      <c r="A2480" s="71" t="s">
        <v>17</v>
      </c>
      <c r="B2480" s="72" t="s">
        <v>22</v>
      </c>
      <c r="C2480" s="73" t="s">
        <v>19</v>
      </c>
      <c r="D2480" s="74">
        <v>245.33859380252403</v>
      </c>
      <c r="E2480" s="81">
        <v>1326009</v>
      </c>
      <c r="F2480" s="82">
        <v>1296404.9322033837</v>
      </c>
      <c r="G2480" s="75">
        <v>2722.2946721978615</v>
      </c>
      <c r="H2480" s="76">
        <v>2</v>
      </c>
      <c r="I2480" s="54" t="s">
        <v>20</v>
      </c>
      <c r="J2480" s="77">
        <v>40</v>
      </c>
      <c r="K2480" s="78">
        <v>2</v>
      </c>
      <c r="L2480" s="54">
        <v>2</v>
      </c>
      <c r="M2480" s="54">
        <f>_xlfn.XLOOKUP(Survey!$F2480,sections[Start],sections[Test Section],,-1,1)</f>
        <v>7</v>
      </c>
      <c r="N2480" s="55">
        <f>_xlfn.XLOOKUP(Survey!$K2480,pipedata[ID],pipedata[WT])</f>
        <v>0.74</v>
      </c>
      <c r="O2480" s="56">
        <f>_xlfn.XLOOKUP(Survey!$K2480,pipedata[ID],pipedata[104%])</f>
        <v>2565.3333333333335</v>
      </c>
      <c r="P2480" s="57">
        <f t="shared" si="38"/>
        <v>1850</v>
      </c>
      <c r="Q2480" s="58">
        <f>_xlfn.MAXIFS(Survey!$G$2:$G$3647,Survey!$M$2:$M$3647,Survey!$M2480)-Survey!$G2480</f>
        <v>112.67910521611248</v>
      </c>
      <c r="R2480" s="59">
        <f>Survey!$P2480+(Survey!$Q2480*0.433)</f>
        <v>1898.7900525585767</v>
      </c>
    </row>
    <row r="2481" spans="1:18" x14ac:dyDescent="0.25">
      <c r="A2481" s="60" t="s">
        <v>17</v>
      </c>
      <c r="B2481" s="61" t="s">
        <v>22</v>
      </c>
      <c r="C2481" s="62" t="s">
        <v>19</v>
      </c>
      <c r="D2481" s="63">
        <v>245.34529349560393</v>
      </c>
      <c r="E2481" s="79">
        <v>1326049</v>
      </c>
      <c r="F2481" s="80">
        <v>1296443.9999999937</v>
      </c>
      <c r="G2481" s="66">
        <v>2735.2089961559059</v>
      </c>
      <c r="H2481" s="67">
        <v>2</v>
      </c>
      <c r="I2481" s="68" t="s">
        <v>20</v>
      </c>
      <c r="J2481" s="69">
        <v>40</v>
      </c>
      <c r="K2481" s="70">
        <v>2</v>
      </c>
      <c r="L2481" s="68">
        <v>2</v>
      </c>
      <c r="M2481" s="68">
        <f>_xlfn.XLOOKUP(Survey!$F2481,sections[Start],sections[Test Section],,-1,1)</f>
        <v>7</v>
      </c>
      <c r="N2481" s="55">
        <f>_xlfn.XLOOKUP(Survey!$K2481,pipedata[ID],pipedata[WT])</f>
        <v>0.74</v>
      </c>
      <c r="O2481" s="56">
        <f>_xlfn.XLOOKUP(Survey!$K2481,pipedata[ID],pipedata[104%])</f>
        <v>2565.3333333333335</v>
      </c>
      <c r="P2481" s="57">
        <f t="shared" si="38"/>
        <v>1850</v>
      </c>
      <c r="Q2481" s="58">
        <f>_xlfn.MAXIFS(Survey!$G$2:$G$3647,Survey!$M$2:$M$3647,Survey!$M2481)-Survey!$G2481</f>
        <v>99.764781258068069</v>
      </c>
      <c r="R2481" s="59">
        <f>Survey!$P2481+(Survey!$Q2481*0.433)</f>
        <v>1893.1981502847434</v>
      </c>
    </row>
    <row r="2482" spans="1:18" x14ac:dyDescent="0.25">
      <c r="A2482" s="71" t="s">
        <v>17</v>
      </c>
      <c r="B2482" s="72" t="s">
        <v>22</v>
      </c>
      <c r="C2482" s="73" t="s">
        <v>19</v>
      </c>
      <c r="D2482" s="74">
        <v>245.35288426127053</v>
      </c>
      <c r="E2482" s="81">
        <v>1326089</v>
      </c>
      <c r="F2482" s="82">
        <v>1296483.0677966038</v>
      </c>
      <c r="G2482" s="75">
        <v>2748.3877297648814</v>
      </c>
      <c r="H2482" s="76">
        <v>2</v>
      </c>
      <c r="I2482" s="54" t="s">
        <v>20</v>
      </c>
      <c r="J2482" s="77">
        <v>40</v>
      </c>
      <c r="K2482" s="78">
        <v>2</v>
      </c>
      <c r="L2482" s="54">
        <v>2</v>
      </c>
      <c r="M2482" s="54">
        <f>_xlfn.XLOOKUP(Survey!$F2482,sections[Start],sections[Test Section],,-1,1)</f>
        <v>7</v>
      </c>
      <c r="N2482" s="55">
        <f>_xlfn.XLOOKUP(Survey!$K2482,pipedata[ID],pipedata[WT])</f>
        <v>0.74</v>
      </c>
      <c r="O2482" s="56">
        <f>_xlfn.XLOOKUP(Survey!$K2482,pipedata[ID],pipedata[104%])</f>
        <v>2565.3333333333335</v>
      </c>
      <c r="P2482" s="57">
        <f t="shared" si="38"/>
        <v>1850</v>
      </c>
      <c r="Q2482" s="58">
        <f>_xlfn.MAXIFS(Survey!$G$2:$G$3647,Survey!$M$2:$M$3647,Survey!$M2482)-Survey!$G2482</f>
        <v>86.586047649092507</v>
      </c>
      <c r="R2482" s="59">
        <f>Survey!$P2482+(Survey!$Q2482*0.433)</f>
        <v>1887.4917586320571</v>
      </c>
    </row>
    <row r="2483" spans="1:18" x14ac:dyDescent="0.25">
      <c r="A2483" s="60" t="s">
        <v>17</v>
      </c>
      <c r="B2483" s="61" t="s">
        <v>22</v>
      </c>
      <c r="C2483" s="62" t="s">
        <v>19</v>
      </c>
      <c r="D2483" s="63">
        <v>245.36017938182988</v>
      </c>
      <c r="E2483" s="79">
        <v>1326129</v>
      </c>
      <c r="F2483" s="80">
        <v>1296522.1355932138</v>
      </c>
      <c r="G2483" s="66">
        <v>2759.1464175753831</v>
      </c>
      <c r="H2483" s="67">
        <v>2</v>
      </c>
      <c r="I2483" s="68" t="s">
        <v>20</v>
      </c>
      <c r="J2483" s="69">
        <v>40</v>
      </c>
      <c r="K2483" s="70">
        <v>2</v>
      </c>
      <c r="L2483" s="68">
        <v>2</v>
      </c>
      <c r="M2483" s="68">
        <f>_xlfn.XLOOKUP(Survey!$F2483,sections[Start],sections[Test Section],,-1,1)</f>
        <v>7</v>
      </c>
      <c r="N2483" s="55">
        <f>_xlfn.XLOOKUP(Survey!$K2483,pipedata[ID],pipedata[WT])</f>
        <v>0.74</v>
      </c>
      <c r="O2483" s="56">
        <f>_xlfn.XLOOKUP(Survey!$K2483,pipedata[ID],pipedata[104%])</f>
        <v>2565.3333333333335</v>
      </c>
      <c r="P2483" s="57">
        <f t="shared" si="38"/>
        <v>1850</v>
      </c>
      <c r="Q2483" s="58">
        <f>_xlfn.MAXIFS(Survey!$G$2:$G$3647,Survey!$M$2:$M$3647,Survey!$M2483)-Survey!$G2483</f>
        <v>75.827359838590837</v>
      </c>
      <c r="R2483" s="59">
        <f>Survey!$P2483+(Survey!$Q2483*0.433)</f>
        <v>1882.8332468101098</v>
      </c>
    </row>
    <row r="2484" spans="1:18" x14ac:dyDescent="0.25">
      <c r="A2484" s="71" t="s">
        <v>17</v>
      </c>
      <c r="B2484" s="72" t="s">
        <v>22</v>
      </c>
      <c r="C2484" s="73" t="s">
        <v>19</v>
      </c>
      <c r="D2484" s="74">
        <v>245.36775273777968</v>
      </c>
      <c r="E2484" s="81">
        <v>1326169</v>
      </c>
      <c r="F2484" s="82">
        <v>1296561.2033898239</v>
      </c>
      <c r="G2484" s="75">
        <v>2767.7307311634249</v>
      </c>
      <c r="H2484" s="76">
        <v>2</v>
      </c>
      <c r="I2484" s="54" t="s">
        <v>20</v>
      </c>
      <c r="J2484" s="77">
        <v>40</v>
      </c>
      <c r="K2484" s="78">
        <v>2</v>
      </c>
      <c r="L2484" s="54">
        <v>2</v>
      </c>
      <c r="M2484" s="54">
        <f>_xlfn.XLOOKUP(Survey!$F2484,sections[Start],sections[Test Section],,-1,1)</f>
        <v>7</v>
      </c>
      <c r="N2484" s="55">
        <f>_xlfn.XLOOKUP(Survey!$K2484,pipedata[ID],pipedata[WT])</f>
        <v>0.74</v>
      </c>
      <c r="O2484" s="56">
        <f>_xlfn.XLOOKUP(Survey!$K2484,pipedata[ID],pipedata[104%])</f>
        <v>2565.3333333333335</v>
      </c>
      <c r="P2484" s="57">
        <f t="shared" si="38"/>
        <v>1850</v>
      </c>
      <c r="Q2484" s="58">
        <f>_xlfn.MAXIFS(Survey!$G$2:$G$3647,Survey!$M$2:$M$3647,Survey!$M2484)-Survey!$G2484</f>
        <v>67.243046250549014</v>
      </c>
      <c r="R2484" s="59">
        <f>Survey!$P2484+(Survey!$Q2484*0.433)</f>
        <v>1879.1162390264876</v>
      </c>
    </row>
    <row r="2485" spans="1:18" x14ac:dyDescent="0.25">
      <c r="A2485" s="60" t="s">
        <v>17</v>
      </c>
      <c r="B2485" s="61" t="s">
        <v>22</v>
      </c>
      <c r="C2485" s="62" t="s">
        <v>19</v>
      </c>
      <c r="D2485" s="63">
        <v>245.37520981249747</v>
      </c>
      <c r="E2485" s="79">
        <v>1326209</v>
      </c>
      <c r="F2485" s="80">
        <v>1296600.271186434</v>
      </c>
      <c r="G2485" s="66">
        <v>2774.2946479171683</v>
      </c>
      <c r="H2485" s="67">
        <v>2</v>
      </c>
      <c r="I2485" s="68" t="s">
        <v>20</v>
      </c>
      <c r="J2485" s="69">
        <v>40</v>
      </c>
      <c r="K2485" s="70">
        <v>2</v>
      </c>
      <c r="L2485" s="68">
        <v>2</v>
      </c>
      <c r="M2485" s="68">
        <f>_xlfn.XLOOKUP(Survey!$F2485,sections[Start],sections[Test Section],,-1,1)</f>
        <v>7</v>
      </c>
      <c r="N2485" s="55">
        <f>_xlfn.XLOOKUP(Survey!$K2485,pipedata[ID],pipedata[WT])</f>
        <v>0.74</v>
      </c>
      <c r="O2485" s="56">
        <f>_xlfn.XLOOKUP(Survey!$K2485,pipedata[ID],pipedata[104%])</f>
        <v>2565.3333333333335</v>
      </c>
      <c r="P2485" s="57">
        <f t="shared" si="38"/>
        <v>1850</v>
      </c>
      <c r="Q2485" s="58">
        <f>_xlfn.MAXIFS(Survey!$G$2:$G$3647,Survey!$M$2:$M$3647,Survey!$M2485)-Survey!$G2485</f>
        <v>60.679129496805672</v>
      </c>
      <c r="R2485" s="59">
        <f>Survey!$P2485+(Survey!$Q2485*0.433)</f>
        <v>1876.2740630721169</v>
      </c>
    </row>
    <row r="2486" spans="1:18" x14ac:dyDescent="0.25">
      <c r="A2486" s="71" t="s">
        <v>17</v>
      </c>
      <c r="B2486" s="72" t="s">
        <v>22</v>
      </c>
      <c r="C2486" s="73" t="s">
        <v>19</v>
      </c>
      <c r="D2486" s="74">
        <v>245.38242781703664</v>
      </c>
      <c r="E2486" s="81">
        <v>1326249</v>
      </c>
      <c r="F2486" s="82">
        <v>1296639.338983044</v>
      </c>
      <c r="G2486" s="75">
        <v>2781.4602230943365</v>
      </c>
      <c r="H2486" s="76">
        <v>2</v>
      </c>
      <c r="I2486" s="54" t="s">
        <v>20</v>
      </c>
      <c r="J2486" s="77">
        <v>40</v>
      </c>
      <c r="K2486" s="78">
        <v>2</v>
      </c>
      <c r="L2486" s="54">
        <v>2</v>
      </c>
      <c r="M2486" s="54">
        <f>_xlfn.XLOOKUP(Survey!$F2486,sections[Start],sections[Test Section],,-1,1)</f>
        <v>7</v>
      </c>
      <c r="N2486" s="55">
        <f>_xlfn.XLOOKUP(Survey!$K2486,pipedata[ID],pipedata[WT])</f>
        <v>0.74</v>
      </c>
      <c r="O2486" s="56">
        <f>_xlfn.XLOOKUP(Survey!$K2486,pipedata[ID],pipedata[104%])</f>
        <v>2565.3333333333335</v>
      </c>
      <c r="P2486" s="57">
        <f t="shared" si="38"/>
        <v>1850</v>
      </c>
      <c r="Q2486" s="58">
        <f>_xlfn.MAXIFS(Survey!$G$2:$G$3647,Survey!$M$2:$M$3647,Survey!$M2486)-Survey!$G2486</f>
        <v>53.513554319637478</v>
      </c>
      <c r="R2486" s="59">
        <f>Survey!$P2486+(Survey!$Q2486*0.433)</f>
        <v>1873.1713690204031</v>
      </c>
    </row>
    <row r="2487" spans="1:18" x14ac:dyDescent="0.25">
      <c r="A2487" s="60" t="s">
        <v>17</v>
      </c>
      <c r="B2487" s="61" t="s">
        <v>22</v>
      </c>
      <c r="C2487" s="62" t="s">
        <v>19</v>
      </c>
      <c r="D2487" s="63">
        <v>245.39024024316458</v>
      </c>
      <c r="E2487" s="79">
        <v>1326289</v>
      </c>
      <c r="F2487" s="80">
        <v>1296678.4067796541</v>
      </c>
      <c r="G2487" s="66">
        <v>2787.8263550389856</v>
      </c>
      <c r="H2487" s="67">
        <v>2</v>
      </c>
      <c r="I2487" s="68" t="s">
        <v>20</v>
      </c>
      <c r="J2487" s="69">
        <v>40</v>
      </c>
      <c r="K2487" s="70">
        <v>2</v>
      </c>
      <c r="L2487" s="68">
        <v>2</v>
      </c>
      <c r="M2487" s="68">
        <f>_xlfn.XLOOKUP(Survey!$F2487,sections[Start],sections[Test Section],,-1,1)</f>
        <v>7</v>
      </c>
      <c r="N2487" s="55">
        <f>_xlfn.XLOOKUP(Survey!$K2487,pipedata[ID],pipedata[WT])</f>
        <v>0.74</v>
      </c>
      <c r="O2487" s="56">
        <f>_xlfn.XLOOKUP(Survey!$K2487,pipedata[ID],pipedata[104%])</f>
        <v>2565.3333333333335</v>
      </c>
      <c r="P2487" s="57">
        <f t="shared" si="38"/>
        <v>1850</v>
      </c>
      <c r="Q2487" s="58">
        <f>_xlfn.MAXIFS(Survey!$G$2:$G$3647,Survey!$M$2:$M$3647,Survey!$M2487)-Survey!$G2487</f>
        <v>47.147422374988309</v>
      </c>
      <c r="R2487" s="59">
        <f>Survey!$P2487+(Survey!$Q2487*0.433)</f>
        <v>1870.4148338883699</v>
      </c>
    </row>
    <row r="2488" spans="1:18" x14ac:dyDescent="0.25">
      <c r="A2488" s="71" t="s">
        <v>17</v>
      </c>
      <c r="B2488" s="72" t="s">
        <v>22</v>
      </c>
      <c r="C2488" s="73" t="s">
        <v>19</v>
      </c>
      <c r="D2488" s="74">
        <v>245.3974430052713</v>
      </c>
      <c r="E2488" s="81">
        <v>1326329</v>
      </c>
      <c r="F2488" s="82">
        <v>1296717.4745762642</v>
      </c>
      <c r="G2488" s="75">
        <v>2796.8945184705199</v>
      </c>
      <c r="H2488" s="76">
        <v>2</v>
      </c>
      <c r="I2488" s="54" t="s">
        <v>20</v>
      </c>
      <c r="J2488" s="77">
        <v>40</v>
      </c>
      <c r="K2488" s="78">
        <v>2</v>
      </c>
      <c r="L2488" s="54">
        <v>2</v>
      </c>
      <c r="M2488" s="54">
        <f>_xlfn.XLOOKUP(Survey!$F2488,sections[Start],sections[Test Section],,-1,1)</f>
        <v>7</v>
      </c>
      <c r="N2488" s="55">
        <f>_xlfn.XLOOKUP(Survey!$K2488,pipedata[ID],pipedata[WT])</f>
        <v>0.74</v>
      </c>
      <c r="O2488" s="56">
        <f>_xlfn.XLOOKUP(Survey!$K2488,pipedata[ID],pipedata[104%])</f>
        <v>2565.3333333333335</v>
      </c>
      <c r="P2488" s="57">
        <f t="shared" si="38"/>
        <v>1850</v>
      </c>
      <c r="Q2488" s="58">
        <f>_xlfn.MAXIFS(Survey!$G$2:$G$3647,Survey!$M$2:$M$3647,Survey!$M2488)-Survey!$G2488</f>
        <v>38.079258943454079</v>
      </c>
      <c r="R2488" s="59">
        <f>Survey!$P2488+(Survey!$Q2488*0.433)</f>
        <v>1866.4883191225156</v>
      </c>
    </row>
    <row r="2489" spans="1:18" x14ac:dyDescent="0.25">
      <c r="A2489" s="60" t="s">
        <v>17</v>
      </c>
      <c r="B2489" s="61" t="s">
        <v>22</v>
      </c>
      <c r="C2489" s="62" t="s">
        <v>19</v>
      </c>
      <c r="D2489" s="63">
        <v>245.40490975327543</v>
      </c>
      <c r="E2489" s="79">
        <v>1326369</v>
      </c>
      <c r="F2489" s="80">
        <v>1296756.5423728742</v>
      </c>
      <c r="G2489" s="66">
        <v>2804.0133039908901</v>
      </c>
      <c r="H2489" s="67">
        <v>2</v>
      </c>
      <c r="I2489" s="68" t="s">
        <v>20</v>
      </c>
      <c r="J2489" s="69">
        <v>40</v>
      </c>
      <c r="K2489" s="70">
        <v>2</v>
      </c>
      <c r="L2489" s="68">
        <v>2</v>
      </c>
      <c r="M2489" s="68">
        <f>_xlfn.XLOOKUP(Survey!$F2489,sections[Start],sections[Test Section],,-1,1)</f>
        <v>7</v>
      </c>
      <c r="N2489" s="55">
        <f>_xlfn.XLOOKUP(Survey!$K2489,pipedata[ID],pipedata[WT])</f>
        <v>0.74</v>
      </c>
      <c r="O2489" s="56">
        <f>_xlfn.XLOOKUP(Survey!$K2489,pipedata[ID],pipedata[104%])</f>
        <v>2565.3333333333335</v>
      </c>
      <c r="P2489" s="57">
        <f t="shared" si="38"/>
        <v>1850</v>
      </c>
      <c r="Q2489" s="58">
        <f>_xlfn.MAXIFS(Survey!$G$2:$G$3647,Survey!$M$2:$M$3647,Survey!$M2489)-Survey!$G2489</f>
        <v>30.96047342308384</v>
      </c>
      <c r="R2489" s="59">
        <f>Survey!$P2489+(Survey!$Q2489*0.433)</f>
        <v>1863.4058849921953</v>
      </c>
    </row>
    <row r="2490" spans="1:18" x14ac:dyDescent="0.25">
      <c r="A2490" s="71" t="s">
        <v>17</v>
      </c>
      <c r="B2490" s="72" t="s">
        <v>22</v>
      </c>
      <c r="C2490" s="73" t="s">
        <v>19</v>
      </c>
      <c r="D2490" s="74">
        <v>245.41237650127948</v>
      </c>
      <c r="E2490" s="81">
        <v>1326409</v>
      </c>
      <c r="F2490" s="82">
        <v>1296795.6101694843</v>
      </c>
      <c r="G2490" s="75">
        <v>2813.1975466687791</v>
      </c>
      <c r="H2490" s="76">
        <v>2</v>
      </c>
      <c r="I2490" s="54" t="s">
        <v>20</v>
      </c>
      <c r="J2490" s="77">
        <v>40</v>
      </c>
      <c r="K2490" s="78">
        <v>2</v>
      </c>
      <c r="L2490" s="54">
        <v>2</v>
      </c>
      <c r="M2490" s="54">
        <f>_xlfn.XLOOKUP(Survey!$F2490,sections[Start],sections[Test Section],,-1,1)</f>
        <v>7</v>
      </c>
      <c r="N2490" s="55">
        <f>_xlfn.XLOOKUP(Survey!$K2490,pipedata[ID],pipedata[WT])</f>
        <v>0.74</v>
      </c>
      <c r="O2490" s="56">
        <f>_xlfn.XLOOKUP(Survey!$K2490,pipedata[ID],pipedata[104%])</f>
        <v>2565.3333333333335</v>
      </c>
      <c r="P2490" s="57">
        <f t="shared" si="38"/>
        <v>1850</v>
      </c>
      <c r="Q2490" s="58">
        <f>_xlfn.MAXIFS(Survey!$G$2:$G$3647,Survey!$M$2:$M$3647,Survey!$M2490)-Survey!$G2490</f>
        <v>21.77623074519488</v>
      </c>
      <c r="R2490" s="59">
        <f>Survey!$P2490+(Survey!$Q2490*0.433)</f>
        <v>1859.4291079126695</v>
      </c>
    </row>
    <row r="2491" spans="1:18" x14ac:dyDescent="0.25">
      <c r="A2491" s="60" t="s">
        <v>17</v>
      </c>
      <c r="B2491" s="61" t="s">
        <v>22</v>
      </c>
      <c r="C2491" s="62" t="s">
        <v>19</v>
      </c>
      <c r="D2491" s="63">
        <v>245.41971463929596</v>
      </c>
      <c r="E2491" s="79">
        <v>1326449</v>
      </c>
      <c r="F2491" s="80">
        <v>1296834.6779660943</v>
      </c>
      <c r="G2491" s="66">
        <v>2816.0403178041988</v>
      </c>
      <c r="H2491" s="67">
        <v>2</v>
      </c>
      <c r="I2491" s="68" t="s">
        <v>20</v>
      </c>
      <c r="J2491" s="69">
        <v>40</v>
      </c>
      <c r="K2491" s="70">
        <v>2</v>
      </c>
      <c r="L2491" s="68">
        <v>2</v>
      </c>
      <c r="M2491" s="68">
        <f>_xlfn.XLOOKUP(Survey!$F2491,sections[Start],sections[Test Section],,-1,1)</f>
        <v>7</v>
      </c>
      <c r="N2491" s="55">
        <f>_xlfn.XLOOKUP(Survey!$K2491,pipedata[ID],pipedata[WT])</f>
        <v>0.74</v>
      </c>
      <c r="O2491" s="56">
        <f>_xlfn.XLOOKUP(Survey!$K2491,pipedata[ID],pipedata[104%])</f>
        <v>2565.3333333333335</v>
      </c>
      <c r="P2491" s="57">
        <f t="shared" si="38"/>
        <v>1850</v>
      </c>
      <c r="Q2491" s="58">
        <f>_xlfn.MAXIFS(Survey!$G$2:$G$3647,Survey!$M$2:$M$3647,Survey!$M2491)-Survey!$G2491</f>
        <v>18.933459609775127</v>
      </c>
      <c r="R2491" s="59">
        <f>Survey!$P2491+(Survey!$Q2491*0.433)</f>
        <v>1858.1981880110327</v>
      </c>
    </row>
    <row r="2492" spans="1:18" x14ac:dyDescent="0.25">
      <c r="A2492" s="71" t="s">
        <v>17</v>
      </c>
      <c r="B2492" s="72" t="s">
        <v>22</v>
      </c>
      <c r="C2492" s="73" t="s">
        <v>19</v>
      </c>
      <c r="D2492" s="74">
        <v>245.42575636775916</v>
      </c>
      <c r="E2492" s="81">
        <v>1326489</v>
      </c>
      <c r="F2492" s="82">
        <v>1296873.7457627044</v>
      </c>
      <c r="G2492" s="75">
        <v>2812.4365578019251</v>
      </c>
      <c r="H2492" s="76">
        <v>2</v>
      </c>
      <c r="I2492" s="54" t="s">
        <v>20</v>
      </c>
      <c r="J2492" s="77">
        <v>40</v>
      </c>
      <c r="K2492" s="78">
        <v>2</v>
      </c>
      <c r="L2492" s="54">
        <v>2</v>
      </c>
      <c r="M2492" s="54">
        <f>_xlfn.XLOOKUP(Survey!$F2492,sections[Start],sections[Test Section],,-1,1)</f>
        <v>7</v>
      </c>
      <c r="N2492" s="55">
        <f>_xlfn.XLOOKUP(Survey!$K2492,pipedata[ID],pipedata[WT])</f>
        <v>0.74</v>
      </c>
      <c r="O2492" s="56">
        <f>_xlfn.XLOOKUP(Survey!$K2492,pipedata[ID],pipedata[104%])</f>
        <v>2565.3333333333335</v>
      </c>
      <c r="P2492" s="57">
        <f t="shared" si="38"/>
        <v>1850</v>
      </c>
      <c r="Q2492" s="58">
        <f>_xlfn.MAXIFS(Survey!$G$2:$G$3647,Survey!$M$2:$M$3647,Survey!$M2492)-Survey!$G2492</f>
        <v>22.53721961204883</v>
      </c>
      <c r="R2492" s="59">
        <f>Survey!$P2492+(Survey!$Q2492*0.433)</f>
        <v>1859.7586160920171</v>
      </c>
    </row>
    <row r="2493" spans="1:18" x14ac:dyDescent="0.25">
      <c r="A2493" s="60" t="s">
        <v>17</v>
      </c>
      <c r="B2493" s="61" t="s">
        <v>22</v>
      </c>
      <c r="C2493" s="62" t="s">
        <v>19</v>
      </c>
      <c r="D2493" s="63">
        <v>245.43414209476464</v>
      </c>
      <c r="E2493" s="79">
        <v>1326529</v>
      </c>
      <c r="F2493" s="80">
        <v>1296912.8135593145</v>
      </c>
      <c r="G2493" s="66">
        <v>2804.4604427961563</v>
      </c>
      <c r="H2493" s="67">
        <v>2</v>
      </c>
      <c r="I2493" s="68" t="s">
        <v>20</v>
      </c>
      <c r="J2493" s="69">
        <v>40</v>
      </c>
      <c r="K2493" s="70">
        <v>2</v>
      </c>
      <c r="L2493" s="68">
        <v>2</v>
      </c>
      <c r="M2493" s="68">
        <f>_xlfn.XLOOKUP(Survey!$F2493,sections[Start],sections[Test Section],,-1,1)</f>
        <v>7</v>
      </c>
      <c r="N2493" s="55">
        <f>_xlfn.XLOOKUP(Survey!$K2493,pipedata[ID],pipedata[WT])</f>
        <v>0.74</v>
      </c>
      <c r="O2493" s="56">
        <f>_xlfn.XLOOKUP(Survey!$K2493,pipedata[ID],pipedata[104%])</f>
        <v>2565.3333333333335</v>
      </c>
      <c r="P2493" s="57">
        <f t="shared" si="38"/>
        <v>1850</v>
      </c>
      <c r="Q2493" s="58">
        <f>_xlfn.MAXIFS(Survey!$G$2:$G$3647,Survey!$M$2:$M$3647,Survey!$M2493)-Survey!$G2493</f>
        <v>30.513334617817691</v>
      </c>
      <c r="R2493" s="59">
        <f>Survey!$P2493+(Survey!$Q2493*0.433)</f>
        <v>1863.212273889515</v>
      </c>
    </row>
    <row r="2494" spans="1:18" x14ac:dyDescent="0.25">
      <c r="A2494" s="71" t="s">
        <v>17</v>
      </c>
      <c r="B2494" s="72" t="s">
        <v>22</v>
      </c>
      <c r="C2494" s="73" t="s">
        <v>19</v>
      </c>
      <c r="D2494" s="74">
        <v>245.44186764366097</v>
      </c>
      <c r="E2494" s="81">
        <v>1326569</v>
      </c>
      <c r="F2494" s="82">
        <v>1296951.8813559245</v>
      </c>
      <c r="G2494" s="75">
        <v>2793.2196526345938</v>
      </c>
      <c r="H2494" s="76">
        <v>2</v>
      </c>
      <c r="I2494" s="54" t="s">
        <v>20</v>
      </c>
      <c r="J2494" s="77">
        <v>40</v>
      </c>
      <c r="K2494" s="78">
        <v>2</v>
      </c>
      <c r="L2494" s="54">
        <v>2</v>
      </c>
      <c r="M2494" s="54">
        <f>_xlfn.XLOOKUP(Survey!$F2494,sections[Start],sections[Test Section],,-1,1)</f>
        <v>7</v>
      </c>
      <c r="N2494" s="55">
        <f>_xlfn.XLOOKUP(Survey!$K2494,pipedata[ID],pipedata[WT])</f>
        <v>0.74</v>
      </c>
      <c r="O2494" s="56">
        <f>_xlfn.XLOOKUP(Survey!$K2494,pipedata[ID],pipedata[104%])</f>
        <v>2565.3333333333335</v>
      </c>
      <c r="P2494" s="57">
        <f t="shared" si="38"/>
        <v>1850</v>
      </c>
      <c r="Q2494" s="58">
        <f>_xlfn.MAXIFS(Survey!$G$2:$G$3647,Survey!$M$2:$M$3647,Survey!$M2494)-Survey!$G2494</f>
        <v>41.754124779380163</v>
      </c>
      <c r="R2494" s="59">
        <f>Survey!$P2494+(Survey!$Q2494*0.433)</f>
        <v>1868.0795360294717</v>
      </c>
    </row>
    <row r="2495" spans="1:18" x14ac:dyDescent="0.25">
      <c r="A2495" s="60" t="s">
        <v>17</v>
      </c>
      <c r="B2495" s="61" t="s">
        <v>22</v>
      </c>
      <c r="C2495" s="62" t="s">
        <v>19</v>
      </c>
      <c r="D2495" s="63">
        <v>245.44790937212414</v>
      </c>
      <c r="E2495" s="79">
        <v>1326609</v>
      </c>
      <c r="F2495" s="80">
        <v>1296990.9491525346</v>
      </c>
      <c r="G2495" s="66">
        <v>2784.7421683045941</v>
      </c>
      <c r="H2495" s="67">
        <v>2</v>
      </c>
      <c r="I2495" s="68" t="s">
        <v>20</v>
      </c>
      <c r="J2495" s="69">
        <v>40</v>
      </c>
      <c r="K2495" s="70">
        <v>2</v>
      </c>
      <c r="L2495" s="68">
        <v>2</v>
      </c>
      <c r="M2495" s="68">
        <f>_xlfn.XLOOKUP(Survey!$F2495,sections[Start],sections[Test Section],,-1,1)</f>
        <v>7</v>
      </c>
      <c r="N2495" s="55">
        <f>_xlfn.XLOOKUP(Survey!$K2495,pipedata[ID],pipedata[WT])</f>
        <v>0.74</v>
      </c>
      <c r="O2495" s="56">
        <f>_xlfn.XLOOKUP(Survey!$K2495,pipedata[ID],pipedata[104%])</f>
        <v>2565.3333333333335</v>
      </c>
      <c r="P2495" s="57">
        <f t="shared" si="38"/>
        <v>1850</v>
      </c>
      <c r="Q2495" s="58">
        <f>_xlfn.MAXIFS(Survey!$G$2:$G$3647,Survey!$M$2:$M$3647,Survey!$M2495)-Survey!$G2495</f>
        <v>50.23160910937986</v>
      </c>
      <c r="R2495" s="59">
        <f>Survey!$P2495+(Survey!$Q2495*0.433)</f>
        <v>1871.7502867443616</v>
      </c>
    </row>
    <row r="2496" spans="1:18" x14ac:dyDescent="0.25">
      <c r="A2496" s="71" t="s">
        <v>17</v>
      </c>
      <c r="B2496" s="72" t="s">
        <v>22</v>
      </c>
      <c r="C2496" s="73" t="s">
        <v>19</v>
      </c>
      <c r="D2496" s="74">
        <v>245.45622186953369</v>
      </c>
      <c r="E2496" s="81">
        <v>1326649</v>
      </c>
      <c r="F2496" s="82">
        <v>1297030.0169491447</v>
      </c>
      <c r="G2496" s="75">
        <v>2774.6863728086964</v>
      </c>
      <c r="H2496" s="76">
        <v>2</v>
      </c>
      <c r="I2496" s="54" t="s">
        <v>20</v>
      </c>
      <c r="J2496" s="77">
        <v>40</v>
      </c>
      <c r="K2496" s="78">
        <v>2</v>
      </c>
      <c r="L2496" s="54">
        <v>2</v>
      </c>
      <c r="M2496" s="54">
        <f>_xlfn.XLOOKUP(Survey!$F2496,sections[Start],sections[Test Section],,-1,1)</f>
        <v>7</v>
      </c>
      <c r="N2496" s="55">
        <f>_xlfn.XLOOKUP(Survey!$K2496,pipedata[ID],pipedata[WT])</f>
        <v>0.74</v>
      </c>
      <c r="O2496" s="56">
        <f>_xlfn.XLOOKUP(Survey!$K2496,pipedata[ID],pipedata[104%])</f>
        <v>2565.3333333333335</v>
      </c>
      <c r="P2496" s="57">
        <f t="shared" si="38"/>
        <v>1850</v>
      </c>
      <c r="Q2496" s="58">
        <f>_xlfn.MAXIFS(Survey!$G$2:$G$3647,Survey!$M$2:$M$3647,Survey!$M2496)-Survey!$G2496</f>
        <v>60.287404605277516</v>
      </c>
      <c r="R2496" s="59">
        <f>Survey!$P2496+(Survey!$Q2496*0.433)</f>
        <v>1876.1044461940851</v>
      </c>
    </row>
    <row r="2497" spans="1:18" x14ac:dyDescent="0.25">
      <c r="A2497" s="60" t="s">
        <v>17</v>
      </c>
      <c r="B2497" s="61" t="s">
        <v>22</v>
      </c>
      <c r="C2497" s="62" t="s">
        <v>19</v>
      </c>
      <c r="D2497" s="63">
        <v>245.46402064802606</v>
      </c>
      <c r="E2497" s="79">
        <v>1326689</v>
      </c>
      <c r="F2497" s="80">
        <v>1297069.0847457547</v>
      </c>
      <c r="G2497" s="66">
        <v>2764.2187350416034</v>
      </c>
      <c r="H2497" s="67">
        <v>2</v>
      </c>
      <c r="I2497" s="68" t="s">
        <v>20</v>
      </c>
      <c r="J2497" s="69">
        <v>40</v>
      </c>
      <c r="K2497" s="70">
        <v>2</v>
      </c>
      <c r="L2497" s="68">
        <v>2</v>
      </c>
      <c r="M2497" s="68">
        <f>_xlfn.XLOOKUP(Survey!$F2497,sections[Start],sections[Test Section],,-1,1)</f>
        <v>7</v>
      </c>
      <c r="N2497" s="55">
        <f>_xlfn.XLOOKUP(Survey!$K2497,pipedata[ID],pipedata[WT])</f>
        <v>0.74</v>
      </c>
      <c r="O2497" s="56">
        <f>_xlfn.XLOOKUP(Survey!$K2497,pipedata[ID],pipedata[104%])</f>
        <v>2565.3333333333335</v>
      </c>
      <c r="P2497" s="57">
        <f t="shared" si="38"/>
        <v>1850</v>
      </c>
      <c r="Q2497" s="58">
        <f>_xlfn.MAXIFS(Survey!$G$2:$G$3647,Survey!$M$2:$M$3647,Survey!$M2497)-Survey!$G2497</f>
        <v>70.755042372370553</v>
      </c>
      <c r="R2497" s="59">
        <f>Survey!$P2497+(Survey!$Q2497*0.433)</f>
        <v>1880.6369333472364</v>
      </c>
    </row>
    <row r="2498" spans="1:18" x14ac:dyDescent="0.25">
      <c r="A2498" s="71" t="s">
        <v>17</v>
      </c>
      <c r="B2498" s="72" t="s">
        <v>22</v>
      </c>
      <c r="C2498" s="73" t="s">
        <v>19</v>
      </c>
      <c r="D2498" s="74">
        <v>245.47006237648924</v>
      </c>
      <c r="E2498" s="81">
        <v>1326729</v>
      </c>
      <c r="F2498" s="82">
        <v>1297108.1525423648</v>
      </c>
      <c r="G2498" s="75">
        <v>2755.4691695728602</v>
      </c>
      <c r="H2498" s="76">
        <v>2</v>
      </c>
      <c r="I2498" s="54" t="s">
        <v>20</v>
      </c>
      <c r="J2498" s="77">
        <v>40</v>
      </c>
      <c r="K2498" s="78">
        <v>2</v>
      </c>
      <c r="L2498" s="54">
        <v>2</v>
      </c>
      <c r="M2498" s="54">
        <f>_xlfn.XLOOKUP(Survey!$F2498,sections[Start],sections[Test Section],,-1,1)</f>
        <v>7</v>
      </c>
      <c r="N2498" s="55">
        <f>_xlfn.XLOOKUP(Survey!$K2498,pipedata[ID],pipedata[WT])</f>
        <v>0.74</v>
      </c>
      <c r="O2498" s="56">
        <f>_xlfn.XLOOKUP(Survey!$K2498,pipedata[ID],pipedata[104%])</f>
        <v>2565.3333333333335</v>
      </c>
      <c r="P2498" s="57">
        <f t="shared" ref="P2498:P2561" si="39">IF(L2498=1,1850,IF(L2498=2,1850,2220))</f>
        <v>1850</v>
      </c>
      <c r="Q2498" s="58">
        <f>_xlfn.MAXIFS(Survey!$G$2:$G$3647,Survey!$M$2:$M$3647,Survey!$M2498)-Survey!$G2498</f>
        <v>79.504607841113739</v>
      </c>
      <c r="R2498" s="59">
        <f>Survey!$P2498+(Survey!$Q2498*0.433)</f>
        <v>1884.4254951952023</v>
      </c>
    </row>
    <row r="2499" spans="1:18" x14ac:dyDescent="0.25">
      <c r="A2499" s="60" t="s">
        <v>17</v>
      </c>
      <c r="B2499" s="61" t="s">
        <v>22</v>
      </c>
      <c r="C2499" s="62" t="s">
        <v>19</v>
      </c>
      <c r="D2499" s="63">
        <v>245.47830164430326</v>
      </c>
      <c r="E2499" s="79">
        <v>1326769</v>
      </c>
      <c r="F2499" s="80">
        <v>1297147.2203389748</v>
      </c>
      <c r="G2499" s="66">
        <v>2744.9008756444678</v>
      </c>
      <c r="H2499" s="67">
        <v>2</v>
      </c>
      <c r="I2499" s="68" t="s">
        <v>20</v>
      </c>
      <c r="J2499" s="69">
        <v>40</v>
      </c>
      <c r="K2499" s="70">
        <v>2</v>
      </c>
      <c r="L2499" s="68">
        <v>2</v>
      </c>
      <c r="M2499" s="68">
        <f>_xlfn.XLOOKUP(Survey!$F2499,sections[Start],sections[Test Section],,-1,1)</f>
        <v>7</v>
      </c>
      <c r="N2499" s="55">
        <f>_xlfn.XLOOKUP(Survey!$K2499,pipedata[ID],pipedata[WT])</f>
        <v>0.74</v>
      </c>
      <c r="O2499" s="56">
        <f>_xlfn.XLOOKUP(Survey!$K2499,pipedata[ID],pipedata[104%])</f>
        <v>2565.3333333333335</v>
      </c>
      <c r="P2499" s="57">
        <f t="shared" si="39"/>
        <v>1850</v>
      </c>
      <c r="Q2499" s="58">
        <f>_xlfn.MAXIFS(Survey!$G$2:$G$3647,Survey!$M$2:$M$3647,Survey!$M2499)-Survey!$G2499</f>
        <v>90.072901769506188</v>
      </c>
      <c r="R2499" s="59">
        <f>Survey!$P2499+(Survey!$Q2499*0.433)</f>
        <v>1889.0015664661962</v>
      </c>
    </row>
    <row r="2500" spans="1:18" x14ac:dyDescent="0.25">
      <c r="A2500" s="71" t="s">
        <v>17</v>
      </c>
      <c r="B2500" s="72" t="s">
        <v>22</v>
      </c>
      <c r="C2500" s="73" t="s">
        <v>19</v>
      </c>
      <c r="D2500" s="74">
        <v>245.48617365239113</v>
      </c>
      <c r="E2500" s="81">
        <v>1326809</v>
      </c>
      <c r="F2500" s="82">
        <v>1297186.2881355849</v>
      </c>
      <c r="G2500" s="75">
        <v>2732.3835910003768</v>
      </c>
      <c r="H2500" s="76">
        <v>2</v>
      </c>
      <c r="I2500" s="54" t="s">
        <v>20</v>
      </c>
      <c r="J2500" s="77">
        <v>40</v>
      </c>
      <c r="K2500" s="78">
        <v>2</v>
      </c>
      <c r="L2500" s="54">
        <v>2</v>
      </c>
      <c r="M2500" s="54">
        <f>_xlfn.XLOOKUP(Survey!$F2500,sections[Start],sections[Test Section],,-1,1)</f>
        <v>7</v>
      </c>
      <c r="N2500" s="55">
        <f>_xlfn.XLOOKUP(Survey!$K2500,pipedata[ID],pipedata[WT])</f>
        <v>0.74</v>
      </c>
      <c r="O2500" s="56">
        <f>_xlfn.XLOOKUP(Survey!$K2500,pipedata[ID],pipedata[104%])</f>
        <v>2565.3333333333335</v>
      </c>
      <c r="P2500" s="57">
        <f t="shared" si="39"/>
        <v>1850</v>
      </c>
      <c r="Q2500" s="58">
        <f>_xlfn.MAXIFS(Survey!$G$2:$G$3647,Survey!$M$2:$M$3647,Survey!$M2500)-Survey!$G2500</f>
        <v>102.59018641359717</v>
      </c>
      <c r="R2500" s="59">
        <f>Survey!$P2500+(Survey!$Q2500*0.433)</f>
        <v>1894.4215507170875</v>
      </c>
    </row>
    <row r="2501" spans="1:18" x14ac:dyDescent="0.25">
      <c r="A2501" s="60" t="s">
        <v>17</v>
      </c>
      <c r="B2501" s="61" t="s">
        <v>22</v>
      </c>
      <c r="C2501" s="62" t="s">
        <v>19</v>
      </c>
      <c r="D2501" s="63">
        <v>245.49299905003568</v>
      </c>
      <c r="E2501" s="79">
        <v>1326849</v>
      </c>
      <c r="F2501" s="80">
        <v>1297225.355932195</v>
      </c>
      <c r="G2501" s="66">
        <v>2723.2444828811699</v>
      </c>
      <c r="H2501" s="67">
        <v>2</v>
      </c>
      <c r="I2501" s="68" t="s">
        <v>20</v>
      </c>
      <c r="J2501" s="69">
        <v>40</v>
      </c>
      <c r="K2501" s="70">
        <v>2</v>
      </c>
      <c r="L2501" s="68">
        <v>2</v>
      </c>
      <c r="M2501" s="68">
        <f>_xlfn.XLOOKUP(Survey!$F2501,sections[Start],sections[Test Section],,-1,1)</f>
        <v>7</v>
      </c>
      <c r="N2501" s="55">
        <f>_xlfn.XLOOKUP(Survey!$K2501,pipedata[ID],pipedata[WT])</f>
        <v>0.74</v>
      </c>
      <c r="O2501" s="56">
        <f>_xlfn.XLOOKUP(Survey!$K2501,pipedata[ID],pipedata[104%])</f>
        <v>2565.3333333333335</v>
      </c>
      <c r="P2501" s="57">
        <f t="shared" si="39"/>
        <v>1850</v>
      </c>
      <c r="Q2501" s="58">
        <f>_xlfn.MAXIFS(Survey!$G$2:$G$3647,Survey!$M$2:$M$3647,Survey!$M2501)-Survey!$G2501</f>
        <v>111.72929453280403</v>
      </c>
      <c r="R2501" s="59">
        <f>Survey!$P2501+(Survey!$Q2501*0.433)</f>
        <v>1898.3787845327042</v>
      </c>
    </row>
    <row r="2502" spans="1:18" x14ac:dyDescent="0.25">
      <c r="A2502" s="71" t="s">
        <v>17</v>
      </c>
      <c r="B2502" s="72" t="s">
        <v>22</v>
      </c>
      <c r="C2502" s="73" t="s">
        <v>19</v>
      </c>
      <c r="D2502" s="74">
        <v>245.50091880672448</v>
      </c>
      <c r="E2502" s="81">
        <v>1326889</v>
      </c>
      <c r="F2502" s="82">
        <v>1297264.423728805</v>
      </c>
      <c r="G2502" s="75">
        <v>2714.5738653958779</v>
      </c>
      <c r="H2502" s="76">
        <v>2</v>
      </c>
      <c r="I2502" s="54" t="s">
        <v>20</v>
      </c>
      <c r="J2502" s="77">
        <v>40</v>
      </c>
      <c r="K2502" s="78">
        <v>2</v>
      </c>
      <c r="L2502" s="54">
        <v>2</v>
      </c>
      <c r="M2502" s="54">
        <f>_xlfn.XLOOKUP(Survey!$F2502,sections[Start],sections[Test Section],,-1,1)</f>
        <v>7</v>
      </c>
      <c r="N2502" s="55">
        <f>_xlfn.XLOOKUP(Survey!$K2502,pipedata[ID],pipedata[WT])</f>
        <v>0.74</v>
      </c>
      <c r="O2502" s="56">
        <f>_xlfn.XLOOKUP(Survey!$K2502,pipedata[ID],pipedata[104%])</f>
        <v>2565.3333333333335</v>
      </c>
      <c r="P2502" s="57">
        <f t="shared" si="39"/>
        <v>1850</v>
      </c>
      <c r="Q2502" s="58">
        <f>_xlfn.MAXIFS(Survey!$G$2:$G$3647,Survey!$M$2:$M$3647,Survey!$M2502)-Survey!$G2502</f>
        <v>120.39991201809607</v>
      </c>
      <c r="R2502" s="59">
        <f>Survey!$P2502+(Survey!$Q2502*0.433)</f>
        <v>1902.1331619038356</v>
      </c>
    </row>
    <row r="2503" spans="1:18" x14ac:dyDescent="0.25">
      <c r="A2503" s="60" t="s">
        <v>17</v>
      </c>
      <c r="B2503" s="61" t="s">
        <v>22</v>
      </c>
      <c r="C2503" s="62" t="s">
        <v>19</v>
      </c>
      <c r="D2503" s="63">
        <v>245.50838103539664</v>
      </c>
      <c r="E2503" s="79">
        <v>1326929</v>
      </c>
      <c r="F2503" s="80">
        <v>1297303.4915254151</v>
      </c>
      <c r="G2503" s="66">
        <v>2706.1468693483139</v>
      </c>
      <c r="H2503" s="67">
        <v>2</v>
      </c>
      <c r="I2503" s="68" t="s">
        <v>20</v>
      </c>
      <c r="J2503" s="69">
        <v>40</v>
      </c>
      <c r="K2503" s="70">
        <v>2</v>
      </c>
      <c r="L2503" s="68">
        <v>2</v>
      </c>
      <c r="M2503" s="68">
        <f>_xlfn.XLOOKUP(Survey!$F2503,sections[Start],sections[Test Section],,-1,1)</f>
        <v>7</v>
      </c>
      <c r="N2503" s="55">
        <f>_xlfn.XLOOKUP(Survey!$K2503,pipedata[ID],pipedata[WT])</f>
        <v>0.74</v>
      </c>
      <c r="O2503" s="56">
        <f>_xlfn.XLOOKUP(Survey!$K2503,pipedata[ID],pipedata[104%])</f>
        <v>2565.3333333333335</v>
      </c>
      <c r="P2503" s="57">
        <f t="shared" si="39"/>
        <v>1850</v>
      </c>
      <c r="Q2503" s="58">
        <f>_xlfn.MAXIFS(Survey!$G$2:$G$3647,Survey!$M$2:$M$3647,Survey!$M2503)-Survey!$G2503</f>
        <v>128.82690806566006</v>
      </c>
      <c r="R2503" s="59">
        <f>Survey!$P2503+(Survey!$Q2503*0.433)</f>
        <v>1905.7820511924308</v>
      </c>
    </row>
    <row r="2504" spans="1:18" x14ac:dyDescent="0.25">
      <c r="A2504" s="71" t="s">
        <v>17</v>
      </c>
      <c r="B2504" s="72" t="s">
        <v>22</v>
      </c>
      <c r="C2504" s="73" t="s">
        <v>19</v>
      </c>
      <c r="D2504" s="74">
        <v>245.51457652256676</v>
      </c>
      <c r="E2504" s="81">
        <v>1326969</v>
      </c>
      <c r="F2504" s="82">
        <v>1297342.5593220252</v>
      </c>
      <c r="G2504" s="75">
        <v>2698.4831092268273</v>
      </c>
      <c r="H2504" s="76">
        <v>2</v>
      </c>
      <c r="I2504" s="54" t="s">
        <v>20</v>
      </c>
      <c r="J2504" s="77">
        <v>40</v>
      </c>
      <c r="K2504" s="78">
        <v>2</v>
      </c>
      <c r="L2504" s="54">
        <v>2</v>
      </c>
      <c r="M2504" s="54">
        <f>_xlfn.XLOOKUP(Survey!$F2504,sections[Start],sections[Test Section],,-1,1)</f>
        <v>7</v>
      </c>
      <c r="N2504" s="55">
        <f>_xlfn.XLOOKUP(Survey!$K2504,pipedata[ID],pipedata[WT])</f>
        <v>0.74</v>
      </c>
      <c r="O2504" s="56">
        <f>_xlfn.XLOOKUP(Survey!$K2504,pipedata[ID],pipedata[104%])</f>
        <v>2565.3333333333335</v>
      </c>
      <c r="P2504" s="57">
        <f t="shared" si="39"/>
        <v>1850</v>
      </c>
      <c r="Q2504" s="58">
        <f>_xlfn.MAXIFS(Survey!$G$2:$G$3647,Survey!$M$2:$M$3647,Survey!$M2504)-Survey!$G2504</f>
        <v>136.49066818714664</v>
      </c>
      <c r="R2504" s="59">
        <f>Survey!$P2504+(Survey!$Q2504*0.433)</f>
        <v>1909.1004593250345</v>
      </c>
    </row>
    <row r="2505" spans="1:18" x14ac:dyDescent="0.25">
      <c r="A2505" s="60" t="s">
        <v>17</v>
      </c>
      <c r="B2505" s="61" t="s">
        <v>22</v>
      </c>
      <c r="C2505" s="62" t="s">
        <v>19</v>
      </c>
      <c r="D2505" s="63">
        <v>245.52320713667905</v>
      </c>
      <c r="E2505" s="79">
        <v>1327009</v>
      </c>
      <c r="F2505" s="80">
        <v>1297381.6271186352</v>
      </c>
      <c r="G2505" s="66">
        <v>2693.4227979514189</v>
      </c>
      <c r="H2505" s="67">
        <v>2</v>
      </c>
      <c r="I2505" s="68" t="s">
        <v>20</v>
      </c>
      <c r="J2505" s="69">
        <v>40</v>
      </c>
      <c r="K2505" s="70">
        <v>2</v>
      </c>
      <c r="L2505" s="68">
        <v>2</v>
      </c>
      <c r="M2505" s="68">
        <f>_xlfn.XLOOKUP(Survey!$F2505,sections[Start],sections[Test Section],,-1,1)</f>
        <v>7</v>
      </c>
      <c r="N2505" s="55">
        <f>_xlfn.XLOOKUP(Survey!$K2505,pipedata[ID],pipedata[WT])</f>
        <v>0.74</v>
      </c>
      <c r="O2505" s="56">
        <f>_xlfn.XLOOKUP(Survey!$K2505,pipedata[ID],pipedata[104%])</f>
        <v>2565.3333333333335</v>
      </c>
      <c r="P2505" s="57">
        <f t="shared" si="39"/>
        <v>1850</v>
      </c>
      <c r="Q2505" s="58">
        <f>_xlfn.MAXIFS(Survey!$G$2:$G$3647,Survey!$M$2:$M$3647,Survey!$M2505)-Survey!$G2505</f>
        <v>141.55097946255501</v>
      </c>
      <c r="R2505" s="59">
        <f>Survey!$P2505+(Survey!$Q2505*0.433)</f>
        <v>1911.2915741072864</v>
      </c>
    </row>
    <row r="2506" spans="1:18" x14ac:dyDescent="0.25">
      <c r="A2506" s="71" t="s">
        <v>17</v>
      </c>
      <c r="B2506" s="72" t="s">
        <v>22</v>
      </c>
      <c r="C2506" s="73" t="s">
        <v>19</v>
      </c>
      <c r="D2506" s="74">
        <v>245.53012193906727</v>
      </c>
      <c r="E2506" s="81">
        <v>1327049</v>
      </c>
      <c r="F2506" s="82">
        <v>1297420.6949152453</v>
      </c>
      <c r="G2506" s="75">
        <v>2689.7058857453649</v>
      </c>
      <c r="H2506" s="76">
        <v>2</v>
      </c>
      <c r="I2506" s="54" t="s">
        <v>20</v>
      </c>
      <c r="J2506" s="77">
        <v>40</v>
      </c>
      <c r="K2506" s="78">
        <v>2</v>
      </c>
      <c r="L2506" s="54">
        <v>2</v>
      </c>
      <c r="M2506" s="54">
        <f>_xlfn.XLOOKUP(Survey!$F2506,sections[Start],sections[Test Section],,-1,1)</f>
        <v>7</v>
      </c>
      <c r="N2506" s="55">
        <f>_xlfn.XLOOKUP(Survey!$K2506,pipedata[ID],pipedata[WT])</f>
        <v>0.74</v>
      </c>
      <c r="O2506" s="56">
        <f>_xlfn.XLOOKUP(Survey!$K2506,pipedata[ID],pipedata[104%])</f>
        <v>2565.3333333333335</v>
      </c>
      <c r="P2506" s="57">
        <f t="shared" si="39"/>
        <v>1850</v>
      </c>
      <c r="Q2506" s="58">
        <f>_xlfn.MAXIFS(Survey!$G$2:$G$3647,Survey!$M$2:$M$3647,Survey!$M2506)-Survey!$G2506</f>
        <v>145.26789166860908</v>
      </c>
      <c r="R2506" s="59">
        <f>Survey!$P2506+(Survey!$Q2506*0.433)</f>
        <v>1912.9009970925076</v>
      </c>
    </row>
    <row r="2507" spans="1:18" x14ac:dyDescent="0.25">
      <c r="A2507" s="60" t="s">
        <v>17</v>
      </c>
      <c r="B2507" s="61" t="s">
        <v>22</v>
      </c>
      <c r="C2507" s="62" t="s">
        <v>19</v>
      </c>
      <c r="D2507" s="63">
        <v>245.53674038080052</v>
      </c>
      <c r="E2507" s="79">
        <v>1327089</v>
      </c>
      <c r="F2507" s="80">
        <v>1297459.7627118554</v>
      </c>
      <c r="G2507" s="66">
        <v>2685.7704904080742</v>
      </c>
      <c r="H2507" s="67">
        <v>2</v>
      </c>
      <c r="I2507" s="68" t="s">
        <v>20</v>
      </c>
      <c r="J2507" s="69">
        <v>40</v>
      </c>
      <c r="K2507" s="70">
        <v>2</v>
      </c>
      <c r="L2507" s="68">
        <v>2</v>
      </c>
      <c r="M2507" s="68">
        <f>_xlfn.XLOOKUP(Survey!$F2507,sections[Start],sections[Test Section],,-1,1)</f>
        <v>7</v>
      </c>
      <c r="N2507" s="55">
        <f>_xlfn.XLOOKUP(Survey!$K2507,pipedata[ID],pipedata[WT])</f>
        <v>0.74</v>
      </c>
      <c r="O2507" s="56">
        <f>_xlfn.XLOOKUP(Survey!$K2507,pipedata[ID],pipedata[104%])</f>
        <v>2565.3333333333335</v>
      </c>
      <c r="P2507" s="57">
        <f t="shared" si="39"/>
        <v>1850</v>
      </c>
      <c r="Q2507" s="58">
        <f>_xlfn.MAXIFS(Survey!$G$2:$G$3647,Survey!$M$2:$M$3647,Survey!$M2507)-Survey!$G2507</f>
        <v>149.20328700589971</v>
      </c>
      <c r="R2507" s="59">
        <f>Survey!$P2507+(Survey!$Q2507*0.433)</f>
        <v>1914.6050232735545</v>
      </c>
    </row>
    <row r="2508" spans="1:18" x14ac:dyDescent="0.25">
      <c r="A2508" s="71" t="s">
        <v>17</v>
      </c>
      <c r="B2508" s="72" t="s">
        <v>22</v>
      </c>
      <c r="C2508" s="73" t="s">
        <v>19</v>
      </c>
      <c r="D2508" s="74">
        <v>245.54586138032172</v>
      </c>
      <c r="E2508" s="81">
        <v>1327129</v>
      </c>
      <c r="F2508" s="82">
        <v>1297498.8305084654</v>
      </c>
      <c r="G2508" s="75">
        <v>2682.9655088100508</v>
      </c>
      <c r="H2508" s="76">
        <v>2</v>
      </c>
      <c r="I2508" s="54" t="s">
        <v>20</v>
      </c>
      <c r="J2508" s="77">
        <v>40</v>
      </c>
      <c r="K2508" s="78">
        <v>2</v>
      </c>
      <c r="L2508" s="54">
        <v>2</v>
      </c>
      <c r="M2508" s="54">
        <f>_xlfn.XLOOKUP(Survey!$F2508,sections[Start],sections[Test Section],,-1,1)</f>
        <v>7</v>
      </c>
      <c r="N2508" s="55">
        <f>_xlfn.XLOOKUP(Survey!$K2508,pipedata[ID],pipedata[WT])</f>
        <v>0.74</v>
      </c>
      <c r="O2508" s="56">
        <f>_xlfn.XLOOKUP(Survey!$K2508,pipedata[ID],pipedata[104%])</f>
        <v>2565.3333333333335</v>
      </c>
      <c r="P2508" s="57">
        <f t="shared" si="39"/>
        <v>1850</v>
      </c>
      <c r="Q2508" s="58">
        <f>_xlfn.MAXIFS(Survey!$G$2:$G$3647,Survey!$M$2:$M$3647,Survey!$M2508)-Survey!$G2508</f>
        <v>152.00826860392317</v>
      </c>
      <c r="R2508" s="59">
        <f>Survey!$P2508+(Survey!$Q2508*0.433)</f>
        <v>1915.8195803054987</v>
      </c>
    </row>
    <row r="2509" spans="1:18" x14ac:dyDescent="0.25">
      <c r="A2509" s="60" t="s">
        <v>17</v>
      </c>
      <c r="B2509" s="61" t="s">
        <v>22</v>
      </c>
      <c r="C2509" s="62" t="s">
        <v>19</v>
      </c>
      <c r="D2509" s="63">
        <v>245.5532474285948</v>
      </c>
      <c r="E2509" s="79">
        <v>1327169</v>
      </c>
      <c r="F2509" s="80">
        <v>1297537.8983050755</v>
      </c>
      <c r="G2509" s="66">
        <v>2679.1485671126175</v>
      </c>
      <c r="H2509" s="67">
        <v>2</v>
      </c>
      <c r="I2509" s="68" t="s">
        <v>20</v>
      </c>
      <c r="J2509" s="69">
        <v>40</v>
      </c>
      <c r="K2509" s="70">
        <v>2</v>
      </c>
      <c r="L2509" s="68">
        <v>2</v>
      </c>
      <c r="M2509" s="68">
        <f>_xlfn.XLOOKUP(Survey!$F2509,sections[Start],sections[Test Section],,-1,1)</f>
        <v>7</v>
      </c>
      <c r="N2509" s="55">
        <f>_xlfn.XLOOKUP(Survey!$K2509,pipedata[ID],pipedata[WT])</f>
        <v>0.74</v>
      </c>
      <c r="O2509" s="56">
        <f>_xlfn.XLOOKUP(Survey!$K2509,pipedata[ID],pipedata[104%])</f>
        <v>2565.3333333333335</v>
      </c>
      <c r="P2509" s="57">
        <f t="shared" si="39"/>
        <v>1850</v>
      </c>
      <c r="Q2509" s="58">
        <f>_xlfn.MAXIFS(Survey!$G$2:$G$3647,Survey!$M$2:$M$3647,Survey!$M2509)-Survey!$G2509</f>
        <v>155.82521030135649</v>
      </c>
      <c r="R2509" s="59">
        <f>Survey!$P2509+(Survey!$Q2509*0.433)</f>
        <v>1917.4723160604874</v>
      </c>
    </row>
    <row r="2510" spans="1:18" x14ac:dyDescent="0.25">
      <c r="A2510" s="71" t="s">
        <v>17</v>
      </c>
      <c r="B2510" s="72" t="s">
        <v>22</v>
      </c>
      <c r="C2510" s="73" t="s">
        <v>19</v>
      </c>
      <c r="D2510" s="74">
        <v>245.56100800048836</v>
      </c>
      <c r="E2510" s="81">
        <v>1327209</v>
      </c>
      <c r="F2510" s="82">
        <v>1297576.9661016855</v>
      </c>
      <c r="G2510" s="75">
        <v>2677.384056950209</v>
      </c>
      <c r="H2510" s="76">
        <v>2</v>
      </c>
      <c r="I2510" s="54" t="s">
        <v>20</v>
      </c>
      <c r="J2510" s="77">
        <v>40</v>
      </c>
      <c r="K2510" s="78">
        <v>2</v>
      </c>
      <c r="L2510" s="54">
        <v>2</v>
      </c>
      <c r="M2510" s="54">
        <f>_xlfn.XLOOKUP(Survey!$F2510,sections[Start],sections[Test Section],,-1,1)</f>
        <v>7</v>
      </c>
      <c r="N2510" s="55">
        <f>_xlfn.XLOOKUP(Survey!$K2510,pipedata[ID],pipedata[WT])</f>
        <v>0.74</v>
      </c>
      <c r="O2510" s="56">
        <f>_xlfn.XLOOKUP(Survey!$K2510,pipedata[ID],pipedata[104%])</f>
        <v>2565.3333333333335</v>
      </c>
      <c r="P2510" s="57">
        <f t="shared" si="39"/>
        <v>1850</v>
      </c>
      <c r="Q2510" s="58">
        <f>_xlfn.MAXIFS(Survey!$G$2:$G$3647,Survey!$M$2:$M$3647,Survey!$M2510)-Survey!$G2510</f>
        <v>157.58972046376493</v>
      </c>
      <c r="R2510" s="59">
        <f>Survey!$P2510+(Survey!$Q2510*0.433)</f>
        <v>1918.2363489608101</v>
      </c>
    </row>
    <row r="2511" spans="1:18" x14ac:dyDescent="0.25">
      <c r="A2511" s="60" t="s">
        <v>17</v>
      </c>
      <c r="B2511" s="61" t="s">
        <v>22</v>
      </c>
      <c r="C2511" s="62" t="s">
        <v>19</v>
      </c>
      <c r="D2511" s="63">
        <v>245.56801952514013</v>
      </c>
      <c r="E2511" s="79">
        <v>1327249</v>
      </c>
      <c r="F2511" s="80">
        <v>1297616.0338982956</v>
      </c>
      <c r="G2511" s="66">
        <v>2678.358351092309</v>
      </c>
      <c r="H2511" s="67">
        <v>2</v>
      </c>
      <c r="I2511" s="68" t="s">
        <v>20</v>
      </c>
      <c r="J2511" s="69">
        <v>40</v>
      </c>
      <c r="K2511" s="70">
        <v>2</v>
      </c>
      <c r="L2511" s="68">
        <v>2</v>
      </c>
      <c r="M2511" s="68">
        <f>_xlfn.XLOOKUP(Survey!$F2511,sections[Start],sections[Test Section],,-1,1)</f>
        <v>7</v>
      </c>
      <c r="N2511" s="55">
        <f>_xlfn.XLOOKUP(Survey!$K2511,pipedata[ID],pipedata[WT])</f>
        <v>0.74</v>
      </c>
      <c r="O2511" s="56">
        <f>_xlfn.XLOOKUP(Survey!$K2511,pipedata[ID],pipedata[104%])</f>
        <v>2565.3333333333335</v>
      </c>
      <c r="P2511" s="57">
        <f t="shared" si="39"/>
        <v>1850</v>
      </c>
      <c r="Q2511" s="58">
        <f>_xlfn.MAXIFS(Survey!$G$2:$G$3647,Survey!$M$2:$M$3647,Survey!$M2511)-Survey!$G2511</f>
        <v>156.61542632166493</v>
      </c>
      <c r="R2511" s="59">
        <f>Survey!$P2511+(Survey!$Q2511*0.433)</f>
        <v>1917.814479597281</v>
      </c>
    </row>
    <row r="2512" spans="1:18" x14ac:dyDescent="0.25">
      <c r="A2512" s="71" t="s">
        <v>17</v>
      </c>
      <c r="B2512" s="72" t="s">
        <v>22</v>
      </c>
      <c r="C2512" s="73" t="s">
        <v>19</v>
      </c>
      <c r="D2512" s="74">
        <v>245.57540557341275</v>
      </c>
      <c r="E2512" s="81">
        <v>1327289</v>
      </c>
      <c r="F2512" s="82">
        <v>1297655.1016949057</v>
      </c>
      <c r="G2512" s="75">
        <v>2679.82841741622</v>
      </c>
      <c r="H2512" s="76">
        <v>2</v>
      </c>
      <c r="I2512" s="54" t="s">
        <v>20</v>
      </c>
      <c r="J2512" s="77">
        <v>40</v>
      </c>
      <c r="K2512" s="78">
        <v>2</v>
      </c>
      <c r="L2512" s="54">
        <v>2</v>
      </c>
      <c r="M2512" s="54">
        <f>_xlfn.XLOOKUP(Survey!$F2512,sections[Start],sections[Test Section],,-1,1)</f>
        <v>7</v>
      </c>
      <c r="N2512" s="55">
        <f>_xlfn.XLOOKUP(Survey!$K2512,pipedata[ID],pipedata[WT])</f>
        <v>0.74</v>
      </c>
      <c r="O2512" s="56">
        <f>_xlfn.XLOOKUP(Survey!$K2512,pipedata[ID],pipedata[104%])</f>
        <v>2565.3333333333335</v>
      </c>
      <c r="P2512" s="57">
        <f t="shared" si="39"/>
        <v>1850</v>
      </c>
      <c r="Q2512" s="58">
        <f>_xlfn.MAXIFS(Survey!$G$2:$G$3647,Survey!$M$2:$M$3647,Survey!$M2512)-Survey!$G2512</f>
        <v>155.14535999775399</v>
      </c>
      <c r="R2512" s="59">
        <f>Survey!$P2512+(Survey!$Q2512*0.433)</f>
        <v>1917.1779408790276</v>
      </c>
    </row>
    <row r="2513" spans="1:18" x14ac:dyDescent="0.25">
      <c r="A2513" s="60" t="s">
        <v>17</v>
      </c>
      <c r="B2513" s="61" t="s">
        <v>22</v>
      </c>
      <c r="C2513" s="62" t="s">
        <v>19</v>
      </c>
      <c r="D2513" s="63">
        <v>245.58348173353266</v>
      </c>
      <c r="E2513" s="79">
        <v>1327329</v>
      </c>
      <c r="F2513" s="80">
        <v>1297694.1694915157</v>
      </c>
      <c r="G2513" s="66">
        <v>2678.8665654838314</v>
      </c>
      <c r="H2513" s="67">
        <v>2</v>
      </c>
      <c r="I2513" s="68" t="s">
        <v>20</v>
      </c>
      <c r="J2513" s="69">
        <v>40</v>
      </c>
      <c r="K2513" s="70">
        <v>2</v>
      </c>
      <c r="L2513" s="68">
        <v>2</v>
      </c>
      <c r="M2513" s="68">
        <f>_xlfn.XLOOKUP(Survey!$F2513,sections[Start],sections[Test Section],,-1,1)</f>
        <v>7</v>
      </c>
      <c r="N2513" s="55">
        <f>_xlfn.XLOOKUP(Survey!$K2513,pipedata[ID],pipedata[WT])</f>
        <v>0.74</v>
      </c>
      <c r="O2513" s="56">
        <f>_xlfn.XLOOKUP(Survey!$K2513,pipedata[ID],pipedata[104%])</f>
        <v>2565.3333333333335</v>
      </c>
      <c r="P2513" s="57">
        <f t="shared" si="39"/>
        <v>1850</v>
      </c>
      <c r="Q2513" s="58">
        <f>_xlfn.MAXIFS(Survey!$G$2:$G$3647,Survey!$M$2:$M$3647,Survey!$M2513)-Survey!$G2513</f>
        <v>156.10721193014251</v>
      </c>
      <c r="R2513" s="59">
        <f>Survey!$P2513+(Survey!$Q2513*0.433)</f>
        <v>1917.5944227657517</v>
      </c>
    </row>
    <row r="2514" spans="1:18" x14ac:dyDescent="0.25">
      <c r="A2514" s="71" t="s">
        <v>17</v>
      </c>
      <c r="B2514" s="72" t="s">
        <v>22</v>
      </c>
      <c r="C2514" s="73" t="s">
        <v>19</v>
      </c>
      <c r="D2514" s="74">
        <v>245.59017766995865</v>
      </c>
      <c r="E2514" s="81">
        <v>1327369</v>
      </c>
      <c r="F2514" s="82">
        <v>1297733.2372881258</v>
      </c>
      <c r="G2514" s="75">
        <v>2678.4558042370154</v>
      </c>
      <c r="H2514" s="76">
        <v>2</v>
      </c>
      <c r="I2514" s="54" t="s">
        <v>20</v>
      </c>
      <c r="J2514" s="77">
        <v>40</v>
      </c>
      <c r="K2514" s="78">
        <v>2</v>
      </c>
      <c r="L2514" s="54">
        <v>2</v>
      </c>
      <c r="M2514" s="54">
        <f>_xlfn.XLOOKUP(Survey!$F2514,sections[Start],sections[Test Section],,-1,1)</f>
        <v>7</v>
      </c>
      <c r="N2514" s="55">
        <f>_xlfn.XLOOKUP(Survey!$K2514,pipedata[ID],pipedata[WT])</f>
        <v>0.74</v>
      </c>
      <c r="O2514" s="56">
        <f>_xlfn.XLOOKUP(Survey!$K2514,pipedata[ID],pipedata[104%])</f>
        <v>2565.3333333333335</v>
      </c>
      <c r="P2514" s="57">
        <f t="shared" si="39"/>
        <v>1850</v>
      </c>
      <c r="Q2514" s="58">
        <f>_xlfn.MAXIFS(Survey!$G$2:$G$3647,Survey!$M$2:$M$3647,Survey!$M2514)-Survey!$G2514</f>
        <v>156.51797317695855</v>
      </c>
      <c r="R2514" s="59">
        <f>Survey!$P2514+(Survey!$Q2514*0.433)</f>
        <v>1917.7722823856232</v>
      </c>
    </row>
    <row r="2515" spans="1:18" x14ac:dyDescent="0.25">
      <c r="A2515" s="60" t="s">
        <v>17</v>
      </c>
      <c r="B2515" s="61" t="s">
        <v>22</v>
      </c>
      <c r="C2515" s="62" t="s">
        <v>19</v>
      </c>
      <c r="D2515" s="63">
        <v>245.59851250364264</v>
      </c>
      <c r="E2515" s="79">
        <v>1327409</v>
      </c>
      <c r="F2515" s="80">
        <v>1297772.3050847359</v>
      </c>
      <c r="G2515" s="66">
        <v>2676.0306790009677</v>
      </c>
      <c r="H2515" s="67">
        <v>2</v>
      </c>
      <c r="I2515" s="68" t="s">
        <v>20</v>
      </c>
      <c r="J2515" s="69">
        <v>40</v>
      </c>
      <c r="K2515" s="70">
        <v>2</v>
      </c>
      <c r="L2515" s="68">
        <v>2</v>
      </c>
      <c r="M2515" s="68">
        <f>_xlfn.XLOOKUP(Survey!$F2515,sections[Start],sections[Test Section],,-1,1)</f>
        <v>7</v>
      </c>
      <c r="N2515" s="55">
        <f>_xlfn.XLOOKUP(Survey!$K2515,pipedata[ID],pipedata[WT])</f>
        <v>0.74</v>
      </c>
      <c r="O2515" s="56">
        <f>_xlfn.XLOOKUP(Survey!$K2515,pipedata[ID],pipedata[104%])</f>
        <v>2565.3333333333335</v>
      </c>
      <c r="P2515" s="57">
        <f t="shared" si="39"/>
        <v>1850</v>
      </c>
      <c r="Q2515" s="58">
        <f>_xlfn.MAXIFS(Survey!$G$2:$G$3647,Survey!$M$2:$M$3647,Survey!$M2515)-Survey!$G2515</f>
        <v>158.94309841300628</v>
      </c>
      <c r="R2515" s="59">
        <f>Survey!$P2515+(Survey!$Q2515*0.433)</f>
        <v>1918.8223616128316</v>
      </c>
    </row>
    <row r="2516" spans="1:18" x14ac:dyDescent="0.25">
      <c r="A2516" s="71" t="s">
        <v>17</v>
      </c>
      <c r="B2516" s="72" t="s">
        <v>22</v>
      </c>
      <c r="C2516" s="73" t="s">
        <v>19</v>
      </c>
      <c r="D2516" s="74">
        <v>245.60539976875251</v>
      </c>
      <c r="E2516" s="81">
        <v>1327449</v>
      </c>
      <c r="F2516" s="82">
        <v>1297811.3728813459</v>
      </c>
      <c r="G2516" s="75">
        <v>2671.0140294847715</v>
      </c>
      <c r="H2516" s="76">
        <v>2</v>
      </c>
      <c r="I2516" s="54" t="s">
        <v>20</v>
      </c>
      <c r="J2516" s="77">
        <v>40</v>
      </c>
      <c r="K2516" s="78">
        <v>2</v>
      </c>
      <c r="L2516" s="54">
        <v>2</v>
      </c>
      <c r="M2516" s="54">
        <f>_xlfn.XLOOKUP(Survey!$F2516,sections[Start],sections[Test Section],,-1,1)</f>
        <v>7</v>
      </c>
      <c r="N2516" s="55">
        <f>_xlfn.XLOOKUP(Survey!$K2516,pipedata[ID],pipedata[WT])</f>
        <v>0.74</v>
      </c>
      <c r="O2516" s="56">
        <f>_xlfn.XLOOKUP(Survey!$K2516,pipedata[ID],pipedata[104%])</f>
        <v>2565.3333333333335</v>
      </c>
      <c r="P2516" s="57">
        <f t="shared" si="39"/>
        <v>1850</v>
      </c>
      <c r="Q2516" s="58">
        <f>_xlfn.MAXIFS(Survey!$G$2:$G$3647,Survey!$M$2:$M$3647,Survey!$M2516)-Survey!$G2516</f>
        <v>163.95974792920242</v>
      </c>
      <c r="R2516" s="59">
        <f>Survey!$P2516+(Survey!$Q2516*0.433)</f>
        <v>1920.9945708533446</v>
      </c>
    </row>
    <row r="2517" spans="1:18" x14ac:dyDescent="0.25">
      <c r="A2517" s="60" t="s">
        <v>17</v>
      </c>
      <c r="B2517" s="61" t="s">
        <v>22</v>
      </c>
      <c r="C2517" s="62" t="s">
        <v>19</v>
      </c>
      <c r="D2517" s="63">
        <v>245.61233581477677</v>
      </c>
      <c r="E2517" s="64">
        <v>1327489</v>
      </c>
      <c r="F2517" s="65">
        <v>1297850.440677956</v>
      </c>
      <c r="G2517" s="66">
        <v>2667.6756184093019</v>
      </c>
      <c r="H2517" s="67">
        <v>2</v>
      </c>
      <c r="I2517" s="68" t="s">
        <v>20</v>
      </c>
      <c r="J2517" s="69">
        <v>40</v>
      </c>
      <c r="K2517" s="70">
        <v>2</v>
      </c>
      <c r="L2517" s="68">
        <v>2</v>
      </c>
      <c r="M2517" s="68">
        <f>_xlfn.XLOOKUP(Survey!$F2517,sections[Start],sections[Test Section],,-1,1)</f>
        <v>7</v>
      </c>
      <c r="N2517" s="55">
        <f>_xlfn.XLOOKUP(Survey!$K2517,pipedata[ID],pipedata[WT])</f>
        <v>0.74</v>
      </c>
      <c r="O2517" s="56">
        <f>_xlfn.XLOOKUP(Survey!$K2517,pipedata[ID],pipedata[104%])</f>
        <v>2565.3333333333335</v>
      </c>
      <c r="P2517" s="57">
        <f t="shared" si="39"/>
        <v>1850</v>
      </c>
      <c r="Q2517" s="58">
        <f>_xlfn.MAXIFS(Survey!$G$2:$G$3647,Survey!$M$2:$M$3647,Survey!$M2517)-Survey!$G2517</f>
        <v>167.29815900467202</v>
      </c>
      <c r="R2517" s="59">
        <f>Survey!$P2517+(Survey!$Q2517*0.433)</f>
        <v>1922.4401028490229</v>
      </c>
    </row>
    <row r="2518" spans="1:18" x14ac:dyDescent="0.25">
      <c r="A2518" s="71" t="s">
        <v>17</v>
      </c>
      <c r="B2518" s="72" t="s">
        <v>22</v>
      </c>
      <c r="C2518" s="73" t="s">
        <v>19</v>
      </c>
      <c r="D2518" s="74">
        <v>245.62057397608623</v>
      </c>
      <c r="E2518" s="64">
        <v>1327529</v>
      </c>
      <c r="F2518" s="65">
        <v>1297889.508474566</v>
      </c>
      <c r="G2518" s="75">
        <v>2665.6584849101118</v>
      </c>
      <c r="H2518" s="76">
        <v>2</v>
      </c>
      <c r="I2518" s="54" t="s">
        <v>20</v>
      </c>
      <c r="J2518" s="77">
        <v>40</v>
      </c>
      <c r="K2518" s="78">
        <v>2</v>
      </c>
      <c r="L2518" s="54">
        <v>2</v>
      </c>
      <c r="M2518" s="54">
        <f>_xlfn.XLOOKUP(Survey!$F2518,sections[Start],sections[Test Section],,-1,1)</f>
        <v>7</v>
      </c>
      <c r="N2518" s="55">
        <f>_xlfn.XLOOKUP(Survey!$K2518,pipedata[ID],pipedata[WT])</f>
        <v>0.74</v>
      </c>
      <c r="O2518" s="56">
        <f>_xlfn.XLOOKUP(Survey!$K2518,pipedata[ID],pipedata[104%])</f>
        <v>2565.3333333333335</v>
      </c>
      <c r="P2518" s="57">
        <f t="shared" si="39"/>
        <v>1850</v>
      </c>
      <c r="Q2518" s="58">
        <f>_xlfn.MAXIFS(Survey!$G$2:$G$3647,Survey!$M$2:$M$3647,Survey!$M2518)-Survey!$G2518</f>
        <v>169.31529250386211</v>
      </c>
      <c r="R2518" s="59">
        <f>Survey!$P2518+(Survey!$Q2518*0.433)</f>
        <v>1923.3135216541723</v>
      </c>
    </row>
    <row r="2519" spans="1:18" x14ac:dyDescent="0.25">
      <c r="A2519" s="60" t="s">
        <v>17</v>
      </c>
      <c r="B2519" s="61" t="s">
        <v>22</v>
      </c>
      <c r="C2519" s="62" t="s">
        <v>19</v>
      </c>
      <c r="D2519" s="63">
        <v>245.62731780397343</v>
      </c>
      <c r="E2519" s="79">
        <v>1327569</v>
      </c>
      <c r="F2519" s="80">
        <v>1297928.5762711761</v>
      </c>
      <c r="G2519" s="66">
        <v>2664.1271435447215</v>
      </c>
      <c r="H2519" s="67">
        <v>2</v>
      </c>
      <c r="I2519" s="68" t="s">
        <v>20</v>
      </c>
      <c r="J2519" s="69">
        <v>40</v>
      </c>
      <c r="K2519" s="70">
        <v>2</v>
      </c>
      <c r="L2519" s="68">
        <v>2</v>
      </c>
      <c r="M2519" s="68">
        <f>_xlfn.XLOOKUP(Survey!$F2519,sections[Start],sections[Test Section],,-1,1)</f>
        <v>7</v>
      </c>
      <c r="N2519" s="55">
        <f>_xlfn.XLOOKUP(Survey!$K2519,pipedata[ID],pipedata[WT])</f>
        <v>0.74</v>
      </c>
      <c r="O2519" s="56">
        <f>_xlfn.XLOOKUP(Survey!$K2519,pipedata[ID],pipedata[104%])</f>
        <v>2565.3333333333335</v>
      </c>
      <c r="P2519" s="57">
        <f t="shared" si="39"/>
        <v>1850</v>
      </c>
      <c r="Q2519" s="58">
        <f>_xlfn.MAXIFS(Survey!$G$2:$G$3647,Survey!$M$2:$M$3647,Survey!$M2519)-Survey!$G2519</f>
        <v>170.8466338692524</v>
      </c>
      <c r="R2519" s="59">
        <f>Survey!$P2519+(Survey!$Q2519*0.433)</f>
        <v>1923.9765924653864</v>
      </c>
    </row>
    <row r="2520" spans="1:18" x14ac:dyDescent="0.25">
      <c r="A2520" s="71" t="s">
        <v>17</v>
      </c>
      <c r="B2520" s="72" t="s">
        <v>22</v>
      </c>
      <c r="C2520" s="73" t="s">
        <v>19</v>
      </c>
      <c r="D2520" s="74">
        <v>245.63601700679683</v>
      </c>
      <c r="E2520" s="81">
        <v>1327609</v>
      </c>
      <c r="F2520" s="82">
        <v>1297967.6440677862</v>
      </c>
      <c r="G2520" s="75">
        <v>2660.9465669352935</v>
      </c>
      <c r="H2520" s="76">
        <v>2</v>
      </c>
      <c r="I2520" s="54" t="s">
        <v>20</v>
      </c>
      <c r="J2520" s="77">
        <v>40</v>
      </c>
      <c r="K2520" s="78">
        <v>2</v>
      </c>
      <c r="L2520" s="54">
        <v>2</v>
      </c>
      <c r="M2520" s="54">
        <f>_xlfn.XLOOKUP(Survey!$F2520,sections[Start],sections[Test Section],,-1,1)</f>
        <v>7</v>
      </c>
      <c r="N2520" s="55">
        <f>_xlfn.XLOOKUP(Survey!$K2520,pipedata[ID],pipedata[WT])</f>
        <v>0.74</v>
      </c>
      <c r="O2520" s="56">
        <f>_xlfn.XLOOKUP(Survey!$K2520,pipedata[ID],pipedata[104%])</f>
        <v>2565.3333333333335</v>
      </c>
      <c r="P2520" s="57">
        <f t="shared" si="39"/>
        <v>1850</v>
      </c>
      <c r="Q2520" s="58">
        <f>_xlfn.MAXIFS(Survey!$G$2:$G$3647,Survey!$M$2:$M$3647,Survey!$M2520)-Survey!$G2520</f>
        <v>174.02721047868044</v>
      </c>
      <c r="R2520" s="59">
        <f>Survey!$P2520+(Survey!$Q2520*0.433)</f>
        <v>1925.3537821372686</v>
      </c>
    </row>
    <row r="2521" spans="1:18" x14ac:dyDescent="0.25">
      <c r="A2521" s="60" t="s">
        <v>17</v>
      </c>
      <c r="B2521" s="61" t="s">
        <v>22</v>
      </c>
      <c r="C2521" s="62" t="s">
        <v>19</v>
      </c>
      <c r="D2521" s="63">
        <v>245.64375633038784</v>
      </c>
      <c r="E2521" s="79">
        <v>1327649</v>
      </c>
      <c r="F2521" s="80">
        <v>1298006.7118643962</v>
      </c>
      <c r="G2521" s="66">
        <v>2658.3460399716751</v>
      </c>
      <c r="H2521" s="67">
        <v>2</v>
      </c>
      <c r="I2521" s="68" t="s">
        <v>20</v>
      </c>
      <c r="J2521" s="69">
        <v>40</v>
      </c>
      <c r="K2521" s="70">
        <v>2</v>
      </c>
      <c r="L2521" s="68">
        <v>2</v>
      </c>
      <c r="M2521" s="68">
        <f>_xlfn.XLOOKUP(Survey!$F2521,sections[Start],sections[Test Section],,-1,1)</f>
        <v>7</v>
      </c>
      <c r="N2521" s="55">
        <f>_xlfn.XLOOKUP(Survey!$K2521,pipedata[ID],pipedata[WT])</f>
        <v>0.74</v>
      </c>
      <c r="O2521" s="56">
        <f>_xlfn.XLOOKUP(Survey!$K2521,pipedata[ID],pipedata[104%])</f>
        <v>2565.3333333333335</v>
      </c>
      <c r="P2521" s="57">
        <f t="shared" si="39"/>
        <v>1850</v>
      </c>
      <c r="Q2521" s="58">
        <f>_xlfn.MAXIFS(Survey!$G$2:$G$3647,Survey!$M$2:$M$3647,Survey!$M2521)-Survey!$G2521</f>
        <v>176.62773744229889</v>
      </c>
      <c r="R2521" s="59">
        <f>Survey!$P2521+(Survey!$Q2521*0.433)</f>
        <v>1926.4798103125154</v>
      </c>
    </row>
    <row r="2522" spans="1:18" x14ac:dyDescent="0.25">
      <c r="A2522" s="71" t="s">
        <v>17</v>
      </c>
      <c r="B2522" s="72" t="s">
        <v>22</v>
      </c>
      <c r="C2522" s="73" t="s">
        <v>19</v>
      </c>
      <c r="D2522" s="74">
        <v>245.65146003750723</v>
      </c>
      <c r="E2522" s="81">
        <v>1327689</v>
      </c>
      <c r="F2522" s="82">
        <v>1298045.7796610063</v>
      </c>
      <c r="G2522" s="75">
        <v>2656.8796139824863</v>
      </c>
      <c r="H2522" s="76">
        <v>2</v>
      </c>
      <c r="I2522" s="54" t="s">
        <v>20</v>
      </c>
      <c r="J2522" s="77">
        <v>40</v>
      </c>
      <c r="K2522" s="78">
        <v>2</v>
      </c>
      <c r="L2522" s="54">
        <v>2</v>
      </c>
      <c r="M2522" s="54">
        <f>_xlfn.XLOOKUP(Survey!$F2522,sections[Start],sections[Test Section],,-1,1)</f>
        <v>7</v>
      </c>
      <c r="N2522" s="55">
        <f>_xlfn.XLOOKUP(Survey!$K2522,pipedata[ID],pipedata[WT])</f>
        <v>0.74</v>
      </c>
      <c r="O2522" s="56">
        <f>_xlfn.XLOOKUP(Survey!$K2522,pipedata[ID],pipedata[104%])</f>
        <v>2565.3333333333335</v>
      </c>
      <c r="P2522" s="57">
        <f t="shared" si="39"/>
        <v>1850</v>
      </c>
      <c r="Q2522" s="58">
        <f>_xlfn.MAXIFS(Survey!$G$2:$G$3647,Survey!$M$2:$M$3647,Survey!$M2522)-Survey!$G2522</f>
        <v>178.09416343148769</v>
      </c>
      <c r="R2522" s="59">
        <f>Survey!$P2522+(Survey!$Q2522*0.433)</f>
        <v>1927.1147727658342</v>
      </c>
    </row>
    <row r="2523" spans="1:18" x14ac:dyDescent="0.25">
      <c r="A2523" s="60" t="s">
        <v>17</v>
      </c>
      <c r="B2523" s="61" t="s">
        <v>22</v>
      </c>
      <c r="C2523" s="62" t="s">
        <v>19</v>
      </c>
      <c r="D2523" s="63">
        <v>245.65807847924037</v>
      </c>
      <c r="E2523" s="79">
        <v>1327729</v>
      </c>
      <c r="F2523" s="80">
        <v>1298084.8474576164</v>
      </c>
      <c r="G2523" s="66">
        <v>2654.9028096607922</v>
      </c>
      <c r="H2523" s="67">
        <v>2</v>
      </c>
      <c r="I2523" s="68" t="s">
        <v>20</v>
      </c>
      <c r="J2523" s="69">
        <v>40</v>
      </c>
      <c r="K2523" s="70">
        <v>2</v>
      </c>
      <c r="L2523" s="68">
        <v>2</v>
      </c>
      <c r="M2523" s="68">
        <f>_xlfn.XLOOKUP(Survey!$F2523,sections[Start],sections[Test Section],,-1,1)</f>
        <v>7</v>
      </c>
      <c r="N2523" s="55">
        <f>_xlfn.XLOOKUP(Survey!$K2523,pipedata[ID],pipedata[WT])</f>
        <v>0.74</v>
      </c>
      <c r="O2523" s="56">
        <f>_xlfn.XLOOKUP(Survey!$K2523,pipedata[ID],pipedata[104%])</f>
        <v>2565.3333333333335</v>
      </c>
      <c r="P2523" s="57">
        <f t="shared" si="39"/>
        <v>1850</v>
      </c>
      <c r="Q2523" s="58">
        <f>_xlfn.MAXIFS(Survey!$G$2:$G$3647,Survey!$M$2:$M$3647,Survey!$M2523)-Survey!$G2523</f>
        <v>180.07096775318178</v>
      </c>
      <c r="R2523" s="59">
        <f>Survey!$P2523+(Survey!$Q2523*0.433)</f>
        <v>1927.9707290371277</v>
      </c>
    </row>
    <row r="2524" spans="1:18" x14ac:dyDescent="0.25">
      <c r="A2524" s="71" t="s">
        <v>17</v>
      </c>
      <c r="B2524" s="72" t="s">
        <v>22</v>
      </c>
      <c r="C2524" s="73" t="s">
        <v>19</v>
      </c>
      <c r="D2524" s="74">
        <v>245.66567436560882</v>
      </c>
      <c r="E2524" s="81">
        <v>1327769</v>
      </c>
      <c r="F2524" s="82">
        <v>1298123.9152542264</v>
      </c>
      <c r="G2524" s="75">
        <v>2653.1336533183553</v>
      </c>
      <c r="H2524" s="76">
        <v>2</v>
      </c>
      <c r="I2524" s="54" t="s">
        <v>20</v>
      </c>
      <c r="J2524" s="77">
        <v>40</v>
      </c>
      <c r="K2524" s="78">
        <v>2</v>
      </c>
      <c r="L2524" s="54">
        <v>2</v>
      </c>
      <c r="M2524" s="54">
        <f>_xlfn.XLOOKUP(Survey!$F2524,sections[Start],sections[Test Section],,-1,1)</f>
        <v>7</v>
      </c>
      <c r="N2524" s="55">
        <f>_xlfn.XLOOKUP(Survey!$K2524,pipedata[ID],pipedata[WT])</f>
        <v>0.74</v>
      </c>
      <c r="O2524" s="56">
        <f>_xlfn.XLOOKUP(Survey!$K2524,pipedata[ID],pipedata[104%])</f>
        <v>2565.3333333333335</v>
      </c>
      <c r="P2524" s="57">
        <f t="shared" si="39"/>
        <v>1850</v>
      </c>
      <c r="Q2524" s="58">
        <f>_xlfn.MAXIFS(Survey!$G$2:$G$3647,Survey!$M$2:$M$3647,Survey!$M2524)-Survey!$G2524</f>
        <v>181.84012409561865</v>
      </c>
      <c r="R2524" s="59">
        <f>Survey!$P2524+(Survey!$Q2524*0.433)</f>
        <v>1928.736773733403</v>
      </c>
    </row>
    <row r="2525" spans="1:18" x14ac:dyDescent="0.25">
      <c r="A2525" s="60" t="s">
        <v>17</v>
      </c>
      <c r="B2525" s="61" t="s">
        <v>22</v>
      </c>
      <c r="C2525" s="62" t="s">
        <v>19</v>
      </c>
      <c r="D2525" s="63">
        <v>245.6735215099512</v>
      </c>
      <c r="E2525" s="79">
        <v>1327809</v>
      </c>
      <c r="F2525" s="80">
        <v>1298162.9830508365</v>
      </c>
      <c r="G2525" s="66">
        <v>2651.2547064342025</v>
      </c>
      <c r="H2525" s="67">
        <v>2</v>
      </c>
      <c r="I2525" s="68" t="s">
        <v>20</v>
      </c>
      <c r="J2525" s="69">
        <v>40</v>
      </c>
      <c r="K2525" s="70">
        <v>2</v>
      </c>
      <c r="L2525" s="68">
        <v>2</v>
      </c>
      <c r="M2525" s="68">
        <f>_xlfn.XLOOKUP(Survey!$F2525,sections[Start],sections[Test Section],,-1,1)</f>
        <v>7</v>
      </c>
      <c r="N2525" s="55">
        <f>_xlfn.XLOOKUP(Survey!$K2525,pipedata[ID],pipedata[WT])</f>
        <v>0.74</v>
      </c>
      <c r="O2525" s="56">
        <f>_xlfn.XLOOKUP(Survey!$K2525,pipedata[ID],pipedata[104%])</f>
        <v>2565.3333333333335</v>
      </c>
      <c r="P2525" s="57">
        <f t="shared" si="39"/>
        <v>1850</v>
      </c>
      <c r="Q2525" s="58">
        <f>_xlfn.MAXIFS(Survey!$G$2:$G$3647,Survey!$M$2:$M$3647,Survey!$M2525)-Survey!$G2525</f>
        <v>183.71907097977146</v>
      </c>
      <c r="R2525" s="59">
        <f>Survey!$P2525+(Survey!$Q2525*0.433)</f>
        <v>1929.5503577342411</v>
      </c>
    </row>
    <row r="2526" spans="1:18" x14ac:dyDescent="0.25">
      <c r="A2526" s="71" t="s">
        <v>17</v>
      </c>
      <c r="B2526" s="72" t="s">
        <v>22</v>
      </c>
      <c r="C2526" s="73" t="s">
        <v>19</v>
      </c>
      <c r="D2526" s="74">
        <v>245.68013995168434</v>
      </c>
      <c r="E2526" s="81">
        <v>1327849</v>
      </c>
      <c r="F2526" s="82">
        <v>1298202.0508474465</v>
      </c>
      <c r="G2526" s="75">
        <v>2649.1947670066043</v>
      </c>
      <c r="H2526" s="76">
        <v>2</v>
      </c>
      <c r="I2526" s="54" t="s">
        <v>20</v>
      </c>
      <c r="J2526" s="77">
        <v>40</v>
      </c>
      <c r="K2526" s="78">
        <v>2</v>
      </c>
      <c r="L2526" s="54">
        <v>2</v>
      </c>
      <c r="M2526" s="54">
        <f>_xlfn.XLOOKUP(Survey!$F2526,sections[Start],sections[Test Section],,-1,1)</f>
        <v>7</v>
      </c>
      <c r="N2526" s="55">
        <f>_xlfn.XLOOKUP(Survey!$K2526,pipedata[ID],pipedata[WT])</f>
        <v>0.74</v>
      </c>
      <c r="O2526" s="56">
        <f>_xlfn.XLOOKUP(Survey!$K2526,pipedata[ID],pipedata[104%])</f>
        <v>2565.3333333333335</v>
      </c>
      <c r="P2526" s="57">
        <f t="shared" si="39"/>
        <v>1850</v>
      </c>
      <c r="Q2526" s="58">
        <f>_xlfn.MAXIFS(Survey!$G$2:$G$3647,Survey!$M$2:$M$3647,Survey!$M2526)-Survey!$G2526</f>
        <v>185.7790104073697</v>
      </c>
      <c r="R2526" s="59">
        <f>Survey!$P2526+(Survey!$Q2526*0.433)</f>
        <v>1930.442311506391</v>
      </c>
    </row>
    <row r="2527" spans="1:18" x14ac:dyDescent="0.25">
      <c r="A2527" s="60" t="s">
        <v>17</v>
      </c>
      <c r="B2527" s="61" t="s">
        <v>22</v>
      </c>
      <c r="C2527" s="62" t="s">
        <v>19</v>
      </c>
      <c r="D2527" s="63">
        <v>245.68896454066177</v>
      </c>
      <c r="E2527" s="79">
        <v>1327889</v>
      </c>
      <c r="F2527" s="80">
        <v>1298241.1186440566</v>
      </c>
      <c r="G2527" s="66">
        <v>2645.5454993781123</v>
      </c>
      <c r="H2527" s="67">
        <v>2</v>
      </c>
      <c r="I2527" s="68" t="s">
        <v>20</v>
      </c>
      <c r="J2527" s="69">
        <v>40</v>
      </c>
      <c r="K2527" s="70">
        <v>2</v>
      </c>
      <c r="L2527" s="68">
        <v>2</v>
      </c>
      <c r="M2527" s="68">
        <f>_xlfn.XLOOKUP(Survey!$F2527,sections[Start],sections[Test Section],,-1,1)</f>
        <v>7</v>
      </c>
      <c r="N2527" s="55">
        <f>_xlfn.XLOOKUP(Survey!$K2527,pipedata[ID],pipedata[WT])</f>
        <v>0.74</v>
      </c>
      <c r="O2527" s="56">
        <f>_xlfn.XLOOKUP(Survey!$K2527,pipedata[ID],pipedata[104%])</f>
        <v>2565.3333333333335</v>
      </c>
      <c r="P2527" s="57">
        <f t="shared" si="39"/>
        <v>1850</v>
      </c>
      <c r="Q2527" s="58">
        <f>_xlfn.MAXIFS(Survey!$G$2:$G$3647,Survey!$M$2:$M$3647,Survey!$M2527)-Survey!$G2527</f>
        <v>189.42827803586169</v>
      </c>
      <c r="R2527" s="59">
        <f>Survey!$P2527+(Survey!$Q2527*0.433)</f>
        <v>1932.0224443895281</v>
      </c>
    </row>
    <row r="2528" spans="1:18" x14ac:dyDescent="0.25">
      <c r="A2528" s="71" t="s">
        <v>17</v>
      </c>
      <c r="B2528" s="72" t="s">
        <v>22</v>
      </c>
      <c r="C2528" s="73" t="s">
        <v>19</v>
      </c>
      <c r="D2528" s="74">
        <v>245.69558298239531</v>
      </c>
      <c r="E2528" s="81">
        <v>1327929</v>
      </c>
      <c r="F2528" s="82">
        <v>1298280.1864406667</v>
      </c>
      <c r="G2528" s="75">
        <v>2642.8549596192688</v>
      </c>
      <c r="H2528" s="76">
        <v>2</v>
      </c>
      <c r="I2528" s="54" t="s">
        <v>20</v>
      </c>
      <c r="J2528" s="77">
        <v>40</v>
      </c>
      <c r="K2528" s="78">
        <v>2</v>
      </c>
      <c r="L2528" s="54">
        <v>2</v>
      </c>
      <c r="M2528" s="54">
        <f>_xlfn.XLOOKUP(Survey!$F2528,sections[Start],sections[Test Section],,-1,1)</f>
        <v>7</v>
      </c>
      <c r="N2528" s="55">
        <f>_xlfn.XLOOKUP(Survey!$K2528,pipedata[ID],pipedata[WT])</f>
        <v>0.74</v>
      </c>
      <c r="O2528" s="56">
        <f>_xlfn.XLOOKUP(Survey!$K2528,pipedata[ID],pipedata[104%])</f>
        <v>2565.3333333333335</v>
      </c>
      <c r="P2528" s="57">
        <f t="shared" si="39"/>
        <v>1850</v>
      </c>
      <c r="Q2528" s="58">
        <f>_xlfn.MAXIFS(Survey!$G$2:$G$3647,Survey!$M$2:$M$3647,Survey!$M2528)-Survey!$G2528</f>
        <v>192.11881779470514</v>
      </c>
      <c r="R2528" s="59">
        <f>Survey!$P2528+(Survey!$Q2528*0.433)</f>
        <v>1933.1874481051073</v>
      </c>
    </row>
    <row r="2529" spans="1:18" x14ac:dyDescent="0.25">
      <c r="A2529" s="60" t="s">
        <v>17</v>
      </c>
      <c r="B2529" s="61" t="s">
        <v>22</v>
      </c>
      <c r="C2529" s="62" t="s">
        <v>19</v>
      </c>
      <c r="D2529" s="63">
        <v>245.704661418185</v>
      </c>
      <c r="E2529" s="79">
        <v>1327969</v>
      </c>
      <c r="F2529" s="80">
        <v>1298319.2542372767</v>
      </c>
      <c r="G2529" s="66">
        <v>2640.4032074019033</v>
      </c>
      <c r="H2529" s="67">
        <v>2</v>
      </c>
      <c r="I2529" s="68" t="s">
        <v>20</v>
      </c>
      <c r="J2529" s="69">
        <v>40</v>
      </c>
      <c r="K2529" s="70">
        <v>2</v>
      </c>
      <c r="L2529" s="68">
        <v>2</v>
      </c>
      <c r="M2529" s="68">
        <f>_xlfn.XLOOKUP(Survey!$F2529,sections[Start],sections[Test Section],,-1,1)</f>
        <v>7</v>
      </c>
      <c r="N2529" s="55">
        <f>_xlfn.XLOOKUP(Survey!$K2529,pipedata[ID],pipedata[WT])</f>
        <v>0.74</v>
      </c>
      <c r="O2529" s="56">
        <f>_xlfn.XLOOKUP(Survey!$K2529,pipedata[ID],pipedata[104%])</f>
        <v>2565.3333333333335</v>
      </c>
      <c r="P2529" s="57">
        <f t="shared" si="39"/>
        <v>1850</v>
      </c>
      <c r="Q2529" s="58">
        <f>_xlfn.MAXIFS(Survey!$G$2:$G$3647,Survey!$M$2:$M$3647,Survey!$M2529)-Survey!$G2529</f>
        <v>194.57057001207068</v>
      </c>
      <c r="R2529" s="59">
        <f>Survey!$P2529+(Survey!$Q2529*0.433)</f>
        <v>1934.2490568152266</v>
      </c>
    </row>
    <row r="2530" spans="1:18" x14ac:dyDescent="0.25">
      <c r="A2530" s="71" t="s">
        <v>17</v>
      </c>
      <c r="B2530" s="72" t="s">
        <v>22</v>
      </c>
      <c r="C2530" s="73" t="s">
        <v>19</v>
      </c>
      <c r="D2530" s="74">
        <v>245.71204746645751</v>
      </c>
      <c r="E2530" s="81">
        <v>1328009</v>
      </c>
      <c r="F2530" s="82">
        <v>1298358.3220338868</v>
      </c>
      <c r="G2530" s="75">
        <v>2639.2363697285268</v>
      </c>
      <c r="H2530" s="76">
        <v>2</v>
      </c>
      <c r="I2530" s="54" t="s">
        <v>20</v>
      </c>
      <c r="J2530" s="77">
        <v>40</v>
      </c>
      <c r="K2530" s="78">
        <v>2</v>
      </c>
      <c r="L2530" s="54">
        <v>2</v>
      </c>
      <c r="M2530" s="54">
        <f>_xlfn.XLOOKUP(Survey!$F2530,sections[Start],sections[Test Section],,-1,1)</f>
        <v>7</v>
      </c>
      <c r="N2530" s="55">
        <f>_xlfn.XLOOKUP(Survey!$K2530,pipedata[ID],pipedata[WT])</f>
        <v>0.74</v>
      </c>
      <c r="O2530" s="56">
        <f>_xlfn.XLOOKUP(Survey!$K2530,pipedata[ID],pipedata[104%])</f>
        <v>2565.3333333333335</v>
      </c>
      <c r="P2530" s="57">
        <f t="shared" si="39"/>
        <v>1850</v>
      </c>
      <c r="Q2530" s="58">
        <f>_xlfn.MAXIFS(Survey!$G$2:$G$3647,Survey!$M$2:$M$3647,Survey!$M2530)-Survey!$G2530</f>
        <v>195.73740768544712</v>
      </c>
      <c r="R2530" s="59">
        <f>Survey!$P2530+(Survey!$Q2530*0.433)</f>
        <v>1934.7542975277986</v>
      </c>
    </row>
    <row r="2531" spans="1:18" x14ac:dyDescent="0.25">
      <c r="A2531" s="60" t="s">
        <v>17</v>
      </c>
      <c r="B2531" s="61" t="s">
        <v>22</v>
      </c>
      <c r="C2531" s="62" t="s">
        <v>19</v>
      </c>
      <c r="D2531" s="63">
        <v>245.71943351472953</v>
      </c>
      <c r="E2531" s="79">
        <v>1328049</v>
      </c>
      <c r="F2531" s="80">
        <v>1298397.3898304969</v>
      </c>
      <c r="G2531" s="66">
        <v>2637.3379091363809</v>
      </c>
      <c r="H2531" s="67">
        <v>2</v>
      </c>
      <c r="I2531" s="68" t="s">
        <v>20</v>
      </c>
      <c r="J2531" s="69">
        <v>40</v>
      </c>
      <c r="K2531" s="70">
        <v>2</v>
      </c>
      <c r="L2531" s="68">
        <v>2</v>
      </c>
      <c r="M2531" s="68">
        <f>_xlfn.XLOOKUP(Survey!$F2531,sections[Start],sections[Test Section],,-1,1)</f>
        <v>7</v>
      </c>
      <c r="N2531" s="55">
        <f>_xlfn.XLOOKUP(Survey!$K2531,pipedata[ID],pipedata[WT])</f>
        <v>0.74</v>
      </c>
      <c r="O2531" s="56">
        <f>_xlfn.XLOOKUP(Survey!$K2531,pipedata[ID],pipedata[104%])</f>
        <v>2565.3333333333335</v>
      </c>
      <c r="P2531" s="57">
        <f t="shared" si="39"/>
        <v>1850</v>
      </c>
      <c r="Q2531" s="58">
        <f>_xlfn.MAXIFS(Survey!$G$2:$G$3647,Survey!$M$2:$M$3647,Survey!$M2531)-Survey!$G2531</f>
        <v>197.63586827759309</v>
      </c>
      <c r="R2531" s="59">
        <f>Survey!$P2531+(Survey!$Q2531*0.433)</f>
        <v>1935.5763309641977</v>
      </c>
    </row>
    <row r="2532" spans="1:18" x14ac:dyDescent="0.25">
      <c r="A2532" s="71" t="s">
        <v>17</v>
      </c>
      <c r="B2532" s="72" t="s">
        <v>22</v>
      </c>
      <c r="C2532" s="73" t="s">
        <v>19</v>
      </c>
      <c r="D2532" s="74">
        <v>245.72681956300246</v>
      </c>
      <c r="E2532" s="81">
        <v>1328089</v>
      </c>
      <c r="F2532" s="82">
        <v>1298436.4576271069</v>
      </c>
      <c r="G2532" s="75">
        <v>2638.3753881902808</v>
      </c>
      <c r="H2532" s="76">
        <v>2</v>
      </c>
      <c r="I2532" s="54" t="s">
        <v>20</v>
      </c>
      <c r="J2532" s="77">
        <v>40</v>
      </c>
      <c r="K2532" s="78">
        <v>2</v>
      </c>
      <c r="L2532" s="54">
        <v>2</v>
      </c>
      <c r="M2532" s="54">
        <f>_xlfn.XLOOKUP(Survey!$F2532,sections[Start],sections[Test Section],,-1,1)</f>
        <v>7</v>
      </c>
      <c r="N2532" s="55">
        <f>_xlfn.XLOOKUP(Survey!$K2532,pipedata[ID],pipedata[WT])</f>
        <v>0.74</v>
      </c>
      <c r="O2532" s="56">
        <f>_xlfn.XLOOKUP(Survey!$K2532,pipedata[ID],pipedata[104%])</f>
        <v>2565.3333333333335</v>
      </c>
      <c r="P2532" s="57">
        <f t="shared" si="39"/>
        <v>1850</v>
      </c>
      <c r="Q2532" s="58">
        <f>_xlfn.MAXIFS(Survey!$G$2:$G$3647,Survey!$M$2:$M$3647,Survey!$M2532)-Survey!$G2532</f>
        <v>196.59838922369318</v>
      </c>
      <c r="R2532" s="59">
        <f>Survey!$P2532+(Survey!$Q2532*0.433)</f>
        <v>1935.1271025338592</v>
      </c>
    </row>
    <row r="2533" spans="1:18" x14ac:dyDescent="0.25">
      <c r="A2533" s="60" t="s">
        <v>17</v>
      </c>
      <c r="B2533" s="61" t="s">
        <v>22</v>
      </c>
      <c r="C2533" s="62" t="s">
        <v>19</v>
      </c>
      <c r="D2533" s="63">
        <v>245.73420561127406</v>
      </c>
      <c r="E2533" s="79">
        <v>1328129</v>
      </c>
      <c r="F2533" s="80">
        <v>1298475.525423717</v>
      </c>
      <c r="G2533" s="66">
        <v>2638.8528792718048</v>
      </c>
      <c r="H2533" s="67">
        <v>2</v>
      </c>
      <c r="I2533" s="68" t="s">
        <v>20</v>
      </c>
      <c r="J2533" s="69">
        <v>40</v>
      </c>
      <c r="K2533" s="70">
        <v>2</v>
      </c>
      <c r="L2533" s="68">
        <v>2</v>
      </c>
      <c r="M2533" s="68">
        <f>_xlfn.XLOOKUP(Survey!$F2533,sections[Start],sections[Test Section],,-1,1)</f>
        <v>7</v>
      </c>
      <c r="N2533" s="55">
        <f>_xlfn.XLOOKUP(Survey!$K2533,pipedata[ID],pipedata[WT])</f>
        <v>0.74</v>
      </c>
      <c r="O2533" s="56">
        <f>_xlfn.XLOOKUP(Survey!$K2533,pipedata[ID],pipedata[104%])</f>
        <v>2565.3333333333335</v>
      </c>
      <c r="P2533" s="57">
        <f t="shared" si="39"/>
        <v>1850</v>
      </c>
      <c r="Q2533" s="58">
        <f>_xlfn.MAXIFS(Survey!$G$2:$G$3647,Survey!$M$2:$M$3647,Survey!$M2533)-Survey!$G2533</f>
        <v>196.12089814216915</v>
      </c>
      <c r="R2533" s="59">
        <f>Survey!$P2533+(Survey!$Q2533*0.433)</f>
        <v>1934.9203488955593</v>
      </c>
    </row>
    <row r="2534" spans="1:18" x14ac:dyDescent="0.25">
      <c r="A2534" s="71" t="s">
        <v>17</v>
      </c>
      <c r="B2534" s="72" t="s">
        <v>22</v>
      </c>
      <c r="C2534" s="73" t="s">
        <v>19</v>
      </c>
      <c r="D2534" s="74">
        <v>245.74238748889022</v>
      </c>
      <c r="E2534" s="81">
        <v>1328169</v>
      </c>
      <c r="F2534" s="82">
        <v>1298514.593220327</v>
      </c>
      <c r="G2534" s="75">
        <v>2640.0195837615133</v>
      </c>
      <c r="H2534" s="76">
        <v>2</v>
      </c>
      <c r="I2534" s="54" t="s">
        <v>20</v>
      </c>
      <c r="J2534" s="77">
        <v>40</v>
      </c>
      <c r="K2534" s="78">
        <v>2</v>
      </c>
      <c r="L2534" s="54">
        <v>2</v>
      </c>
      <c r="M2534" s="54">
        <f>_xlfn.XLOOKUP(Survey!$F2534,sections[Start],sections[Test Section],,-1,1)</f>
        <v>7</v>
      </c>
      <c r="N2534" s="55">
        <f>_xlfn.XLOOKUP(Survey!$K2534,pipedata[ID],pipedata[WT])</f>
        <v>0.74</v>
      </c>
      <c r="O2534" s="56">
        <f>_xlfn.XLOOKUP(Survey!$K2534,pipedata[ID],pipedata[104%])</f>
        <v>2565.3333333333335</v>
      </c>
      <c r="P2534" s="57">
        <f t="shared" si="39"/>
        <v>1850</v>
      </c>
      <c r="Q2534" s="58">
        <f>_xlfn.MAXIFS(Survey!$G$2:$G$3647,Survey!$M$2:$M$3647,Survey!$M2534)-Survey!$G2534</f>
        <v>194.95419365246062</v>
      </c>
      <c r="R2534" s="59">
        <f>Survey!$P2534+(Survey!$Q2534*0.433)</f>
        <v>1934.4151658515154</v>
      </c>
    </row>
    <row r="2535" spans="1:18" x14ac:dyDescent="0.25">
      <c r="A2535" s="60" t="s">
        <v>17</v>
      </c>
      <c r="B2535" s="61" t="s">
        <v>22</v>
      </c>
      <c r="C2535" s="62" t="s">
        <v>19</v>
      </c>
      <c r="D2535" s="63">
        <v>245.74897770781888</v>
      </c>
      <c r="E2535" s="79">
        <v>1328209</v>
      </c>
      <c r="F2535" s="80">
        <v>1298553.6610169371</v>
      </c>
      <c r="G2535" s="66">
        <v>2640.6910565317944</v>
      </c>
      <c r="H2535" s="67">
        <v>2</v>
      </c>
      <c r="I2535" s="68" t="s">
        <v>20</v>
      </c>
      <c r="J2535" s="69">
        <v>40</v>
      </c>
      <c r="K2535" s="70">
        <v>2</v>
      </c>
      <c r="L2535" s="68">
        <v>2</v>
      </c>
      <c r="M2535" s="68">
        <f>_xlfn.XLOOKUP(Survey!$F2535,sections[Start],sections[Test Section],,-1,1)</f>
        <v>7</v>
      </c>
      <c r="N2535" s="55">
        <f>_xlfn.XLOOKUP(Survey!$K2535,pipedata[ID],pipedata[WT])</f>
        <v>0.74</v>
      </c>
      <c r="O2535" s="56">
        <f>_xlfn.XLOOKUP(Survey!$K2535,pipedata[ID],pipedata[104%])</f>
        <v>2565.3333333333335</v>
      </c>
      <c r="P2535" s="57">
        <f t="shared" si="39"/>
        <v>1850</v>
      </c>
      <c r="Q2535" s="58">
        <f>_xlfn.MAXIFS(Survey!$G$2:$G$3647,Survey!$M$2:$M$3647,Survey!$M2535)-Survey!$G2535</f>
        <v>194.28272088217955</v>
      </c>
      <c r="R2535" s="59">
        <f>Survey!$P2535+(Survey!$Q2535*0.433)</f>
        <v>1934.1244181419838</v>
      </c>
    </row>
    <row r="2536" spans="1:18" x14ac:dyDescent="0.25">
      <c r="A2536" s="71" t="s">
        <v>17</v>
      </c>
      <c r="B2536" s="72" t="s">
        <v>22</v>
      </c>
      <c r="C2536" s="73" t="s">
        <v>19</v>
      </c>
      <c r="D2536" s="74">
        <v>245.75735510523893</v>
      </c>
      <c r="E2536" s="81">
        <v>1328249</v>
      </c>
      <c r="F2536" s="82">
        <v>1298592.7288135472</v>
      </c>
      <c r="G2536" s="75">
        <v>2641.4395349713291</v>
      </c>
      <c r="H2536" s="76">
        <v>2</v>
      </c>
      <c r="I2536" s="54" t="s">
        <v>20</v>
      </c>
      <c r="J2536" s="77">
        <v>40</v>
      </c>
      <c r="K2536" s="78">
        <v>2</v>
      </c>
      <c r="L2536" s="54">
        <v>2</v>
      </c>
      <c r="M2536" s="54">
        <f>_xlfn.XLOOKUP(Survey!$F2536,sections[Start],sections[Test Section],,-1,1)</f>
        <v>7</v>
      </c>
      <c r="N2536" s="55">
        <f>_xlfn.XLOOKUP(Survey!$K2536,pipedata[ID],pipedata[WT])</f>
        <v>0.74</v>
      </c>
      <c r="O2536" s="56">
        <f>_xlfn.XLOOKUP(Survey!$K2536,pipedata[ID],pipedata[104%])</f>
        <v>2565.3333333333335</v>
      </c>
      <c r="P2536" s="57">
        <f t="shared" si="39"/>
        <v>1850</v>
      </c>
      <c r="Q2536" s="58">
        <f>_xlfn.MAXIFS(Survey!$G$2:$G$3647,Survey!$M$2:$M$3647,Survey!$M2536)-Survey!$G2536</f>
        <v>193.53424244264488</v>
      </c>
      <c r="R2536" s="59">
        <f>Survey!$P2536+(Survey!$Q2536*0.433)</f>
        <v>1933.8003269776652</v>
      </c>
    </row>
    <row r="2537" spans="1:18" x14ac:dyDescent="0.25">
      <c r="A2537" s="60" t="s">
        <v>17</v>
      </c>
      <c r="B2537" s="61" t="s">
        <v>22</v>
      </c>
      <c r="C2537" s="62" t="s">
        <v>19</v>
      </c>
      <c r="D2537" s="63">
        <v>245.76430552411347</v>
      </c>
      <c r="E2537" s="79">
        <v>1328289</v>
      </c>
      <c r="F2537" s="80">
        <v>1298631.7966101572</v>
      </c>
      <c r="G2537" s="66">
        <v>2642.9741124644579</v>
      </c>
      <c r="H2537" s="67">
        <v>2</v>
      </c>
      <c r="I2537" s="68" t="s">
        <v>20</v>
      </c>
      <c r="J2537" s="69">
        <v>40</v>
      </c>
      <c r="K2537" s="70">
        <v>2</v>
      </c>
      <c r="L2537" s="68">
        <v>2</v>
      </c>
      <c r="M2537" s="68">
        <f>_xlfn.XLOOKUP(Survey!$F2537,sections[Start],sections[Test Section],,-1,1)</f>
        <v>7</v>
      </c>
      <c r="N2537" s="55">
        <f>_xlfn.XLOOKUP(Survey!$K2537,pipedata[ID],pipedata[WT])</f>
        <v>0.74</v>
      </c>
      <c r="O2537" s="56">
        <f>_xlfn.XLOOKUP(Survey!$K2537,pipedata[ID],pipedata[104%])</f>
        <v>2565.3333333333335</v>
      </c>
      <c r="P2537" s="57">
        <f t="shared" si="39"/>
        <v>1850</v>
      </c>
      <c r="Q2537" s="58">
        <f>_xlfn.MAXIFS(Survey!$G$2:$G$3647,Survey!$M$2:$M$3647,Survey!$M2537)-Survey!$G2537</f>
        <v>191.99966494951605</v>
      </c>
      <c r="R2537" s="59">
        <f>Survey!$P2537+(Survey!$Q2537*0.433)</f>
        <v>1933.1358549231404</v>
      </c>
    </row>
    <row r="2538" spans="1:18" x14ac:dyDescent="0.25">
      <c r="A2538" s="71" t="s">
        <v>17</v>
      </c>
      <c r="B2538" s="72" t="s">
        <v>22</v>
      </c>
      <c r="C2538" s="73" t="s">
        <v>19</v>
      </c>
      <c r="D2538" s="74">
        <v>245.77232100114674</v>
      </c>
      <c r="E2538" s="81">
        <v>1328329</v>
      </c>
      <c r="F2538" s="82">
        <v>1298670.8644067673</v>
      </c>
      <c r="G2538" s="75">
        <v>2643.8383319999925</v>
      </c>
      <c r="H2538" s="76">
        <v>2</v>
      </c>
      <c r="I2538" s="54" t="s">
        <v>20</v>
      </c>
      <c r="J2538" s="77">
        <v>29</v>
      </c>
      <c r="K2538" s="78">
        <v>2</v>
      </c>
      <c r="L2538" s="54">
        <v>2</v>
      </c>
      <c r="M2538" s="54">
        <f>_xlfn.XLOOKUP(Survey!$F2538,sections[Start],sections[Test Section],,-1,1)</f>
        <v>7</v>
      </c>
      <c r="N2538" s="55">
        <f>_xlfn.XLOOKUP(Survey!$K2538,pipedata[ID],pipedata[WT])</f>
        <v>0.74</v>
      </c>
      <c r="O2538" s="56">
        <f>_xlfn.XLOOKUP(Survey!$K2538,pipedata[ID],pipedata[104%])</f>
        <v>2565.3333333333335</v>
      </c>
      <c r="P2538" s="57">
        <f t="shared" si="39"/>
        <v>1850</v>
      </c>
      <c r="Q2538" s="58">
        <f>_xlfn.MAXIFS(Survey!$G$2:$G$3647,Survey!$M$2:$M$3647,Survey!$M2538)-Survey!$G2538</f>
        <v>191.13544541398142</v>
      </c>
      <c r="R2538" s="59">
        <f>Survey!$P2538+(Survey!$Q2538*0.433)</f>
        <v>1932.761647864254</v>
      </c>
    </row>
    <row r="2539" spans="1:18" x14ac:dyDescent="0.25">
      <c r="A2539" s="60" t="s">
        <v>17</v>
      </c>
      <c r="B2539" s="61" t="s">
        <v>22</v>
      </c>
      <c r="C2539" s="62" t="s">
        <v>19</v>
      </c>
      <c r="D2539" s="63">
        <v>245.77989834191328</v>
      </c>
      <c r="E2539" s="79">
        <v>1328358</v>
      </c>
      <c r="F2539" s="80">
        <v>1298749</v>
      </c>
      <c r="G2539" s="66">
        <v>2643.4957204862294</v>
      </c>
      <c r="H2539" s="67">
        <v>2</v>
      </c>
      <c r="I2539" s="68" t="s">
        <v>21</v>
      </c>
      <c r="J2539" s="69">
        <v>40</v>
      </c>
      <c r="K2539" s="70">
        <v>4</v>
      </c>
      <c r="L2539" s="68">
        <v>2</v>
      </c>
      <c r="M2539" s="68">
        <f>_xlfn.XLOOKUP(Survey!$F2539,sections[Start],sections[Test Section],,-1,1)</f>
        <v>7</v>
      </c>
      <c r="N2539" s="55">
        <f>_xlfn.XLOOKUP(Survey!$K2539,pipedata[ID],pipedata[WT])</f>
        <v>0.74</v>
      </c>
      <c r="O2539" s="56">
        <f>_xlfn.XLOOKUP(Survey!$K2539,pipedata[ID],pipedata[104%])</f>
        <v>2565.3333333333335</v>
      </c>
      <c r="P2539" s="57">
        <f t="shared" si="39"/>
        <v>1850</v>
      </c>
      <c r="Q2539" s="58">
        <f>_xlfn.MAXIFS(Survey!$G$2:$G$3647,Survey!$M$2:$M$3647,Survey!$M2539)-Survey!$G2539</f>
        <v>191.47805692774455</v>
      </c>
      <c r="R2539" s="59">
        <f>Survey!$P2539+(Survey!$Q2539*0.433)</f>
        <v>1932.9099986497133</v>
      </c>
    </row>
    <row r="2540" spans="1:18" x14ac:dyDescent="0.25">
      <c r="A2540" s="71" t="s">
        <v>17</v>
      </c>
      <c r="B2540" s="72" t="s">
        <v>22</v>
      </c>
      <c r="C2540" s="73" t="s">
        <v>19</v>
      </c>
      <c r="D2540" s="74">
        <v>245.78747568267974</v>
      </c>
      <c r="E2540" s="81">
        <v>1328398</v>
      </c>
      <c r="F2540" s="82">
        <v>1298789</v>
      </c>
      <c r="G2540" s="75">
        <v>2643.8195625846834</v>
      </c>
      <c r="H2540" s="76">
        <v>2</v>
      </c>
      <c r="I2540" s="54" t="s">
        <v>20</v>
      </c>
      <c r="J2540" s="77">
        <v>51</v>
      </c>
      <c r="K2540" s="78">
        <v>2</v>
      </c>
      <c r="L2540" s="54">
        <v>2</v>
      </c>
      <c r="M2540" s="54">
        <f>_xlfn.XLOOKUP(Survey!$F2540,sections[Start],sections[Test Section],,-1,1)</f>
        <v>7</v>
      </c>
      <c r="N2540" s="55">
        <f>_xlfn.XLOOKUP(Survey!$K2540,pipedata[ID],pipedata[WT])</f>
        <v>0.74</v>
      </c>
      <c r="O2540" s="56">
        <f>_xlfn.XLOOKUP(Survey!$K2540,pipedata[ID],pipedata[104%])</f>
        <v>2565.3333333333335</v>
      </c>
      <c r="P2540" s="57">
        <f t="shared" si="39"/>
        <v>1850</v>
      </c>
      <c r="Q2540" s="58">
        <f>_xlfn.MAXIFS(Survey!$G$2:$G$3647,Survey!$M$2:$M$3647,Survey!$M2540)-Survey!$G2540</f>
        <v>191.15421482929059</v>
      </c>
      <c r="R2540" s="59">
        <f>Survey!$P2540+(Survey!$Q2540*0.433)</f>
        <v>1932.7697750210828</v>
      </c>
    </row>
    <row r="2541" spans="1:18" x14ac:dyDescent="0.25">
      <c r="A2541" s="60" t="s">
        <v>17</v>
      </c>
      <c r="B2541" s="61" t="s">
        <v>22</v>
      </c>
      <c r="C2541" s="62" t="s">
        <v>19</v>
      </c>
      <c r="D2541" s="63">
        <v>245.79505302344629</v>
      </c>
      <c r="E2541" s="79">
        <v>1328449</v>
      </c>
      <c r="F2541" s="80">
        <v>1298827.2</v>
      </c>
      <c r="G2541" s="66">
        <v>2643.8606459662878</v>
      </c>
      <c r="H2541" s="67">
        <v>2</v>
      </c>
      <c r="I2541" s="68" t="s">
        <v>20</v>
      </c>
      <c r="J2541" s="69">
        <v>40</v>
      </c>
      <c r="K2541" s="70">
        <v>2</v>
      </c>
      <c r="L2541" s="68">
        <v>2</v>
      </c>
      <c r="M2541" s="68">
        <f>_xlfn.XLOOKUP(Survey!$F2541,sections[Start],sections[Test Section],,-1,1)</f>
        <v>7</v>
      </c>
      <c r="N2541" s="55">
        <f>_xlfn.XLOOKUP(Survey!$K2541,pipedata[ID],pipedata[WT])</f>
        <v>0.74</v>
      </c>
      <c r="O2541" s="56">
        <f>_xlfn.XLOOKUP(Survey!$K2541,pipedata[ID],pipedata[104%])</f>
        <v>2565.3333333333335</v>
      </c>
      <c r="P2541" s="57">
        <f t="shared" si="39"/>
        <v>1850</v>
      </c>
      <c r="Q2541" s="58">
        <f>_xlfn.MAXIFS(Survey!$G$2:$G$3647,Survey!$M$2:$M$3647,Survey!$M2541)-Survey!$G2541</f>
        <v>191.1131314476861</v>
      </c>
      <c r="R2541" s="59">
        <f>Survey!$P2541+(Survey!$Q2541*0.433)</f>
        <v>1932.7519859168481</v>
      </c>
    </row>
    <row r="2542" spans="1:18" x14ac:dyDescent="0.25">
      <c r="A2542" s="71" t="s">
        <v>17</v>
      </c>
      <c r="B2542" s="72" t="s">
        <v>22</v>
      </c>
      <c r="C2542" s="73" t="s">
        <v>19</v>
      </c>
      <c r="D2542" s="74">
        <v>245.80263036421275</v>
      </c>
      <c r="E2542" s="81">
        <v>1328489</v>
      </c>
      <c r="F2542" s="82">
        <v>1298865.3999999999</v>
      </c>
      <c r="G2542" s="75">
        <v>2644.1821784668214</v>
      </c>
      <c r="H2542" s="76">
        <v>2</v>
      </c>
      <c r="I2542" s="54" t="s">
        <v>20</v>
      </c>
      <c r="J2542" s="77">
        <v>40</v>
      </c>
      <c r="K2542" s="78">
        <v>2</v>
      </c>
      <c r="L2542" s="54">
        <v>2</v>
      </c>
      <c r="M2542" s="54">
        <f>_xlfn.XLOOKUP(Survey!$F2542,sections[Start],sections[Test Section],,-1,1)</f>
        <v>7</v>
      </c>
      <c r="N2542" s="55">
        <f>_xlfn.XLOOKUP(Survey!$K2542,pipedata[ID],pipedata[WT])</f>
        <v>0.74</v>
      </c>
      <c r="O2542" s="56">
        <f>_xlfn.XLOOKUP(Survey!$K2542,pipedata[ID],pipedata[104%])</f>
        <v>2565.3333333333335</v>
      </c>
      <c r="P2542" s="57">
        <f t="shared" si="39"/>
        <v>1850</v>
      </c>
      <c r="Q2542" s="58">
        <f>_xlfn.MAXIFS(Survey!$G$2:$G$3647,Survey!$M$2:$M$3647,Survey!$M2542)-Survey!$G2542</f>
        <v>190.79159894715258</v>
      </c>
      <c r="R2542" s="59">
        <f>Survey!$P2542+(Survey!$Q2542*0.433)</f>
        <v>1932.6127623441171</v>
      </c>
    </row>
    <row r="2543" spans="1:18" x14ac:dyDescent="0.25">
      <c r="A2543" s="60" t="s">
        <v>17</v>
      </c>
      <c r="B2543" s="61" t="s">
        <v>22</v>
      </c>
      <c r="C2543" s="62" t="s">
        <v>19</v>
      </c>
      <c r="D2543" s="63">
        <v>245.81020770497918</v>
      </c>
      <c r="E2543" s="79">
        <v>1328529</v>
      </c>
      <c r="F2543" s="80">
        <v>1298903.5999999999</v>
      </c>
      <c r="G2543" s="66">
        <v>2644.1001229030035</v>
      </c>
      <c r="H2543" s="67">
        <v>2</v>
      </c>
      <c r="I2543" s="68" t="s">
        <v>20</v>
      </c>
      <c r="J2543" s="69">
        <v>40</v>
      </c>
      <c r="K2543" s="70">
        <v>2</v>
      </c>
      <c r="L2543" s="68">
        <v>2</v>
      </c>
      <c r="M2543" s="68">
        <f>_xlfn.XLOOKUP(Survey!$F2543,sections[Start],sections[Test Section],,-1,1)</f>
        <v>7</v>
      </c>
      <c r="N2543" s="55">
        <f>_xlfn.XLOOKUP(Survey!$K2543,pipedata[ID],pipedata[WT])</f>
        <v>0.74</v>
      </c>
      <c r="O2543" s="56">
        <f>_xlfn.XLOOKUP(Survey!$K2543,pipedata[ID],pipedata[104%])</f>
        <v>2565.3333333333335</v>
      </c>
      <c r="P2543" s="57">
        <f t="shared" si="39"/>
        <v>1850</v>
      </c>
      <c r="Q2543" s="58">
        <f>_xlfn.MAXIFS(Survey!$G$2:$G$3647,Survey!$M$2:$M$3647,Survey!$M2543)-Survey!$G2543</f>
        <v>190.87365451097048</v>
      </c>
      <c r="R2543" s="59">
        <f>Survey!$P2543+(Survey!$Q2543*0.433)</f>
        <v>1932.6482924032503</v>
      </c>
    </row>
    <row r="2544" spans="1:18" x14ac:dyDescent="0.25">
      <c r="A2544" s="71" t="s">
        <v>17</v>
      </c>
      <c r="B2544" s="72" t="s">
        <v>22</v>
      </c>
      <c r="C2544" s="73" t="s">
        <v>19</v>
      </c>
      <c r="D2544" s="74">
        <v>245.81789715227131</v>
      </c>
      <c r="E2544" s="81">
        <v>1328569</v>
      </c>
      <c r="F2544" s="82">
        <v>1298941.7999999998</v>
      </c>
      <c r="G2544" s="75">
        <v>2644.5200000000041</v>
      </c>
      <c r="H2544" s="76">
        <v>2</v>
      </c>
      <c r="I2544" s="54" t="s">
        <v>20</v>
      </c>
      <c r="J2544" s="77">
        <v>40</v>
      </c>
      <c r="K2544" s="78">
        <v>2</v>
      </c>
      <c r="L2544" s="54">
        <v>2</v>
      </c>
      <c r="M2544" s="54">
        <f>_xlfn.XLOOKUP(Survey!$F2544,sections[Start],sections[Test Section],,-1,1)</f>
        <v>7</v>
      </c>
      <c r="N2544" s="55">
        <f>_xlfn.XLOOKUP(Survey!$K2544,pipedata[ID],pipedata[WT])</f>
        <v>0.74</v>
      </c>
      <c r="O2544" s="56">
        <f>_xlfn.XLOOKUP(Survey!$K2544,pipedata[ID],pipedata[104%])</f>
        <v>2565.3333333333335</v>
      </c>
      <c r="P2544" s="57">
        <f t="shared" si="39"/>
        <v>1850</v>
      </c>
      <c r="Q2544" s="58">
        <f>_xlfn.MAXIFS(Survey!$G$2:$G$3647,Survey!$M$2:$M$3647,Survey!$M2544)-Survey!$G2544</f>
        <v>190.45377741396987</v>
      </c>
      <c r="R2544" s="59">
        <f>Survey!$P2544+(Survey!$Q2544*0.433)</f>
        <v>1932.4664856202489</v>
      </c>
    </row>
    <row r="2545" spans="1:18" x14ac:dyDescent="0.25">
      <c r="A2545" s="60" t="s">
        <v>17</v>
      </c>
      <c r="B2545" s="61" t="s">
        <v>22</v>
      </c>
      <c r="C2545" s="62" t="s">
        <v>19</v>
      </c>
      <c r="D2545" s="63">
        <v>245.82563264673519</v>
      </c>
      <c r="E2545" s="79">
        <v>1328609</v>
      </c>
      <c r="F2545" s="80">
        <v>1298979.9999999998</v>
      </c>
      <c r="G2545" s="66">
        <v>2644.2861130516003</v>
      </c>
      <c r="H2545" s="67">
        <v>2</v>
      </c>
      <c r="I2545" s="68" t="s">
        <v>20</v>
      </c>
      <c r="J2545" s="69">
        <v>40</v>
      </c>
      <c r="K2545" s="70">
        <v>2</v>
      </c>
      <c r="L2545" s="68">
        <v>2</v>
      </c>
      <c r="M2545" s="68">
        <f>_xlfn.XLOOKUP(Survey!$F2545,sections[Start],sections[Test Section],,-1,1)</f>
        <v>7</v>
      </c>
      <c r="N2545" s="55">
        <f>_xlfn.XLOOKUP(Survey!$K2545,pipedata[ID],pipedata[WT])</f>
        <v>0.74</v>
      </c>
      <c r="O2545" s="56">
        <f>_xlfn.XLOOKUP(Survey!$K2545,pipedata[ID],pipedata[104%])</f>
        <v>2565.3333333333335</v>
      </c>
      <c r="P2545" s="57">
        <f t="shared" si="39"/>
        <v>1850</v>
      </c>
      <c r="Q2545" s="58">
        <f>_xlfn.MAXIFS(Survey!$G$2:$G$3647,Survey!$M$2:$M$3647,Survey!$M2545)-Survey!$G2545</f>
        <v>190.68766436237365</v>
      </c>
      <c r="R2545" s="59">
        <f>Survey!$P2545+(Survey!$Q2545*0.433)</f>
        <v>1932.5677586689078</v>
      </c>
    </row>
    <row r="2546" spans="1:18" x14ac:dyDescent="0.25">
      <c r="A2546" s="71" t="s">
        <v>17</v>
      </c>
      <c r="B2546" s="72" t="s">
        <v>22</v>
      </c>
      <c r="C2546" s="73" t="s">
        <v>19</v>
      </c>
      <c r="D2546" s="74">
        <v>245.83293972727864</v>
      </c>
      <c r="E2546" s="81">
        <v>1328649</v>
      </c>
      <c r="F2546" s="82">
        <v>1299018.1999999997</v>
      </c>
      <c r="G2546" s="75">
        <v>2644.5062217021764</v>
      </c>
      <c r="H2546" s="76">
        <v>2</v>
      </c>
      <c r="I2546" s="54" t="s">
        <v>20</v>
      </c>
      <c r="J2546" s="77">
        <v>40</v>
      </c>
      <c r="K2546" s="78">
        <v>2</v>
      </c>
      <c r="L2546" s="54">
        <v>2</v>
      </c>
      <c r="M2546" s="54">
        <f>_xlfn.XLOOKUP(Survey!$F2546,sections[Start],sections[Test Section],,-1,1)</f>
        <v>7</v>
      </c>
      <c r="N2546" s="55">
        <f>_xlfn.XLOOKUP(Survey!$K2546,pipedata[ID],pipedata[WT])</f>
        <v>0.74</v>
      </c>
      <c r="O2546" s="56">
        <f>_xlfn.XLOOKUP(Survey!$K2546,pipedata[ID],pipedata[104%])</f>
        <v>2565.3333333333335</v>
      </c>
      <c r="P2546" s="57">
        <f t="shared" si="39"/>
        <v>1850</v>
      </c>
      <c r="Q2546" s="58">
        <f>_xlfn.MAXIFS(Survey!$G$2:$G$3647,Survey!$M$2:$M$3647,Survey!$M2546)-Survey!$G2546</f>
        <v>190.46755571179756</v>
      </c>
      <c r="R2546" s="59">
        <f>Survey!$P2546+(Survey!$Q2546*0.433)</f>
        <v>1932.4724516232084</v>
      </c>
    </row>
    <row r="2547" spans="1:18" x14ac:dyDescent="0.25">
      <c r="A2547" s="60" t="s">
        <v>17</v>
      </c>
      <c r="B2547" s="61" t="s">
        <v>22</v>
      </c>
      <c r="C2547" s="62" t="s">
        <v>19</v>
      </c>
      <c r="D2547" s="63">
        <v>245.84061563916421</v>
      </c>
      <c r="E2547" s="79">
        <v>1328689</v>
      </c>
      <c r="F2547" s="80">
        <v>1299056.3999999997</v>
      </c>
      <c r="G2547" s="66">
        <v>2644.291695026569</v>
      </c>
      <c r="H2547" s="67">
        <v>2</v>
      </c>
      <c r="I2547" s="68" t="s">
        <v>20</v>
      </c>
      <c r="J2547" s="69">
        <v>40</v>
      </c>
      <c r="K2547" s="70">
        <v>2</v>
      </c>
      <c r="L2547" s="68">
        <v>2</v>
      </c>
      <c r="M2547" s="68">
        <f>_xlfn.XLOOKUP(Survey!$F2547,sections[Start],sections[Test Section],,-1,1)</f>
        <v>7</v>
      </c>
      <c r="N2547" s="55">
        <f>_xlfn.XLOOKUP(Survey!$K2547,pipedata[ID],pipedata[WT])</f>
        <v>0.74</v>
      </c>
      <c r="O2547" s="56">
        <f>_xlfn.XLOOKUP(Survey!$K2547,pipedata[ID],pipedata[104%])</f>
        <v>2565.3333333333335</v>
      </c>
      <c r="P2547" s="57">
        <f t="shared" si="39"/>
        <v>1850</v>
      </c>
      <c r="Q2547" s="58">
        <f>_xlfn.MAXIFS(Survey!$G$2:$G$3647,Survey!$M$2:$M$3647,Survey!$M2547)-Survey!$G2547</f>
        <v>190.68208238740499</v>
      </c>
      <c r="R2547" s="59">
        <f>Survey!$P2547+(Survey!$Q2547*0.433)</f>
        <v>1932.5653416737464</v>
      </c>
    </row>
    <row r="2548" spans="1:18" x14ac:dyDescent="0.25">
      <c r="A2548" s="71" t="s">
        <v>17</v>
      </c>
      <c r="B2548" s="72" t="s">
        <v>22</v>
      </c>
      <c r="C2548" s="73" t="s">
        <v>19</v>
      </c>
      <c r="D2548" s="74">
        <v>245.84830014277802</v>
      </c>
      <c r="E2548" s="81">
        <v>1328729</v>
      </c>
      <c r="F2548" s="82">
        <v>1299094.5999999996</v>
      </c>
      <c r="G2548" s="75">
        <v>2643.9953997482762</v>
      </c>
      <c r="H2548" s="76">
        <v>2</v>
      </c>
      <c r="I2548" s="54" t="s">
        <v>20</v>
      </c>
      <c r="J2548" s="77">
        <v>40</v>
      </c>
      <c r="K2548" s="78">
        <v>2</v>
      </c>
      <c r="L2548" s="54">
        <v>2</v>
      </c>
      <c r="M2548" s="54">
        <f>_xlfn.XLOOKUP(Survey!$F2548,sections[Start],sections[Test Section],,-1,1)</f>
        <v>7</v>
      </c>
      <c r="N2548" s="55">
        <f>_xlfn.XLOOKUP(Survey!$K2548,pipedata[ID],pipedata[WT])</f>
        <v>0.74</v>
      </c>
      <c r="O2548" s="56">
        <f>_xlfn.XLOOKUP(Survey!$K2548,pipedata[ID],pipedata[104%])</f>
        <v>2565.3333333333335</v>
      </c>
      <c r="P2548" s="57">
        <f t="shared" si="39"/>
        <v>1850</v>
      </c>
      <c r="Q2548" s="58">
        <f>_xlfn.MAXIFS(Survey!$G$2:$G$3647,Survey!$M$2:$M$3647,Survey!$M2548)-Survey!$G2548</f>
        <v>190.97837766569774</v>
      </c>
      <c r="R2548" s="59">
        <f>Survey!$P2548+(Survey!$Q2548*0.433)</f>
        <v>1932.6936375292471</v>
      </c>
    </row>
    <row r="2549" spans="1:18" x14ac:dyDescent="0.25">
      <c r="A2549" s="60" t="s">
        <v>17</v>
      </c>
      <c r="B2549" s="61" t="s">
        <v>22</v>
      </c>
      <c r="C2549" s="62" t="s">
        <v>19</v>
      </c>
      <c r="D2549" s="63">
        <v>245.85568689677933</v>
      </c>
      <c r="E2549" s="79">
        <v>1328769</v>
      </c>
      <c r="F2549" s="80">
        <v>1299132.7999999996</v>
      </c>
      <c r="G2549" s="66">
        <v>2643.1403049187456</v>
      </c>
      <c r="H2549" s="67">
        <v>2</v>
      </c>
      <c r="I2549" s="68" t="s">
        <v>20</v>
      </c>
      <c r="J2549" s="69">
        <v>40</v>
      </c>
      <c r="K2549" s="70">
        <v>2</v>
      </c>
      <c r="L2549" s="68">
        <v>2</v>
      </c>
      <c r="M2549" s="68">
        <f>_xlfn.XLOOKUP(Survey!$F2549,sections[Start],sections[Test Section],,-1,1)</f>
        <v>7</v>
      </c>
      <c r="N2549" s="55">
        <f>_xlfn.XLOOKUP(Survey!$K2549,pipedata[ID],pipedata[WT])</f>
        <v>0.74</v>
      </c>
      <c r="O2549" s="56">
        <f>_xlfn.XLOOKUP(Survey!$K2549,pipedata[ID],pipedata[104%])</f>
        <v>2565.3333333333335</v>
      </c>
      <c r="P2549" s="57">
        <f t="shared" si="39"/>
        <v>1850</v>
      </c>
      <c r="Q2549" s="58">
        <f>_xlfn.MAXIFS(Survey!$G$2:$G$3647,Survey!$M$2:$M$3647,Survey!$M2549)-Survey!$G2549</f>
        <v>191.83347249522831</v>
      </c>
      <c r="R2549" s="59">
        <f>Survey!$P2549+(Survey!$Q2549*0.433)</f>
        <v>1933.063893590434</v>
      </c>
    </row>
    <row r="2550" spans="1:18" x14ac:dyDescent="0.25">
      <c r="A2550" s="71" t="s">
        <v>17</v>
      </c>
      <c r="B2550" s="72" t="s">
        <v>22</v>
      </c>
      <c r="C2550" s="73" t="s">
        <v>19</v>
      </c>
      <c r="D2550" s="74">
        <v>245.86327186073021</v>
      </c>
      <c r="E2550" s="81">
        <v>1328809</v>
      </c>
      <c r="F2550" s="82">
        <v>1299170.9999999995</v>
      </c>
      <c r="G2550" s="75">
        <v>2642.0248561894336</v>
      </c>
      <c r="H2550" s="76">
        <v>2</v>
      </c>
      <c r="I2550" s="54" t="s">
        <v>20</v>
      </c>
      <c r="J2550" s="77">
        <v>40</v>
      </c>
      <c r="K2550" s="78">
        <v>2</v>
      </c>
      <c r="L2550" s="54">
        <v>2</v>
      </c>
      <c r="M2550" s="54">
        <f>_xlfn.XLOOKUP(Survey!$F2550,sections[Start],sections[Test Section],,-1,1)</f>
        <v>7</v>
      </c>
      <c r="N2550" s="55">
        <f>_xlfn.XLOOKUP(Survey!$K2550,pipedata[ID],pipedata[WT])</f>
        <v>0.74</v>
      </c>
      <c r="O2550" s="56">
        <f>_xlfn.XLOOKUP(Survey!$K2550,pipedata[ID],pipedata[104%])</f>
        <v>2565.3333333333335</v>
      </c>
      <c r="P2550" s="57">
        <f t="shared" si="39"/>
        <v>1850</v>
      </c>
      <c r="Q2550" s="58">
        <f>_xlfn.MAXIFS(Survey!$G$2:$G$3647,Survey!$M$2:$M$3647,Survey!$M2550)-Survey!$G2550</f>
        <v>192.9489212245403</v>
      </c>
      <c r="R2550" s="59">
        <f>Survey!$P2550+(Survey!$Q2550*0.433)</f>
        <v>1933.546882890226</v>
      </c>
    </row>
    <row r="2551" spans="1:18" x14ac:dyDescent="0.25">
      <c r="A2551" s="60" t="s">
        <v>17</v>
      </c>
      <c r="B2551" s="61" t="s">
        <v>22</v>
      </c>
      <c r="C2551" s="62" t="s">
        <v>19</v>
      </c>
      <c r="D2551" s="63">
        <v>245.87085682468106</v>
      </c>
      <c r="E2551" s="79">
        <v>1328849</v>
      </c>
      <c r="F2551" s="80">
        <v>1299209.1999999995</v>
      </c>
      <c r="G2551" s="66">
        <v>2639.330218186723</v>
      </c>
      <c r="H2551" s="67">
        <v>2</v>
      </c>
      <c r="I2551" s="68" t="s">
        <v>20</v>
      </c>
      <c r="J2551" s="69">
        <v>40</v>
      </c>
      <c r="K2551" s="70">
        <v>2</v>
      </c>
      <c r="L2551" s="68">
        <v>2</v>
      </c>
      <c r="M2551" s="68">
        <f>_xlfn.XLOOKUP(Survey!$F2551,sections[Start],sections[Test Section],,-1,1)</f>
        <v>7</v>
      </c>
      <c r="N2551" s="55">
        <f>_xlfn.XLOOKUP(Survey!$K2551,pipedata[ID],pipedata[WT])</f>
        <v>0.74</v>
      </c>
      <c r="O2551" s="56">
        <f>_xlfn.XLOOKUP(Survey!$K2551,pipedata[ID],pipedata[104%])</f>
        <v>2565.3333333333335</v>
      </c>
      <c r="P2551" s="57">
        <f t="shared" si="39"/>
        <v>1850</v>
      </c>
      <c r="Q2551" s="58">
        <f>_xlfn.MAXIFS(Survey!$G$2:$G$3647,Survey!$M$2:$M$3647,Survey!$M2551)-Survey!$G2551</f>
        <v>195.64355922725099</v>
      </c>
      <c r="R2551" s="59">
        <f>Survey!$P2551+(Survey!$Q2551*0.433)</f>
        <v>1934.7136611453998</v>
      </c>
    </row>
    <row r="2552" spans="1:18" x14ac:dyDescent="0.25">
      <c r="A2552" s="71" t="s">
        <v>17</v>
      </c>
      <c r="B2552" s="72" t="s">
        <v>22</v>
      </c>
      <c r="C2552" s="73" t="s">
        <v>19</v>
      </c>
      <c r="D2552" s="74">
        <v>245.8784417886319</v>
      </c>
      <c r="E2552" s="81">
        <v>1328889</v>
      </c>
      <c r="F2552" s="82">
        <v>1299247.3999999994</v>
      </c>
      <c r="G2552" s="75">
        <v>2637.7033674737995</v>
      </c>
      <c r="H2552" s="76">
        <v>2</v>
      </c>
      <c r="I2552" s="54" t="s">
        <v>20</v>
      </c>
      <c r="J2552" s="77">
        <v>40</v>
      </c>
      <c r="K2552" s="78">
        <v>2</v>
      </c>
      <c r="L2552" s="54">
        <v>2</v>
      </c>
      <c r="M2552" s="54">
        <f>_xlfn.XLOOKUP(Survey!$F2552,sections[Start],sections[Test Section],,-1,1)</f>
        <v>7</v>
      </c>
      <c r="N2552" s="55">
        <f>_xlfn.XLOOKUP(Survey!$K2552,pipedata[ID],pipedata[WT])</f>
        <v>0.74</v>
      </c>
      <c r="O2552" s="56">
        <f>_xlfn.XLOOKUP(Survey!$K2552,pipedata[ID],pipedata[104%])</f>
        <v>2565.3333333333335</v>
      </c>
      <c r="P2552" s="57">
        <f t="shared" si="39"/>
        <v>1850</v>
      </c>
      <c r="Q2552" s="58">
        <f>_xlfn.MAXIFS(Survey!$G$2:$G$3647,Survey!$M$2:$M$3647,Survey!$M2552)-Survey!$G2552</f>
        <v>197.27040994017443</v>
      </c>
      <c r="R2552" s="59">
        <f>Survey!$P2552+(Survey!$Q2552*0.433)</f>
        <v>1935.4180875040956</v>
      </c>
    </row>
    <row r="2553" spans="1:18" x14ac:dyDescent="0.25">
      <c r="A2553" s="60" t="s">
        <v>17</v>
      </c>
      <c r="B2553" s="61" t="s">
        <v>22</v>
      </c>
      <c r="C2553" s="62" t="s">
        <v>19</v>
      </c>
      <c r="D2553" s="63">
        <v>245.88624972355717</v>
      </c>
      <c r="E2553" s="79">
        <v>1328929</v>
      </c>
      <c r="F2553" s="80">
        <v>1299285.5999999994</v>
      </c>
      <c r="G2553" s="66">
        <v>2637.1489539401791</v>
      </c>
      <c r="H2553" s="67">
        <v>2</v>
      </c>
      <c r="I2553" s="68" t="s">
        <v>20</v>
      </c>
      <c r="J2553" s="69">
        <v>43</v>
      </c>
      <c r="K2553" s="70">
        <v>2</v>
      </c>
      <c r="L2553" s="68">
        <v>2</v>
      </c>
      <c r="M2553" s="68">
        <f>_xlfn.XLOOKUP(Survey!$F2553,sections[Start],sections[Test Section],,-1,1)</f>
        <v>7</v>
      </c>
      <c r="N2553" s="55">
        <f>_xlfn.XLOOKUP(Survey!$K2553,pipedata[ID],pipedata[WT])</f>
        <v>0.74</v>
      </c>
      <c r="O2553" s="56">
        <f>_xlfn.XLOOKUP(Survey!$K2553,pipedata[ID],pipedata[104%])</f>
        <v>2565.3333333333335</v>
      </c>
      <c r="P2553" s="57">
        <f t="shared" si="39"/>
        <v>1850</v>
      </c>
      <c r="Q2553" s="58">
        <f>_xlfn.MAXIFS(Survey!$G$2:$G$3647,Survey!$M$2:$M$3647,Survey!$M2553)-Survey!$G2553</f>
        <v>197.82482347379482</v>
      </c>
      <c r="R2553" s="59">
        <f>Survey!$P2553+(Survey!$Q2553*0.433)</f>
        <v>1935.6581485641532</v>
      </c>
    </row>
    <row r="2554" spans="1:18" x14ac:dyDescent="0.25">
      <c r="A2554" s="71" t="s">
        <v>17</v>
      </c>
      <c r="B2554" s="72" t="s">
        <v>22</v>
      </c>
      <c r="C2554" s="73" t="s">
        <v>19</v>
      </c>
      <c r="D2554" s="74">
        <v>245.89361171653366</v>
      </c>
      <c r="E2554" s="81">
        <v>1328972</v>
      </c>
      <c r="F2554" s="82">
        <v>1299362</v>
      </c>
      <c r="G2554" s="75">
        <v>2638.2112358549125</v>
      </c>
      <c r="H2554" s="76">
        <v>3</v>
      </c>
      <c r="I2554" s="54" t="s">
        <v>21</v>
      </c>
      <c r="J2554" s="77">
        <v>37</v>
      </c>
      <c r="K2554" s="78">
        <v>5</v>
      </c>
      <c r="L2554" s="54">
        <v>2</v>
      </c>
      <c r="M2554" s="54">
        <f>_xlfn.XLOOKUP(Survey!$F2554,sections[Start],sections[Test Section],,-1,1)</f>
        <v>7</v>
      </c>
      <c r="N2554" s="55">
        <f>_xlfn.XLOOKUP(Survey!$K2554,pipedata[ID],pipedata[WT])</f>
        <v>0.88800000000000001</v>
      </c>
      <c r="O2554" s="56">
        <f>_xlfn.XLOOKUP(Survey!$K2554,pipedata[ID],pipedata[104%])</f>
        <v>3078.4</v>
      </c>
      <c r="P2554" s="57">
        <f t="shared" si="39"/>
        <v>1850</v>
      </c>
      <c r="Q2554" s="58">
        <f>_xlfn.MAXIFS(Survey!$G$2:$G$3647,Survey!$M$2:$M$3647,Survey!$M2554)-Survey!$G2554</f>
        <v>196.76254155906145</v>
      </c>
      <c r="R2554" s="59">
        <f>Survey!$P2554+(Survey!$Q2554*0.433)</f>
        <v>1935.1981804950735</v>
      </c>
    </row>
    <row r="2555" spans="1:18" x14ac:dyDescent="0.25">
      <c r="A2555" s="60" t="s">
        <v>17</v>
      </c>
      <c r="B2555" s="61" t="s">
        <v>22</v>
      </c>
      <c r="C2555" s="62" t="s">
        <v>19</v>
      </c>
      <c r="D2555" s="63">
        <v>245.9011966804845</v>
      </c>
      <c r="E2555" s="79">
        <v>1329009</v>
      </c>
      <c r="F2555" s="80">
        <v>1299402</v>
      </c>
      <c r="G2555" s="66">
        <v>2645.7299999999882</v>
      </c>
      <c r="H2555" s="67">
        <v>3</v>
      </c>
      <c r="I2555" s="68" t="s">
        <v>21</v>
      </c>
      <c r="J2555" s="69">
        <v>43</v>
      </c>
      <c r="K2555" s="70">
        <v>5</v>
      </c>
      <c r="L2555" s="68">
        <v>2</v>
      </c>
      <c r="M2555" s="68">
        <f>_xlfn.XLOOKUP(Survey!$F2555,sections[Start],sections[Test Section],,-1,1)</f>
        <v>7</v>
      </c>
      <c r="N2555" s="55">
        <f>_xlfn.XLOOKUP(Survey!$K2555,pipedata[ID],pipedata[WT])</f>
        <v>0.88800000000000001</v>
      </c>
      <c r="O2555" s="56">
        <f>_xlfn.XLOOKUP(Survey!$K2555,pipedata[ID],pipedata[104%])</f>
        <v>3078.4</v>
      </c>
      <c r="P2555" s="57">
        <f t="shared" si="39"/>
        <v>1850</v>
      </c>
      <c r="Q2555" s="58">
        <f>_xlfn.MAXIFS(Survey!$G$2:$G$3647,Survey!$M$2:$M$3647,Survey!$M2555)-Survey!$G2555</f>
        <v>189.24377741398575</v>
      </c>
      <c r="R2555" s="59">
        <f>Survey!$P2555+(Survey!$Q2555*0.433)</f>
        <v>1931.9425556202559</v>
      </c>
    </row>
    <row r="2556" spans="1:18" x14ac:dyDescent="0.25">
      <c r="A2556" s="71" t="s">
        <v>17</v>
      </c>
      <c r="B2556" s="72" t="s">
        <v>22</v>
      </c>
      <c r="C2556" s="73" t="s">
        <v>19</v>
      </c>
      <c r="D2556" s="74">
        <v>245.90878164443535</v>
      </c>
      <c r="E2556" s="81">
        <v>1329052</v>
      </c>
      <c r="F2556" s="82">
        <v>1299442</v>
      </c>
      <c r="G2556" s="75">
        <v>2641.7028784871391</v>
      </c>
      <c r="H2556" s="76">
        <v>2</v>
      </c>
      <c r="I2556" s="54" t="s">
        <v>20</v>
      </c>
      <c r="J2556" s="77">
        <v>37</v>
      </c>
      <c r="K2556" s="78">
        <v>2</v>
      </c>
      <c r="L2556" s="54">
        <v>2</v>
      </c>
      <c r="M2556" s="54">
        <f>_xlfn.XLOOKUP(Survey!$F2556,sections[Start],sections[Test Section],,-1,1)</f>
        <v>7</v>
      </c>
      <c r="N2556" s="55">
        <f>_xlfn.XLOOKUP(Survey!$K2556,pipedata[ID],pipedata[WT])</f>
        <v>0.74</v>
      </c>
      <c r="O2556" s="56">
        <f>_xlfn.XLOOKUP(Survey!$K2556,pipedata[ID],pipedata[104%])</f>
        <v>2565.3333333333335</v>
      </c>
      <c r="P2556" s="57">
        <f t="shared" si="39"/>
        <v>1850</v>
      </c>
      <c r="Q2556" s="58">
        <f>_xlfn.MAXIFS(Survey!$G$2:$G$3647,Survey!$M$2:$M$3647,Survey!$M2556)-Survey!$G2556</f>
        <v>193.27089892683489</v>
      </c>
      <c r="R2556" s="59">
        <f>Survey!$P2556+(Survey!$Q2556*0.433)</f>
        <v>1933.6862992353194</v>
      </c>
    </row>
    <row r="2557" spans="1:18" x14ac:dyDescent="0.25">
      <c r="A2557" s="60" t="s">
        <v>17</v>
      </c>
      <c r="B2557" s="61" t="s">
        <v>22</v>
      </c>
      <c r="C2557" s="62" t="s">
        <v>19</v>
      </c>
      <c r="D2557" s="63">
        <v>245.91612390302802</v>
      </c>
      <c r="E2557" s="79">
        <v>1329089</v>
      </c>
      <c r="F2557" s="80">
        <v>1299481.6000000001</v>
      </c>
      <c r="G2557" s="66">
        <v>2643.418395945152</v>
      </c>
      <c r="H2557" s="67">
        <v>2</v>
      </c>
      <c r="I2557" s="68" t="s">
        <v>20</v>
      </c>
      <c r="J2557" s="69">
        <v>40</v>
      </c>
      <c r="K2557" s="70">
        <v>2</v>
      </c>
      <c r="L2557" s="68">
        <v>2</v>
      </c>
      <c r="M2557" s="68">
        <f>_xlfn.XLOOKUP(Survey!$F2557,sections[Start],sections[Test Section],,-1,1)</f>
        <v>7</v>
      </c>
      <c r="N2557" s="55">
        <f>_xlfn.XLOOKUP(Survey!$K2557,pipedata[ID],pipedata[WT])</f>
        <v>0.74</v>
      </c>
      <c r="O2557" s="56">
        <f>_xlfn.XLOOKUP(Survey!$K2557,pipedata[ID],pipedata[104%])</f>
        <v>2565.3333333333335</v>
      </c>
      <c r="P2557" s="57">
        <f t="shared" si="39"/>
        <v>1850</v>
      </c>
      <c r="Q2557" s="58">
        <f>_xlfn.MAXIFS(Survey!$G$2:$G$3647,Survey!$M$2:$M$3647,Survey!$M2557)-Survey!$G2557</f>
        <v>191.55538146882191</v>
      </c>
      <c r="R2557" s="59">
        <f>Survey!$P2557+(Survey!$Q2557*0.433)</f>
        <v>1932.9434801759999</v>
      </c>
    </row>
    <row r="2558" spans="1:18" x14ac:dyDescent="0.25">
      <c r="A2558" s="71" t="s">
        <v>17</v>
      </c>
      <c r="B2558" s="72" t="s">
        <v>22</v>
      </c>
      <c r="C2558" s="73" t="s">
        <v>19</v>
      </c>
      <c r="D2558" s="74">
        <v>245.9235818053445</v>
      </c>
      <c r="E2558" s="81">
        <v>1329129</v>
      </c>
      <c r="F2558" s="82">
        <v>1299521.2000000002</v>
      </c>
      <c r="G2558" s="75">
        <v>2646.3854992320335</v>
      </c>
      <c r="H2558" s="76">
        <v>2</v>
      </c>
      <c r="I2558" s="54" t="s">
        <v>20</v>
      </c>
      <c r="J2558" s="77">
        <v>40</v>
      </c>
      <c r="K2558" s="78">
        <v>2</v>
      </c>
      <c r="L2558" s="54">
        <v>2</v>
      </c>
      <c r="M2558" s="54">
        <f>_xlfn.XLOOKUP(Survey!$F2558,sections[Start],sections[Test Section],,-1,1)</f>
        <v>7</v>
      </c>
      <c r="N2558" s="55">
        <f>_xlfn.XLOOKUP(Survey!$K2558,pipedata[ID],pipedata[WT])</f>
        <v>0.74</v>
      </c>
      <c r="O2558" s="56">
        <f>_xlfn.XLOOKUP(Survey!$K2558,pipedata[ID],pipedata[104%])</f>
        <v>2565.3333333333335</v>
      </c>
      <c r="P2558" s="57">
        <f t="shared" si="39"/>
        <v>1850</v>
      </c>
      <c r="Q2558" s="58">
        <f>_xlfn.MAXIFS(Survey!$G$2:$G$3647,Survey!$M$2:$M$3647,Survey!$M2558)-Survey!$G2558</f>
        <v>188.5882781819405</v>
      </c>
      <c r="R2558" s="59">
        <f>Survey!$P2558+(Survey!$Q2558*0.433)</f>
        <v>1931.6587244527802</v>
      </c>
    </row>
    <row r="2559" spans="1:18" x14ac:dyDescent="0.25">
      <c r="A2559" s="60" t="s">
        <v>17</v>
      </c>
      <c r="B2559" s="61" t="s">
        <v>22</v>
      </c>
      <c r="C2559" s="62" t="s">
        <v>19</v>
      </c>
      <c r="D2559" s="63">
        <v>245.93116676929534</v>
      </c>
      <c r="E2559" s="79">
        <v>1329169</v>
      </c>
      <c r="F2559" s="80">
        <v>1299560.8000000003</v>
      </c>
      <c r="G2559" s="66">
        <v>2649.9265342640674</v>
      </c>
      <c r="H2559" s="67">
        <v>2</v>
      </c>
      <c r="I2559" s="68" t="s">
        <v>20</v>
      </c>
      <c r="J2559" s="69">
        <v>40</v>
      </c>
      <c r="K2559" s="70">
        <v>2</v>
      </c>
      <c r="L2559" s="68">
        <v>2</v>
      </c>
      <c r="M2559" s="68">
        <f>_xlfn.XLOOKUP(Survey!$F2559,sections[Start],sections[Test Section],,-1,1)</f>
        <v>7</v>
      </c>
      <c r="N2559" s="55">
        <f>_xlfn.XLOOKUP(Survey!$K2559,pipedata[ID],pipedata[WT])</f>
        <v>0.74</v>
      </c>
      <c r="O2559" s="56">
        <f>_xlfn.XLOOKUP(Survey!$K2559,pipedata[ID],pipedata[104%])</f>
        <v>2565.3333333333335</v>
      </c>
      <c r="P2559" s="57">
        <f t="shared" si="39"/>
        <v>1850</v>
      </c>
      <c r="Q2559" s="58">
        <f>_xlfn.MAXIFS(Survey!$G$2:$G$3647,Survey!$M$2:$M$3647,Survey!$M2559)-Survey!$G2559</f>
        <v>185.04724314990654</v>
      </c>
      <c r="R2559" s="59">
        <f>Survey!$P2559+(Survey!$Q2559*0.433)</f>
        <v>1930.1254562839094</v>
      </c>
    </row>
    <row r="2560" spans="1:18" x14ac:dyDescent="0.25">
      <c r="A2560" s="71" t="s">
        <v>17</v>
      </c>
      <c r="B2560" s="72" t="s">
        <v>22</v>
      </c>
      <c r="C2560" s="73" t="s">
        <v>19</v>
      </c>
      <c r="D2560" s="74">
        <v>245.93875173324619</v>
      </c>
      <c r="E2560" s="81">
        <v>1329209</v>
      </c>
      <c r="F2560" s="82">
        <v>1299600.4000000004</v>
      </c>
      <c r="G2560" s="75">
        <v>2652.9700000000662</v>
      </c>
      <c r="H2560" s="76">
        <v>2</v>
      </c>
      <c r="I2560" s="54" t="s">
        <v>20</v>
      </c>
      <c r="J2560" s="77">
        <v>40</v>
      </c>
      <c r="K2560" s="78">
        <v>2</v>
      </c>
      <c r="L2560" s="54">
        <v>2</v>
      </c>
      <c r="M2560" s="54">
        <f>_xlfn.XLOOKUP(Survey!$F2560,sections[Start],sections[Test Section],,-1,1)</f>
        <v>7</v>
      </c>
      <c r="N2560" s="55">
        <f>_xlfn.XLOOKUP(Survey!$K2560,pipedata[ID],pipedata[WT])</f>
        <v>0.74</v>
      </c>
      <c r="O2560" s="56">
        <f>_xlfn.XLOOKUP(Survey!$K2560,pipedata[ID],pipedata[104%])</f>
        <v>2565.3333333333335</v>
      </c>
      <c r="P2560" s="57">
        <f t="shared" si="39"/>
        <v>1850</v>
      </c>
      <c r="Q2560" s="58">
        <f>_xlfn.MAXIFS(Survey!$G$2:$G$3647,Survey!$M$2:$M$3647,Survey!$M2560)-Survey!$G2560</f>
        <v>182.00377741390776</v>
      </c>
      <c r="R2560" s="59">
        <f>Survey!$P2560+(Survey!$Q2560*0.433)</f>
        <v>1928.8076356202221</v>
      </c>
    </row>
    <row r="2561" spans="1:18" x14ac:dyDescent="0.25">
      <c r="A2561" s="60" t="s">
        <v>17</v>
      </c>
      <c r="B2561" s="61" t="s">
        <v>22</v>
      </c>
      <c r="C2561" s="62" t="s">
        <v>19</v>
      </c>
      <c r="D2561" s="63">
        <v>245.94640161621473</v>
      </c>
      <c r="E2561" s="79">
        <v>1329249</v>
      </c>
      <c r="F2561" s="80">
        <v>1299640.0000000005</v>
      </c>
      <c r="G2561" s="66">
        <v>2657.0103274701237</v>
      </c>
      <c r="H2561" s="67">
        <v>2</v>
      </c>
      <c r="I2561" s="68" t="s">
        <v>20</v>
      </c>
      <c r="J2561" s="69">
        <v>40</v>
      </c>
      <c r="K2561" s="70">
        <v>2</v>
      </c>
      <c r="L2561" s="68">
        <v>2</v>
      </c>
      <c r="M2561" s="68">
        <f>_xlfn.XLOOKUP(Survey!$F2561,sections[Start],sections[Test Section],,-1,1)</f>
        <v>7</v>
      </c>
      <c r="N2561" s="55">
        <f>_xlfn.XLOOKUP(Survey!$K2561,pipedata[ID],pipedata[WT])</f>
        <v>0.74</v>
      </c>
      <c r="O2561" s="56">
        <f>_xlfn.XLOOKUP(Survey!$K2561,pipedata[ID],pipedata[104%])</f>
        <v>2565.3333333333335</v>
      </c>
      <c r="P2561" s="57">
        <f t="shared" si="39"/>
        <v>1850</v>
      </c>
      <c r="Q2561" s="58">
        <f>_xlfn.MAXIFS(Survey!$G$2:$G$3647,Survey!$M$2:$M$3647,Survey!$M2561)-Survey!$G2561</f>
        <v>177.96344994385026</v>
      </c>
      <c r="R2561" s="59">
        <f>Survey!$P2561+(Survey!$Q2561*0.433)</f>
        <v>1927.0581738256872</v>
      </c>
    </row>
    <row r="2562" spans="1:18" x14ac:dyDescent="0.25">
      <c r="A2562" s="71" t="s">
        <v>17</v>
      </c>
      <c r="B2562" s="72" t="s">
        <v>22</v>
      </c>
      <c r="C2562" s="73" t="s">
        <v>19</v>
      </c>
      <c r="D2562" s="74">
        <v>245.95392166114789</v>
      </c>
      <c r="E2562" s="81">
        <v>1329289</v>
      </c>
      <c r="F2562" s="82">
        <v>1299679.6000000006</v>
      </c>
      <c r="G2562" s="75">
        <v>2663.0124019528462</v>
      </c>
      <c r="H2562" s="76">
        <v>2</v>
      </c>
      <c r="I2562" s="54" t="s">
        <v>20</v>
      </c>
      <c r="J2562" s="77">
        <v>40</v>
      </c>
      <c r="K2562" s="78">
        <v>2</v>
      </c>
      <c r="L2562" s="54">
        <v>2</v>
      </c>
      <c r="M2562" s="54">
        <f>_xlfn.XLOOKUP(Survey!$F2562,sections[Start],sections[Test Section],,-1,1)</f>
        <v>7</v>
      </c>
      <c r="N2562" s="55">
        <f>_xlfn.XLOOKUP(Survey!$K2562,pipedata[ID],pipedata[WT])</f>
        <v>0.74</v>
      </c>
      <c r="O2562" s="56">
        <f>_xlfn.XLOOKUP(Survey!$K2562,pipedata[ID],pipedata[104%])</f>
        <v>2565.3333333333335</v>
      </c>
      <c r="P2562" s="57">
        <f t="shared" ref="P2562:P2625" si="40">IF(L2562=1,1850,IF(L2562=2,1850,2220))</f>
        <v>1850</v>
      </c>
      <c r="Q2562" s="58">
        <f>_xlfn.MAXIFS(Survey!$G$2:$G$3647,Survey!$M$2:$M$3647,Survey!$M2562)-Survey!$G2562</f>
        <v>171.96137546112777</v>
      </c>
      <c r="R2562" s="59">
        <f>Survey!$P2562+(Survey!$Q2562*0.433)</f>
        <v>1924.4592755746683</v>
      </c>
    </row>
    <row r="2563" spans="1:18" x14ac:dyDescent="0.25">
      <c r="A2563" s="60" t="s">
        <v>17</v>
      </c>
      <c r="B2563" s="61" t="s">
        <v>22</v>
      </c>
      <c r="C2563" s="62" t="s">
        <v>19</v>
      </c>
      <c r="D2563" s="63">
        <v>245.96126927833777</v>
      </c>
      <c r="E2563" s="79">
        <v>1329329</v>
      </c>
      <c r="F2563" s="80">
        <v>1299719.2000000007</v>
      </c>
      <c r="G2563" s="66">
        <v>2670.144355857924</v>
      </c>
      <c r="H2563" s="67">
        <v>2</v>
      </c>
      <c r="I2563" s="68" t="s">
        <v>20</v>
      </c>
      <c r="J2563" s="69">
        <v>40</v>
      </c>
      <c r="K2563" s="70">
        <v>2</v>
      </c>
      <c r="L2563" s="68">
        <v>2</v>
      </c>
      <c r="M2563" s="68">
        <f>_xlfn.XLOOKUP(Survey!$F2563,sections[Start],sections[Test Section],,-1,1)</f>
        <v>7</v>
      </c>
      <c r="N2563" s="55">
        <f>_xlfn.XLOOKUP(Survey!$K2563,pipedata[ID],pipedata[WT])</f>
        <v>0.74</v>
      </c>
      <c r="O2563" s="56">
        <f>_xlfn.XLOOKUP(Survey!$K2563,pipedata[ID],pipedata[104%])</f>
        <v>2565.3333333333335</v>
      </c>
      <c r="P2563" s="57">
        <f t="shared" si="40"/>
        <v>1850</v>
      </c>
      <c r="Q2563" s="58">
        <f>_xlfn.MAXIFS(Survey!$G$2:$G$3647,Survey!$M$2:$M$3647,Survey!$M2563)-Survey!$G2563</f>
        <v>164.82942155604997</v>
      </c>
      <c r="R2563" s="59">
        <f>Survey!$P2563+(Survey!$Q2563*0.433)</f>
        <v>1921.3711395337696</v>
      </c>
    </row>
    <row r="2564" spans="1:18" x14ac:dyDescent="0.25">
      <c r="A2564" s="71" t="s">
        <v>17</v>
      </c>
      <c r="B2564" s="72" t="s">
        <v>22</v>
      </c>
      <c r="C2564" s="73" t="s">
        <v>19</v>
      </c>
      <c r="D2564" s="74">
        <v>245.96877165240315</v>
      </c>
      <c r="E2564" s="81">
        <v>1329369</v>
      </c>
      <c r="F2564" s="82">
        <v>1299758.8000000007</v>
      </c>
      <c r="G2564" s="75">
        <v>2676.5519486252001</v>
      </c>
      <c r="H2564" s="76">
        <v>2</v>
      </c>
      <c r="I2564" s="54" t="s">
        <v>20</v>
      </c>
      <c r="J2564" s="77">
        <v>40</v>
      </c>
      <c r="K2564" s="78">
        <v>2</v>
      </c>
      <c r="L2564" s="54">
        <v>2</v>
      </c>
      <c r="M2564" s="54">
        <f>_xlfn.XLOOKUP(Survey!$F2564,sections[Start],sections[Test Section],,-1,1)</f>
        <v>7</v>
      </c>
      <c r="N2564" s="55">
        <f>_xlfn.XLOOKUP(Survey!$K2564,pipedata[ID],pipedata[WT])</f>
        <v>0.74</v>
      </c>
      <c r="O2564" s="56">
        <f>_xlfn.XLOOKUP(Survey!$K2564,pipedata[ID],pipedata[104%])</f>
        <v>2565.3333333333335</v>
      </c>
      <c r="P2564" s="57">
        <f t="shared" si="40"/>
        <v>1850</v>
      </c>
      <c r="Q2564" s="58">
        <f>_xlfn.MAXIFS(Survey!$G$2:$G$3647,Survey!$M$2:$M$3647,Survey!$M2564)-Survey!$G2564</f>
        <v>158.42182878877384</v>
      </c>
      <c r="R2564" s="59">
        <f>Survey!$P2564+(Survey!$Q2564*0.433)</f>
        <v>1918.5966518655391</v>
      </c>
    </row>
    <row r="2565" spans="1:18" x14ac:dyDescent="0.25">
      <c r="A2565" s="60" t="s">
        <v>17</v>
      </c>
      <c r="B2565" s="61" t="s">
        <v>22</v>
      </c>
      <c r="C2565" s="62" t="s">
        <v>19</v>
      </c>
      <c r="D2565" s="63">
        <v>245.97625230192534</v>
      </c>
      <c r="E2565" s="79">
        <v>1329409</v>
      </c>
      <c r="F2565" s="80">
        <v>1299798.4000000008</v>
      </c>
      <c r="G2565" s="66">
        <v>2685.5778016027061</v>
      </c>
      <c r="H2565" s="67">
        <v>2</v>
      </c>
      <c r="I2565" s="68" t="s">
        <v>20</v>
      </c>
      <c r="J2565" s="69">
        <v>40</v>
      </c>
      <c r="K2565" s="70">
        <v>2</v>
      </c>
      <c r="L2565" s="68">
        <v>2</v>
      </c>
      <c r="M2565" s="68">
        <f>_xlfn.XLOOKUP(Survey!$F2565,sections[Start],sections[Test Section],,-1,1)</f>
        <v>7</v>
      </c>
      <c r="N2565" s="55">
        <f>_xlfn.XLOOKUP(Survey!$K2565,pipedata[ID],pipedata[WT])</f>
        <v>0.74</v>
      </c>
      <c r="O2565" s="56">
        <f>_xlfn.XLOOKUP(Survey!$K2565,pipedata[ID],pipedata[104%])</f>
        <v>2565.3333333333335</v>
      </c>
      <c r="P2565" s="57">
        <f t="shared" si="40"/>
        <v>1850</v>
      </c>
      <c r="Q2565" s="58">
        <f>_xlfn.MAXIFS(Survey!$G$2:$G$3647,Survey!$M$2:$M$3647,Survey!$M2565)-Survey!$G2565</f>
        <v>149.39597581126782</v>
      </c>
      <c r="R2565" s="59">
        <f>Survey!$P2565+(Survey!$Q2565*0.433)</f>
        <v>1914.6884575262789</v>
      </c>
    </row>
    <row r="2566" spans="1:18" x14ac:dyDescent="0.25">
      <c r="A2566" s="71" t="s">
        <v>17</v>
      </c>
      <c r="B2566" s="72" t="s">
        <v>22</v>
      </c>
      <c r="C2566" s="73" t="s">
        <v>19</v>
      </c>
      <c r="D2566" s="74">
        <v>245.98315653708232</v>
      </c>
      <c r="E2566" s="81">
        <v>1329449</v>
      </c>
      <c r="F2566" s="82">
        <v>1299838.0000000009</v>
      </c>
      <c r="G2566" s="75">
        <v>2694.2493212812024</v>
      </c>
      <c r="H2566" s="76">
        <v>2</v>
      </c>
      <c r="I2566" s="54" t="s">
        <v>20</v>
      </c>
      <c r="J2566" s="77">
        <v>40</v>
      </c>
      <c r="K2566" s="78">
        <v>2</v>
      </c>
      <c r="L2566" s="54">
        <v>2</v>
      </c>
      <c r="M2566" s="54">
        <f>_xlfn.XLOOKUP(Survey!$F2566,sections[Start],sections[Test Section],,-1,1)</f>
        <v>7</v>
      </c>
      <c r="N2566" s="55">
        <f>_xlfn.XLOOKUP(Survey!$K2566,pipedata[ID],pipedata[WT])</f>
        <v>0.74</v>
      </c>
      <c r="O2566" s="56">
        <f>_xlfn.XLOOKUP(Survey!$K2566,pipedata[ID],pipedata[104%])</f>
        <v>2565.3333333333335</v>
      </c>
      <c r="P2566" s="57">
        <f t="shared" si="40"/>
        <v>1850</v>
      </c>
      <c r="Q2566" s="58">
        <f>_xlfn.MAXIFS(Survey!$G$2:$G$3647,Survey!$M$2:$M$3647,Survey!$M2566)-Survey!$G2566</f>
        <v>140.72445613277159</v>
      </c>
      <c r="R2566" s="59">
        <f>Survey!$P2566+(Survey!$Q2566*0.433)</f>
        <v>1910.9336895054901</v>
      </c>
    </row>
    <row r="2567" spans="1:18" x14ac:dyDescent="0.25">
      <c r="A2567" s="60" t="s">
        <v>17</v>
      </c>
      <c r="B2567" s="61" t="s">
        <v>22</v>
      </c>
      <c r="C2567" s="62" t="s">
        <v>19</v>
      </c>
      <c r="D2567" s="63">
        <v>245.99006077223925</v>
      </c>
      <c r="E2567" s="79">
        <v>1329489</v>
      </c>
      <c r="F2567" s="80">
        <v>1299877.600000001</v>
      </c>
      <c r="G2567" s="66">
        <v>2703.3225967604621</v>
      </c>
      <c r="H2567" s="67">
        <v>2</v>
      </c>
      <c r="I2567" s="68" t="s">
        <v>20</v>
      </c>
      <c r="J2567" s="69">
        <v>40</v>
      </c>
      <c r="K2567" s="70">
        <v>2</v>
      </c>
      <c r="L2567" s="68">
        <v>2</v>
      </c>
      <c r="M2567" s="68">
        <f>_xlfn.XLOOKUP(Survey!$F2567,sections[Start],sections[Test Section],,-1,1)</f>
        <v>7</v>
      </c>
      <c r="N2567" s="55">
        <f>_xlfn.XLOOKUP(Survey!$K2567,pipedata[ID],pipedata[WT])</f>
        <v>0.74</v>
      </c>
      <c r="O2567" s="56">
        <f>_xlfn.XLOOKUP(Survey!$K2567,pipedata[ID],pipedata[104%])</f>
        <v>2565.3333333333335</v>
      </c>
      <c r="P2567" s="57">
        <f t="shared" si="40"/>
        <v>1850</v>
      </c>
      <c r="Q2567" s="58">
        <f>_xlfn.MAXIFS(Survey!$G$2:$G$3647,Survey!$M$2:$M$3647,Survey!$M2567)-Survey!$G2567</f>
        <v>131.6511806535118</v>
      </c>
      <c r="R2567" s="59">
        <f>Survey!$P2567+(Survey!$Q2567*0.433)</f>
        <v>1907.0049612229707</v>
      </c>
    </row>
    <row r="2568" spans="1:18" x14ac:dyDescent="0.25">
      <c r="A2568" s="71" t="s">
        <v>17</v>
      </c>
      <c r="B2568" s="72" t="s">
        <v>22</v>
      </c>
      <c r="C2568" s="73" t="s">
        <v>19</v>
      </c>
      <c r="D2568" s="74">
        <v>245.99794003468591</v>
      </c>
      <c r="E2568" s="81">
        <v>1329529</v>
      </c>
      <c r="F2568" s="82">
        <v>1299917.2000000011</v>
      </c>
      <c r="G2568" s="75">
        <v>2710.3001996426992</v>
      </c>
      <c r="H2568" s="76">
        <v>2</v>
      </c>
      <c r="I2568" s="54" t="s">
        <v>20</v>
      </c>
      <c r="J2568" s="77">
        <v>40</v>
      </c>
      <c r="K2568" s="78">
        <v>2</v>
      </c>
      <c r="L2568" s="54">
        <v>2</v>
      </c>
      <c r="M2568" s="54">
        <f>_xlfn.XLOOKUP(Survey!$F2568,sections[Start],sections[Test Section],,-1,1)</f>
        <v>7</v>
      </c>
      <c r="N2568" s="55">
        <f>_xlfn.XLOOKUP(Survey!$K2568,pipedata[ID],pipedata[WT])</f>
        <v>0.74</v>
      </c>
      <c r="O2568" s="56">
        <f>_xlfn.XLOOKUP(Survey!$K2568,pipedata[ID],pipedata[104%])</f>
        <v>2565.3333333333335</v>
      </c>
      <c r="P2568" s="57">
        <f t="shared" si="40"/>
        <v>1850</v>
      </c>
      <c r="Q2568" s="58">
        <f>_xlfn.MAXIFS(Survey!$G$2:$G$3647,Survey!$M$2:$M$3647,Survey!$M2568)-Survey!$G2568</f>
        <v>124.67357777127472</v>
      </c>
      <c r="R2568" s="59">
        <f>Survey!$P2568+(Survey!$Q2568*0.433)</f>
        <v>1903.983659174962</v>
      </c>
    </row>
    <row r="2569" spans="1:18" x14ac:dyDescent="0.25">
      <c r="A2569" s="60" t="s">
        <v>17</v>
      </c>
      <c r="B2569" s="61" t="s">
        <v>22</v>
      </c>
      <c r="C2569" s="62" t="s">
        <v>19</v>
      </c>
      <c r="D2569" s="63">
        <v>246.00460744493091</v>
      </c>
      <c r="E2569" s="79">
        <v>1329569</v>
      </c>
      <c r="F2569" s="80">
        <v>1299956.8000000012</v>
      </c>
      <c r="G2569" s="66">
        <v>2711.6153558380606</v>
      </c>
      <c r="H2569" s="67">
        <v>2</v>
      </c>
      <c r="I2569" s="68" t="s">
        <v>20</v>
      </c>
      <c r="J2569" s="69">
        <v>40</v>
      </c>
      <c r="K2569" s="70">
        <v>2</v>
      </c>
      <c r="L2569" s="68">
        <v>2</v>
      </c>
      <c r="M2569" s="68">
        <f>_xlfn.XLOOKUP(Survey!$F2569,sections[Start],sections[Test Section],,-1,1)</f>
        <v>7</v>
      </c>
      <c r="N2569" s="55">
        <f>_xlfn.XLOOKUP(Survey!$K2569,pipedata[ID],pipedata[WT])</f>
        <v>0.74</v>
      </c>
      <c r="O2569" s="56">
        <f>_xlfn.XLOOKUP(Survey!$K2569,pipedata[ID],pipedata[104%])</f>
        <v>2565.3333333333335</v>
      </c>
      <c r="P2569" s="57">
        <f t="shared" si="40"/>
        <v>1850</v>
      </c>
      <c r="Q2569" s="58">
        <f>_xlfn.MAXIFS(Survey!$G$2:$G$3647,Survey!$M$2:$M$3647,Survey!$M2569)-Survey!$G2569</f>
        <v>123.35842157591333</v>
      </c>
      <c r="R2569" s="59">
        <f>Survey!$P2569+(Survey!$Q2569*0.433)</f>
        <v>1903.4141965423705</v>
      </c>
    </row>
    <row r="2570" spans="1:18" x14ac:dyDescent="0.25">
      <c r="A2570" s="71" t="s">
        <v>17</v>
      </c>
      <c r="B2570" s="72" t="s">
        <v>22</v>
      </c>
      <c r="C2570" s="73" t="s">
        <v>19</v>
      </c>
      <c r="D2570" s="74">
        <v>246.01307488942976</v>
      </c>
      <c r="E2570" s="81">
        <v>1329609</v>
      </c>
      <c r="F2570" s="82">
        <v>1299996.4000000013</v>
      </c>
      <c r="G2570" s="75">
        <v>2702.8626565831196</v>
      </c>
      <c r="H2570" s="76">
        <v>2</v>
      </c>
      <c r="I2570" s="54" t="s">
        <v>20</v>
      </c>
      <c r="J2570" s="77">
        <v>40</v>
      </c>
      <c r="K2570" s="78">
        <v>2</v>
      </c>
      <c r="L2570" s="54">
        <v>2</v>
      </c>
      <c r="M2570" s="54">
        <f>_xlfn.XLOOKUP(Survey!$F2570,sections[Start],sections[Test Section],,-1,1)</f>
        <v>7</v>
      </c>
      <c r="N2570" s="55">
        <f>_xlfn.XLOOKUP(Survey!$K2570,pipedata[ID],pipedata[WT])</f>
        <v>0.74</v>
      </c>
      <c r="O2570" s="56">
        <f>_xlfn.XLOOKUP(Survey!$K2570,pipedata[ID],pipedata[104%])</f>
        <v>2565.3333333333335</v>
      </c>
      <c r="P2570" s="57">
        <f t="shared" si="40"/>
        <v>1850</v>
      </c>
      <c r="Q2570" s="58">
        <f>_xlfn.MAXIFS(Survey!$G$2:$G$3647,Survey!$M$2:$M$3647,Survey!$M2570)-Survey!$G2570</f>
        <v>132.11112083085436</v>
      </c>
      <c r="R2570" s="59">
        <f>Survey!$P2570+(Survey!$Q2570*0.433)</f>
        <v>1907.2041153197599</v>
      </c>
    </row>
    <row r="2571" spans="1:18" x14ac:dyDescent="0.25">
      <c r="A2571" s="60" t="s">
        <v>17</v>
      </c>
      <c r="B2571" s="61" t="s">
        <v>22</v>
      </c>
      <c r="C2571" s="62" t="s">
        <v>19</v>
      </c>
      <c r="D2571" s="63">
        <v>246.02050876337947</v>
      </c>
      <c r="E2571" s="79">
        <v>1329649</v>
      </c>
      <c r="F2571" s="80">
        <v>1300036.0000000014</v>
      </c>
      <c r="G2571" s="66">
        <v>2699.0566026417127</v>
      </c>
      <c r="H2571" s="67">
        <v>2</v>
      </c>
      <c r="I2571" s="68" t="s">
        <v>20</v>
      </c>
      <c r="J2571" s="69">
        <v>40</v>
      </c>
      <c r="K2571" s="70">
        <v>2</v>
      </c>
      <c r="L2571" s="68">
        <v>2</v>
      </c>
      <c r="M2571" s="68">
        <f>_xlfn.XLOOKUP(Survey!$F2571,sections[Start],sections[Test Section],,-1,1)</f>
        <v>7</v>
      </c>
      <c r="N2571" s="55">
        <f>_xlfn.XLOOKUP(Survey!$K2571,pipedata[ID],pipedata[WT])</f>
        <v>0.74</v>
      </c>
      <c r="O2571" s="56">
        <f>_xlfn.XLOOKUP(Survey!$K2571,pipedata[ID],pipedata[104%])</f>
        <v>2565.3333333333335</v>
      </c>
      <c r="P2571" s="57">
        <f t="shared" si="40"/>
        <v>1850</v>
      </c>
      <c r="Q2571" s="58">
        <f>_xlfn.MAXIFS(Survey!$G$2:$G$3647,Survey!$M$2:$M$3647,Survey!$M2571)-Survey!$G2571</f>
        <v>135.91717477226121</v>
      </c>
      <c r="R2571" s="59">
        <f>Survey!$P2571+(Survey!$Q2571*0.433)</f>
        <v>1908.8521366763891</v>
      </c>
    </row>
    <row r="2572" spans="1:18" x14ac:dyDescent="0.25">
      <c r="A2572" s="71" t="s">
        <v>17</v>
      </c>
      <c r="B2572" s="72" t="s">
        <v>22</v>
      </c>
      <c r="C2572" s="73" t="s">
        <v>19</v>
      </c>
      <c r="D2572" s="74">
        <v>246.02794338078772</v>
      </c>
      <c r="E2572" s="81">
        <v>1329689</v>
      </c>
      <c r="F2572" s="82">
        <v>1300075.6000000015</v>
      </c>
      <c r="G2572" s="75">
        <v>2696.9267304974214</v>
      </c>
      <c r="H2572" s="76">
        <v>2</v>
      </c>
      <c r="I2572" s="54" t="s">
        <v>20</v>
      </c>
      <c r="J2572" s="77">
        <v>40</v>
      </c>
      <c r="K2572" s="78">
        <v>2</v>
      </c>
      <c r="L2572" s="54">
        <v>2</v>
      </c>
      <c r="M2572" s="54">
        <f>_xlfn.XLOOKUP(Survey!$F2572,sections[Start],sections[Test Section],,-1,1)</f>
        <v>7</v>
      </c>
      <c r="N2572" s="55">
        <f>_xlfn.XLOOKUP(Survey!$K2572,pipedata[ID],pipedata[WT])</f>
        <v>0.74</v>
      </c>
      <c r="O2572" s="56">
        <f>_xlfn.XLOOKUP(Survey!$K2572,pipedata[ID],pipedata[104%])</f>
        <v>2565.3333333333335</v>
      </c>
      <c r="P2572" s="57">
        <f t="shared" si="40"/>
        <v>1850</v>
      </c>
      <c r="Q2572" s="58">
        <f>_xlfn.MAXIFS(Survey!$G$2:$G$3647,Survey!$M$2:$M$3647,Survey!$M2572)-Survey!$G2572</f>
        <v>138.04704691655252</v>
      </c>
      <c r="R2572" s="59">
        <f>Survey!$P2572+(Survey!$Q2572*0.433)</f>
        <v>1909.7743713148673</v>
      </c>
    </row>
    <row r="2573" spans="1:18" x14ac:dyDescent="0.25">
      <c r="A2573" s="60" t="s">
        <v>17</v>
      </c>
      <c r="B2573" s="61" t="s">
        <v>22</v>
      </c>
      <c r="C2573" s="62" t="s">
        <v>19</v>
      </c>
      <c r="D2573" s="63">
        <v>246.03608900662013</v>
      </c>
      <c r="E2573" s="79">
        <v>1329729</v>
      </c>
      <c r="F2573" s="80">
        <v>1300115.2000000016</v>
      </c>
      <c r="G2573" s="66">
        <v>2699.4019644983596</v>
      </c>
      <c r="H2573" s="67">
        <v>2</v>
      </c>
      <c r="I2573" s="68" t="s">
        <v>20</v>
      </c>
      <c r="J2573" s="69">
        <v>40</v>
      </c>
      <c r="K2573" s="70">
        <v>2</v>
      </c>
      <c r="L2573" s="68">
        <v>2</v>
      </c>
      <c r="M2573" s="68">
        <f>_xlfn.XLOOKUP(Survey!$F2573,sections[Start],sections[Test Section],,-1,1)</f>
        <v>7</v>
      </c>
      <c r="N2573" s="55">
        <f>_xlfn.XLOOKUP(Survey!$K2573,pipedata[ID],pipedata[WT])</f>
        <v>0.74</v>
      </c>
      <c r="O2573" s="56">
        <f>_xlfn.XLOOKUP(Survey!$K2573,pipedata[ID],pipedata[104%])</f>
        <v>2565.3333333333335</v>
      </c>
      <c r="P2573" s="57">
        <f t="shared" si="40"/>
        <v>1850</v>
      </c>
      <c r="Q2573" s="58">
        <f>_xlfn.MAXIFS(Survey!$G$2:$G$3647,Survey!$M$2:$M$3647,Survey!$M2573)-Survey!$G2573</f>
        <v>135.57181291561437</v>
      </c>
      <c r="R2573" s="59">
        <f>Survey!$P2573+(Survey!$Q2573*0.433)</f>
        <v>1908.7025949924609</v>
      </c>
    </row>
    <row r="2574" spans="1:18" x14ac:dyDescent="0.25">
      <c r="A2574" s="71" t="s">
        <v>17</v>
      </c>
      <c r="B2574" s="72" t="s">
        <v>22</v>
      </c>
      <c r="C2574" s="73" t="s">
        <v>19</v>
      </c>
      <c r="D2574" s="74">
        <v>246.04299324177788</v>
      </c>
      <c r="E2574" s="81">
        <v>1329769</v>
      </c>
      <c r="F2574" s="82">
        <v>1300154.8000000017</v>
      </c>
      <c r="G2574" s="75">
        <v>2700.8940397144761</v>
      </c>
      <c r="H2574" s="76">
        <v>2</v>
      </c>
      <c r="I2574" s="54" t="s">
        <v>20</v>
      </c>
      <c r="J2574" s="77">
        <v>40</v>
      </c>
      <c r="K2574" s="78">
        <v>2</v>
      </c>
      <c r="L2574" s="54">
        <v>2</v>
      </c>
      <c r="M2574" s="54">
        <f>_xlfn.XLOOKUP(Survey!$F2574,sections[Start],sections[Test Section],,-1,1)</f>
        <v>7</v>
      </c>
      <c r="N2574" s="55">
        <f>_xlfn.XLOOKUP(Survey!$K2574,pipedata[ID],pipedata[WT])</f>
        <v>0.74</v>
      </c>
      <c r="O2574" s="56">
        <f>_xlfn.XLOOKUP(Survey!$K2574,pipedata[ID],pipedata[104%])</f>
        <v>2565.3333333333335</v>
      </c>
      <c r="P2574" s="57">
        <f t="shared" si="40"/>
        <v>1850</v>
      </c>
      <c r="Q2574" s="58">
        <f>_xlfn.MAXIFS(Survey!$G$2:$G$3647,Survey!$M$2:$M$3647,Survey!$M2574)-Survey!$G2574</f>
        <v>134.07973769949785</v>
      </c>
      <c r="R2574" s="59">
        <f>Survey!$P2574+(Survey!$Q2574*0.433)</f>
        <v>1908.0565264238826</v>
      </c>
    </row>
    <row r="2575" spans="1:18" x14ac:dyDescent="0.25">
      <c r="A2575" s="60" t="s">
        <v>17</v>
      </c>
      <c r="B2575" s="61" t="s">
        <v>22</v>
      </c>
      <c r="C2575" s="62" t="s">
        <v>19</v>
      </c>
      <c r="D2575" s="63">
        <v>246.04989747693494</v>
      </c>
      <c r="E2575" s="79">
        <v>1329809</v>
      </c>
      <c r="F2575" s="80">
        <v>1300194.4000000018</v>
      </c>
      <c r="G2575" s="66">
        <v>2699.3284173712727</v>
      </c>
      <c r="H2575" s="67">
        <v>2</v>
      </c>
      <c r="I2575" s="68" t="s">
        <v>20</v>
      </c>
      <c r="J2575" s="69">
        <v>40</v>
      </c>
      <c r="K2575" s="70">
        <v>2</v>
      </c>
      <c r="L2575" s="68">
        <v>2</v>
      </c>
      <c r="M2575" s="68">
        <f>_xlfn.XLOOKUP(Survey!$F2575,sections[Start],sections[Test Section],,-1,1)</f>
        <v>7</v>
      </c>
      <c r="N2575" s="55">
        <f>_xlfn.XLOOKUP(Survey!$K2575,pipedata[ID],pipedata[WT])</f>
        <v>0.74</v>
      </c>
      <c r="O2575" s="56">
        <f>_xlfn.XLOOKUP(Survey!$K2575,pipedata[ID],pipedata[104%])</f>
        <v>2565.3333333333335</v>
      </c>
      <c r="P2575" s="57">
        <f t="shared" si="40"/>
        <v>1850</v>
      </c>
      <c r="Q2575" s="58">
        <f>_xlfn.MAXIFS(Survey!$G$2:$G$3647,Survey!$M$2:$M$3647,Survey!$M2575)-Survey!$G2575</f>
        <v>135.64536004270121</v>
      </c>
      <c r="R2575" s="59">
        <f>Survey!$P2575+(Survey!$Q2575*0.433)</f>
        <v>1908.7344408984895</v>
      </c>
    </row>
    <row r="2576" spans="1:18" x14ac:dyDescent="0.25">
      <c r="A2576" s="71" t="s">
        <v>17</v>
      </c>
      <c r="B2576" s="72" t="s">
        <v>22</v>
      </c>
      <c r="C2576" s="73" t="s">
        <v>19</v>
      </c>
      <c r="D2576" s="74">
        <v>246.05794672688896</v>
      </c>
      <c r="E2576" s="81">
        <v>1329849</v>
      </c>
      <c r="F2576" s="82">
        <v>1300234.0000000019</v>
      </c>
      <c r="G2576" s="75">
        <v>2698.0335908201073</v>
      </c>
      <c r="H2576" s="76">
        <v>2</v>
      </c>
      <c r="I2576" s="54" t="s">
        <v>20</v>
      </c>
      <c r="J2576" s="77">
        <v>40</v>
      </c>
      <c r="K2576" s="78">
        <v>2</v>
      </c>
      <c r="L2576" s="54">
        <v>2</v>
      </c>
      <c r="M2576" s="54">
        <f>_xlfn.XLOOKUP(Survey!$F2576,sections[Start],sections[Test Section],,-1,1)</f>
        <v>7</v>
      </c>
      <c r="N2576" s="55">
        <f>_xlfn.XLOOKUP(Survey!$K2576,pipedata[ID],pipedata[WT])</f>
        <v>0.74</v>
      </c>
      <c r="O2576" s="56">
        <f>_xlfn.XLOOKUP(Survey!$K2576,pipedata[ID],pipedata[104%])</f>
        <v>2565.3333333333335</v>
      </c>
      <c r="P2576" s="57">
        <f t="shared" si="40"/>
        <v>1850</v>
      </c>
      <c r="Q2576" s="58">
        <f>_xlfn.MAXIFS(Survey!$G$2:$G$3647,Survey!$M$2:$M$3647,Survey!$M2576)-Survey!$G2576</f>
        <v>136.94018659386666</v>
      </c>
      <c r="R2576" s="59">
        <f>Survey!$P2576+(Survey!$Q2576*0.433)</f>
        <v>1909.2951007951442</v>
      </c>
    </row>
    <row r="2577" spans="1:18" x14ac:dyDescent="0.25">
      <c r="A2577" s="60" t="s">
        <v>17</v>
      </c>
      <c r="B2577" s="61" t="s">
        <v>22</v>
      </c>
      <c r="C2577" s="62" t="s">
        <v>19</v>
      </c>
      <c r="D2577" s="63">
        <v>246.06600735896808</v>
      </c>
      <c r="E2577" s="79">
        <v>1329889</v>
      </c>
      <c r="F2577" s="80">
        <v>1300273.600000002</v>
      </c>
      <c r="G2577" s="66">
        <v>2697.7610087436251</v>
      </c>
      <c r="H2577" s="67">
        <v>2</v>
      </c>
      <c r="I2577" s="68" t="s">
        <v>20</v>
      </c>
      <c r="J2577" s="69">
        <v>40</v>
      </c>
      <c r="K2577" s="70">
        <v>2</v>
      </c>
      <c r="L2577" s="68">
        <v>2</v>
      </c>
      <c r="M2577" s="68">
        <f>_xlfn.XLOOKUP(Survey!$F2577,sections[Start],sections[Test Section],,-1,1)</f>
        <v>7</v>
      </c>
      <c r="N2577" s="55">
        <f>_xlfn.XLOOKUP(Survey!$K2577,pipedata[ID],pipedata[WT])</f>
        <v>0.74</v>
      </c>
      <c r="O2577" s="56">
        <f>_xlfn.XLOOKUP(Survey!$K2577,pipedata[ID],pipedata[104%])</f>
        <v>2565.3333333333335</v>
      </c>
      <c r="P2577" s="57">
        <f t="shared" si="40"/>
        <v>1850</v>
      </c>
      <c r="Q2577" s="58">
        <f>_xlfn.MAXIFS(Survey!$G$2:$G$3647,Survey!$M$2:$M$3647,Survey!$M2577)-Survey!$G2577</f>
        <v>137.21276867034885</v>
      </c>
      <c r="R2577" s="59">
        <f>Survey!$P2577+(Survey!$Q2577*0.433)</f>
        <v>1909.413128834261</v>
      </c>
    </row>
    <row r="2578" spans="1:18" x14ac:dyDescent="0.25">
      <c r="A2578" s="71" t="s">
        <v>17</v>
      </c>
      <c r="B2578" s="72" t="s">
        <v>22</v>
      </c>
      <c r="C2578" s="73" t="s">
        <v>19</v>
      </c>
      <c r="D2578" s="74">
        <v>246.07291159412563</v>
      </c>
      <c r="E2578" s="81">
        <v>1329929</v>
      </c>
      <c r="F2578" s="82">
        <v>1300313.200000002</v>
      </c>
      <c r="G2578" s="75">
        <v>2696.2564010200167</v>
      </c>
      <c r="H2578" s="76">
        <v>2</v>
      </c>
      <c r="I2578" s="54" t="s">
        <v>20</v>
      </c>
      <c r="J2578" s="77">
        <v>40</v>
      </c>
      <c r="K2578" s="78">
        <v>2</v>
      </c>
      <c r="L2578" s="54">
        <v>2</v>
      </c>
      <c r="M2578" s="54">
        <f>_xlfn.XLOOKUP(Survey!$F2578,sections[Start],sections[Test Section],,-1,1)</f>
        <v>7</v>
      </c>
      <c r="N2578" s="55">
        <f>_xlfn.XLOOKUP(Survey!$K2578,pipedata[ID],pipedata[WT])</f>
        <v>0.74</v>
      </c>
      <c r="O2578" s="56">
        <f>_xlfn.XLOOKUP(Survey!$K2578,pipedata[ID],pipedata[104%])</f>
        <v>2565.3333333333335</v>
      </c>
      <c r="P2578" s="57">
        <f t="shared" si="40"/>
        <v>1850</v>
      </c>
      <c r="Q2578" s="58">
        <f>_xlfn.MAXIFS(Survey!$G$2:$G$3647,Survey!$M$2:$M$3647,Survey!$M2578)-Survey!$G2578</f>
        <v>138.71737639395724</v>
      </c>
      <c r="R2578" s="59">
        <f>Survey!$P2578+(Survey!$Q2578*0.433)</f>
        <v>1910.0646239785835</v>
      </c>
    </row>
    <row r="2579" spans="1:18" x14ac:dyDescent="0.25">
      <c r="A2579" s="60" t="s">
        <v>17</v>
      </c>
      <c r="B2579" s="61" t="s">
        <v>22</v>
      </c>
      <c r="C2579" s="62" t="s">
        <v>19</v>
      </c>
      <c r="D2579" s="63">
        <v>246.08128266274505</v>
      </c>
      <c r="E2579" s="79">
        <v>1329969</v>
      </c>
      <c r="F2579" s="80">
        <v>1300352.8000000021</v>
      </c>
      <c r="G2579" s="66">
        <v>2693.2851758408087</v>
      </c>
      <c r="H2579" s="67">
        <v>2</v>
      </c>
      <c r="I2579" s="68" t="s">
        <v>20</v>
      </c>
      <c r="J2579" s="69">
        <v>40</v>
      </c>
      <c r="K2579" s="70">
        <v>2</v>
      </c>
      <c r="L2579" s="68">
        <v>2</v>
      </c>
      <c r="M2579" s="68">
        <f>_xlfn.XLOOKUP(Survey!$F2579,sections[Start],sections[Test Section],,-1,1)</f>
        <v>7</v>
      </c>
      <c r="N2579" s="55">
        <f>_xlfn.XLOOKUP(Survey!$K2579,pipedata[ID],pipedata[WT])</f>
        <v>0.74</v>
      </c>
      <c r="O2579" s="56">
        <f>_xlfn.XLOOKUP(Survey!$K2579,pipedata[ID],pipedata[104%])</f>
        <v>2565.3333333333335</v>
      </c>
      <c r="P2579" s="57">
        <f t="shared" si="40"/>
        <v>1850</v>
      </c>
      <c r="Q2579" s="58">
        <f>_xlfn.MAXIFS(Survey!$G$2:$G$3647,Survey!$M$2:$M$3647,Survey!$M2579)-Survey!$G2579</f>
        <v>141.68860157316522</v>
      </c>
      <c r="R2579" s="59">
        <f>Survey!$P2579+(Survey!$Q2579*0.433)</f>
        <v>1911.3511644811806</v>
      </c>
    </row>
    <row r="2580" spans="1:18" x14ac:dyDescent="0.25">
      <c r="A2580" s="71" t="s">
        <v>17</v>
      </c>
      <c r="B2580" s="72" t="s">
        <v>22</v>
      </c>
      <c r="C2580" s="73" t="s">
        <v>19</v>
      </c>
      <c r="D2580" s="74">
        <v>246.08902147615962</v>
      </c>
      <c r="E2580" s="81">
        <v>1330009</v>
      </c>
      <c r="F2580" s="82">
        <v>1300392.4000000022</v>
      </c>
      <c r="G2580" s="75">
        <v>2691.8724128491695</v>
      </c>
      <c r="H2580" s="76">
        <v>2</v>
      </c>
      <c r="I2580" s="54" t="s">
        <v>20</v>
      </c>
      <c r="J2580" s="77">
        <v>40</v>
      </c>
      <c r="K2580" s="78">
        <v>2</v>
      </c>
      <c r="L2580" s="54">
        <v>2</v>
      </c>
      <c r="M2580" s="54">
        <f>_xlfn.XLOOKUP(Survey!$F2580,sections[Start],sections[Test Section],,-1,1)</f>
        <v>7</v>
      </c>
      <c r="N2580" s="55">
        <f>_xlfn.XLOOKUP(Survey!$K2580,pipedata[ID],pipedata[WT])</f>
        <v>0.74</v>
      </c>
      <c r="O2580" s="56">
        <f>_xlfn.XLOOKUP(Survey!$K2580,pipedata[ID],pipedata[104%])</f>
        <v>2565.3333333333335</v>
      </c>
      <c r="P2580" s="57">
        <f t="shared" si="40"/>
        <v>1850</v>
      </c>
      <c r="Q2580" s="58">
        <f>_xlfn.MAXIFS(Survey!$G$2:$G$3647,Survey!$M$2:$M$3647,Survey!$M2580)-Survey!$G2580</f>
        <v>143.1013645648045</v>
      </c>
      <c r="R2580" s="59">
        <f>Survey!$P2580+(Survey!$Q2580*0.433)</f>
        <v>1911.9628908565603</v>
      </c>
    </row>
    <row r="2581" spans="1:18" x14ac:dyDescent="0.25">
      <c r="A2581" s="60" t="s">
        <v>17</v>
      </c>
      <c r="B2581" s="61" t="s">
        <v>22</v>
      </c>
      <c r="C2581" s="62" t="s">
        <v>19</v>
      </c>
      <c r="D2581" s="63">
        <v>246.09592571131674</v>
      </c>
      <c r="E2581" s="79">
        <v>1330049</v>
      </c>
      <c r="F2581" s="80">
        <v>1300432.0000000023</v>
      </c>
      <c r="G2581" s="66">
        <v>2690.3463057722897</v>
      </c>
      <c r="H2581" s="67">
        <v>2</v>
      </c>
      <c r="I2581" s="68" t="s">
        <v>20</v>
      </c>
      <c r="J2581" s="69">
        <v>40</v>
      </c>
      <c r="K2581" s="70">
        <v>2</v>
      </c>
      <c r="L2581" s="68">
        <v>2</v>
      </c>
      <c r="M2581" s="68">
        <f>_xlfn.XLOOKUP(Survey!$F2581,sections[Start],sections[Test Section],,-1,1)</f>
        <v>7</v>
      </c>
      <c r="N2581" s="55">
        <f>_xlfn.XLOOKUP(Survey!$K2581,pipedata[ID],pipedata[WT])</f>
        <v>0.74</v>
      </c>
      <c r="O2581" s="56">
        <f>_xlfn.XLOOKUP(Survey!$K2581,pipedata[ID],pipedata[104%])</f>
        <v>2565.3333333333335</v>
      </c>
      <c r="P2581" s="57">
        <f t="shared" si="40"/>
        <v>1850</v>
      </c>
      <c r="Q2581" s="58">
        <f>_xlfn.MAXIFS(Survey!$G$2:$G$3647,Survey!$M$2:$M$3647,Survey!$M2581)-Survey!$G2581</f>
        <v>144.62747164168422</v>
      </c>
      <c r="R2581" s="59">
        <f>Survey!$P2581+(Survey!$Q2581*0.433)</f>
        <v>1912.6236952208492</v>
      </c>
    </row>
    <row r="2582" spans="1:18" x14ac:dyDescent="0.25">
      <c r="A2582" s="71" t="s">
        <v>17</v>
      </c>
      <c r="B2582" s="72" t="s">
        <v>22</v>
      </c>
      <c r="C2582" s="73" t="s">
        <v>19</v>
      </c>
      <c r="D2582" s="74">
        <v>246.10356044152542</v>
      </c>
      <c r="E2582" s="81">
        <v>1330089</v>
      </c>
      <c r="F2582" s="82">
        <v>1300471.6000000024</v>
      </c>
      <c r="G2582" s="75">
        <v>2689.1096366952952</v>
      </c>
      <c r="H2582" s="76">
        <v>2</v>
      </c>
      <c r="I2582" s="54" t="s">
        <v>20</v>
      </c>
      <c r="J2582" s="77">
        <v>40</v>
      </c>
      <c r="K2582" s="78">
        <v>2</v>
      </c>
      <c r="L2582" s="54">
        <v>2</v>
      </c>
      <c r="M2582" s="54">
        <f>_xlfn.XLOOKUP(Survey!$F2582,sections[Start],sections[Test Section],,-1,1)</f>
        <v>7</v>
      </c>
      <c r="N2582" s="55">
        <f>_xlfn.XLOOKUP(Survey!$K2582,pipedata[ID],pipedata[WT])</f>
        <v>0.74</v>
      </c>
      <c r="O2582" s="56">
        <f>_xlfn.XLOOKUP(Survey!$K2582,pipedata[ID],pipedata[104%])</f>
        <v>2565.3333333333335</v>
      </c>
      <c r="P2582" s="57">
        <f t="shared" si="40"/>
        <v>1850</v>
      </c>
      <c r="Q2582" s="58">
        <f>_xlfn.MAXIFS(Survey!$G$2:$G$3647,Survey!$M$2:$M$3647,Survey!$M2582)-Survey!$G2582</f>
        <v>145.86414071867875</v>
      </c>
      <c r="R2582" s="59">
        <f>Survey!$P2582+(Survey!$Q2582*0.433)</f>
        <v>1913.1591729311879</v>
      </c>
    </row>
    <row r="2583" spans="1:18" x14ac:dyDescent="0.25">
      <c r="A2583" s="60" t="s">
        <v>17</v>
      </c>
      <c r="B2583" s="61" t="s">
        <v>22</v>
      </c>
      <c r="C2583" s="62" t="s">
        <v>19</v>
      </c>
      <c r="D2583" s="63">
        <v>246.11128600884632</v>
      </c>
      <c r="E2583" s="79">
        <v>1330129</v>
      </c>
      <c r="F2583" s="80">
        <v>1300511.2000000025</v>
      </c>
      <c r="G2583" s="66">
        <v>2687.9957056719095</v>
      </c>
      <c r="H2583" s="67">
        <v>2</v>
      </c>
      <c r="I2583" s="68" t="s">
        <v>20</v>
      </c>
      <c r="J2583" s="69">
        <v>40</v>
      </c>
      <c r="K2583" s="70">
        <v>2</v>
      </c>
      <c r="L2583" s="68">
        <v>2</v>
      </c>
      <c r="M2583" s="68">
        <f>_xlfn.XLOOKUP(Survey!$F2583,sections[Start],sections[Test Section],,-1,1)</f>
        <v>7</v>
      </c>
      <c r="N2583" s="55">
        <f>_xlfn.XLOOKUP(Survey!$K2583,pipedata[ID],pipedata[WT])</f>
        <v>0.74</v>
      </c>
      <c r="O2583" s="56">
        <f>_xlfn.XLOOKUP(Survey!$K2583,pipedata[ID],pipedata[104%])</f>
        <v>2565.3333333333335</v>
      </c>
      <c r="P2583" s="57">
        <f t="shared" si="40"/>
        <v>1850</v>
      </c>
      <c r="Q2583" s="58">
        <f>_xlfn.MAXIFS(Survey!$G$2:$G$3647,Survey!$M$2:$M$3647,Survey!$M2583)-Survey!$G2583</f>
        <v>146.97807174206446</v>
      </c>
      <c r="R2583" s="59">
        <f>Survey!$P2583+(Survey!$Q2583*0.433)</f>
        <v>1913.6415050643138</v>
      </c>
    </row>
    <row r="2584" spans="1:18" x14ac:dyDescent="0.25">
      <c r="A2584" s="71" t="s">
        <v>17</v>
      </c>
      <c r="B2584" s="72" t="s">
        <v>22</v>
      </c>
      <c r="C2584" s="73" t="s">
        <v>19</v>
      </c>
      <c r="D2584" s="74">
        <v>246.11893982850782</v>
      </c>
      <c r="E2584" s="81">
        <v>1330169</v>
      </c>
      <c r="F2584" s="82">
        <v>1300550.8000000026</v>
      </c>
      <c r="G2584" s="75">
        <v>2687.9599152723108</v>
      </c>
      <c r="H2584" s="76">
        <v>2</v>
      </c>
      <c r="I2584" s="54" t="s">
        <v>20</v>
      </c>
      <c r="J2584" s="77">
        <v>40</v>
      </c>
      <c r="K2584" s="78">
        <v>2</v>
      </c>
      <c r="L2584" s="54">
        <v>2</v>
      </c>
      <c r="M2584" s="54">
        <f>_xlfn.XLOOKUP(Survey!$F2584,sections[Start],sections[Test Section],,-1,1)</f>
        <v>7</v>
      </c>
      <c r="N2584" s="55">
        <f>_xlfn.XLOOKUP(Survey!$K2584,pipedata[ID],pipedata[WT])</f>
        <v>0.74</v>
      </c>
      <c r="O2584" s="56">
        <f>_xlfn.XLOOKUP(Survey!$K2584,pipedata[ID],pipedata[104%])</f>
        <v>2565.3333333333335</v>
      </c>
      <c r="P2584" s="57">
        <f t="shared" si="40"/>
        <v>1850</v>
      </c>
      <c r="Q2584" s="58">
        <f>_xlfn.MAXIFS(Survey!$G$2:$G$3647,Survey!$M$2:$M$3647,Survey!$M2584)-Survey!$G2584</f>
        <v>147.01386214166314</v>
      </c>
      <c r="R2584" s="59">
        <f>Survey!$P2584+(Survey!$Q2584*0.433)</f>
        <v>1913.6570023073402</v>
      </c>
    </row>
    <row r="2585" spans="1:18" x14ac:dyDescent="0.25">
      <c r="A2585" s="60" t="s">
        <v>17</v>
      </c>
      <c r="B2585" s="61" t="s">
        <v>22</v>
      </c>
      <c r="C2585" s="62" t="s">
        <v>19</v>
      </c>
      <c r="D2585" s="63">
        <v>246.12584406366477</v>
      </c>
      <c r="E2585" s="79">
        <v>1330209</v>
      </c>
      <c r="F2585" s="80">
        <v>1300590.4000000027</v>
      </c>
      <c r="G2585" s="66">
        <v>2687.6275187569186</v>
      </c>
      <c r="H2585" s="67">
        <v>2</v>
      </c>
      <c r="I2585" s="68" t="s">
        <v>20</v>
      </c>
      <c r="J2585" s="69">
        <v>40</v>
      </c>
      <c r="K2585" s="70">
        <v>2</v>
      </c>
      <c r="L2585" s="68">
        <v>2</v>
      </c>
      <c r="M2585" s="68">
        <f>_xlfn.XLOOKUP(Survey!$F2585,sections[Start],sections[Test Section],,-1,1)</f>
        <v>7</v>
      </c>
      <c r="N2585" s="55">
        <f>_xlfn.XLOOKUP(Survey!$K2585,pipedata[ID],pipedata[WT])</f>
        <v>0.74</v>
      </c>
      <c r="O2585" s="56">
        <f>_xlfn.XLOOKUP(Survey!$K2585,pipedata[ID],pipedata[104%])</f>
        <v>2565.3333333333335</v>
      </c>
      <c r="P2585" s="57">
        <f t="shared" si="40"/>
        <v>1850</v>
      </c>
      <c r="Q2585" s="58">
        <f>_xlfn.MAXIFS(Survey!$G$2:$G$3647,Survey!$M$2:$M$3647,Survey!$M2585)-Survey!$G2585</f>
        <v>147.34625865705539</v>
      </c>
      <c r="R2585" s="59">
        <f>Survey!$P2585+(Survey!$Q2585*0.433)</f>
        <v>1913.8009299985049</v>
      </c>
    </row>
    <row r="2586" spans="1:18" x14ac:dyDescent="0.25">
      <c r="A2586" s="71" t="s">
        <v>17</v>
      </c>
      <c r="B2586" s="72" t="s">
        <v>22</v>
      </c>
      <c r="C2586" s="73" t="s">
        <v>19</v>
      </c>
      <c r="D2586" s="74">
        <v>246.13274829882226</v>
      </c>
      <c r="E2586" s="81">
        <v>1330249</v>
      </c>
      <c r="F2586" s="82">
        <v>1300630.0000000028</v>
      </c>
      <c r="G2586" s="75">
        <v>2687.755856102347</v>
      </c>
      <c r="H2586" s="76">
        <v>2</v>
      </c>
      <c r="I2586" s="54" t="s">
        <v>20</v>
      </c>
      <c r="J2586" s="77">
        <v>40</v>
      </c>
      <c r="K2586" s="78">
        <v>2</v>
      </c>
      <c r="L2586" s="54">
        <v>2</v>
      </c>
      <c r="M2586" s="54">
        <f>_xlfn.XLOOKUP(Survey!$F2586,sections[Start],sections[Test Section],,-1,1)</f>
        <v>7</v>
      </c>
      <c r="N2586" s="55">
        <f>_xlfn.XLOOKUP(Survey!$K2586,pipedata[ID],pipedata[WT])</f>
        <v>0.74</v>
      </c>
      <c r="O2586" s="56">
        <f>_xlfn.XLOOKUP(Survey!$K2586,pipedata[ID],pipedata[104%])</f>
        <v>2565.3333333333335</v>
      </c>
      <c r="P2586" s="57">
        <f t="shared" si="40"/>
        <v>1850</v>
      </c>
      <c r="Q2586" s="58">
        <f>_xlfn.MAXIFS(Survey!$G$2:$G$3647,Survey!$M$2:$M$3647,Survey!$M2586)-Survey!$G2586</f>
        <v>147.21792131162692</v>
      </c>
      <c r="R2586" s="59">
        <f>Survey!$P2586+(Survey!$Q2586*0.433)</f>
        <v>1913.7453599279345</v>
      </c>
    </row>
    <row r="2587" spans="1:18" x14ac:dyDescent="0.25">
      <c r="A2587" s="60" t="s">
        <v>17</v>
      </c>
      <c r="B2587" s="61" t="s">
        <v>22</v>
      </c>
      <c r="C2587" s="62" t="s">
        <v>19</v>
      </c>
      <c r="D2587" s="63">
        <v>246.14195394569811</v>
      </c>
      <c r="E2587" s="79">
        <v>1330289</v>
      </c>
      <c r="F2587" s="80">
        <v>1300669.6000000029</v>
      </c>
      <c r="G2587" s="66">
        <v>2686.7855809055159</v>
      </c>
      <c r="H2587" s="67">
        <v>2</v>
      </c>
      <c r="I2587" s="68" t="s">
        <v>20</v>
      </c>
      <c r="J2587" s="69">
        <v>40</v>
      </c>
      <c r="K2587" s="70">
        <v>2</v>
      </c>
      <c r="L2587" s="68">
        <v>2</v>
      </c>
      <c r="M2587" s="68">
        <f>_xlfn.XLOOKUP(Survey!$F2587,sections[Start],sections[Test Section],,-1,1)</f>
        <v>7</v>
      </c>
      <c r="N2587" s="55">
        <f>_xlfn.XLOOKUP(Survey!$K2587,pipedata[ID],pipedata[WT])</f>
        <v>0.74</v>
      </c>
      <c r="O2587" s="56">
        <f>_xlfn.XLOOKUP(Survey!$K2587,pipedata[ID],pipedata[104%])</f>
        <v>2565.3333333333335</v>
      </c>
      <c r="P2587" s="57">
        <f t="shared" si="40"/>
        <v>1850</v>
      </c>
      <c r="Q2587" s="58">
        <f>_xlfn.MAXIFS(Survey!$G$2:$G$3647,Survey!$M$2:$M$3647,Survey!$M2587)-Survey!$G2587</f>
        <v>148.18819650845808</v>
      </c>
      <c r="R2587" s="59">
        <f>Survey!$P2587+(Survey!$Q2587*0.433)</f>
        <v>1914.1654890881623</v>
      </c>
    </row>
    <row r="2588" spans="1:18" x14ac:dyDescent="0.25">
      <c r="A2588" s="71" t="s">
        <v>17</v>
      </c>
      <c r="B2588" s="72" t="s">
        <v>22</v>
      </c>
      <c r="C2588" s="73" t="s">
        <v>19</v>
      </c>
      <c r="D2588" s="74">
        <v>246.14885818085594</v>
      </c>
      <c r="E2588" s="81">
        <v>1330329</v>
      </c>
      <c r="F2588" s="82">
        <v>1300709.200000003</v>
      </c>
      <c r="G2588" s="75">
        <v>2685.1916960184062</v>
      </c>
      <c r="H2588" s="76">
        <v>2</v>
      </c>
      <c r="I2588" s="54" t="s">
        <v>20</v>
      </c>
      <c r="J2588" s="77">
        <v>40</v>
      </c>
      <c r="K2588" s="78">
        <v>2</v>
      </c>
      <c r="L2588" s="54">
        <v>2</v>
      </c>
      <c r="M2588" s="54">
        <f>_xlfn.XLOOKUP(Survey!$F2588,sections[Start],sections[Test Section],,-1,1)</f>
        <v>7</v>
      </c>
      <c r="N2588" s="55">
        <f>_xlfn.XLOOKUP(Survey!$K2588,pipedata[ID],pipedata[WT])</f>
        <v>0.74</v>
      </c>
      <c r="O2588" s="56">
        <f>_xlfn.XLOOKUP(Survey!$K2588,pipedata[ID],pipedata[104%])</f>
        <v>2565.3333333333335</v>
      </c>
      <c r="P2588" s="57">
        <f t="shared" si="40"/>
        <v>1850</v>
      </c>
      <c r="Q2588" s="58">
        <f>_xlfn.MAXIFS(Survey!$G$2:$G$3647,Survey!$M$2:$M$3647,Survey!$M2588)-Survey!$G2588</f>
        <v>149.78208139556773</v>
      </c>
      <c r="R2588" s="59">
        <f>Survey!$P2588+(Survey!$Q2588*0.433)</f>
        <v>1914.8556412442808</v>
      </c>
    </row>
    <row r="2589" spans="1:18" x14ac:dyDescent="0.25">
      <c r="A2589" s="60" t="s">
        <v>17</v>
      </c>
      <c r="B2589" s="61" t="s">
        <v>22</v>
      </c>
      <c r="C2589" s="62" t="s">
        <v>19</v>
      </c>
      <c r="D2589" s="63">
        <v>246.15576241601318</v>
      </c>
      <c r="E2589" s="79">
        <v>1330369</v>
      </c>
      <c r="F2589" s="80">
        <v>1300748.8000000031</v>
      </c>
      <c r="G2589" s="66">
        <v>2683.0310274133981</v>
      </c>
      <c r="H2589" s="67">
        <v>2</v>
      </c>
      <c r="I2589" s="68" t="s">
        <v>20</v>
      </c>
      <c r="J2589" s="69">
        <v>40</v>
      </c>
      <c r="K2589" s="70">
        <v>2</v>
      </c>
      <c r="L2589" s="68">
        <v>2</v>
      </c>
      <c r="M2589" s="68">
        <f>_xlfn.XLOOKUP(Survey!$F2589,sections[Start],sections[Test Section],,-1,1)</f>
        <v>7</v>
      </c>
      <c r="N2589" s="55">
        <f>_xlfn.XLOOKUP(Survey!$K2589,pipedata[ID],pipedata[WT])</f>
        <v>0.74</v>
      </c>
      <c r="O2589" s="56">
        <f>_xlfn.XLOOKUP(Survey!$K2589,pipedata[ID],pipedata[104%])</f>
        <v>2565.3333333333335</v>
      </c>
      <c r="P2589" s="57">
        <f t="shared" si="40"/>
        <v>1850</v>
      </c>
      <c r="Q2589" s="58">
        <f>_xlfn.MAXIFS(Survey!$G$2:$G$3647,Survey!$M$2:$M$3647,Survey!$M2589)-Survey!$G2589</f>
        <v>151.94275000057587</v>
      </c>
      <c r="R2589" s="59">
        <f>Survey!$P2589+(Survey!$Q2589*0.433)</f>
        <v>1915.7912107502493</v>
      </c>
    </row>
    <row r="2590" spans="1:18" x14ac:dyDescent="0.25">
      <c r="A2590" s="71" t="s">
        <v>17</v>
      </c>
      <c r="B2590" s="72" t="s">
        <v>22</v>
      </c>
      <c r="C2590" s="73" t="s">
        <v>19</v>
      </c>
      <c r="D2590" s="74">
        <v>246.16462529080303</v>
      </c>
      <c r="E2590" s="81">
        <v>1330409</v>
      </c>
      <c r="F2590" s="82">
        <v>1300788.4000000032</v>
      </c>
      <c r="G2590" s="75">
        <v>2681.4095623491298</v>
      </c>
      <c r="H2590" s="76">
        <v>2</v>
      </c>
      <c r="I2590" s="54" t="s">
        <v>20</v>
      </c>
      <c r="J2590" s="77">
        <v>40</v>
      </c>
      <c r="K2590" s="78">
        <v>2</v>
      </c>
      <c r="L2590" s="54">
        <v>2</v>
      </c>
      <c r="M2590" s="54">
        <f>_xlfn.XLOOKUP(Survey!$F2590,sections[Start],sections[Test Section],,-1,1)</f>
        <v>7</v>
      </c>
      <c r="N2590" s="55">
        <f>_xlfn.XLOOKUP(Survey!$K2590,pipedata[ID],pipedata[WT])</f>
        <v>0.74</v>
      </c>
      <c r="O2590" s="56">
        <f>_xlfn.XLOOKUP(Survey!$K2590,pipedata[ID],pipedata[104%])</f>
        <v>2565.3333333333335</v>
      </c>
      <c r="P2590" s="57">
        <f t="shared" si="40"/>
        <v>1850</v>
      </c>
      <c r="Q2590" s="58">
        <f>_xlfn.MAXIFS(Survey!$G$2:$G$3647,Survey!$M$2:$M$3647,Survey!$M2590)-Survey!$G2590</f>
        <v>153.56421506484412</v>
      </c>
      <c r="R2590" s="59">
        <f>Survey!$P2590+(Survey!$Q2590*0.433)</f>
        <v>1916.4933051230776</v>
      </c>
    </row>
    <row r="2591" spans="1:18" x14ac:dyDescent="0.25">
      <c r="A2591" s="60" t="s">
        <v>17</v>
      </c>
      <c r="B2591" s="61" t="s">
        <v>22</v>
      </c>
      <c r="C2591" s="62" t="s">
        <v>19</v>
      </c>
      <c r="D2591" s="63">
        <v>246.17187229804691</v>
      </c>
      <c r="E2591" s="79">
        <v>1330449</v>
      </c>
      <c r="F2591" s="80">
        <v>1300828.0000000033</v>
      </c>
      <c r="G2591" s="66">
        <v>2680.5619553723254</v>
      </c>
      <c r="H2591" s="67">
        <v>2</v>
      </c>
      <c r="I2591" s="68" t="s">
        <v>20</v>
      </c>
      <c r="J2591" s="69">
        <v>40</v>
      </c>
      <c r="K2591" s="70">
        <v>2</v>
      </c>
      <c r="L2591" s="68">
        <v>2</v>
      </c>
      <c r="M2591" s="68">
        <f>_xlfn.XLOOKUP(Survey!$F2591,sections[Start],sections[Test Section],,-1,1)</f>
        <v>7</v>
      </c>
      <c r="N2591" s="55">
        <f>_xlfn.XLOOKUP(Survey!$K2591,pipedata[ID],pipedata[WT])</f>
        <v>0.74</v>
      </c>
      <c r="O2591" s="56">
        <f>_xlfn.XLOOKUP(Survey!$K2591,pipedata[ID],pipedata[104%])</f>
        <v>2565.3333333333335</v>
      </c>
      <c r="P2591" s="57">
        <f t="shared" si="40"/>
        <v>1850</v>
      </c>
      <c r="Q2591" s="58">
        <f>_xlfn.MAXIFS(Survey!$G$2:$G$3647,Survey!$M$2:$M$3647,Survey!$M2591)-Survey!$G2591</f>
        <v>154.41182204164852</v>
      </c>
      <c r="R2591" s="59">
        <f>Survey!$P2591+(Survey!$Q2591*0.433)</f>
        <v>1916.8603189440339</v>
      </c>
    </row>
    <row r="2592" spans="1:18" x14ac:dyDescent="0.25">
      <c r="A2592" s="71" t="s">
        <v>17</v>
      </c>
      <c r="B2592" s="72" t="s">
        <v>22</v>
      </c>
      <c r="C2592" s="73" t="s">
        <v>19</v>
      </c>
      <c r="D2592" s="74">
        <v>246.17877653320451</v>
      </c>
      <c r="E2592" s="81">
        <v>1330489</v>
      </c>
      <c r="F2592" s="82">
        <v>1300867.6000000034</v>
      </c>
      <c r="G2592" s="75">
        <v>2679.8693930432651</v>
      </c>
      <c r="H2592" s="76">
        <v>2</v>
      </c>
      <c r="I2592" s="54" t="s">
        <v>20</v>
      </c>
      <c r="J2592" s="77">
        <v>40</v>
      </c>
      <c r="K2592" s="78">
        <v>2</v>
      </c>
      <c r="L2592" s="54">
        <v>2</v>
      </c>
      <c r="M2592" s="54">
        <f>_xlfn.XLOOKUP(Survey!$F2592,sections[Start],sections[Test Section],,-1,1)</f>
        <v>7</v>
      </c>
      <c r="N2592" s="55">
        <f>_xlfn.XLOOKUP(Survey!$K2592,pipedata[ID],pipedata[WT])</f>
        <v>0.74</v>
      </c>
      <c r="O2592" s="56">
        <f>_xlfn.XLOOKUP(Survey!$K2592,pipedata[ID],pipedata[104%])</f>
        <v>2565.3333333333335</v>
      </c>
      <c r="P2592" s="57">
        <f t="shared" si="40"/>
        <v>1850</v>
      </c>
      <c r="Q2592" s="58">
        <f>_xlfn.MAXIFS(Survey!$G$2:$G$3647,Survey!$M$2:$M$3647,Survey!$M2592)-Survey!$G2592</f>
        <v>155.10438437070889</v>
      </c>
      <c r="R2592" s="59">
        <f>Survey!$P2592+(Survey!$Q2592*0.433)</f>
        <v>1917.1601984325171</v>
      </c>
    </row>
    <row r="2593" spans="1:18" x14ac:dyDescent="0.25">
      <c r="A2593" s="60" t="s">
        <v>17</v>
      </c>
      <c r="B2593" s="61" t="s">
        <v>22</v>
      </c>
      <c r="C2593" s="62" t="s">
        <v>19</v>
      </c>
      <c r="D2593" s="63">
        <v>246.18661211967111</v>
      </c>
      <c r="E2593" s="79">
        <v>1330529</v>
      </c>
      <c r="F2593" s="80">
        <v>1300907.2000000034</v>
      </c>
      <c r="G2593" s="66">
        <v>2679.6581201712879</v>
      </c>
      <c r="H2593" s="67">
        <v>2</v>
      </c>
      <c r="I2593" s="68" t="s">
        <v>20</v>
      </c>
      <c r="J2593" s="69">
        <v>40</v>
      </c>
      <c r="K2593" s="70">
        <v>2</v>
      </c>
      <c r="L2593" s="68">
        <v>2</v>
      </c>
      <c r="M2593" s="68">
        <f>_xlfn.XLOOKUP(Survey!$F2593,sections[Start],sections[Test Section],,-1,1)</f>
        <v>7</v>
      </c>
      <c r="N2593" s="55">
        <f>_xlfn.XLOOKUP(Survey!$K2593,pipedata[ID],pipedata[WT])</f>
        <v>0.74</v>
      </c>
      <c r="O2593" s="56">
        <f>_xlfn.XLOOKUP(Survey!$K2593,pipedata[ID],pipedata[104%])</f>
        <v>2565.3333333333335</v>
      </c>
      <c r="P2593" s="57">
        <f t="shared" si="40"/>
        <v>1850</v>
      </c>
      <c r="Q2593" s="58">
        <f>_xlfn.MAXIFS(Survey!$G$2:$G$3647,Survey!$M$2:$M$3647,Survey!$M2593)-Survey!$G2593</f>
        <v>155.31565724268603</v>
      </c>
      <c r="R2593" s="59">
        <f>Survey!$P2593+(Survey!$Q2593*0.433)</f>
        <v>1917.2516795860831</v>
      </c>
    </row>
    <row r="2594" spans="1:18" x14ac:dyDescent="0.25">
      <c r="A2594" s="71" t="s">
        <v>17</v>
      </c>
      <c r="B2594" s="72" t="s">
        <v>22</v>
      </c>
      <c r="C2594" s="73" t="s">
        <v>19</v>
      </c>
      <c r="D2594" s="74">
        <v>246.19488641523762</v>
      </c>
      <c r="E2594" s="81">
        <v>1330569</v>
      </c>
      <c r="F2594" s="82">
        <v>1300946.8000000035</v>
      </c>
      <c r="G2594" s="75">
        <v>2680.3029008954577</v>
      </c>
      <c r="H2594" s="76">
        <v>2</v>
      </c>
      <c r="I2594" s="54" t="s">
        <v>20</v>
      </c>
      <c r="J2594" s="77">
        <v>40</v>
      </c>
      <c r="K2594" s="78">
        <v>2</v>
      </c>
      <c r="L2594" s="54">
        <v>2</v>
      </c>
      <c r="M2594" s="54">
        <f>_xlfn.XLOOKUP(Survey!$F2594,sections[Start],sections[Test Section],,-1,1)</f>
        <v>7</v>
      </c>
      <c r="N2594" s="55">
        <f>_xlfn.XLOOKUP(Survey!$K2594,pipedata[ID],pipedata[WT])</f>
        <v>0.74</v>
      </c>
      <c r="O2594" s="56">
        <f>_xlfn.XLOOKUP(Survey!$K2594,pipedata[ID],pipedata[104%])</f>
        <v>2565.3333333333335</v>
      </c>
      <c r="P2594" s="57">
        <f t="shared" si="40"/>
        <v>1850</v>
      </c>
      <c r="Q2594" s="58">
        <f>_xlfn.MAXIFS(Survey!$G$2:$G$3647,Survey!$M$2:$M$3647,Survey!$M2594)-Survey!$G2594</f>
        <v>154.67087651851625</v>
      </c>
      <c r="R2594" s="59">
        <f>Survey!$P2594+(Survey!$Q2594*0.433)</f>
        <v>1916.9724895325176</v>
      </c>
    </row>
    <row r="2595" spans="1:18" x14ac:dyDescent="0.25">
      <c r="A2595" s="60" t="s">
        <v>17</v>
      </c>
      <c r="B2595" s="61" t="s">
        <v>22</v>
      </c>
      <c r="C2595" s="62" t="s">
        <v>19</v>
      </c>
      <c r="D2595" s="63">
        <v>246.20179065039491</v>
      </c>
      <c r="E2595" s="79">
        <v>1330609</v>
      </c>
      <c r="F2595" s="80">
        <v>1300986.4000000036</v>
      </c>
      <c r="G2595" s="66">
        <v>2681.042792909444</v>
      </c>
      <c r="H2595" s="67">
        <v>2</v>
      </c>
      <c r="I2595" s="68" t="s">
        <v>20</v>
      </c>
      <c r="J2595" s="69">
        <v>40</v>
      </c>
      <c r="K2595" s="70">
        <v>2</v>
      </c>
      <c r="L2595" s="68">
        <v>2</v>
      </c>
      <c r="M2595" s="68">
        <f>_xlfn.XLOOKUP(Survey!$F2595,sections[Start],sections[Test Section],,-1,1)</f>
        <v>7</v>
      </c>
      <c r="N2595" s="55">
        <f>_xlfn.XLOOKUP(Survey!$K2595,pipedata[ID],pipedata[WT])</f>
        <v>0.74</v>
      </c>
      <c r="O2595" s="56">
        <f>_xlfn.XLOOKUP(Survey!$K2595,pipedata[ID],pipedata[104%])</f>
        <v>2565.3333333333335</v>
      </c>
      <c r="P2595" s="57">
        <f t="shared" si="40"/>
        <v>1850</v>
      </c>
      <c r="Q2595" s="58">
        <f>_xlfn.MAXIFS(Survey!$G$2:$G$3647,Survey!$M$2:$M$3647,Survey!$M2595)-Survey!$G2595</f>
        <v>153.93098450452999</v>
      </c>
      <c r="R2595" s="59">
        <f>Survey!$P2595+(Survey!$Q2595*0.433)</f>
        <v>1916.6521162904614</v>
      </c>
    </row>
    <row r="2596" spans="1:18" x14ac:dyDescent="0.25">
      <c r="A2596" s="71" t="s">
        <v>17</v>
      </c>
      <c r="B2596" s="72" t="s">
        <v>22</v>
      </c>
      <c r="C2596" s="73" t="s">
        <v>19</v>
      </c>
      <c r="D2596" s="74">
        <v>246.20869488555212</v>
      </c>
      <c r="E2596" s="81">
        <v>1330649</v>
      </c>
      <c r="F2596" s="82">
        <v>1301026.0000000037</v>
      </c>
      <c r="G2596" s="75">
        <v>2681.8725733884271</v>
      </c>
      <c r="H2596" s="76">
        <v>2</v>
      </c>
      <c r="I2596" s="54" t="s">
        <v>20</v>
      </c>
      <c r="J2596" s="77">
        <v>40</v>
      </c>
      <c r="K2596" s="78">
        <v>2</v>
      </c>
      <c r="L2596" s="54">
        <v>2</v>
      </c>
      <c r="M2596" s="54">
        <f>_xlfn.XLOOKUP(Survey!$F2596,sections[Start],sections[Test Section],,-1,1)</f>
        <v>7</v>
      </c>
      <c r="N2596" s="55">
        <f>_xlfn.XLOOKUP(Survey!$K2596,pipedata[ID],pipedata[WT])</f>
        <v>0.74</v>
      </c>
      <c r="O2596" s="56">
        <f>_xlfn.XLOOKUP(Survey!$K2596,pipedata[ID],pipedata[104%])</f>
        <v>2565.3333333333335</v>
      </c>
      <c r="P2596" s="57">
        <f t="shared" si="40"/>
        <v>1850</v>
      </c>
      <c r="Q2596" s="58">
        <f>_xlfn.MAXIFS(Survey!$G$2:$G$3647,Survey!$M$2:$M$3647,Survey!$M2596)-Survey!$G2596</f>
        <v>153.10120402554685</v>
      </c>
      <c r="R2596" s="59">
        <f>Survey!$P2596+(Survey!$Q2596*0.433)</f>
        <v>1916.2928213430619</v>
      </c>
    </row>
    <row r="2597" spans="1:18" x14ac:dyDescent="0.25">
      <c r="A2597" s="60" t="s">
        <v>17</v>
      </c>
      <c r="B2597" s="61" t="s">
        <v>22</v>
      </c>
      <c r="C2597" s="62" t="s">
        <v>19</v>
      </c>
      <c r="D2597" s="63">
        <v>246.21775775986947</v>
      </c>
      <c r="E2597" s="79">
        <v>1330689</v>
      </c>
      <c r="F2597" s="80">
        <v>1301065.6000000038</v>
      </c>
      <c r="G2597" s="66">
        <v>2683.2742224615158</v>
      </c>
      <c r="H2597" s="67">
        <v>2</v>
      </c>
      <c r="I2597" s="68" t="s">
        <v>20</v>
      </c>
      <c r="J2597" s="69">
        <v>40</v>
      </c>
      <c r="K2597" s="70">
        <v>2</v>
      </c>
      <c r="L2597" s="68">
        <v>2</v>
      </c>
      <c r="M2597" s="68">
        <f>_xlfn.XLOOKUP(Survey!$F2597,sections[Start],sections[Test Section],,-1,1)</f>
        <v>7</v>
      </c>
      <c r="N2597" s="55">
        <f>_xlfn.XLOOKUP(Survey!$K2597,pipedata[ID],pipedata[WT])</f>
        <v>0.74</v>
      </c>
      <c r="O2597" s="56">
        <f>_xlfn.XLOOKUP(Survey!$K2597,pipedata[ID],pipedata[104%])</f>
        <v>2565.3333333333335</v>
      </c>
      <c r="P2597" s="57">
        <f t="shared" si="40"/>
        <v>1850</v>
      </c>
      <c r="Q2597" s="58">
        <f>_xlfn.MAXIFS(Survey!$G$2:$G$3647,Survey!$M$2:$M$3647,Survey!$M2597)-Survey!$G2597</f>
        <v>151.69955495245813</v>
      </c>
      <c r="R2597" s="59">
        <f>Survey!$P2597+(Survey!$Q2597*0.433)</f>
        <v>1915.6859072944144</v>
      </c>
    </row>
    <row r="2598" spans="1:18" x14ac:dyDescent="0.25">
      <c r="A2598" s="71" t="s">
        <v>17</v>
      </c>
      <c r="B2598" s="72" t="s">
        <v>22</v>
      </c>
      <c r="C2598" s="73" t="s">
        <v>19</v>
      </c>
      <c r="D2598" s="74">
        <v>246.22518997634413</v>
      </c>
      <c r="E2598" s="81">
        <v>1330729</v>
      </c>
      <c r="F2598" s="82">
        <v>1301105.2000000039</v>
      </c>
      <c r="G2598" s="75">
        <v>2684.9689270364265</v>
      </c>
      <c r="H2598" s="76">
        <v>2</v>
      </c>
      <c r="I2598" s="54" t="s">
        <v>20</v>
      </c>
      <c r="J2598" s="77">
        <v>40</v>
      </c>
      <c r="K2598" s="78">
        <v>2</v>
      </c>
      <c r="L2598" s="54">
        <v>2</v>
      </c>
      <c r="M2598" s="54">
        <f>_xlfn.XLOOKUP(Survey!$F2598,sections[Start],sections[Test Section],,-1,1)</f>
        <v>7</v>
      </c>
      <c r="N2598" s="55">
        <f>_xlfn.XLOOKUP(Survey!$K2598,pipedata[ID],pipedata[WT])</f>
        <v>0.74</v>
      </c>
      <c r="O2598" s="56">
        <f>_xlfn.XLOOKUP(Survey!$K2598,pipedata[ID],pipedata[104%])</f>
        <v>2565.3333333333335</v>
      </c>
      <c r="P2598" s="57">
        <f t="shared" si="40"/>
        <v>1850</v>
      </c>
      <c r="Q2598" s="58">
        <f>_xlfn.MAXIFS(Survey!$G$2:$G$3647,Survey!$M$2:$M$3647,Survey!$M2598)-Survey!$G2598</f>
        <v>150.00485037754743</v>
      </c>
      <c r="R2598" s="59">
        <f>Survey!$P2598+(Survey!$Q2598*0.433)</f>
        <v>1914.9521002134779</v>
      </c>
    </row>
    <row r="2599" spans="1:18" x14ac:dyDescent="0.25">
      <c r="A2599" s="60" t="s">
        <v>17</v>
      </c>
      <c r="B2599" s="61" t="s">
        <v>22</v>
      </c>
      <c r="C2599" s="62" t="s">
        <v>19</v>
      </c>
      <c r="D2599" s="63">
        <v>246.23262219281631</v>
      </c>
      <c r="E2599" s="79">
        <v>1330769</v>
      </c>
      <c r="F2599" s="80">
        <v>1301144.800000004</v>
      </c>
      <c r="G2599" s="66">
        <v>2687.023263307773</v>
      </c>
      <c r="H2599" s="67">
        <v>2</v>
      </c>
      <c r="I2599" s="68" t="s">
        <v>20</v>
      </c>
      <c r="J2599" s="69">
        <v>40</v>
      </c>
      <c r="K2599" s="70">
        <v>2</v>
      </c>
      <c r="L2599" s="68">
        <v>2</v>
      </c>
      <c r="M2599" s="68">
        <f>_xlfn.XLOOKUP(Survey!$F2599,sections[Start],sections[Test Section],,-1,1)</f>
        <v>7</v>
      </c>
      <c r="N2599" s="55">
        <f>_xlfn.XLOOKUP(Survey!$K2599,pipedata[ID],pipedata[WT])</f>
        <v>0.74</v>
      </c>
      <c r="O2599" s="56">
        <f>_xlfn.XLOOKUP(Survey!$K2599,pipedata[ID],pipedata[104%])</f>
        <v>2565.3333333333335</v>
      </c>
      <c r="P2599" s="57">
        <f t="shared" si="40"/>
        <v>1850</v>
      </c>
      <c r="Q2599" s="58">
        <f>_xlfn.MAXIFS(Survey!$G$2:$G$3647,Survey!$M$2:$M$3647,Survey!$M2599)-Survey!$G2599</f>
        <v>147.9505141062009</v>
      </c>
      <c r="R2599" s="59">
        <f>Survey!$P2599+(Survey!$Q2599*0.433)</f>
        <v>1914.062572607985</v>
      </c>
    </row>
    <row r="2600" spans="1:18" x14ac:dyDescent="0.25">
      <c r="A2600" s="71" t="s">
        <v>17</v>
      </c>
      <c r="B2600" s="72" t="s">
        <v>22</v>
      </c>
      <c r="C2600" s="73" t="s">
        <v>19</v>
      </c>
      <c r="D2600" s="74">
        <v>246.24005440929054</v>
      </c>
      <c r="E2600" s="81">
        <v>1330809</v>
      </c>
      <c r="F2600" s="82">
        <v>1301184.4000000041</v>
      </c>
      <c r="G2600" s="75">
        <v>2689.2485463771072</v>
      </c>
      <c r="H2600" s="76">
        <v>2</v>
      </c>
      <c r="I2600" s="54" t="s">
        <v>20</v>
      </c>
      <c r="J2600" s="77">
        <v>34</v>
      </c>
      <c r="K2600" s="78">
        <v>2</v>
      </c>
      <c r="L2600" s="54">
        <v>2</v>
      </c>
      <c r="M2600" s="54">
        <f>_xlfn.XLOOKUP(Survey!$F2600,sections[Start],sections[Test Section],,-1,1)</f>
        <v>7</v>
      </c>
      <c r="N2600" s="55">
        <f>_xlfn.XLOOKUP(Survey!$K2600,pipedata[ID],pipedata[WT])</f>
        <v>0.74</v>
      </c>
      <c r="O2600" s="56">
        <f>_xlfn.XLOOKUP(Survey!$K2600,pipedata[ID],pipedata[104%])</f>
        <v>2565.3333333333335</v>
      </c>
      <c r="P2600" s="57">
        <f t="shared" si="40"/>
        <v>1850</v>
      </c>
      <c r="Q2600" s="58">
        <f>_xlfn.MAXIFS(Survey!$G$2:$G$3647,Survey!$M$2:$M$3647,Survey!$M2600)-Survey!$G2600</f>
        <v>145.72523103686672</v>
      </c>
      <c r="R2600" s="59">
        <f>Survey!$P2600+(Survey!$Q2600*0.433)</f>
        <v>1913.0990250389632</v>
      </c>
    </row>
    <row r="2601" spans="1:18" x14ac:dyDescent="0.25">
      <c r="A2601" s="60" t="s">
        <v>17</v>
      </c>
      <c r="B2601" s="61" t="s">
        <v>22</v>
      </c>
      <c r="C2601" s="62" t="s">
        <v>19</v>
      </c>
      <c r="D2601" s="63">
        <v>246.24796791886087</v>
      </c>
      <c r="E2601" s="79">
        <v>1330843</v>
      </c>
      <c r="F2601" s="80">
        <v>1301224</v>
      </c>
      <c r="G2601" s="66">
        <v>2692.2195069402064</v>
      </c>
      <c r="H2601" s="67">
        <v>3</v>
      </c>
      <c r="I2601" s="68" t="s">
        <v>21</v>
      </c>
      <c r="J2601" s="69">
        <v>46</v>
      </c>
      <c r="K2601" s="70">
        <v>5</v>
      </c>
      <c r="L2601" s="68">
        <v>2</v>
      </c>
      <c r="M2601" s="68">
        <f>_xlfn.XLOOKUP(Survey!$F2601,sections[Start],sections[Test Section],,-1,1)</f>
        <v>7</v>
      </c>
      <c r="N2601" s="55">
        <f>_xlfn.XLOOKUP(Survey!$K2601,pipedata[ID],pipedata[WT])</f>
        <v>0.88800000000000001</v>
      </c>
      <c r="O2601" s="56">
        <f>_xlfn.XLOOKUP(Survey!$K2601,pipedata[ID],pipedata[104%])</f>
        <v>3078.4</v>
      </c>
      <c r="P2601" s="57">
        <f t="shared" si="40"/>
        <v>1850</v>
      </c>
      <c r="Q2601" s="58">
        <f>_xlfn.MAXIFS(Survey!$G$2:$G$3647,Survey!$M$2:$M$3647,Survey!$M2601)-Survey!$G2601</f>
        <v>142.75427047376752</v>
      </c>
      <c r="R2601" s="59">
        <f>Survey!$P2601+(Survey!$Q2601*0.433)</f>
        <v>1911.8125991151414</v>
      </c>
    </row>
    <row r="2602" spans="1:18" x14ac:dyDescent="0.25">
      <c r="A2602" s="71" t="s">
        <v>17</v>
      </c>
      <c r="B2602" s="72" t="s">
        <v>22</v>
      </c>
      <c r="C2602" s="73" t="s">
        <v>19</v>
      </c>
      <c r="D2602" s="74">
        <v>246.25491884223752</v>
      </c>
      <c r="E2602" s="81">
        <v>1330889</v>
      </c>
      <c r="F2602" s="82">
        <v>1301264</v>
      </c>
      <c r="G2602" s="75">
        <v>2698.2933675389704</v>
      </c>
      <c r="H2602" s="76">
        <v>3</v>
      </c>
      <c r="I2602" s="54" t="s">
        <v>21</v>
      </c>
      <c r="J2602" s="77">
        <v>34</v>
      </c>
      <c r="K2602" s="78">
        <v>5</v>
      </c>
      <c r="L2602" s="54">
        <v>2</v>
      </c>
      <c r="M2602" s="54">
        <f>_xlfn.XLOOKUP(Survey!$F2602,sections[Start],sections[Test Section],,-1,1)</f>
        <v>7</v>
      </c>
      <c r="N2602" s="55">
        <f>_xlfn.XLOOKUP(Survey!$K2602,pipedata[ID],pipedata[WT])</f>
        <v>0.88800000000000001</v>
      </c>
      <c r="O2602" s="56">
        <f>_xlfn.XLOOKUP(Survey!$K2602,pipedata[ID],pipedata[104%])</f>
        <v>3078.4</v>
      </c>
      <c r="P2602" s="57">
        <f t="shared" si="40"/>
        <v>1850</v>
      </c>
      <c r="Q2602" s="58">
        <f>_xlfn.MAXIFS(Survey!$G$2:$G$3647,Survey!$M$2:$M$3647,Survey!$M2602)-Survey!$G2602</f>
        <v>136.68040987500353</v>
      </c>
      <c r="R2602" s="59">
        <f>Survey!$P2602+(Survey!$Q2602*0.433)</f>
        <v>1909.1826174758764</v>
      </c>
    </row>
    <row r="2603" spans="1:18" x14ac:dyDescent="0.25">
      <c r="A2603" s="60" t="s">
        <v>17</v>
      </c>
      <c r="B2603" s="61" t="s">
        <v>22</v>
      </c>
      <c r="C2603" s="62" t="s">
        <v>19</v>
      </c>
      <c r="D2603" s="63">
        <v>246.26235105871007</v>
      </c>
      <c r="E2603" s="79">
        <v>1330923</v>
      </c>
      <c r="F2603" s="80">
        <v>1301304</v>
      </c>
      <c r="G2603" s="66">
        <v>2697.4116711225342</v>
      </c>
      <c r="H2603" s="67">
        <v>2</v>
      </c>
      <c r="I2603" s="68" t="s">
        <v>20</v>
      </c>
      <c r="J2603" s="69">
        <v>46</v>
      </c>
      <c r="K2603" s="70">
        <v>2</v>
      </c>
      <c r="L2603" s="68">
        <v>2</v>
      </c>
      <c r="M2603" s="68">
        <f>_xlfn.XLOOKUP(Survey!$F2603,sections[Start],sections[Test Section],,-1,1)</f>
        <v>7</v>
      </c>
      <c r="N2603" s="55">
        <f>_xlfn.XLOOKUP(Survey!$K2603,pipedata[ID],pipedata[WT])</f>
        <v>0.74</v>
      </c>
      <c r="O2603" s="56">
        <f>_xlfn.XLOOKUP(Survey!$K2603,pipedata[ID],pipedata[104%])</f>
        <v>2565.3333333333335</v>
      </c>
      <c r="P2603" s="57">
        <f t="shared" si="40"/>
        <v>1850</v>
      </c>
      <c r="Q2603" s="58">
        <f>_xlfn.MAXIFS(Survey!$G$2:$G$3647,Survey!$M$2:$M$3647,Survey!$M2603)-Survey!$G2603</f>
        <v>137.5621062914397</v>
      </c>
      <c r="R2603" s="59">
        <f>Survey!$P2603+(Survey!$Q2603*0.433)</f>
        <v>1909.5643920241935</v>
      </c>
    </row>
    <row r="2604" spans="1:18" x14ac:dyDescent="0.25">
      <c r="A2604" s="71" t="s">
        <v>17</v>
      </c>
      <c r="B2604" s="72" t="s">
        <v>22</v>
      </c>
      <c r="C2604" s="73" t="s">
        <v>19</v>
      </c>
      <c r="D2604" s="74">
        <v>246.26966379781675</v>
      </c>
      <c r="E2604" s="81">
        <v>1330969</v>
      </c>
      <c r="F2604" s="82">
        <v>1301344.5</v>
      </c>
      <c r="G2604" s="75">
        <v>2700.9145039371811</v>
      </c>
      <c r="H2604" s="76">
        <v>2</v>
      </c>
      <c r="I2604" s="54" t="s">
        <v>20</v>
      </c>
      <c r="J2604" s="77">
        <v>40</v>
      </c>
      <c r="K2604" s="78">
        <v>2</v>
      </c>
      <c r="L2604" s="54">
        <v>2</v>
      </c>
      <c r="M2604" s="54">
        <f>_xlfn.XLOOKUP(Survey!$F2604,sections[Start],sections[Test Section],,-1,1)</f>
        <v>7</v>
      </c>
      <c r="N2604" s="55">
        <f>_xlfn.XLOOKUP(Survey!$K2604,pipedata[ID],pipedata[WT])</f>
        <v>0.74</v>
      </c>
      <c r="O2604" s="56">
        <f>_xlfn.XLOOKUP(Survey!$K2604,pipedata[ID],pipedata[104%])</f>
        <v>2565.3333333333335</v>
      </c>
      <c r="P2604" s="57">
        <f t="shared" si="40"/>
        <v>1850</v>
      </c>
      <c r="Q2604" s="58">
        <f>_xlfn.MAXIFS(Survey!$G$2:$G$3647,Survey!$M$2:$M$3647,Survey!$M2604)-Survey!$G2604</f>
        <v>134.0592734767929</v>
      </c>
      <c r="R2604" s="59">
        <f>Survey!$P2604+(Survey!$Q2604*0.433)</f>
        <v>1908.0476654154513</v>
      </c>
    </row>
    <row r="2605" spans="1:18" x14ac:dyDescent="0.25">
      <c r="A2605" s="60" t="s">
        <v>17</v>
      </c>
      <c r="B2605" s="61" t="s">
        <v>22</v>
      </c>
      <c r="C2605" s="62" t="s">
        <v>19</v>
      </c>
      <c r="D2605" s="63">
        <v>246.27800801050626</v>
      </c>
      <c r="E2605" s="79">
        <v>1331009</v>
      </c>
      <c r="F2605" s="80">
        <v>1301385</v>
      </c>
      <c r="G2605" s="66">
        <v>2704.2894995183119</v>
      </c>
      <c r="H2605" s="67">
        <v>2</v>
      </c>
      <c r="I2605" s="68" t="s">
        <v>20</v>
      </c>
      <c r="J2605" s="69">
        <v>40</v>
      </c>
      <c r="K2605" s="70">
        <v>2</v>
      </c>
      <c r="L2605" s="68">
        <v>2</v>
      </c>
      <c r="M2605" s="68">
        <f>_xlfn.XLOOKUP(Survey!$F2605,sections[Start],sections[Test Section],,-1,1)</f>
        <v>7</v>
      </c>
      <c r="N2605" s="55">
        <f>_xlfn.XLOOKUP(Survey!$K2605,pipedata[ID],pipedata[WT])</f>
        <v>0.74</v>
      </c>
      <c r="O2605" s="56">
        <f>_xlfn.XLOOKUP(Survey!$K2605,pipedata[ID],pipedata[104%])</f>
        <v>2565.3333333333335</v>
      </c>
      <c r="P2605" s="57">
        <f t="shared" si="40"/>
        <v>1850</v>
      </c>
      <c r="Q2605" s="58">
        <f>_xlfn.MAXIFS(Survey!$G$2:$G$3647,Survey!$M$2:$M$3647,Survey!$M2605)-Survey!$G2605</f>
        <v>130.68427789566204</v>
      </c>
      <c r="R2605" s="59">
        <f>Survey!$P2605+(Survey!$Q2605*0.433)</f>
        <v>1906.5862923288216</v>
      </c>
    </row>
    <row r="2606" spans="1:18" x14ac:dyDescent="0.25">
      <c r="A2606" s="71" t="s">
        <v>17</v>
      </c>
      <c r="B2606" s="72" t="s">
        <v>22</v>
      </c>
      <c r="C2606" s="73" t="s">
        <v>19</v>
      </c>
      <c r="D2606" s="74">
        <v>246.28533750263853</v>
      </c>
      <c r="E2606" s="81">
        <v>1331049</v>
      </c>
      <c r="F2606" s="82">
        <v>1301425.5</v>
      </c>
      <c r="G2606" s="75">
        <v>2709.9574645757075</v>
      </c>
      <c r="H2606" s="76">
        <v>2</v>
      </c>
      <c r="I2606" s="54" t="s">
        <v>20</v>
      </c>
      <c r="J2606" s="77">
        <v>40</v>
      </c>
      <c r="K2606" s="78">
        <v>2</v>
      </c>
      <c r="L2606" s="54">
        <v>2</v>
      </c>
      <c r="M2606" s="54">
        <f>_xlfn.XLOOKUP(Survey!$F2606,sections[Start],sections[Test Section],,-1,1)</f>
        <v>7</v>
      </c>
      <c r="N2606" s="55">
        <f>_xlfn.XLOOKUP(Survey!$K2606,pipedata[ID],pipedata[WT])</f>
        <v>0.74</v>
      </c>
      <c r="O2606" s="56">
        <f>_xlfn.XLOOKUP(Survey!$K2606,pipedata[ID],pipedata[104%])</f>
        <v>2565.3333333333335</v>
      </c>
      <c r="P2606" s="57">
        <f t="shared" si="40"/>
        <v>1850</v>
      </c>
      <c r="Q2606" s="58">
        <f>_xlfn.MAXIFS(Survey!$G$2:$G$3647,Survey!$M$2:$M$3647,Survey!$M2606)-Survey!$G2606</f>
        <v>125.01631283826646</v>
      </c>
      <c r="R2606" s="59">
        <f>Survey!$P2606+(Survey!$Q2606*0.433)</f>
        <v>1904.1320634589695</v>
      </c>
    </row>
    <row r="2607" spans="1:18" x14ac:dyDescent="0.25">
      <c r="A2607" s="60" t="s">
        <v>17</v>
      </c>
      <c r="B2607" s="61" t="s">
        <v>22</v>
      </c>
      <c r="C2607" s="62" t="s">
        <v>19</v>
      </c>
      <c r="D2607" s="63">
        <v>246.29266699477077</v>
      </c>
      <c r="E2607" s="79">
        <v>1331089</v>
      </c>
      <c r="F2607" s="80">
        <v>1301466</v>
      </c>
      <c r="G2607" s="66">
        <v>2714.5223275991939</v>
      </c>
      <c r="H2607" s="67">
        <v>2</v>
      </c>
      <c r="I2607" s="68" t="s">
        <v>20</v>
      </c>
      <c r="J2607" s="69">
        <v>40</v>
      </c>
      <c r="K2607" s="70">
        <v>2</v>
      </c>
      <c r="L2607" s="68">
        <v>2</v>
      </c>
      <c r="M2607" s="68">
        <f>_xlfn.XLOOKUP(Survey!$F2607,sections[Start],sections[Test Section],,-1,1)</f>
        <v>7</v>
      </c>
      <c r="N2607" s="55">
        <f>_xlfn.XLOOKUP(Survey!$K2607,pipedata[ID],pipedata[WT])</f>
        <v>0.74</v>
      </c>
      <c r="O2607" s="56">
        <f>_xlfn.XLOOKUP(Survey!$K2607,pipedata[ID],pipedata[104%])</f>
        <v>2565.3333333333335</v>
      </c>
      <c r="P2607" s="57">
        <f t="shared" si="40"/>
        <v>1850</v>
      </c>
      <c r="Q2607" s="58">
        <f>_xlfn.MAXIFS(Survey!$G$2:$G$3647,Survey!$M$2:$M$3647,Survey!$M2607)-Survey!$G2607</f>
        <v>120.45144981478006</v>
      </c>
      <c r="R2607" s="59">
        <f>Survey!$P2607+(Survey!$Q2607*0.433)</f>
        <v>1902.1554777697997</v>
      </c>
    </row>
    <row r="2608" spans="1:18" x14ac:dyDescent="0.25">
      <c r="A2608" s="71" t="s">
        <v>17</v>
      </c>
      <c r="B2608" s="72" t="s">
        <v>22</v>
      </c>
      <c r="C2608" s="73" t="s">
        <v>19</v>
      </c>
      <c r="D2608" s="74">
        <v>246.2999964869027</v>
      </c>
      <c r="E2608" s="81">
        <v>1331129</v>
      </c>
      <c r="F2608" s="82">
        <v>1301506.5</v>
      </c>
      <c r="G2608" s="75">
        <v>2717.1939651369971</v>
      </c>
      <c r="H2608" s="76">
        <v>2</v>
      </c>
      <c r="I2608" s="54" t="s">
        <v>20</v>
      </c>
      <c r="J2608" s="77">
        <v>40</v>
      </c>
      <c r="K2608" s="78">
        <v>2</v>
      </c>
      <c r="L2608" s="54">
        <v>2</v>
      </c>
      <c r="M2608" s="54">
        <f>_xlfn.XLOOKUP(Survey!$F2608,sections[Start],sections[Test Section],,-1,1)</f>
        <v>7</v>
      </c>
      <c r="N2608" s="55">
        <f>_xlfn.XLOOKUP(Survey!$K2608,pipedata[ID],pipedata[WT])</f>
        <v>0.74</v>
      </c>
      <c r="O2608" s="56">
        <f>_xlfn.XLOOKUP(Survey!$K2608,pipedata[ID],pipedata[104%])</f>
        <v>2565.3333333333335</v>
      </c>
      <c r="P2608" s="57">
        <f t="shared" si="40"/>
        <v>1850</v>
      </c>
      <c r="Q2608" s="58">
        <f>_xlfn.MAXIFS(Survey!$G$2:$G$3647,Survey!$M$2:$M$3647,Survey!$M2608)-Survey!$G2608</f>
        <v>117.77981227697683</v>
      </c>
      <c r="R2608" s="59">
        <f>Survey!$P2608+(Survey!$Q2608*0.433)</f>
        <v>1900.998658715931</v>
      </c>
    </row>
    <row r="2609" spans="1:18" x14ac:dyDescent="0.25">
      <c r="A2609" s="60" t="s">
        <v>17</v>
      </c>
      <c r="B2609" s="61" t="s">
        <v>22</v>
      </c>
      <c r="C2609" s="62" t="s">
        <v>19</v>
      </c>
      <c r="D2609" s="63">
        <v>246.30790867365968</v>
      </c>
      <c r="E2609" s="79">
        <v>1331169</v>
      </c>
      <c r="F2609" s="80">
        <v>1301547</v>
      </c>
      <c r="G2609" s="66">
        <v>2721.3239231059888</v>
      </c>
      <c r="H2609" s="67">
        <v>2</v>
      </c>
      <c r="I2609" s="68" t="s">
        <v>20</v>
      </c>
      <c r="J2609" s="69">
        <v>40</v>
      </c>
      <c r="K2609" s="70">
        <v>2</v>
      </c>
      <c r="L2609" s="68">
        <v>2</v>
      </c>
      <c r="M2609" s="68">
        <f>_xlfn.XLOOKUP(Survey!$F2609,sections[Start],sections[Test Section],,-1,1)</f>
        <v>7</v>
      </c>
      <c r="N2609" s="55">
        <f>_xlfn.XLOOKUP(Survey!$K2609,pipedata[ID],pipedata[WT])</f>
        <v>0.74</v>
      </c>
      <c r="O2609" s="56">
        <f>_xlfn.XLOOKUP(Survey!$K2609,pipedata[ID],pipedata[104%])</f>
        <v>2565.3333333333335</v>
      </c>
      <c r="P2609" s="57">
        <f t="shared" si="40"/>
        <v>1850</v>
      </c>
      <c r="Q2609" s="58">
        <f>_xlfn.MAXIFS(Survey!$G$2:$G$3647,Survey!$M$2:$M$3647,Survey!$M2609)-Survey!$G2609</f>
        <v>113.64985430798515</v>
      </c>
      <c r="R2609" s="59">
        <f>Survey!$P2609+(Survey!$Q2609*0.433)</f>
        <v>1899.2103869153575</v>
      </c>
    </row>
    <row r="2610" spans="1:18" x14ac:dyDescent="0.25">
      <c r="A2610" s="71" t="s">
        <v>17</v>
      </c>
      <c r="B2610" s="72" t="s">
        <v>22</v>
      </c>
      <c r="C2610" s="73" t="s">
        <v>19</v>
      </c>
      <c r="D2610" s="74">
        <v>246.31482964927739</v>
      </c>
      <c r="E2610" s="81">
        <v>1331209</v>
      </c>
      <c r="F2610" s="82">
        <v>1301587.5</v>
      </c>
      <c r="G2610" s="75">
        <v>2723.9151927757298</v>
      </c>
      <c r="H2610" s="76">
        <v>2</v>
      </c>
      <c r="I2610" s="54" t="s">
        <v>20</v>
      </c>
      <c r="J2610" s="77">
        <v>41</v>
      </c>
      <c r="K2610" s="78">
        <v>2</v>
      </c>
      <c r="L2610" s="54">
        <v>2</v>
      </c>
      <c r="M2610" s="54">
        <f>_xlfn.XLOOKUP(Survey!$F2610,sections[Start],sections[Test Section],,-1,1)</f>
        <v>7</v>
      </c>
      <c r="N2610" s="55">
        <f>_xlfn.XLOOKUP(Survey!$K2610,pipedata[ID],pipedata[WT])</f>
        <v>0.74</v>
      </c>
      <c r="O2610" s="56">
        <f>_xlfn.XLOOKUP(Survey!$K2610,pipedata[ID],pipedata[104%])</f>
        <v>2565.3333333333335</v>
      </c>
      <c r="P2610" s="57">
        <f t="shared" si="40"/>
        <v>1850</v>
      </c>
      <c r="Q2610" s="58">
        <f>_xlfn.MAXIFS(Survey!$G$2:$G$3647,Survey!$M$2:$M$3647,Survey!$M2610)-Survey!$G2610</f>
        <v>111.05858463824416</v>
      </c>
      <c r="R2610" s="59">
        <f>Survey!$P2610+(Survey!$Q2610*0.433)</f>
        <v>1898.0883671483598</v>
      </c>
    </row>
    <row r="2611" spans="1:18" x14ac:dyDescent="0.25">
      <c r="A2611" s="60" t="s">
        <v>17</v>
      </c>
      <c r="B2611" s="61" t="s">
        <v>23</v>
      </c>
      <c r="C2611" s="62" t="s">
        <v>19</v>
      </c>
      <c r="D2611" s="63">
        <v>246.32307037752321</v>
      </c>
      <c r="E2611" s="79">
        <v>1331250</v>
      </c>
      <c r="F2611" s="80">
        <v>1301628</v>
      </c>
      <c r="G2611" s="66">
        <v>2726.5474964339583</v>
      </c>
      <c r="H2611" s="67">
        <v>2</v>
      </c>
      <c r="I2611" s="68" t="s">
        <v>20</v>
      </c>
      <c r="J2611" s="69">
        <v>39</v>
      </c>
      <c r="K2611" s="70">
        <v>2</v>
      </c>
      <c r="L2611" s="68">
        <v>2</v>
      </c>
      <c r="M2611" s="68">
        <f>_xlfn.XLOOKUP(Survey!$F2611,sections[Start],sections[Test Section],,-1,1)</f>
        <v>7</v>
      </c>
      <c r="N2611" s="55">
        <f>_xlfn.XLOOKUP(Survey!$K2611,pipedata[ID],pipedata[WT])</f>
        <v>0.74</v>
      </c>
      <c r="O2611" s="56">
        <f>_xlfn.XLOOKUP(Survey!$K2611,pipedata[ID],pipedata[104%])</f>
        <v>2565.3333333333335</v>
      </c>
      <c r="P2611" s="57">
        <f t="shared" si="40"/>
        <v>1850</v>
      </c>
      <c r="Q2611" s="58">
        <f>_xlfn.MAXIFS(Survey!$G$2:$G$3647,Survey!$M$2:$M$3647,Survey!$M2611)-Survey!$G2611</f>
        <v>108.42628098001569</v>
      </c>
      <c r="R2611" s="59">
        <f>Survey!$P2611+(Survey!$Q2611*0.433)</f>
        <v>1896.9485796643469</v>
      </c>
    </row>
    <row r="2612" spans="1:18" x14ac:dyDescent="0.25">
      <c r="A2612" s="71" t="s">
        <v>17</v>
      </c>
      <c r="B2612" s="72" t="s">
        <v>23</v>
      </c>
      <c r="C2612" s="73" t="s">
        <v>19</v>
      </c>
      <c r="D2612" s="74">
        <v>246.32980893076794</v>
      </c>
      <c r="E2612" s="81">
        <v>1331289</v>
      </c>
      <c r="F2612" s="82">
        <v>1301665.8999999999</v>
      </c>
      <c r="G2612" s="75">
        <v>2728.0542983732594</v>
      </c>
      <c r="H2612" s="76">
        <v>2</v>
      </c>
      <c r="I2612" s="54" t="s">
        <v>20</v>
      </c>
      <c r="J2612" s="77">
        <v>40</v>
      </c>
      <c r="K2612" s="78">
        <v>2</v>
      </c>
      <c r="L2612" s="54">
        <v>2</v>
      </c>
      <c r="M2612" s="54">
        <f>_xlfn.XLOOKUP(Survey!$F2612,sections[Start],sections[Test Section],,-1,1)</f>
        <v>7</v>
      </c>
      <c r="N2612" s="55">
        <f>_xlfn.XLOOKUP(Survey!$K2612,pipedata[ID],pipedata[WT])</f>
        <v>0.74</v>
      </c>
      <c r="O2612" s="56">
        <f>_xlfn.XLOOKUP(Survey!$K2612,pipedata[ID],pipedata[104%])</f>
        <v>2565.3333333333335</v>
      </c>
      <c r="P2612" s="57">
        <f t="shared" si="40"/>
        <v>1850</v>
      </c>
      <c r="Q2612" s="58">
        <f>_xlfn.MAXIFS(Survey!$G$2:$G$3647,Survey!$M$2:$M$3647,Survey!$M2612)-Survey!$G2612</f>
        <v>106.91947904071458</v>
      </c>
      <c r="R2612" s="59">
        <f>Survey!$P2612+(Survey!$Q2612*0.433)</f>
        <v>1896.2961344246294</v>
      </c>
    </row>
    <row r="2613" spans="1:18" x14ac:dyDescent="0.25">
      <c r="A2613" s="60" t="s">
        <v>17</v>
      </c>
      <c r="B2613" s="61" t="s">
        <v>23</v>
      </c>
      <c r="C2613" s="62" t="s">
        <v>19</v>
      </c>
      <c r="D2613" s="63">
        <v>246.33749165195411</v>
      </c>
      <c r="E2613" s="79">
        <v>1331329</v>
      </c>
      <c r="F2613" s="80">
        <v>1301703.7999999998</v>
      </c>
      <c r="G2613" s="66">
        <v>2728.5163879377319</v>
      </c>
      <c r="H2613" s="67">
        <v>2</v>
      </c>
      <c r="I2613" s="68" t="s">
        <v>20</v>
      </c>
      <c r="J2613" s="69">
        <v>40</v>
      </c>
      <c r="K2613" s="70">
        <v>2</v>
      </c>
      <c r="L2613" s="68">
        <v>2</v>
      </c>
      <c r="M2613" s="68">
        <f>_xlfn.XLOOKUP(Survey!$F2613,sections[Start],sections[Test Section],,-1,1)</f>
        <v>7</v>
      </c>
      <c r="N2613" s="55">
        <f>_xlfn.XLOOKUP(Survey!$K2613,pipedata[ID],pipedata[WT])</f>
        <v>0.74</v>
      </c>
      <c r="O2613" s="56">
        <f>_xlfn.XLOOKUP(Survey!$K2613,pipedata[ID],pipedata[104%])</f>
        <v>2565.3333333333335</v>
      </c>
      <c r="P2613" s="57">
        <f t="shared" si="40"/>
        <v>1850</v>
      </c>
      <c r="Q2613" s="58">
        <f>_xlfn.MAXIFS(Survey!$G$2:$G$3647,Survey!$M$2:$M$3647,Survey!$M2613)-Survey!$G2613</f>
        <v>106.45738947624204</v>
      </c>
      <c r="R2613" s="59">
        <f>Survey!$P2613+(Survey!$Q2613*0.433)</f>
        <v>1896.0960496432128</v>
      </c>
    </row>
    <row r="2614" spans="1:18" x14ac:dyDescent="0.25">
      <c r="A2614" s="71" t="s">
        <v>17</v>
      </c>
      <c r="B2614" s="72" t="s">
        <v>23</v>
      </c>
      <c r="C2614" s="73" t="s">
        <v>19</v>
      </c>
      <c r="D2614" s="74">
        <v>246.34591820862207</v>
      </c>
      <c r="E2614" s="81">
        <v>1331369</v>
      </c>
      <c r="F2614" s="82">
        <v>1301741.6999999997</v>
      </c>
      <c r="G2614" s="75">
        <v>2722.9021506838203</v>
      </c>
      <c r="H2614" s="76">
        <v>2</v>
      </c>
      <c r="I2614" s="54" t="s">
        <v>20</v>
      </c>
      <c r="J2614" s="77">
        <v>40</v>
      </c>
      <c r="K2614" s="78">
        <v>2</v>
      </c>
      <c r="L2614" s="54">
        <v>2</v>
      </c>
      <c r="M2614" s="54">
        <f>_xlfn.XLOOKUP(Survey!$F2614,sections[Start],sections[Test Section],,-1,1)</f>
        <v>7</v>
      </c>
      <c r="N2614" s="55">
        <f>_xlfn.XLOOKUP(Survey!$K2614,pipedata[ID],pipedata[WT])</f>
        <v>0.74</v>
      </c>
      <c r="O2614" s="56">
        <f>_xlfn.XLOOKUP(Survey!$K2614,pipedata[ID],pipedata[104%])</f>
        <v>2565.3333333333335</v>
      </c>
      <c r="P2614" s="57">
        <f t="shared" si="40"/>
        <v>1850</v>
      </c>
      <c r="Q2614" s="58">
        <f>_xlfn.MAXIFS(Survey!$G$2:$G$3647,Survey!$M$2:$M$3647,Survey!$M2614)-Survey!$G2614</f>
        <v>112.07162673015364</v>
      </c>
      <c r="R2614" s="59">
        <f>Survey!$P2614+(Survey!$Q2614*0.433)</f>
        <v>1898.5270143741566</v>
      </c>
    </row>
    <row r="2615" spans="1:18" x14ac:dyDescent="0.25">
      <c r="A2615" s="60" t="s">
        <v>17</v>
      </c>
      <c r="B2615" s="61" t="s">
        <v>23</v>
      </c>
      <c r="C2615" s="62" t="s">
        <v>19</v>
      </c>
      <c r="D2615" s="63">
        <v>246.35238220697727</v>
      </c>
      <c r="E2615" s="79">
        <v>1331409</v>
      </c>
      <c r="F2615" s="80">
        <v>1301779.5999999996</v>
      </c>
      <c r="G2615" s="66">
        <v>2711.4880408752242</v>
      </c>
      <c r="H2615" s="67">
        <v>2</v>
      </c>
      <c r="I2615" s="68" t="s">
        <v>20</v>
      </c>
      <c r="J2615" s="69">
        <v>40</v>
      </c>
      <c r="K2615" s="70">
        <v>2</v>
      </c>
      <c r="L2615" s="68">
        <v>2</v>
      </c>
      <c r="M2615" s="68">
        <f>_xlfn.XLOOKUP(Survey!$F2615,sections[Start],sections[Test Section],,-1,1)</f>
        <v>7</v>
      </c>
      <c r="N2615" s="55">
        <f>_xlfn.XLOOKUP(Survey!$K2615,pipedata[ID],pipedata[WT])</f>
        <v>0.74</v>
      </c>
      <c r="O2615" s="56">
        <f>_xlfn.XLOOKUP(Survey!$K2615,pipedata[ID],pipedata[104%])</f>
        <v>2565.3333333333335</v>
      </c>
      <c r="P2615" s="57">
        <f t="shared" si="40"/>
        <v>1850</v>
      </c>
      <c r="Q2615" s="58">
        <f>_xlfn.MAXIFS(Survey!$G$2:$G$3647,Survey!$M$2:$M$3647,Survey!$M2615)-Survey!$G2615</f>
        <v>123.48573653874973</v>
      </c>
      <c r="R2615" s="59">
        <f>Survey!$P2615+(Survey!$Q2615*0.433)</f>
        <v>1903.4693239212786</v>
      </c>
    </row>
    <row r="2616" spans="1:18" x14ac:dyDescent="0.25">
      <c r="A2616" s="71" t="s">
        <v>17</v>
      </c>
      <c r="B2616" s="72" t="s">
        <v>23</v>
      </c>
      <c r="C2616" s="73" t="s">
        <v>19</v>
      </c>
      <c r="D2616" s="74">
        <v>246.35965530202807</v>
      </c>
      <c r="E2616" s="81">
        <v>1331449</v>
      </c>
      <c r="F2616" s="82">
        <v>1301817.4999999995</v>
      </c>
      <c r="G2616" s="75">
        <v>2699.0470573139969</v>
      </c>
      <c r="H2616" s="76">
        <v>2</v>
      </c>
      <c r="I2616" s="54" t="s">
        <v>20</v>
      </c>
      <c r="J2616" s="77">
        <v>40</v>
      </c>
      <c r="K2616" s="78">
        <v>2</v>
      </c>
      <c r="L2616" s="54">
        <v>2</v>
      </c>
      <c r="M2616" s="54">
        <f>_xlfn.XLOOKUP(Survey!$F2616,sections[Start],sections[Test Section],,-1,1)</f>
        <v>7</v>
      </c>
      <c r="N2616" s="55">
        <f>_xlfn.XLOOKUP(Survey!$K2616,pipedata[ID],pipedata[WT])</f>
        <v>0.74</v>
      </c>
      <c r="O2616" s="56">
        <f>_xlfn.XLOOKUP(Survey!$K2616,pipedata[ID],pipedata[104%])</f>
        <v>2565.3333333333335</v>
      </c>
      <c r="P2616" s="57">
        <f t="shared" si="40"/>
        <v>1850</v>
      </c>
      <c r="Q2616" s="58">
        <f>_xlfn.MAXIFS(Survey!$G$2:$G$3647,Survey!$M$2:$M$3647,Survey!$M2616)-Survey!$G2616</f>
        <v>135.92672009997705</v>
      </c>
      <c r="R2616" s="59">
        <f>Survey!$P2616+(Survey!$Q2616*0.433)</f>
        <v>1908.8562698032902</v>
      </c>
    </row>
    <row r="2617" spans="1:18" x14ac:dyDescent="0.25">
      <c r="A2617" s="60" t="s">
        <v>17</v>
      </c>
      <c r="B2617" s="61" t="s">
        <v>23</v>
      </c>
      <c r="C2617" s="62" t="s">
        <v>19</v>
      </c>
      <c r="D2617" s="63">
        <v>246.36795265247872</v>
      </c>
      <c r="E2617" s="79">
        <v>1331489</v>
      </c>
      <c r="F2617" s="80">
        <v>1301855.3999999994</v>
      </c>
      <c r="G2617" s="66">
        <v>2690.9841058385373</v>
      </c>
      <c r="H2617" s="67">
        <v>2</v>
      </c>
      <c r="I2617" s="68" t="s">
        <v>20</v>
      </c>
      <c r="J2617" s="69">
        <v>40</v>
      </c>
      <c r="K2617" s="70">
        <v>2</v>
      </c>
      <c r="L2617" s="68">
        <v>2</v>
      </c>
      <c r="M2617" s="68">
        <f>_xlfn.XLOOKUP(Survey!$F2617,sections[Start],sections[Test Section],,-1,1)</f>
        <v>7</v>
      </c>
      <c r="N2617" s="55">
        <f>_xlfn.XLOOKUP(Survey!$K2617,pipedata[ID],pipedata[WT])</f>
        <v>0.74</v>
      </c>
      <c r="O2617" s="56">
        <f>_xlfn.XLOOKUP(Survey!$K2617,pipedata[ID],pipedata[104%])</f>
        <v>2565.3333333333335</v>
      </c>
      <c r="P2617" s="57">
        <f t="shared" si="40"/>
        <v>1850</v>
      </c>
      <c r="Q2617" s="58">
        <f>_xlfn.MAXIFS(Survey!$G$2:$G$3647,Survey!$M$2:$M$3647,Survey!$M2617)-Survey!$G2617</f>
        <v>143.98967157543666</v>
      </c>
      <c r="R2617" s="59">
        <f>Survey!$P2617+(Survey!$Q2617*0.433)</f>
        <v>1912.3475277921641</v>
      </c>
    </row>
    <row r="2618" spans="1:18" x14ac:dyDescent="0.25">
      <c r="A2618" s="71" t="s">
        <v>17</v>
      </c>
      <c r="B2618" s="72" t="s">
        <v>23</v>
      </c>
      <c r="C2618" s="73" t="s">
        <v>19</v>
      </c>
      <c r="D2618" s="74">
        <v>246.37359070210999</v>
      </c>
      <c r="E2618" s="81">
        <v>1331529</v>
      </c>
      <c r="F2618" s="82">
        <v>1301893.2999999993</v>
      </c>
      <c r="G2618" s="75">
        <v>2686.6999648818969</v>
      </c>
      <c r="H2618" s="76">
        <v>2</v>
      </c>
      <c r="I2618" s="54" t="s">
        <v>20</v>
      </c>
      <c r="J2618" s="77">
        <v>40</v>
      </c>
      <c r="K2618" s="78">
        <v>2</v>
      </c>
      <c r="L2618" s="54">
        <v>2</v>
      </c>
      <c r="M2618" s="54">
        <f>_xlfn.XLOOKUP(Survey!$F2618,sections[Start],sections[Test Section],,-1,1)</f>
        <v>7</v>
      </c>
      <c r="N2618" s="55">
        <f>_xlfn.XLOOKUP(Survey!$K2618,pipedata[ID],pipedata[WT])</f>
        <v>0.74</v>
      </c>
      <c r="O2618" s="56">
        <f>_xlfn.XLOOKUP(Survey!$K2618,pipedata[ID],pipedata[104%])</f>
        <v>2565.3333333333335</v>
      </c>
      <c r="P2618" s="57">
        <f t="shared" si="40"/>
        <v>1850</v>
      </c>
      <c r="Q2618" s="58">
        <f>_xlfn.MAXIFS(Survey!$G$2:$G$3647,Survey!$M$2:$M$3647,Survey!$M2618)-Survey!$G2618</f>
        <v>148.27381253207705</v>
      </c>
      <c r="R2618" s="59">
        <f>Survey!$P2618+(Survey!$Q2618*0.433)</f>
        <v>1914.2025608263893</v>
      </c>
    </row>
    <row r="2619" spans="1:18" x14ac:dyDescent="0.25">
      <c r="A2619" s="60" t="s">
        <v>17</v>
      </c>
      <c r="B2619" s="61" t="s">
        <v>23</v>
      </c>
      <c r="C2619" s="62" t="s">
        <v>19</v>
      </c>
      <c r="D2619" s="63">
        <v>246.38288486198479</v>
      </c>
      <c r="E2619" s="79">
        <v>1331569</v>
      </c>
      <c r="F2619" s="80">
        <v>1301931.1999999993</v>
      </c>
      <c r="G2619" s="66">
        <v>2690.2476608117408</v>
      </c>
      <c r="H2619" s="67">
        <v>2</v>
      </c>
      <c r="I2619" s="68" t="s">
        <v>20</v>
      </c>
      <c r="J2619" s="69">
        <v>40</v>
      </c>
      <c r="K2619" s="70">
        <v>2</v>
      </c>
      <c r="L2619" s="68">
        <v>2</v>
      </c>
      <c r="M2619" s="68">
        <f>_xlfn.XLOOKUP(Survey!$F2619,sections[Start],sections[Test Section],,-1,1)</f>
        <v>7</v>
      </c>
      <c r="N2619" s="55">
        <f>_xlfn.XLOOKUP(Survey!$K2619,pipedata[ID],pipedata[WT])</f>
        <v>0.74</v>
      </c>
      <c r="O2619" s="56">
        <f>_xlfn.XLOOKUP(Survey!$K2619,pipedata[ID],pipedata[104%])</f>
        <v>2565.3333333333335</v>
      </c>
      <c r="P2619" s="57">
        <f t="shared" si="40"/>
        <v>1850</v>
      </c>
      <c r="Q2619" s="58">
        <f>_xlfn.MAXIFS(Survey!$G$2:$G$3647,Survey!$M$2:$M$3647,Survey!$M2619)-Survey!$G2619</f>
        <v>144.72611660223311</v>
      </c>
      <c r="R2619" s="59">
        <f>Survey!$P2619+(Survey!$Q2619*0.433)</f>
        <v>1912.666408488767</v>
      </c>
    </row>
    <row r="2620" spans="1:18" x14ac:dyDescent="0.25">
      <c r="A2620" s="71" t="s">
        <v>17</v>
      </c>
      <c r="B2620" s="72" t="s">
        <v>23</v>
      </c>
      <c r="C2620" s="73" t="s">
        <v>19</v>
      </c>
      <c r="D2620" s="74">
        <v>246.38883734304073</v>
      </c>
      <c r="E2620" s="81">
        <v>1331609</v>
      </c>
      <c r="F2620" s="82">
        <v>1301969.0999999992</v>
      </c>
      <c r="G2620" s="75">
        <v>2695.0841274318682</v>
      </c>
      <c r="H2620" s="76">
        <v>2</v>
      </c>
      <c r="I2620" s="54" t="s">
        <v>20</v>
      </c>
      <c r="J2620" s="77">
        <v>40</v>
      </c>
      <c r="K2620" s="78">
        <v>2</v>
      </c>
      <c r="L2620" s="54">
        <v>2</v>
      </c>
      <c r="M2620" s="54">
        <f>_xlfn.XLOOKUP(Survey!$F2620,sections[Start],sections[Test Section],,-1,1)</f>
        <v>7</v>
      </c>
      <c r="N2620" s="55">
        <f>_xlfn.XLOOKUP(Survey!$K2620,pipedata[ID],pipedata[WT])</f>
        <v>0.74</v>
      </c>
      <c r="O2620" s="56">
        <f>_xlfn.XLOOKUP(Survey!$K2620,pipedata[ID],pipedata[104%])</f>
        <v>2565.3333333333335</v>
      </c>
      <c r="P2620" s="57">
        <f t="shared" si="40"/>
        <v>1850</v>
      </c>
      <c r="Q2620" s="58">
        <f>_xlfn.MAXIFS(Survey!$G$2:$G$3647,Survey!$M$2:$M$3647,Survey!$M2620)-Survey!$G2620</f>
        <v>139.88964998210577</v>
      </c>
      <c r="R2620" s="59">
        <f>Survey!$P2620+(Survey!$Q2620*0.433)</f>
        <v>1910.5722184422518</v>
      </c>
    </row>
    <row r="2621" spans="1:18" x14ac:dyDescent="0.25">
      <c r="A2621" s="60" t="s">
        <v>17</v>
      </c>
      <c r="B2621" s="61" t="s">
        <v>23</v>
      </c>
      <c r="C2621" s="62" t="s">
        <v>19</v>
      </c>
      <c r="D2621" s="63">
        <v>246.39759789230786</v>
      </c>
      <c r="E2621" s="79">
        <v>1331649</v>
      </c>
      <c r="F2621" s="80">
        <v>1302006.9999999991</v>
      </c>
      <c r="G2621" s="66">
        <v>2698.9313681418898</v>
      </c>
      <c r="H2621" s="67">
        <v>2</v>
      </c>
      <c r="I2621" s="68" t="s">
        <v>20</v>
      </c>
      <c r="J2621" s="69">
        <v>40</v>
      </c>
      <c r="K2621" s="70">
        <v>2</v>
      </c>
      <c r="L2621" s="68">
        <v>2</v>
      </c>
      <c r="M2621" s="68">
        <f>_xlfn.XLOOKUP(Survey!$F2621,sections[Start],sections[Test Section],,-1,1)</f>
        <v>7</v>
      </c>
      <c r="N2621" s="55">
        <f>_xlfn.XLOOKUP(Survey!$K2621,pipedata[ID],pipedata[WT])</f>
        <v>0.74</v>
      </c>
      <c r="O2621" s="56">
        <f>_xlfn.XLOOKUP(Survey!$K2621,pipedata[ID],pipedata[104%])</f>
        <v>2565.3333333333335</v>
      </c>
      <c r="P2621" s="57">
        <f t="shared" si="40"/>
        <v>1850</v>
      </c>
      <c r="Q2621" s="58">
        <f>_xlfn.MAXIFS(Survey!$G$2:$G$3647,Survey!$M$2:$M$3647,Survey!$M2621)-Survey!$G2621</f>
        <v>136.04240927208411</v>
      </c>
      <c r="R2621" s="59">
        <f>Survey!$P2621+(Survey!$Q2621*0.433)</f>
        <v>1908.9063632148125</v>
      </c>
    </row>
    <row r="2622" spans="1:18" x14ac:dyDescent="0.25">
      <c r="A2622" s="71" t="s">
        <v>17</v>
      </c>
      <c r="B2622" s="72" t="s">
        <v>23</v>
      </c>
      <c r="C2622" s="73" t="s">
        <v>19</v>
      </c>
      <c r="D2622" s="74">
        <v>246.40416830425772</v>
      </c>
      <c r="E2622" s="81">
        <v>1331689</v>
      </c>
      <c r="F2622" s="82">
        <v>1302044.899999999</v>
      </c>
      <c r="G2622" s="75">
        <v>2700.4746917589032</v>
      </c>
      <c r="H2622" s="76">
        <v>2</v>
      </c>
      <c r="I2622" s="54" t="s">
        <v>20</v>
      </c>
      <c r="J2622" s="77">
        <v>40</v>
      </c>
      <c r="K2622" s="78">
        <v>2</v>
      </c>
      <c r="L2622" s="54">
        <v>2</v>
      </c>
      <c r="M2622" s="54">
        <f>_xlfn.XLOOKUP(Survey!$F2622,sections[Start],sections[Test Section],,-1,1)</f>
        <v>7</v>
      </c>
      <c r="N2622" s="55">
        <f>_xlfn.XLOOKUP(Survey!$K2622,pipedata[ID],pipedata[WT])</f>
        <v>0.74</v>
      </c>
      <c r="O2622" s="56">
        <f>_xlfn.XLOOKUP(Survey!$K2622,pipedata[ID],pipedata[104%])</f>
        <v>2565.3333333333335</v>
      </c>
      <c r="P2622" s="57">
        <f t="shared" si="40"/>
        <v>1850</v>
      </c>
      <c r="Q2622" s="58">
        <f>_xlfn.MAXIFS(Survey!$G$2:$G$3647,Survey!$M$2:$M$3647,Survey!$M2622)-Survey!$G2622</f>
        <v>134.49908565507076</v>
      </c>
      <c r="R2622" s="59">
        <f>Survey!$P2622+(Survey!$Q2622*0.433)</f>
        <v>1908.2381040886457</v>
      </c>
    </row>
    <row r="2623" spans="1:18" x14ac:dyDescent="0.25">
      <c r="A2623" s="60" t="s">
        <v>17</v>
      </c>
      <c r="B2623" s="61" t="s">
        <v>23</v>
      </c>
      <c r="C2623" s="62" t="s">
        <v>19</v>
      </c>
      <c r="D2623" s="63">
        <v>246.41177399411814</v>
      </c>
      <c r="E2623" s="79">
        <v>1331729</v>
      </c>
      <c r="F2623" s="80">
        <v>1302082.7999999989</v>
      </c>
      <c r="G2623" s="66">
        <v>2693.6318056454602</v>
      </c>
      <c r="H2623" s="67">
        <v>2</v>
      </c>
      <c r="I2623" s="68" t="s">
        <v>20</v>
      </c>
      <c r="J2623" s="69">
        <v>40</v>
      </c>
      <c r="K2623" s="70">
        <v>2</v>
      </c>
      <c r="L2623" s="68">
        <v>2</v>
      </c>
      <c r="M2623" s="68">
        <f>_xlfn.XLOOKUP(Survey!$F2623,sections[Start],sections[Test Section],,-1,1)</f>
        <v>7</v>
      </c>
      <c r="N2623" s="55">
        <f>_xlfn.XLOOKUP(Survey!$K2623,pipedata[ID],pipedata[WT])</f>
        <v>0.74</v>
      </c>
      <c r="O2623" s="56">
        <f>_xlfn.XLOOKUP(Survey!$K2623,pipedata[ID],pipedata[104%])</f>
        <v>2565.3333333333335</v>
      </c>
      <c r="P2623" s="57">
        <f t="shared" si="40"/>
        <v>1850</v>
      </c>
      <c r="Q2623" s="58">
        <f>_xlfn.MAXIFS(Survey!$G$2:$G$3647,Survey!$M$2:$M$3647,Survey!$M2623)-Survey!$G2623</f>
        <v>141.34197176851376</v>
      </c>
      <c r="R2623" s="59">
        <f>Survey!$P2623+(Survey!$Q2623*0.433)</f>
        <v>1911.2010737757664</v>
      </c>
    </row>
    <row r="2624" spans="1:18" x14ac:dyDescent="0.25">
      <c r="A2624" s="71" t="s">
        <v>17</v>
      </c>
      <c r="B2624" s="72" t="s">
        <v>23</v>
      </c>
      <c r="C2624" s="73" t="s">
        <v>19</v>
      </c>
      <c r="D2624" s="74">
        <v>246.419698559496</v>
      </c>
      <c r="E2624" s="81">
        <v>1331769</v>
      </c>
      <c r="F2624" s="82">
        <v>1302120.6999999988</v>
      </c>
      <c r="G2624" s="75">
        <v>2683.4303571606574</v>
      </c>
      <c r="H2624" s="76">
        <v>2</v>
      </c>
      <c r="I2624" s="54" t="s">
        <v>20</v>
      </c>
      <c r="J2624" s="77">
        <v>40</v>
      </c>
      <c r="K2624" s="78">
        <v>2</v>
      </c>
      <c r="L2624" s="54">
        <v>2</v>
      </c>
      <c r="M2624" s="54">
        <f>_xlfn.XLOOKUP(Survey!$F2624,sections[Start],sections[Test Section],,-1,1)</f>
        <v>7</v>
      </c>
      <c r="N2624" s="55">
        <f>_xlfn.XLOOKUP(Survey!$K2624,pipedata[ID],pipedata[WT])</f>
        <v>0.74</v>
      </c>
      <c r="O2624" s="56">
        <f>_xlfn.XLOOKUP(Survey!$K2624,pipedata[ID],pipedata[104%])</f>
        <v>2565.3333333333335</v>
      </c>
      <c r="P2624" s="57">
        <f t="shared" si="40"/>
        <v>1850</v>
      </c>
      <c r="Q2624" s="58">
        <f>_xlfn.MAXIFS(Survey!$G$2:$G$3647,Survey!$M$2:$M$3647,Survey!$M2624)-Survey!$G2624</f>
        <v>151.54342025331653</v>
      </c>
      <c r="R2624" s="59">
        <f>Survey!$P2624+(Survey!$Q2624*0.433)</f>
        <v>1915.6183009696861</v>
      </c>
    </row>
    <row r="2625" spans="1:18" x14ac:dyDescent="0.25">
      <c r="A2625" s="60" t="s">
        <v>17</v>
      </c>
      <c r="B2625" s="61" t="s">
        <v>23</v>
      </c>
      <c r="C2625" s="62" t="s">
        <v>19</v>
      </c>
      <c r="D2625" s="63">
        <v>246.426734886346</v>
      </c>
      <c r="E2625" s="79">
        <v>1331809</v>
      </c>
      <c r="F2625" s="80">
        <v>1302158.5999999987</v>
      </c>
      <c r="G2625" s="66">
        <v>2674.3973151141904</v>
      </c>
      <c r="H2625" s="67">
        <v>2</v>
      </c>
      <c r="I2625" s="68" t="s">
        <v>20</v>
      </c>
      <c r="J2625" s="69">
        <v>40</v>
      </c>
      <c r="K2625" s="70">
        <v>2</v>
      </c>
      <c r="L2625" s="68">
        <v>2</v>
      </c>
      <c r="M2625" s="68">
        <f>_xlfn.XLOOKUP(Survey!$F2625,sections[Start],sections[Test Section],,-1,1)</f>
        <v>7</v>
      </c>
      <c r="N2625" s="55">
        <f>_xlfn.XLOOKUP(Survey!$K2625,pipedata[ID],pipedata[WT])</f>
        <v>0.74</v>
      </c>
      <c r="O2625" s="56">
        <f>_xlfn.XLOOKUP(Survey!$K2625,pipedata[ID],pipedata[104%])</f>
        <v>2565.3333333333335</v>
      </c>
      <c r="P2625" s="57">
        <f t="shared" si="40"/>
        <v>1850</v>
      </c>
      <c r="Q2625" s="58">
        <f>_xlfn.MAXIFS(Survey!$G$2:$G$3647,Survey!$M$2:$M$3647,Survey!$M2625)-Survey!$G2625</f>
        <v>160.57646229978354</v>
      </c>
      <c r="R2625" s="59">
        <f>Survey!$P2625+(Survey!$Q2625*0.433)</f>
        <v>1919.5296081758063</v>
      </c>
    </row>
    <row r="2626" spans="1:18" x14ac:dyDescent="0.25">
      <c r="A2626" s="71" t="s">
        <v>17</v>
      </c>
      <c r="B2626" s="72" t="s">
        <v>23</v>
      </c>
      <c r="C2626" s="73" t="s">
        <v>19</v>
      </c>
      <c r="D2626" s="74">
        <v>246.4343386077939</v>
      </c>
      <c r="E2626" s="81">
        <v>1331849</v>
      </c>
      <c r="F2626" s="82">
        <v>1302196.4999999986</v>
      </c>
      <c r="G2626" s="75">
        <v>2663.763571215</v>
      </c>
      <c r="H2626" s="76">
        <v>2</v>
      </c>
      <c r="I2626" s="54" t="s">
        <v>20</v>
      </c>
      <c r="J2626" s="77">
        <v>40</v>
      </c>
      <c r="K2626" s="78">
        <v>2</v>
      </c>
      <c r="L2626" s="54">
        <v>2</v>
      </c>
      <c r="M2626" s="54">
        <f>_xlfn.XLOOKUP(Survey!$F2626,sections[Start],sections[Test Section],,-1,1)</f>
        <v>7</v>
      </c>
      <c r="N2626" s="55">
        <f>_xlfn.XLOOKUP(Survey!$K2626,pipedata[ID],pipedata[WT])</f>
        <v>0.74</v>
      </c>
      <c r="O2626" s="56">
        <f>_xlfn.XLOOKUP(Survey!$K2626,pipedata[ID],pipedata[104%])</f>
        <v>2565.3333333333335</v>
      </c>
      <c r="P2626" s="57">
        <f t="shared" ref="P2626:P2689" si="41">IF(L2626=1,1850,IF(L2626=2,1850,2220))</f>
        <v>1850</v>
      </c>
      <c r="Q2626" s="58">
        <f>_xlfn.MAXIFS(Survey!$G$2:$G$3647,Survey!$M$2:$M$3647,Survey!$M2626)-Survey!$G2626</f>
        <v>171.21020619897399</v>
      </c>
      <c r="R2626" s="59">
        <f>Survey!$P2626+(Survey!$Q2626*0.433)</f>
        <v>1924.1340192841558</v>
      </c>
    </row>
    <row r="2627" spans="1:18" x14ac:dyDescent="0.25">
      <c r="A2627" s="60" t="s">
        <v>17</v>
      </c>
      <c r="B2627" s="61" t="s">
        <v>23</v>
      </c>
      <c r="C2627" s="62" t="s">
        <v>19</v>
      </c>
      <c r="D2627" s="63">
        <v>246.4419423292417</v>
      </c>
      <c r="E2627" s="79">
        <v>1331889</v>
      </c>
      <c r="F2627" s="80">
        <v>1302234.3999999985</v>
      </c>
      <c r="G2627" s="66">
        <v>2648.9009217683406</v>
      </c>
      <c r="H2627" s="67">
        <v>2</v>
      </c>
      <c r="I2627" s="68" t="s">
        <v>20</v>
      </c>
      <c r="J2627" s="69">
        <v>40</v>
      </c>
      <c r="K2627" s="70">
        <v>2</v>
      </c>
      <c r="L2627" s="68">
        <v>2</v>
      </c>
      <c r="M2627" s="68">
        <f>_xlfn.XLOOKUP(Survey!$F2627,sections[Start],sections[Test Section],,-1,1)</f>
        <v>7</v>
      </c>
      <c r="N2627" s="55">
        <f>_xlfn.XLOOKUP(Survey!$K2627,pipedata[ID],pipedata[WT])</f>
        <v>0.74</v>
      </c>
      <c r="O2627" s="56">
        <f>_xlfn.XLOOKUP(Survey!$K2627,pipedata[ID],pipedata[104%])</f>
        <v>2565.3333333333335</v>
      </c>
      <c r="P2627" s="57">
        <f t="shared" si="41"/>
        <v>1850</v>
      </c>
      <c r="Q2627" s="58">
        <f>_xlfn.MAXIFS(Survey!$G$2:$G$3647,Survey!$M$2:$M$3647,Survey!$M2627)-Survey!$G2627</f>
        <v>186.07285564563335</v>
      </c>
      <c r="R2627" s="59">
        <f>Survey!$P2627+(Survey!$Q2627*0.433)</f>
        <v>1930.5695464945593</v>
      </c>
    </row>
    <row r="2628" spans="1:18" x14ac:dyDescent="0.25">
      <c r="A2628" s="71" t="s">
        <v>17</v>
      </c>
      <c r="B2628" s="72" t="s">
        <v>23</v>
      </c>
      <c r="C2628" s="73" t="s">
        <v>19</v>
      </c>
      <c r="D2628" s="74">
        <v>246.44839984289743</v>
      </c>
      <c r="E2628" s="81">
        <v>1331929</v>
      </c>
      <c r="F2628" s="82">
        <v>1302272.2999999984</v>
      </c>
      <c r="G2628" s="75">
        <v>2634.1094730325417</v>
      </c>
      <c r="H2628" s="76">
        <v>2</v>
      </c>
      <c r="I2628" s="54" t="s">
        <v>20</v>
      </c>
      <c r="J2628" s="77">
        <v>40</v>
      </c>
      <c r="K2628" s="78">
        <v>2</v>
      </c>
      <c r="L2628" s="54">
        <v>2</v>
      </c>
      <c r="M2628" s="54">
        <f>_xlfn.XLOOKUP(Survey!$F2628,sections[Start],sections[Test Section],,-1,1)</f>
        <v>7</v>
      </c>
      <c r="N2628" s="55">
        <f>_xlfn.XLOOKUP(Survey!$K2628,pipedata[ID],pipedata[WT])</f>
        <v>0.74</v>
      </c>
      <c r="O2628" s="56">
        <f>_xlfn.XLOOKUP(Survey!$K2628,pipedata[ID],pipedata[104%])</f>
        <v>2565.3333333333335</v>
      </c>
      <c r="P2628" s="57">
        <f t="shared" si="41"/>
        <v>1850</v>
      </c>
      <c r="Q2628" s="58">
        <f>_xlfn.MAXIFS(Survey!$G$2:$G$3647,Survey!$M$2:$M$3647,Survey!$M2628)-Survey!$G2628</f>
        <v>200.86430438143225</v>
      </c>
      <c r="R2628" s="59">
        <f>Survey!$P2628+(Survey!$Q2628*0.433)</f>
        <v>1936.9742437971602</v>
      </c>
    </row>
    <row r="2629" spans="1:18" x14ac:dyDescent="0.25">
      <c r="A2629" s="60" t="s">
        <v>17</v>
      </c>
      <c r="B2629" s="61" t="s">
        <v>23</v>
      </c>
      <c r="C2629" s="62" t="s">
        <v>19</v>
      </c>
      <c r="D2629" s="63">
        <v>246.45524884177544</v>
      </c>
      <c r="E2629" s="79">
        <v>1331969</v>
      </c>
      <c r="F2629" s="80">
        <v>1302310.1999999983</v>
      </c>
      <c r="G2629" s="66">
        <v>2622.866542022306</v>
      </c>
      <c r="H2629" s="67">
        <v>2</v>
      </c>
      <c r="I2629" s="68" t="s">
        <v>20</v>
      </c>
      <c r="J2629" s="69">
        <v>40</v>
      </c>
      <c r="K2629" s="70">
        <v>2</v>
      </c>
      <c r="L2629" s="68">
        <v>2</v>
      </c>
      <c r="M2629" s="68">
        <f>_xlfn.XLOOKUP(Survey!$F2629,sections[Start],sections[Test Section],,-1,1)</f>
        <v>7</v>
      </c>
      <c r="N2629" s="55">
        <f>_xlfn.XLOOKUP(Survey!$K2629,pipedata[ID],pipedata[WT])</f>
        <v>0.74</v>
      </c>
      <c r="O2629" s="56">
        <f>_xlfn.XLOOKUP(Survey!$K2629,pipedata[ID],pipedata[104%])</f>
        <v>2565.3333333333335</v>
      </c>
      <c r="P2629" s="57">
        <f t="shared" si="41"/>
        <v>1850</v>
      </c>
      <c r="Q2629" s="58">
        <f>_xlfn.MAXIFS(Survey!$G$2:$G$3647,Survey!$M$2:$M$3647,Survey!$M2629)-Survey!$G2629</f>
        <v>212.10723539166793</v>
      </c>
      <c r="R2629" s="59">
        <f>Survey!$P2629+(Survey!$Q2629*0.433)</f>
        <v>1941.8424329245922</v>
      </c>
    </row>
    <row r="2630" spans="1:18" x14ac:dyDescent="0.25">
      <c r="A2630" s="71" t="s">
        <v>17</v>
      </c>
      <c r="B2630" s="72" t="s">
        <v>23</v>
      </c>
      <c r="C2630" s="73" t="s">
        <v>19</v>
      </c>
      <c r="D2630" s="74">
        <v>246.46345844605972</v>
      </c>
      <c r="E2630" s="81">
        <v>1332009</v>
      </c>
      <c r="F2630" s="82">
        <v>1302348.0999999982</v>
      </c>
      <c r="G2630" s="75">
        <v>2618.2254815177166</v>
      </c>
      <c r="H2630" s="76">
        <v>2</v>
      </c>
      <c r="I2630" s="54" t="s">
        <v>20</v>
      </c>
      <c r="J2630" s="77">
        <v>18</v>
      </c>
      <c r="K2630" s="78">
        <v>2</v>
      </c>
      <c r="L2630" s="54">
        <v>2</v>
      </c>
      <c r="M2630" s="54">
        <f>_xlfn.XLOOKUP(Survey!$F2630,sections[Start],sections[Test Section],,-1,1)</f>
        <v>7</v>
      </c>
      <c r="N2630" s="55">
        <f>_xlfn.XLOOKUP(Survey!$K2630,pipedata[ID],pipedata[WT])</f>
        <v>0.74</v>
      </c>
      <c r="O2630" s="56">
        <f>_xlfn.XLOOKUP(Survey!$K2630,pipedata[ID],pipedata[104%])</f>
        <v>2565.3333333333335</v>
      </c>
      <c r="P2630" s="57">
        <f t="shared" si="41"/>
        <v>1850</v>
      </c>
      <c r="Q2630" s="58">
        <f>_xlfn.MAXIFS(Survey!$G$2:$G$3647,Survey!$M$2:$M$3647,Survey!$M2630)-Survey!$G2630</f>
        <v>216.74829589625733</v>
      </c>
      <c r="R2630" s="59">
        <f>Survey!$P2630+(Survey!$Q2630*0.433)</f>
        <v>1943.8520121230795</v>
      </c>
    </row>
    <row r="2631" spans="1:18" x14ac:dyDescent="0.25">
      <c r="A2631" s="60" t="s">
        <v>17</v>
      </c>
      <c r="B2631" s="61" t="s">
        <v>23</v>
      </c>
      <c r="C2631" s="62" t="s">
        <v>19</v>
      </c>
      <c r="D2631" s="63">
        <v>246.47050355368495</v>
      </c>
      <c r="E2631" s="79">
        <v>1332027</v>
      </c>
      <c r="F2631" s="80">
        <v>1302386</v>
      </c>
      <c r="G2631" s="66">
        <v>2615.5446371781395</v>
      </c>
      <c r="H2631" s="67">
        <v>2</v>
      </c>
      <c r="I2631" s="68" t="s">
        <v>21</v>
      </c>
      <c r="J2631" s="69">
        <v>40</v>
      </c>
      <c r="K2631" s="70">
        <v>4</v>
      </c>
      <c r="L2631" s="68">
        <v>2</v>
      </c>
      <c r="M2631" s="68">
        <f>_xlfn.XLOOKUP(Survey!$F2631,sections[Start],sections[Test Section],,-1,1)</f>
        <v>7</v>
      </c>
      <c r="N2631" s="55">
        <f>_xlfn.XLOOKUP(Survey!$K2631,pipedata[ID],pipedata[WT])</f>
        <v>0.74</v>
      </c>
      <c r="O2631" s="56">
        <f>_xlfn.XLOOKUP(Survey!$K2631,pipedata[ID],pipedata[104%])</f>
        <v>2565.3333333333335</v>
      </c>
      <c r="P2631" s="57">
        <f t="shared" si="41"/>
        <v>1850</v>
      </c>
      <c r="Q2631" s="58">
        <f>_xlfn.MAXIFS(Survey!$G$2:$G$3647,Survey!$M$2:$M$3647,Survey!$M2631)-Survey!$G2631</f>
        <v>219.42914023583444</v>
      </c>
      <c r="R2631" s="59">
        <f>Survey!$P2631+(Survey!$Q2631*0.433)</f>
        <v>1945.0128177221163</v>
      </c>
    </row>
    <row r="2632" spans="1:18" x14ac:dyDescent="0.25">
      <c r="A2632" s="71" t="s">
        <v>17</v>
      </c>
      <c r="B2632" s="72" t="s">
        <v>23</v>
      </c>
      <c r="C2632" s="73" t="s">
        <v>19</v>
      </c>
      <c r="D2632" s="74">
        <v>246.47806000611894</v>
      </c>
      <c r="E2632" s="81">
        <v>1332067</v>
      </c>
      <c r="F2632" s="82">
        <v>1302426</v>
      </c>
      <c r="G2632" s="75">
        <v>2613.5941300868058</v>
      </c>
      <c r="H2632" s="76">
        <v>2</v>
      </c>
      <c r="I2632" s="54" t="s">
        <v>20</v>
      </c>
      <c r="J2632" s="77">
        <v>62</v>
      </c>
      <c r="K2632" s="78">
        <v>2</v>
      </c>
      <c r="L2632" s="54">
        <v>2</v>
      </c>
      <c r="M2632" s="54">
        <f>_xlfn.XLOOKUP(Survey!$F2632,sections[Start],sections[Test Section],,-1,1)</f>
        <v>7</v>
      </c>
      <c r="N2632" s="55">
        <f>_xlfn.XLOOKUP(Survey!$K2632,pipedata[ID],pipedata[WT])</f>
        <v>0.74</v>
      </c>
      <c r="O2632" s="56">
        <f>_xlfn.XLOOKUP(Survey!$K2632,pipedata[ID],pipedata[104%])</f>
        <v>2565.3333333333335</v>
      </c>
      <c r="P2632" s="57">
        <f t="shared" si="41"/>
        <v>1850</v>
      </c>
      <c r="Q2632" s="58">
        <f>_xlfn.MAXIFS(Survey!$G$2:$G$3647,Survey!$M$2:$M$3647,Survey!$M2632)-Survey!$G2632</f>
        <v>221.37964732716819</v>
      </c>
      <c r="R2632" s="59">
        <f>Survey!$P2632+(Survey!$Q2632*0.433)</f>
        <v>1945.8573872926638</v>
      </c>
    </row>
    <row r="2633" spans="1:18" x14ac:dyDescent="0.25">
      <c r="A2633" s="60" t="s">
        <v>17</v>
      </c>
      <c r="B2633" s="61" t="s">
        <v>23</v>
      </c>
      <c r="C2633" s="62" t="s">
        <v>19</v>
      </c>
      <c r="D2633" s="63">
        <v>246.48565341200199</v>
      </c>
      <c r="E2633" s="79">
        <v>1332129</v>
      </c>
      <c r="F2633" s="80">
        <v>1302462.9333333333</v>
      </c>
      <c r="G2633" s="66">
        <v>2622.2526971888396</v>
      </c>
      <c r="H2633" s="67">
        <v>2</v>
      </c>
      <c r="I2633" s="68" t="s">
        <v>20</v>
      </c>
      <c r="J2633" s="69">
        <v>40</v>
      </c>
      <c r="K2633" s="70">
        <v>2</v>
      </c>
      <c r="L2633" s="68">
        <v>2</v>
      </c>
      <c r="M2633" s="68">
        <f>_xlfn.XLOOKUP(Survey!$F2633,sections[Start],sections[Test Section],,-1,1)</f>
        <v>7</v>
      </c>
      <c r="N2633" s="55">
        <f>_xlfn.XLOOKUP(Survey!$K2633,pipedata[ID],pipedata[WT])</f>
        <v>0.74</v>
      </c>
      <c r="O2633" s="56">
        <f>_xlfn.XLOOKUP(Survey!$K2633,pipedata[ID],pipedata[104%])</f>
        <v>2565.3333333333335</v>
      </c>
      <c r="P2633" s="57">
        <f t="shared" si="41"/>
        <v>1850</v>
      </c>
      <c r="Q2633" s="58">
        <f>_xlfn.MAXIFS(Survey!$G$2:$G$3647,Survey!$M$2:$M$3647,Survey!$M2633)-Survey!$G2633</f>
        <v>212.7210802251343</v>
      </c>
      <c r="R2633" s="59">
        <f>Survey!$P2633+(Survey!$Q2633*0.433)</f>
        <v>1942.108227737483</v>
      </c>
    </row>
    <row r="2634" spans="1:18" x14ac:dyDescent="0.25">
      <c r="A2634" s="71" t="s">
        <v>17</v>
      </c>
      <c r="B2634" s="72" t="s">
        <v>23</v>
      </c>
      <c r="C2634" s="73" t="s">
        <v>19</v>
      </c>
      <c r="D2634" s="74">
        <v>246.49210329859744</v>
      </c>
      <c r="E2634" s="81">
        <v>1332169</v>
      </c>
      <c r="F2634" s="82">
        <v>1302499.8666666667</v>
      </c>
      <c r="G2634" s="75">
        <v>2640.1740612000563</v>
      </c>
      <c r="H2634" s="76">
        <v>2</v>
      </c>
      <c r="I2634" s="54" t="s">
        <v>20</v>
      </c>
      <c r="J2634" s="77">
        <v>40</v>
      </c>
      <c r="K2634" s="78">
        <v>2</v>
      </c>
      <c r="L2634" s="54">
        <v>2</v>
      </c>
      <c r="M2634" s="54">
        <f>_xlfn.XLOOKUP(Survey!$F2634,sections[Start],sections[Test Section],,-1,1)</f>
        <v>7</v>
      </c>
      <c r="N2634" s="55">
        <f>_xlfn.XLOOKUP(Survey!$K2634,pipedata[ID],pipedata[WT])</f>
        <v>0.74</v>
      </c>
      <c r="O2634" s="56">
        <f>_xlfn.XLOOKUP(Survey!$K2634,pipedata[ID],pipedata[104%])</f>
        <v>2565.3333333333335</v>
      </c>
      <c r="P2634" s="57">
        <f t="shared" si="41"/>
        <v>1850</v>
      </c>
      <c r="Q2634" s="58">
        <f>_xlfn.MAXIFS(Survey!$G$2:$G$3647,Survey!$M$2:$M$3647,Survey!$M2634)-Survey!$G2634</f>
        <v>194.79971621391769</v>
      </c>
      <c r="R2634" s="59">
        <f>Survey!$P2634+(Survey!$Q2634*0.433)</f>
        <v>1934.3482771206263</v>
      </c>
    </row>
    <row r="2635" spans="1:18" x14ac:dyDescent="0.25">
      <c r="A2635" s="60" t="s">
        <v>17</v>
      </c>
      <c r="B2635" s="61" t="s">
        <v>23</v>
      </c>
      <c r="C2635" s="62" t="s">
        <v>19</v>
      </c>
      <c r="D2635" s="63">
        <v>246.49962307971447</v>
      </c>
      <c r="E2635" s="79">
        <v>1332209</v>
      </c>
      <c r="F2635" s="80">
        <v>1302536.8</v>
      </c>
      <c r="G2635" s="66">
        <v>2662.470636113786</v>
      </c>
      <c r="H2635" s="67">
        <v>2</v>
      </c>
      <c r="I2635" s="68" t="s">
        <v>20</v>
      </c>
      <c r="J2635" s="69">
        <v>40</v>
      </c>
      <c r="K2635" s="70">
        <v>2</v>
      </c>
      <c r="L2635" s="68">
        <v>2</v>
      </c>
      <c r="M2635" s="68">
        <f>_xlfn.XLOOKUP(Survey!$F2635,sections[Start],sections[Test Section],,-1,1)</f>
        <v>7</v>
      </c>
      <c r="N2635" s="55">
        <f>_xlfn.XLOOKUP(Survey!$K2635,pipedata[ID],pipedata[WT])</f>
        <v>0.74</v>
      </c>
      <c r="O2635" s="56">
        <f>_xlfn.XLOOKUP(Survey!$K2635,pipedata[ID],pipedata[104%])</f>
        <v>2565.3333333333335</v>
      </c>
      <c r="P2635" s="57">
        <f t="shared" si="41"/>
        <v>1850</v>
      </c>
      <c r="Q2635" s="58">
        <f>_xlfn.MAXIFS(Survey!$G$2:$G$3647,Survey!$M$2:$M$3647,Survey!$M2635)-Survey!$G2635</f>
        <v>172.50314130018796</v>
      </c>
      <c r="R2635" s="59">
        <f>Survey!$P2635+(Survey!$Q2635*0.433)</f>
        <v>1924.6938601829813</v>
      </c>
    </row>
    <row r="2636" spans="1:18" x14ac:dyDescent="0.25">
      <c r="A2636" s="71" t="s">
        <v>17</v>
      </c>
      <c r="B2636" s="72" t="s">
        <v>23</v>
      </c>
      <c r="C2636" s="73" t="s">
        <v>19</v>
      </c>
      <c r="D2636" s="74">
        <v>246.50526291555249</v>
      </c>
      <c r="E2636" s="81">
        <v>1332249</v>
      </c>
      <c r="F2636" s="82">
        <v>1302573.7333333334</v>
      </c>
      <c r="G2636" s="75">
        <v>2678.618524504624</v>
      </c>
      <c r="H2636" s="76">
        <v>2</v>
      </c>
      <c r="I2636" s="54" t="s">
        <v>20</v>
      </c>
      <c r="J2636" s="77">
        <v>40</v>
      </c>
      <c r="K2636" s="78">
        <v>2</v>
      </c>
      <c r="L2636" s="54">
        <v>2</v>
      </c>
      <c r="M2636" s="54">
        <f>_xlfn.XLOOKUP(Survey!$F2636,sections[Start],sections[Test Section],,-1,1)</f>
        <v>7</v>
      </c>
      <c r="N2636" s="55">
        <f>_xlfn.XLOOKUP(Survey!$K2636,pipedata[ID],pipedata[WT])</f>
        <v>0.74</v>
      </c>
      <c r="O2636" s="56">
        <f>_xlfn.XLOOKUP(Survey!$K2636,pipedata[ID],pipedata[104%])</f>
        <v>2565.3333333333335</v>
      </c>
      <c r="P2636" s="57">
        <f t="shared" si="41"/>
        <v>1850</v>
      </c>
      <c r="Q2636" s="58">
        <f>_xlfn.MAXIFS(Survey!$G$2:$G$3647,Survey!$M$2:$M$3647,Survey!$M2636)-Survey!$G2636</f>
        <v>156.35525290934993</v>
      </c>
      <c r="R2636" s="59">
        <f>Survey!$P2636+(Survey!$Q2636*0.433)</f>
        <v>1917.7018245097486</v>
      </c>
    </row>
    <row r="2637" spans="1:18" x14ac:dyDescent="0.25">
      <c r="A2637" s="60" t="s">
        <v>17</v>
      </c>
      <c r="B2637" s="61" t="s">
        <v>23</v>
      </c>
      <c r="C2637" s="62" t="s">
        <v>19</v>
      </c>
      <c r="D2637" s="63">
        <v>246.51278269666963</v>
      </c>
      <c r="E2637" s="79">
        <v>1332289</v>
      </c>
      <c r="F2637" s="80">
        <v>1302610.6666666667</v>
      </c>
      <c r="G2637" s="66">
        <v>2688.8754092703007</v>
      </c>
      <c r="H2637" s="67">
        <v>2</v>
      </c>
      <c r="I2637" s="68" t="s">
        <v>20</v>
      </c>
      <c r="J2637" s="69">
        <v>40</v>
      </c>
      <c r="K2637" s="70">
        <v>2</v>
      </c>
      <c r="L2637" s="68">
        <v>2</v>
      </c>
      <c r="M2637" s="68">
        <f>_xlfn.XLOOKUP(Survey!$F2637,sections[Start],sections[Test Section],,-1,1)</f>
        <v>7</v>
      </c>
      <c r="N2637" s="55">
        <f>_xlfn.XLOOKUP(Survey!$K2637,pipedata[ID],pipedata[WT])</f>
        <v>0.74</v>
      </c>
      <c r="O2637" s="56">
        <f>_xlfn.XLOOKUP(Survey!$K2637,pipedata[ID],pipedata[104%])</f>
        <v>2565.3333333333335</v>
      </c>
      <c r="P2637" s="57">
        <f t="shared" si="41"/>
        <v>1850</v>
      </c>
      <c r="Q2637" s="58">
        <f>_xlfn.MAXIFS(Survey!$G$2:$G$3647,Survey!$M$2:$M$3647,Survey!$M2637)-Survey!$G2637</f>
        <v>146.09836814367327</v>
      </c>
      <c r="R2637" s="59">
        <f>Survey!$P2637+(Survey!$Q2637*0.433)</f>
        <v>1913.2605934062105</v>
      </c>
    </row>
    <row r="2638" spans="1:18" x14ac:dyDescent="0.25">
      <c r="A2638" s="71" t="s">
        <v>17</v>
      </c>
      <c r="B2638" s="72" t="s">
        <v>23</v>
      </c>
      <c r="C2638" s="73" t="s">
        <v>19</v>
      </c>
      <c r="D2638" s="74">
        <v>246.52030247778652</v>
      </c>
      <c r="E2638" s="81">
        <v>1332329</v>
      </c>
      <c r="F2638" s="82">
        <v>1302647.6000000001</v>
      </c>
      <c r="G2638" s="75">
        <v>2697.1314166668262</v>
      </c>
      <c r="H2638" s="76">
        <v>2</v>
      </c>
      <c r="I2638" s="54" t="s">
        <v>20</v>
      </c>
      <c r="J2638" s="77">
        <v>40</v>
      </c>
      <c r="K2638" s="78">
        <v>2</v>
      </c>
      <c r="L2638" s="54">
        <v>2</v>
      </c>
      <c r="M2638" s="54">
        <f>_xlfn.XLOOKUP(Survey!$F2638,sections[Start],sections[Test Section],,-1,1)</f>
        <v>7</v>
      </c>
      <c r="N2638" s="55">
        <f>_xlfn.XLOOKUP(Survey!$K2638,pipedata[ID],pipedata[WT])</f>
        <v>0.74</v>
      </c>
      <c r="O2638" s="56">
        <f>_xlfn.XLOOKUP(Survey!$K2638,pipedata[ID],pipedata[104%])</f>
        <v>2565.3333333333335</v>
      </c>
      <c r="P2638" s="57">
        <f t="shared" si="41"/>
        <v>1850</v>
      </c>
      <c r="Q2638" s="58">
        <f>_xlfn.MAXIFS(Survey!$G$2:$G$3647,Survey!$M$2:$M$3647,Survey!$M2638)-Survey!$G2638</f>
        <v>137.84236074714772</v>
      </c>
      <c r="R2638" s="59">
        <f>Survey!$P2638+(Survey!$Q2638*0.433)</f>
        <v>1909.685742203515</v>
      </c>
    </row>
    <row r="2639" spans="1:18" x14ac:dyDescent="0.25">
      <c r="A2639" s="60" t="s">
        <v>17</v>
      </c>
      <c r="B2639" s="61" t="s">
        <v>23</v>
      </c>
      <c r="C2639" s="62" t="s">
        <v>19</v>
      </c>
      <c r="D2639" s="63">
        <v>246.52732124179923</v>
      </c>
      <c r="E2639" s="79">
        <v>1332369</v>
      </c>
      <c r="F2639" s="80">
        <v>1302684.5333333334</v>
      </c>
      <c r="G2639" s="66">
        <v>2701.611138087404</v>
      </c>
      <c r="H2639" s="67">
        <v>2</v>
      </c>
      <c r="I2639" s="68" t="s">
        <v>20</v>
      </c>
      <c r="J2639" s="69">
        <v>40</v>
      </c>
      <c r="K2639" s="70">
        <v>2</v>
      </c>
      <c r="L2639" s="68">
        <v>2</v>
      </c>
      <c r="M2639" s="68">
        <f>_xlfn.XLOOKUP(Survey!$F2639,sections[Start],sections[Test Section],,-1,1)</f>
        <v>7</v>
      </c>
      <c r="N2639" s="55">
        <f>_xlfn.XLOOKUP(Survey!$K2639,pipedata[ID],pipedata[WT])</f>
        <v>0.74</v>
      </c>
      <c r="O2639" s="56">
        <f>_xlfn.XLOOKUP(Survey!$K2639,pipedata[ID],pipedata[104%])</f>
        <v>2565.3333333333335</v>
      </c>
      <c r="P2639" s="57">
        <f t="shared" si="41"/>
        <v>1850</v>
      </c>
      <c r="Q2639" s="58">
        <f>_xlfn.MAXIFS(Survey!$G$2:$G$3647,Survey!$M$2:$M$3647,Survey!$M2639)-Survey!$G2639</f>
        <v>133.36263932656993</v>
      </c>
      <c r="R2639" s="59">
        <f>Survey!$P2639+(Survey!$Q2639*0.433)</f>
        <v>1907.7460228284049</v>
      </c>
    </row>
    <row r="2640" spans="1:18" x14ac:dyDescent="0.25">
      <c r="A2640" s="71" t="s">
        <v>17</v>
      </c>
      <c r="B2640" s="72" t="s">
        <v>23</v>
      </c>
      <c r="C2640" s="73" t="s">
        <v>19</v>
      </c>
      <c r="D2640" s="74">
        <v>246.53534204002108</v>
      </c>
      <c r="E2640" s="81">
        <v>1332409</v>
      </c>
      <c r="F2640" s="82">
        <v>1302721.4666666668</v>
      </c>
      <c r="G2640" s="75">
        <v>2701.5981404031904</v>
      </c>
      <c r="H2640" s="76">
        <v>2</v>
      </c>
      <c r="I2640" s="54" t="s">
        <v>20</v>
      </c>
      <c r="J2640" s="77">
        <v>40</v>
      </c>
      <c r="K2640" s="78">
        <v>2</v>
      </c>
      <c r="L2640" s="54">
        <v>2</v>
      </c>
      <c r="M2640" s="54">
        <f>_xlfn.XLOOKUP(Survey!$F2640,sections[Start],sections[Test Section],,-1,1)</f>
        <v>7</v>
      </c>
      <c r="N2640" s="55">
        <f>_xlfn.XLOOKUP(Survey!$K2640,pipedata[ID],pipedata[WT])</f>
        <v>0.74</v>
      </c>
      <c r="O2640" s="56">
        <f>_xlfn.XLOOKUP(Survey!$K2640,pipedata[ID],pipedata[104%])</f>
        <v>2565.3333333333335</v>
      </c>
      <c r="P2640" s="57">
        <f t="shared" si="41"/>
        <v>1850</v>
      </c>
      <c r="Q2640" s="58">
        <f>_xlfn.MAXIFS(Survey!$G$2:$G$3647,Survey!$M$2:$M$3647,Survey!$M2640)-Survey!$G2640</f>
        <v>133.37563701078352</v>
      </c>
      <c r="R2640" s="59">
        <f>Survey!$P2640+(Survey!$Q2640*0.433)</f>
        <v>1907.7516508256692</v>
      </c>
    </row>
    <row r="2641" spans="1:18" x14ac:dyDescent="0.25">
      <c r="A2641" s="60" t="s">
        <v>17</v>
      </c>
      <c r="B2641" s="61" t="s">
        <v>23</v>
      </c>
      <c r="C2641" s="62" t="s">
        <v>19</v>
      </c>
      <c r="D2641" s="63">
        <v>246.54286182113839</v>
      </c>
      <c r="E2641" s="79">
        <v>1332449</v>
      </c>
      <c r="F2641" s="80">
        <v>1302758.4000000001</v>
      </c>
      <c r="G2641" s="66">
        <v>2700.0486204845774</v>
      </c>
      <c r="H2641" s="67">
        <v>2</v>
      </c>
      <c r="I2641" s="68" t="s">
        <v>20</v>
      </c>
      <c r="J2641" s="69">
        <v>40</v>
      </c>
      <c r="K2641" s="70">
        <v>2</v>
      </c>
      <c r="L2641" s="68">
        <v>2</v>
      </c>
      <c r="M2641" s="68">
        <f>_xlfn.XLOOKUP(Survey!$F2641,sections[Start],sections[Test Section],,-1,1)</f>
        <v>7</v>
      </c>
      <c r="N2641" s="55">
        <f>_xlfn.XLOOKUP(Survey!$K2641,pipedata[ID],pipedata[WT])</f>
        <v>0.74</v>
      </c>
      <c r="O2641" s="56">
        <f>_xlfn.XLOOKUP(Survey!$K2641,pipedata[ID],pipedata[104%])</f>
        <v>2565.3333333333335</v>
      </c>
      <c r="P2641" s="57">
        <f t="shared" si="41"/>
        <v>1850</v>
      </c>
      <c r="Q2641" s="58">
        <f>_xlfn.MAXIFS(Survey!$G$2:$G$3647,Survey!$M$2:$M$3647,Survey!$M2641)-Survey!$G2641</f>
        <v>134.92515692939651</v>
      </c>
      <c r="R2641" s="59">
        <f>Survey!$P2641+(Survey!$Q2641*0.433)</f>
        <v>1908.4225929504287</v>
      </c>
    </row>
    <row r="2642" spans="1:18" x14ac:dyDescent="0.25">
      <c r="A2642" s="71" t="s">
        <v>17</v>
      </c>
      <c r="B2642" s="72" t="s">
        <v>23</v>
      </c>
      <c r="C2642" s="73" t="s">
        <v>19</v>
      </c>
      <c r="D2642" s="74">
        <v>246.55097469015098</v>
      </c>
      <c r="E2642" s="81">
        <v>1332489</v>
      </c>
      <c r="F2642" s="82">
        <v>1302795.3333333335</v>
      </c>
      <c r="G2642" s="75">
        <v>2699.778364627919</v>
      </c>
      <c r="H2642" s="76">
        <v>2</v>
      </c>
      <c r="I2642" s="54" t="s">
        <v>20</v>
      </c>
      <c r="J2642" s="77">
        <v>40</v>
      </c>
      <c r="K2642" s="78">
        <v>2</v>
      </c>
      <c r="L2642" s="54">
        <v>2</v>
      </c>
      <c r="M2642" s="54">
        <f>_xlfn.XLOOKUP(Survey!$F2642,sections[Start],sections[Test Section],,-1,1)</f>
        <v>7</v>
      </c>
      <c r="N2642" s="55">
        <f>_xlfn.XLOOKUP(Survey!$K2642,pipedata[ID],pipedata[WT])</f>
        <v>0.74</v>
      </c>
      <c r="O2642" s="56">
        <f>_xlfn.XLOOKUP(Survey!$K2642,pipedata[ID],pipedata[104%])</f>
        <v>2565.3333333333335</v>
      </c>
      <c r="P2642" s="57">
        <f t="shared" si="41"/>
        <v>1850</v>
      </c>
      <c r="Q2642" s="58">
        <f>_xlfn.MAXIFS(Survey!$G$2:$G$3647,Survey!$M$2:$M$3647,Survey!$M2642)-Survey!$G2642</f>
        <v>135.19541278605493</v>
      </c>
      <c r="R2642" s="59">
        <f>Survey!$P2642+(Survey!$Q2642*0.433)</f>
        <v>1908.5396137363618</v>
      </c>
    </row>
    <row r="2643" spans="1:18" x14ac:dyDescent="0.25">
      <c r="A2643" s="60" t="s">
        <v>17</v>
      </c>
      <c r="B2643" s="61" t="s">
        <v>23</v>
      </c>
      <c r="C2643" s="62" t="s">
        <v>19</v>
      </c>
      <c r="D2643" s="63">
        <v>246.55862762189341</v>
      </c>
      <c r="E2643" s="79">
        <v>1332529</v>
      </c>
      <c r="F2643" s="80">
        <v>1302832.2666666668</v>
      </c>
      <c r="G2643" s="66">
        <v>2701.8318401085808</v>
      </c>
      <c r="H2643" s="67">
        <v>2</v>
      </c>
      <c r="I2643" s="68" t="s">
        <v>20</v>
      </c>
      <c r="J2643" s="69">
        <v>40</v>
      </c>
      <c r="K2643" s="70">
        <v>2</v>
      </c>
      <c r="L2643" s="68">
        <v>2</v>
      </c>
      <c r="M2643" s="68">
        <f>_xlfn.XLOOKUP(Survey!$F2643,sections[Start],sections[Test Section],,-1,1)</f>
        <v>7</v>
      </c>
      <c r="N2643" s="55">
        <f>_xlfn.XLOOKUP(Survey!$K2643,pipedata[ID],pipedata[WT])</f>
        <v>0.74</v>
      </c>
      <c r="O2643" s="56">
        <f>_xlfn.XLOOKUP(Survey!$K2643,pipedata[ID],pipedata[104%])</f>
        <v>2565.3333333333335</v>
      </c>
      <c r="P2643" s="57">
        <f t="shared" si="41"/>
        <v>1850</v>
      </c>
      <c r="Q2643" s="58">
        <f>_xlfn.MAXIFS(Survey!$G$2:$G$3647,Survey!$M$2:$M$3647,Survey!$M2643)-Survey!$G2643</f>
        <v>133.14193730539318</v>
      </c>
      <c r="R2643" s="59">
        <f>Survey!$P2643+(Survey!$Q2643*0.433)</f>
        <v>1907.6504588532352</v>
      </c>
    </row>
    <row r="2644" spans="1:18" x14ac:dyDescent="0.25">
      <c r="A2644" s="71" t="s">
        <v>17</v>
      </c>
      <c r="B2644" s="72" t="s">
        <v>23</v>
      </c>
      <c r="C2644" s="73" t="s">
        <v>19</v>
      </c>
      <c r="D2644" s="74">
        <v>246.56543860119154</v>
      </c>
      <c r="E2644" s="81">
        <v>1332569</v>
      </c>
      <c r="F2644" s="82">
        <v>1302869.2000000002</v>
      </c>
      <c r="G2644" s="75">
        <v>2705.2398113816603</v>
      </c>
      <c r="H2644" s="76">
        <v>2</v>
      </c>
      <c r="I2644" s="54" t="s">
        <v>20</v>
      </c>
      <c r="J2644" s="77">
        <v>40</v>
      </c>
      <c r="K2644" s="78">
        <v>2</v>
      </c>
      <c r="L2644" s="54">
        <v>2</v>
      </c>
      <c r="M2644" s="54">
        <f>_xlfn.XLOOKUP(Survey!$F2644,sections[Start],sections[Test Section],,-1,1)</f>
        <v>7</v>
      </c>
      <c r="N2644" s="55">
        <f>_xlfn.XLOOKUP(Survey!$K2644,pipedata[ID],pipedata[WT])</f>
        <v>0.74</v>
      </c>
      <c r="O2644" s="56">
        <f>_xlfn.XLOOKUP(Survey!$K2644,pipedata[ID],pipedata[104%])</f>
        <v>2565.3333333333335</v>
      </c>
      <c r="P2644" s="57">
        <f t="shared" si="41"/>
        <v>1850</v>
      </c>
      <c r="Q2644" s="58">
        <f>_xlfn.MAXIFS(Survey!$G$2:$G$3647,Survey!$M$2:$M$3647,Survey!$M2644)-Survey!$G2644</f>
        <v>129.73396603231367</v>
      </c>
      <c r="R2644" s="59">
        <f>Survey!$P2644+(Survey!$Q2644*0.433)</f>
        <v>1906.1748072919918</v>
      </c>
    </row>
    <row r="2645" spans="1:18" x14ac:dyDescent="0.25">
      <c r="A2645" s="60" t="s">
        <v>17</v>
      </c>
      <c r="B2645" s="61" t="s">
        <v>23</v>
      </c>
      <c r="C2645" s="62" t="s">
        <v>19</v>
      </c>
      <c r="D2645" s="63">
        <v>246.57361177634937</v>
      </c>
      <c r="E2645" s="79">
        <v>1332609</v>
      </c>
      <c r="F2645" s="80">
        <v>1302906.1333333335</v>
      </c>
      <c r="G2645" s="66">
        <v>2707.4559925470876</v>
      </c>
      <c r="H2645" s="67">
        <v>2</v>
      </c>
      <c r="I2645" s="68" t="s">
        <v>20</v>
      </c>
      <c r="J2645" s="69">
        <v>22</v>
      </c>
      <c r="K2645" s="70">
        <v>2</v>
      </c>
      <c r="L2645" s="68">
        <v>1</v>
      </c>
      <c r="M2645" s="68">
        <f>_xlfn.XLOOKUP(Survey!$F2645,sections[Start],sections[Test Section],,-1,1)</f>
        <v>7</v>
      </c>
      <c r="N2645" s="55">
        <f>_xlfn.XLOOKUP(Survey!$K2645,pipedata[ID],pipedata[WT])</f>
        <v>0.74</v>
      </c>
      <c r="O2645" s="56">
        <f>_xlfn.XLOOKUP(Survey!$K2645,pipedata[ID],pipedata[104%])</f>
        <v>2565.3333333333335</v>
      </c>
      <c r="P2645" s="57">
        <f t="shared" si="41"/>
        <v>1850</v>
      </c>
      <c r="Q2645" s="58">
        <f>_xlfn.MAXIFS(Survey!$G$2:$G$3647,Survey!$M$2:$M$3647,Survey!$M2645)-Survey!$G2645</f>
        <v>127.51778486688636</v>
      </c>
      <c r="R2645" s="59">
        <f>Survey!$P2645+(Survey!$Q2645*0.433)</f>
        <v>1905.2152008473618</v>
      </c>
    </row>
    <row r="2646" spans="1:18" x14ac:dyDescent="0.25">
      <c r="A2646" s="71" t="s">
        <v>17</v>
      </c>
      <c r="B2646" s="72" t="s">
        <v>23</v>
      </c>
      <c r="C2646" s="73" t="s">
        <v>19</v>
      </c>
      <c r="D2646" s="74">
        <v>246.58083633850518</v>
      </c>
      <c r="E2646" s="81">
        <v>1332631</v>
      </c>
      <c r="F2646" s="82">
        <v>1302980</v>
      </c>
      <c r="G2646" s="75">
        <v>2711.7205710391218</v>
      </c>
      <c r="H2646" s="76">
        <v>1</v>
      </c>
      <c r="I2646" s="54" t="s">
        <v>20</v>
      </c>
      <c r="J2646" s="77">
        <v>58</v>
      </c>
      <c r="K2646" s="78">
        <v>2</v>
      </c>
      <c r="L2646" s="54">
        <v>1</v>
      </c>
      <c r="M2646" s="54">
        <f>_xlfn.XLOOKUP(Survey!$F2646,sections[Start],sections[Test Section],,-1,1)</f>
        <v>7</v>
      </c>
      <c r="N2646" s="55">
        <f>_xlfn.XLOOKUP(Survey!$K2646,pipedata[ID],pipedata[WT])</f>
        <v>0.74</v>
      </c>
      <c r="O2646" s="56">
        <f>_xlfn.XLOOKUP(Survey!$K2646,pipedata[ID],pipedata[104%])</f>
        <v>2565.3333333333335</v>
      </c>
      <c r="P2646" s="57">
        <f t="shared" si="41"/>
        <v>1850</v>
      </c>
      <c r="Q2646" s="58">
        <f>_xlfn.MAXIFS(Survey!$G$2:$G$3647,Survey!$M$2:$M$3647,Survey!$M2646)-Survey!$G2646</f>
        <v>123.2532063748522</v>
      </c>
      <c r="R2646" s="59">
        <f>Survey!$P2646+(Survey!$Q2646*0.433)</f>
        <v>1903.368638360311</v>
      </c>
    </row>
    <row r="2647" spans="1:18" x14ac:dyDescent="0.25">
      <c r="A2647" s="60" t="s">
        <v>17</v>
      </c>
      <c r="B2647" s="61" t="s">
        <v>23</v>
      </c>
      <c r="C2647" s="62" t="s">
        <v>19</v>
      </c>
      <c r="D2647" s="63">
        <v>246.58859593080564</v>
      </c>
      <c r="E2647" s="79">
        <v>1332689</v>
      </c>
      <c r="F2647" s="80">
        <v>1303019.888888889</v>
      </c>
      <c r="G2647" s="66">
        <v>2714.0253194653469</v>
      </c>
      <c r="H2647" s="67">
        <v>1</v>
      </c>
      <c r="I2647" s="68" t="s">
        <v>20</v>
      </c>
      <c r="J2647" s="69">
        <v>40</v>
      </c>
      <c r="K2647" s="70">
        <v>1</v>
      </c>
      <c r="L2647" s="68">
        <v>1</v>
      </c>
      <c r="M2647" s="68">
        <f>_xlfn.XLOOKUP(Survey!$F2647,sections[Start],sections[Test Section],,-1,1)</f>
        <v>7</v>
      </c>
      <c r="N2647" s="55">
        <f>_xlfn.XLOOKUP(Survey!$K2647,pipedata[ID],pipedata[WT])</f>
        <v>0.61699999999999999</v>
      </c>
      <c r="O2647" s="56">
        <f>_xlfn.XLOOKUP(Survey!$K2647,pipedata[ID],pipedata[104%])</f>
        <v>2138.9333333333334</v>
      </c>
      <c r="P2647" s="57">
        <f t="shared" si="41"/>
        <v>1850</v>
      </c>
      <c r="Q2647" s="58">
        <f>_xlfn.MAXIFS(Survey!$G$2:$G$3647,Survey!$M$2:$M$3647,Survey!$M2647)-Survey!$G2647</f>
        <v>120.94845794862704</v>
      </c>
      <c r="R2647" s="59">
        <f>Survey!$P2647+(Survey!$Q2647*0.433)</f>
        <v>1902.3706822917554</v>
      </c>
    </row>
    <row r="2648" spans="1:18" x14ac:dyDescent="0.25">
      <c r="A2648" s="71" t="s">
        <v>17</v>
      </c>
      <c r="B2648" s="72" t="s">
        <v>23</v>
      </c>
      <c r="C2648" s="73" t="s">
        <v>19</v>
      </c>
      <c r="D2648" s="74">
        <v>246.59540691010383</v>
      </c>
      <c r="E2648" s="81">
        <v>1332729</v>
      </c>
      <c r="F2648" s="82">
        <v>1303059.777777778</v>
      </c>
      <c r="G2648" s="75">
        <v>2715.4710084448966</v>
      </c>
      <c r="H2648" s="76">
        <v>1</v>
      </c>
      <c r="I2648" s="54" t="s">
        <v>20</v>
      </c>
      <c r="J2648" s="77">
        <v>40</v>
      </c>
      <c r="K2648" s="78">
        <v>1</v>
      </c>
      <c r="L2648" s="54">
        <v>1</v>
      </c>
      <c r="M2648" s="54">
        <f>_xlfn.XLOOKUP(Survey!$F2648,sections[Start],sections[Test Section],,-1,1)</f>
        <v>7</v>
      </c>
      <c r="N2648" s="55">
        <f>_xlfn.XLOOKUP(Survey!$K2648,pipedata[ID],pipedata[WT])</f>
        <v>0.61699999999999999</v>
      </c>
      <c r="O2648" s="56">
        <f>_xlfn.XLOOKUP(Survey!$K2648,pipedata[ID],pipedata[104%])</f>
        <v>2138.9333333333334</v>
      </c>
      <c r="P2648" s="57">
        <f t="shared" si="41"/>
        <v>1850</v>
      </c>
      <c r="Q2648" s="58">
        <f>_xlfn.MAXIFS(Survey!$G$2:$G$3647,Survey!$M$2:$M$3647,Survey!$M2648)-Survey!$G2648</f>
        <v>119.50276896907735</v>
      </c>
      <c r="R2648" s="59">
        <f>Survey!$P2648+(Survey!$Q2648*0.433)</f>
        <v>1901.7446989636105</v>
      </c>
    </row>
    <row r="2649" spans="1:18" x14ac:dyDescent="0.25">
      <c r="A2649" s="60" t="s">
        <v>17</v>
      </c>
      <c r="B2649" s="61" t="s">
        <v>23</v>
      </c>
      <c r="C2649" s="62" t="s">
        <v>19</v>
      </c>
      <c r="D2649" s="63">
        <v>246.60380683723864</v>
      </c>
      <c r="E2649" s="79">
        <v>1332769</v>
      </c>
      <c r="F2649" s="80">
        <v>1303099.666666667</v>
      </c>
      <c r="G2649" s="66">
        <v>2715.5715611914916</v>
      </c>
      <c r="H2649" s="67">
        <v>1</v>
      </c>
      <c r="I2649" s="68" t="s">
        <v>20</v>
      </c>
      <c r="J2649" s="69">
        <v>40</v>
      </c>
      <c r="K2649" s="70">
        <v>1</v>
      </c>
      <c r="L2649" s="68">
        <v>1</v>
      </c>
      <c r="M2649" s="68">
        <f>_xlfn.XLOOKUP(Survey!$F2649,sections[Start],sections[Test Section],,-1,1)</f>
        <v>7</v>
      </c>
      <c r="N2649" s="55">
        <f>_xlfn.XLOOKUP(Survey!$K2649,pipedata[ID],pipedata[WT])</f>
        <v>0.61699999999999999</v>
      </c>
      <c r="O2649" s="56">
        <f>_xlfn.XLOOKUP(Survey!$K2649,pipedata[ID],pipedata[104%])</f>
        <v>2138.9333333333334</v>
      </c>
      <c r="P2649" s="57">
        <f t="shared" si="41"/>
        <v>1850</v>
      </c>
      <c r="Q2649" s="58">
        <f>_xlfn.MAXIFS(Survey!$G$2:$G$3647,Survey!$M$2:$M$3647,Survey!$M2649)-Survey!$G2649</f>
        <v>119.40221622248237</v>
      </c>
      <c r="R2649" s="59">
        <f>Survey!$P2649+(Survey!$Q2649*0.433)</f>
        <v>1901.7011596243349</v>
      </c>
    </row>
    <row r="2650" spans="1:18" x14ac:dyDescent="0.25">
      <c r="A2650" s="71" t="s">
        <v>17</v>
      </c>
      <c r="B2650" s="72" t="s">
        <v>23</v>
      </c>
      <c r="C2650" s="73" t="s">
        <v>19</v>
      </c>
      <c r="D2650" s="74">
        <v>246.6106979868585</v>
      </c>
      <c r="E2650" s="81">
        <v>1332809</v>
      </c>
      <c r="F2650" s="82">
        <v>1303139.555555556</v>
      </c>
      <c r="G2650" s="75">
        <v>2718.1032322554379</v>
      </c>
      <c r="H2650" s="76">
        <v>1</v>
      </c>
      <c r="I2650" s="54" t="s">
        <v>20</v>
      </c>
      <c r="J2650" s="77">
        <v>40</v>
      </c>
      <c r="K2650" s="78">
        <v>1</v>
      </c>
      <c r="L2650" s="54">
        <v>1</v>
      </c>
      <c r="M2650" s="54">
        <f>_xlfn.XLOOKUP(Survey!$F2650,sections[Start],sections[Test Section],,-1,1)</f>
        <v>7</v>
      </c>
      <c r="N2650" s="55">
        <f>_xlfn.XLOOKUP(Survey!$K2650,pipedata[ID],pipedata[WT])</f>
        <v>0.61699999999999999</v>
      </c>
      <c r="O2650" s="56">
        <f>_xlfn.XLOOKUP(Survey!$K2650,pipedata[ID],pipedata[104%])</f>
        <v>2138.9333333333334</v>
      </c>
      <c r="P2650" s="57">
        <f t="shared" si="41"/>
        <v>1850</v>
      </c>
      <c r="Q2650" s="58">
        <f>_xlfn.MAXIFS(Survey!$G$2:$G$3647,Survey!$M$2:$M$3647,Survey!$M2650)-Survey!$G2650</f>
        <v>116.87054515853606</v>
      </c>
      <c r="R2650" s="59">
        <f>Survey!$P2650+(Survey!$Q2650*0.433)</f>
        <v>1900.604946053646</v>
      </c>
    </row>
    <row r="2651" spans="1:18" x14ac:dyDescent="0.25">
      <c r="A2651" s="60" t="s">
        <v>17</v>
      </c>
      <c r="B2651" s="61" t="s">
        <v>23</v>
      </c>
      <c r="C2651" s="62" t="s">
        <v>19</v>
      </c>
      <c r="D2651" s="63">
        <v>246.61854599418527</v>
      </c>
      <c r="E2651" s="79">
        <v>1332849</v>
      </c>
      <c r="F2651" s="80">
        <v>1303179.444444445</v>
      </c>
      <c r="G2651" s="66">
        <v>2721.8025101461467</v>
      </c>
      <c r="H2651" s="67">
        <v>1</v>
      </c>
      <c r="I2651" s="68" t="s">
        <v>20</v>
      </c>
      <c r="J2651" s="69">
        <v>40</v>
      </c>
      <c r="K2651" s="70">
        <v>1</v>
      </c>
      <c r="L2651" s="68">
        <v>1</v>
      </c>
      <c r="M2651" s="68">
        <f>_xlfn.XLOOKUP(Survey!$F2651,sections[Start],sections[Test Section],,-1,1)</f>
        <v>7</v>
      </c>
      <c r="N2651" s="55">
        <f>_xlfn.XLOOKUP(Survey!$K2651,pipedata[ID],pipedata[WT])</f>
        <v>0.61699999999999999</v>
      </c>
      <c r="O2651" s="56">
        <f>_xlfn.XLOOKUP(Survey!$K2651,pipedata[ID],pipedata[104%])</f>
        <v>2138.9333333333334</v>
      </c>
      <c r="P2651" s="57">
        <f t="shared" si="41"/>
        <v>1850</v>
      </c>
      <c r="Q2651" s="58">
        <f>_xlfn.MAXIFS(Survey!$G$2:$G$3647,Survey!$M$2:$M$3647,Survey!$M2651)-Survey!$G2651</f>
        <v>113.17126726782726</v>
      </c>
      <c r="R2651" s="59">
        <f>Survey!$P2651+(Survey!$Q2651*0.433)</f>
        <v>1899.0031587269691</v>
      </c>
    </row>
    <row r="2652" spans="1:18" x14ac:dyDescent="0.25">
      <c r="A2652" s="71" t="s">
        <v>17</v>
      </c>
      <c r="B2652" s="72" t="s">
        <v>23</v>
      </c>
      <c r="C2652" s="73" t="s">
        <v>19</v>
      </c>
      <c r="D2652" s="74">
        <v>246.62662685475067</v>
      </c>
      <c r="E2652" s="81">
        <v>1332889</v>
      </c>
      <c r="F2652" s="82">
        <v>1303219.333333334</v>
      </c>
      <c r="G2652" s="75">
        <v>2724.4619417679014</v>
      </c>
      <c r="H2652" s="76">
        <v>1</v>
      </c>
      <c r="I2652" s="54" t="s">
        <v>20</v>
      </c>
      <c r="J2652" s="77">
        <v>40</v>
      </c>
      <c r="K2652" s="78">
        <v>1</v>
      </c>
      <c r="L2652" s="54">
        <v>1</v>
      </c>
      <c r="M2652" s="54">
        <f>_xlfn.XLOOKUP(Survey!$F2652,sections[Start],sections[Test Section],,-1,1)</f>
        <v>7</v>
      </c>
      <c r="N2652" s="55">
        <f>_xlfn.XLOOKUP(Survey!$K2652,pipedata[ID],pipedata[WT])</f>
        <v>0.61699999999999999</v>
      </c>
      <c r="O2652" s="56">
        <f>_xlfn.XLOOKUP(Survey!$K2652,pipedata[ID],pipedata[104%])</f>
        <v>2138.9333333333334</v>
      </c>
      <c r="P2652" s="57">
        <f t="shared" si="41"/>
        <v>1850</v>
      </c>
      <c r="Q2652" s="58">
        <f>_xlfn.MAXIFS(Survey!$G$2:$G$3647,Survey!$M$2:$M$3647,Survey!$M2652)-Survey!$G2652</f>
        <v>110.51183564607254</v>
      </c>
      <c r="R2652" s="59">
        <f>Survey!$P2652+(Survey!$Q2652*0.433)</f>
        <v>1897.8516248347494</v>
      </c>
    </row>
    <row r="2653" spans="1:18" x14ac:dyDescent="0.25">
      <c r="A2653" s="60" t="s">
        <v>17</v>
      </c>
      <c r="B2653" s="61" t="s">
        <v>23</v>
      </c>
      <c r="C2653" s="62" t="s">
        <v>19</v>
      </c>
      <c r="D2653" s="63">
        <v>246.63336090522199</v>
      </c>
      <c r="E2653" s="79">
        <v>1332929</v>
      </c>
      <c r="F2653" s="80">
        <v>1303259.2222222229</v>
      </c>
      <c r="G2653" s="66">
        <v>2724.9841167458048</v>
      </c>
      <c r="H2653" s="67">
        <v>1</v>
      </c>
      <c r="I2653" s="68" t="s">
        <v>20</v>
      </c>
      <c r="J2653" s="69">
        <v>40</v>
      </c>
      <c r="K2653" s="70">
        <v>1</v>
      </c>
      <c r="L2653" s="68">
        <v>1</v>
      </c>
      <c r="M2653" s="68">
        <f>_xlfn.XLOOKUP(Survey!$F2653,sections[Start],sections[Test Section],,-1,1)</f>
        <v>7</v>
      </c>
      <c r="N2653" s="55">
        <f>_xlfn.XLOOKUP(Survey!$K2653,pipedata[ID],pipedata[WT])</f>
        <v>0.61699999999999999</v>
      </c>
      <c r="O2653" s="56">
        <f>_xlfn.XLOOKUP(Survey!$K2653,pipedata[ID],pipedata[104%])</f>
        <v>2138.9333333333334</v>
      </c>
      <c r="P2653" s="57">
        <f t="shared" si="41"/>
        <v>1850</v>
      </c>
      <c r="Q2653" s="58">
        <f>_xlfn.MAXIFS(Survey!$G$2:$G$3647,Survey!$M$2:$M$3647,Survey!$M2653)-Survey!$G2653</f>
        <v>109.98966066816911</v>
      </c>
      <c r="R2653" s="59">
        <f>Survey!$P2653+(Survey!$Q2653*0.433)</f>
        <v>1897.6255230693173</v>
      </c>
    </row>
    <row r="2654" spans="1:18" x14ac:dyDescent="0.25">
      <c r="A2654" s="71" t="s">
        <v>17</v>
      </c>
      <c r="B2654" s="72" t="s">
        <v>23</v>
      </c>
      <c r="C2654" s="73" t="s">
        <v>19</v>
      </c>
      <c r="D2654" s="74">
        <v>246.64144176578694</v>
      </c>
      <c r="E2654" s="81">
        <v>1332969</v>
      </c>
      <c r="F2654" s="82">
        <v>1303299.1111111119</v>
      </c>
      <c r="G2654" s="75">
        <v>2723.4460423352743</v>
      </c>
      <c r="H2654" s="76">
        <v>1</v>
      </c>
      <c r="I2654" s="54" t="s">
        <v>20</v>
      </c>
      <c r="J2654" s="77">
        <v>32</v>
      </c>
      <c r="K2654" s="78">
        <v>1</v>
      </c>
      <c r="L2654" s="54">
        <v>1</v>
      </c>
      <c r="M2654" s="54">
        <f>_xlfn.XLOOKUP(Survey!$F2654,sections[Start],sections[Test Section],,-1,1)</f>
        <v>7</v>
      </c>
      <c r="N2654" s="55">
        <f>_xlfn.XLOOKUP(Survey!$K2654,pipedata[ID],pipedata[WT])</f>
        <v>0.61699999999999999</v>
      </c>
      <c r="O2654" s="56">
        <f>_xlfn.XLOOKUP(Survey!$K2654,pipedata[ID],pipedata[104%])</f>
        <v>2138.9333333333334</v>
      </c>
      <c r="P2654" s="57">
        <f t="shared" si="41"/>
        <v>1850</v>
      </c>
      <c r="Q2654" s="58">
        <f>_xlfn.MAXIFS(Survey!$G$2:$G$3647,Survey!$M$2:$M$3647,Survey!$M2654)-Survey!$G2654</f>
        <v>111.52773507869961</v>
      </c>
      <c r="R2654" s="59">
        <f>Survey!$P2654+(Survey!$Q2654*0.433)</f>
        <v>1898.2915092890769</v>
      </c>
    </row>
    <row r="2655" spans="1:18" x14ac:dyDescent="0.25">
      <c r="A2655" s="60" t="s">
        <v>17</v>
      </c>
      <c r="B2655" s="61" t="s">
        <v>23</v>
      </c>
      <c r="C2655" s="62" t="s">
        <v>19</v>
      </c>
      <c r="D2655" s="63">
        <v>246.64927013838499</v>
      </c>
      <c r="E2655" s="79">
        <v>1333001</v>
      </c>
      <c r="F2655" s="80">
        <v>1303339</v>
      </c>
      <c r="G2655" s="66">
        <v>2723.7582782976574</v>
      </c>
      <c r="H2655" s="67">
        <v>2</v>
      </c>
      <c r="I2655" s="68" t="s">
        <v>20</v>
      </c>
      <c r="J2655" s="69">
        <v>40</v>
      </c>
      <c r="K2655" s="70">
        <v>2</v>
      </c>
      <c r="L2655" s="68">
        <v>1</v>
      </c>
      <c r="M2655" s="68">
        <f>_xlfn.XLOOKUP(Survey!$F2655,sections[Start],sections[Test Section],,-1,1)</f>
        <v>8</v>
      </c>
      <c r="N2655" s="55">
        <f>_xlfn.XLOOKUP(Survey!$K2655,pipedata[ID],pipedata[WT])</f>
        <v>0.74</v>
      </c>
      <c r="O2655" s="56">
        <f>_xlfn.XLOOKUP(Survey!$K2655,pipedata[ID],pipedata[104%])</f>
        <v>2565.3333333333335</v>
      </c>
      <c r="P2655" s="57">
        <f t="shared" si="41"/>
        <v>1850</v>
      </c>
      <c r="Q2655" s="58">
        <f>_xlfn.MAXIFS(Survey!$G$2:$G$3647,Survey!$M$2:$M$3647,Survey!$M2655)-Survey!$G2655</f>
        <v>463.95121452021249</v>
      </c>
      <c r="R2655" s="59">
        <f>Survey!$P2655+(Survey!$Q2655*0.433)</f>
        <v>2050.8908758872522</v>
      </c>
    </row>
    <row r="2656" spans="1:18" x14ac:dyDescent="0.25">
      <c r="A2656" s="71" t="s">
        <v>17</v>
      </c>
      <c r="B2656" s="72" t="s">
        <v>23</v>
      </c>
      <c r="C2656" s="73" t="s">
        <v>19</v>
      </c>
      <c r="D2656" s="74">
        <v>246.65657232547278</v>
      </c>
      <c r="E2656" s="81">
        <v>1333041</v>
      </c>
      <c r="F2656" s="82">
        <v>1303379</v>
      </c>
      <c r="G2656" s="75">
        <v>2728.553008017037</v>
      </c>
      <c r="H2656" s="76">
        <v>1</v>
      </c>
      <c r="I2656" s="54" t="s">
        <v>20</v>
      </c>
      <c r="J2656" s="77">
        <v>48</v>
      </c>
      <c r="K2656" s="78">
        <v>1</v>
      </c>
      <c r="L2656" s="54">
        <v>1</v>
      </c>
      <c r="M2656" s="54">
        <f>_xlfn.XLOOKUP(Survey!$F2656,sections[Start],sections[Test Section],,-1,1)</f>
        <v>8</v>
      </c>
      <c r="N2656" s="55">
        <f>_xlfn.XLOOKUP(Survey!$K2656,pipedata[ID],pipedata[WT])</f>
        <v>0.61699999999999999</v>
      </c>
      <c r="O2656" s="56">
        <f>_xlfn.XLOOKUP(Survey!$K2656,pipedata[ID],pipedata[104%])</f>
        <v>2138.9333333333334</v>
      </c>
      <c r="P2656" s="57">
        <f t="shared" si="41"/>
        <v>1850</v>
      </c>
      <c r="Q2656" s="58">
        <f>_xlfn.MAXIFS(Survey!$G$2:$G$3647,Survey!$M$2:$M$3647,Survey!$M2656)-Survey!$G2656</f>
        <v>459.15648480083291</v>
      </c>
      <c r="R2656" s="59">
        <f>Survey!$P2656+(Survey!$Q2656*0.433)</f>
        <v>2048.8147579187607</v>
      </c>
    </row>
    <row r="2657" spans="1:18" x14ac:dyDescent="0.25">
      <c r="A2657" s="60" t="s">
        <v>17</v>
      </c>
      <c r="B2657" s="61" t="s">
        <v>23</v>
      </c>
      <c r="C2657" s="62" t="s">
        <v>19</v>
      </c>
      <c r="D2657" s="63">
        <v>246.66433753738883</v>
      </c>
      <c r="E2657" s="79">
        <v>1333089</v>
      </c>
      <c r="F2657" s="80">
        <v>1303415.0416666667</v>
      </c>
      <c r="G2657" s="66">
        <v>2734.2357759421297</v>
      </c>
      <c r="H2657" s="67">
        <v>1</v>
      </c>
      <c r="I2657" s="68" t="s">
        <v>20</v>
      </c>
      <c r="J2657" s="69">
        <v>40</v>
      </c>
      <c r="K2657" s="70">
        <v>1</v>
      </c>
      <c r="L2657" s="68">
        <v>1</v>
      </c>
      <c r="M2657" s="68">
        <f>_xlfn.XLOOKUP(Survey!$F2657,sections[Start],sections[Test Section],,-1,1)</f>
        <v>8</v>
      </c>
      <c r="N2657" s="55">
        <f>_xlfn.XLOOKUP(Survey!$K2657,pipedata[ID],pipedata[WT])</f>
        <v>0.61699999999999999</v>
      </c>
      <c r="O2657" s="56">
        <f>_xlfn.XLOOKUP(Survey!$K2657,pipedata[ID],pipedata[104%])</f>
        <v>2138.9333333333334</v>
      </c>
      <c r="P2657" s="57">
        <f t="shared" si="41"/>
        <v>1850</v>
      </c>
      <c r="Q2657" s="58">
        <f>_xlfn.MAXIFS(Survey!$G$2:$G$3647,Survey!$M$2:$M$3647,Survey!$M2657)-Survey!$G2657</f>
        <v>453.47371687574014</v>
      </c>
      <c r="R2657" s="59">
        <f>Survey!$P2657+(Survey!$Q2657*0.433)</f>
        <v>2046.3541194071954</v>
      </c>
    </row>
    <row r="2658" spans="1:18" x14ac:dyDescent="0.25">
      <c r="A2658" s="71" t="s">
        <v>17</v>
      </c>
      <c r="B2658" s="72" t="s">
        <v>23</v>
      </c>
      <c r="C2658" s="73" t="s">
        <v>19</v>
      </c>
      <c r="D2658" s="74">
        <v>246.67117669964762</v>
      </c>
      <c r="E2658" s="81">
        <v>1333129</v>
      </c>
      <c r="F2658" s="82">
        <v>1303451.0833333335</v>
      </c>
      <c r="G2658" s="75">
        <v>2737.8168880622743</v>
      </c>
      <c r="H2658" s="76">
        <v>1</v>
      </c>
      <c r="I2658" s="54" t="s">
        <v>20</v>
      </c>
      <c r="J2658" s="77">
        <v>40</v>
      </c>
      <c r="K2658" s="78">
        <v>1</v>
      </c>
      <c r="L2658" s="54">
        <v>1</v>
      </c>
      <c r="M2658" s="54">
        <f>_xlfn.XLOOKUP(Survey!$F2658,sections[Start],sections[Test Section],,-1,1)</f>
        <v>8</v>
      </c>
      <c r="N2658" s="55">
        <f>_xlfn.XLOOKUP(Survey!$K2658,pipedata[ID],pipedata[WT])</f>
        <v>0.61699999999999999</v>
      </c>
      <c r="O2658" s="56">
        <f>_xlfn.XLOOKUP(Survey!$K2658,pipedata[ID],pipedata[104%])</f>
        <v>2138.9333333333334</v>
      </c>
      <c r="P2658" s="57">
        <f t="shared" si="41"/>
        <v>1850</v>
      </c>
      <c r="Q2658" s="58">
        <f>_xlfn.MAXIFS(Survey!$G$2:$G$3647,Survey!$M$2:$M$3647,Survey!$M2658)-Survey!$G2658</f>
        <v>449.89260475559558</v>
      </c>
      <c r="R2658" s="59">
        <f>Survey!$P2658+(Survey!$Q2658*0.433)</f>
        <v>2044.8034978591729</v>
      </c>
    </row>
    <row r="2659" spans="1:18" x14ac:dyDescent="0.25">
      <c r="A2659" s="60" t="s">
        <v>17</v>
      </c>
      <c r="B2659" s="61" t="s">
        <v>23</v>
      </c>
      <c r="C2659" s="62" t="s">
        <v>19</v>
      </c>
      <c r="D2659" s="63">
        <v>246.6791524484249</v>
      </c>
      <c r="E2659" s="79">
        <v>1333169</v>
      </c>
      <c r="F2659" s="80">
        <v>1303487.1250000002</v>
      </c>
      <c r="G2659" s="66">
        <v>2743.8109512181268</v>
      </c>
      <c r="H2659" s="67">
        <v>1</v>
      </c>
      <c r="I2659" s="68" t="s">
        <v>20</v>
      </c>
      <c r="J2659" s="69">
        <v>40</v>
      </c>
      <c r="K2659" s="70">
        <v>1</v>
      </c>
      <c r="L2659" s="68">
        <v>1</v>
      </c>
      <c r="M2659" s="68">
        <f>_xlfn.XLOOKUP(Survey!$F2659,sections[Start],sections[Test Section],,-1,1)</f>
        <v>8</v>
      </c>
      <c r="N2659" s="55">
        <f>_xlfn.XLOOKUP(Survey!$K2659,pipedata[ID],pipedata[WT])</f>
        <v>0.61699999999999999</v>
      </c>
      <c r="O2659" s="56">
        <f>_xlfn.XLOOKUP(Survey!$K2659,pipedata[ID],pipedata[104%])</f>
        <v>2138.9333333333334</v>
      </c>
      <c r="P2659" s="57">
        <f t="shared" si="41"/>
        <v>1850</v>
      </c>
      <c r="Q2659" s="58">
        <f>_xlfn.MAXIFS(Survey!$G$2:$G$3647,Survey!$M$2:$M$3647,Survey!$M2659)-Survey!$G2659</f>
        <v>443.89854159974311</v>
      </c>
      <c r="R2659" s="59">
        <f>Survey!$P2659+(Survey!$Q2659*0.433)</f>
        <v>2042.2080685126887</v>
      </c>
    </row>
    <row r="2660" spans="1:18" x14ac:dyDescent="0.25">
      <c r="A2660" s="71" t="s">
        <v>17</v>
      </c>
      <c r="B2660" s="72" t="s">
        <v>23</v>
      </c>
      <c r="C2660" s="73" t="s">
        <v>19</v>
      </c>
      <c r="D2660" s="74">
        <v>246.68604446480944</v>
      </c>
      <c r="E2660" s="81">
        <v>1333209</v>
      </c>
      <c r="F2660" s="82">
        <v>1303523.166666667</v>
      </c>
      <c r="G2660" s="75">
        <v>2748.9430546337076</v>
      </c>
      <c r="H2660" s="76">
        <v>1</v>
      </c>
      <c r="I2660" s="54" t="s">
        <v>20</v>
      </c>
      <c r="J2660" s="77">
        <v>40</v>
      </c>
      <c r="K2660" s="78">
        <v>1</v>
      </c>
      <c r="L2660" s="54">
        <v>1</v>
      </c>
      <c r="M2660" s="54">
        <f>_xlfn.XLOOKUP(Survey!$F2660,sections[Start],sections[Test Section],,-1,1)</f>
        <v>8</v>
      </c>
      <c r="N2660" s="55">
        <f>_xlfn.XLOOKUP(Survey!$K2660,pipedata[ID],pipedata[WT])</f>
        <v>0.61699999999999999</v>
      </c>
      <c r="O2660" s="56">
        <f>_xlfn.XLOOKUP(Survey!$K2660,pipedata[ID],pipedata[104%])</f>
        <v>2138.9333333333334</v>
      </c>
      <c r="P2660" s="57">
        <f t="shared" si="41"/>
        <v>1850</v>
      </c>
      <c r="Q2660" s="58">
        <f>_xlfn.MAXIFS(Survey!$G$2:$G$3647,Survey!$M$2:$M$3647,Survey!$M2660)-Survey!$G2660</f>
        <v>438.76643818416233</v>
      </c>
      <c r="R2660" s="59">
        <f>Survey!$P2660+(Survey!$Q2660*0.433)</f>
        <v>2039.9858677337422</v>
      </c>
    </row>
    <row r="2661" spans="1:18" x14ac:dyDescent="0.25">
      <c r="A2661" s="60" t="s">
        <v>17</v>
      </c>
      <c r="B2661" s="61" t="s">
        <v>23</v>
      </c>
      <c r="C2661" s="62" t="s">
        <v>19</v>
      </c>
      <c r="D2661" s="63">
        <v>246.69436609836711</v>
      </c>
      <c r="E2661" s="79">
        <v>1333249</v>
      </c>
      <c r="F2661" s="80">
        <v>1303559.2083333337</v>
      </c>
      <c r="G2661" s="66">
        <v>2754.1434989389591</v>
      </c>
      <c r="H2661" s="67">
        <v>1</v>
      </c>
      <c r="I2661" s="68" t="s">
        <v>20</v>
      </c>
      <c r="J2661" s="69">
        <v>40</v>
      </c>
      <c r="K2661" s="70">
        <v>1</v>
      </c>
      <c r="L2661" s="68">
        <v>1</v>
      </c>
      <c r="M2661" s="68">
        <f>_xlfn.XLOOKUP(Survey!$F2661,sections[Start],sections[Test Section],,-1,1)</f>
        <v>8</v>
      </c>
      <c r="N2661" s="55">
        <f>_xlfn.XLOOKUP(Survey!$K2661,pipedata[ID],pipedata[WT])</f>
        <v>0.61699999999999999</v>
      </c>
      <c r="O2661" s="56">
        <f>_xlfn.XLOOKUP(Survey!$K2661,pipedata[ID],pipedata[104%])</f>
        <v>2138.9333333333334</v>
      </c>
      <c r="P2661" s="57">
        <f t="shared" si="41"/>
        <v>1850</v>
      </c>
      <c r="Q2661" s="58">
        <f>_xlfn.MAXIFS(Survey!$G$2:$G$3647,Survey!$M$2:$M$3647,Survey!$M2661)-Survey!$G2661</f>
        <v>433.56599387891083</v>
      </c>
      <c r="R2661" s="59">
        <f>Survey!$P2661+(Survey!$Q2661*0.433)</f>
        <v>2037.7340753495685</v>
      </c>
    </row>
    <row r="2662" spans="1:18" x14ac:dyDescent="0.25">
      <c r="A2662" s="71" t="s">
        <v>17</v>
      </c>
      <c r="B2662" s="72" t="s">
        <v>23</v>
      </c>
      <c r="C2662" s="73" t="s">
        <v>19</v>
      </c>
      <c r="D2662" s="74">
        <v>246.7012726142076</v>
      </c>
      <c r="E2662" s="81">
        <v>1333289</v>
      </c>
      <c r="F2662" s="82">
        <v>1303595.2500000005</v>
      </c>
      <c r="G2662" s="75">
        <v>2762.2386717173517</v>
      </c>
      <c r="H2662" s="76">
        <v>1</v>
      </c>
      <c r="I2662" s="54" t="s">
        <v>20</v>
      </c>
      <c r="J2662" s="77">
        <v>40</v>
      </c>
      <c r="K2662" s="78">
        <v>1</v>
      </c>
      <c r="L2662" s="54">
        <v>1</v>
      </c>
      <c r="M2662" s="54">
        <f>_xlfn.XLOOKUP(Survey!$F2662,sections[Start],sections[Test Section],,-1,1)</f>
        <v>8</v>
      </c>
      <c r="N2662" s="55">
        <f>_xlfn.XLOOKUP(Survey!$K2662,pipedata[ID],pipedata[WT])</f>
        <v>0.61699999999999999</v>
      </c>
      <c r="O2662" s="56">
        <f>_xlfn.XLOOKUP(Survey!$K2662,pipedata[ID],pipedata[104%])</f>
        <v>2138.9333333333334</v>
      </c>
      <c r="P2662" s="57">
        <f t="shared" si="41"/>
        <v>1850</v>
      </c>
      <c r="Q2662" s="58">
        <f>_xlfn.MAXIFS(Survey!$G$2:$G$3647,Survey!$M$2:$M$3647,Survey!$M2662)-Survey!$G2662</f>
        <v>425.47082110051815</v>
      </c>
      <c r="R2662" s="59">
        <f>Survey!$P2662+(Survey!$Q2662*0.433)</f>
        <v>2034.2288655365244</v>
      </c>
    </row>
    <row r="2663" spans="1:18" x14ac:dyDescent="0.25">
      <c r="A2663" s="60" t="s">
        <v>17</v>
      </c>
      <c r="B2663" s="61" t="s">
        <v>23</v>
      </c>
      <c r="C2663" s="62" t="s">
        <v>19</v>
      </c>
      <c r="D2663" s="63">
        <v>246.70805032356151</v>
      </c>
      <c r="E2663" s="79">
        <v>1333329</v>
      </c>
      <c r="F2663" s="80">
        <v>1303631.2916666672</v>
      </c>
      <c r="G2663" s="66">
        <v>2767.8234279911876</v>
      </c>
      <c r="H2663" s="67">
        <v>1</v>
      </c>
      <c r="I2663" s="68" t="s">
        <v>20</v>
      </c>
      <c r="J2663" s="69">
        <v>40</v>
      </c>
      <c r="K2663" s="70">
        <v>1</v>
      </c>
      <c r="L2663" s="68">
        <v>1</v>
      </c>
      <c r="M2663" s="68">
        <f>_xlfn.XLOOKUP(Survey!$F2663,sections[Start],sections[Test Section],,-1,1)</f>
        <v>8</v>
      </c>
      <c r="N2663" s="55">
        <f>_xlfn.XLOOKUP(Survey!$K2663,pipedata[ID],pipedata[WT])</f>
        <v>0.61699999999999999</v>
      </c>
      <c r="O2663" s="56">
        <f>_xlfn.XLOOKUP(Survey!$K2663,pipedata[ID],pipedata[104%])</f>
        <v>2138.9333333333334</v>
      </c>
      <c r="P2663" s="57">
        <f t="shared" si="41"/>
        <v>1850</v>
      </c>
      <c r="Q2663" s="58">
        <f>_xlfn.MAXIFS(Survey!$G$2:$G$3647,Survey!$M$2:$M$3647,Survey!$M2663)-Survey!$G2663</f>
        <v>419.88606482668229</v>
      </c>
      <c r="R2663" s="59">
        <f>Survey!$P2663+(Survey!$Q2663*0.433)</f>
        <v>2031.8106660699534</v>
      </c>
    </row>
    <row r="2664" spans="1:18" x14ac:dyDescent="0.25">
      <c r="A2664" s="71" t="s">
        <v>17</v>
      </c>
      <c r="B2664" s="72" t="s">
        <v>23</v>
      </c>
      <c r="C2664" s="73" t="s">
        <v>19</v>
      </c>
      <c r="D2664" s="74">
        <v>246.71613186836211</v>
      </c>
      <c r="E2664" s="81">
        <v>1333369</v>
      </c>
      <c r="F2664" s="82">
        <v>1303667.333333334</v>
      </c>
      <c r="G2664" s="75">
        <v>2771.7230512067104</v>
      </c>
      <c r="H2664" s="76">
        <v>1</v>
      </c>
      <c r="I2664" s="54" t="s">
        <v>20</v>
      </c>
      <c r="J2664" s="77">
        <v>40</v>
      </c>
      <c r="K2664" s="78">
        <v>1</v>
      </c>
      <c r="L2664" s="54">
        <v>1</v>
      </c>
      <c r="M2664" s="54">
        <f>_xlfn.XLOOKUP(Survey!$F2664,sections[Start],sections[Test Section],,-1,1)</f>
        <v>8</v>
      </c>
      <c r="N2664" s="55">
        <f>_xlfn.XLOOKUP(Survey!$K2664,pipedata[ID],pipedata[WT])</f>
        <v>0.61699999999999999</v>
      </c>
      <c r="O2664" s="56">
        <f>_xlfn.XLOOKUP(Survey!$K2664,pipedata[ID],pipedata[104%])</f>
        <v>2138.9333333333334</v>
      </c>
      <c r="P2664" s="57">
        <f t="shared" si="41"/>
        <v>1850</v>
      </c>
      <c r="Q2664" s="58">
        <f>_xlfn.MAXIFS(Survey!$G$2:$G$3647,Survey!$M$2:$M$3647,Survey!$M2664)-Survey!$G2664</f>
        <v>415.98644161115953</v>
      </c>
      <c r="R2664" s="59">
        <f>Survey!$P2664+(Survey!$Q2664*0.433)</f>
        <v>2030.1221292176322</v>
      </c>
    </row>
    <row r="2665" spans="1:18" x14ac:dyDescent="0.25">
      <c r="A2665" s="60" t="s">
        <v>17</v>
      </c>
      <c r="B2665" s="61" t="s">
        <v>23</v>
      </c>
      <c r="C2665" s="62" t="s">
        <v>19</v>
      </c>
      <c r="D2665" s="63">
        <v>246.7242134131626</v>
      </c>
      <c r="E2665" s="79">
        <v>1333409</v>
      </c>
      <c r="F2665" s="80">
        <v>1303703.3750000007</v>
      </c>
      <c r="G2665" s="66">
        <v>2771.5783282285265</v>
      </c>
      <c r="H2665" s="67">
        <v>1</v>
      </c>
      <c r="I2665" s="68" t="s">
        <v>20</v>
      </c>
      <c r="J2665" s="69">
        <v>40</v>
      </c>
      <c r="K2665" s="70">
        <v>1</v>
      </c>
      <c r="L2665" s="68">
        <v>1</v>
      </c>
      <c r="M2665" s="68">
        <f>_xlfn.XLOOKUP(Survey!$F2665,sections[Start],sections[Test Section],,-1,1)</f>
        <v>8</v>
      </c>
      <c r="N2665" s="55">
        <f>_xlfn.XLOOKUP(Survey!$K2665,pipedata[ID],pipedata[WT])</f>
        <v>0.61699999999999999</v>
      </c>
      <c r="O2665" s="56">
        <f>_xlfn.XLOOKUP(Survey!$K2665,pipedata[ID],pipedata[104%])</f>
        <v>2138.9333333333334</v>
      </c>
      <c r="P2665" s="57">
        <f t="shared" si="41"/>
        <v>1850</v>
      </c>
      <c r="Q2665" s="58">
        <f>_xlfn.MAXIFS(Survey!$G$2:$G$3647,Survey!$M$2:$M$3647,Survey!$M2665)-Survey!$G2665</f>
        <v>416.13116458934337</v>
      </c>
      <c r="R2665" s="59">
        <f>Survey!$P2665+(Survey!$Q2665*0.433)</f>
        <v>2030.1847942671857</v>
      </c>
    </row>
    <row r="2666" spans="1:18" x14ac:dyDescent="0.25">
      <c r="A2666" s="71" t="s">
        <v>17</v>
      </c>
      <c r="B2666" s="72" t="s">
        <v>23</v>
      </c>
      <c r="C2666" s="73" t="s">
        <v>19</v>
      </c>
      <c r="D2666" s="74">
        <v>246.73084397882909</v>
      </c>
      <c r="E2666" s="81">
        <v>1333449</v>
      </c>
      <c r="F2666" s="82">
        <v>1303739.4166666674</v>
      </c>
      <c r="G2666" s="75">
        <v>2768.0209674866201</v>
      </c>
      <c r="H2666" s="76">
        <v>1</v>
      </c>
      <c r="I2666" s="54" t="s">
        <v>20</v>
      </c>
      <c r="J2666" s="77">
        <v>40</v>
      </c>
      <c r="K2666" s="78">
        <v>1</v>
      </c>
      <c r="L2666" s="54">
        <v>1</v>
      </c>
      <c r="M2666" s="54">
        <f>_xlfn.XLOOKUP(Survey!$F2666,sections[Start],sections[Test Section],,-1,1)</f>
        <v>8</v>
      </c>
      <c r="N2666" s="55">
        <f>_xlfn.XLOOKUP(Survey!$K2666,pipedata[ID],pipedata[WT])</f>
        <v>0.61699999999999999</v>
      </c>
      <c r="O2666" s="56">
        <f>_xlfn.XLOOKUP(Survey!$K2666,pipedata[ID],pipedata[104%])</f>
        <v>2138.9333333333334</v>
      </c>
      <c r="P2666" s="57">
        <f t="shared" si="41"/>
        <v>1850</v>
      </c>
      <c r="Q2666" s="58">
        <f>_xlfn.MAXIFS(Survey!$G$2:$G$3647,Survey!$M$2:$M$3647,Survey!$M2666)-Survey!$G2666</f>
        <v>419.68852533124982</v>
      </c>
      <c r="R2666" s="59">
        <f>Survey!$P2666+(Survey!$Q2666*0.433)</f>
        <v>2031.7251314684311</v>
      </c>
    </row>
    <row r="2667" spans="1:18" x14ac:dyDescent="0.25">
      <c r="A2667" s="60" t="s">
        <v>17</v>
      </c>
      <c r="B2667" s="61" t="s">
        <v>23</v>
      </c>
      <c r="C2667" s="62" t="s">
        <v>19</v>
      </c>
      <c r="D2667" s="63">
        <v>246.73876019380322</v>
      </c>
      <c r="E2667" s="79">
        <v>1333489</v>
      </c>
      <c r="F2667" s="80">
        <v>1303775.4583333342</v>
      </c>
      <c r="G2667" s="66">
        <v>2765.1185690537473</v>
      </c>
      <c r="H2667" s="67">
        <v>1</v>
      </c>
      <c r="I2667" s="68" t="s">
        <v>20</v>
      </c>
      <c r="J2667" s="69">
        <v>40</v>
      </c>
      <c r="K2667" s="70">
        <v>1</v>
      </c>
      <c r="L2667" s="68">
        <v>1</v>
      </c>
      <c r="M2667" s="68">
        <f>_xlfn.XLOOKUP(Survey!$F2667,sections[Start],sections[Test Section],,-1,1)</f>
        <v>8</v>
      </c>
      <c r="N2667" s="55">
        <f>_xlfn.XLOOKUP(Survey!$K2667,pipedata[ID],pipedata[WT])</f>
        <v>0.61699999999999999</v>
      </c>
      <c r="O2667" s="56">
        <f>_xlfn.XLOOKUP(Survey!$K2667,pipedata[ID],pipedata[104%])</f>
        <v>2138.9333333333334</v>
      </c>
      <c r="P2667" s="57">
        <f t="shared" si="41"/>
        <v>1850</v>
      </c>
      <c r="Q2667" s="58">
        <f>_xlfn.MAXIFS(Survey!$G$2:$G$3647,Survey!$M$2:$M$3647,Survey!$M2667)-Survey!$G2667</f>
        <v>422.59092376412264</v>
      </c>
      <c r="R2667" s="59">
        <f>Survey!$P2667+(Survey!$Q2667*0.433)</f>
        <v>2032.9818699898651</v>
      </c>
    </row>
    <row r="2668" spans="1:18" x14ac:dyDescent="0.25">
      <c r="A2668" s="71" t="s">
        <v>17</v>
      </c>
      <c r="B2668" s="72" t="s">
        <v>23</v>
      </c>
      <c r="C2668" s="73" t="s">
        <v>19</v>
      </c>
      <c r="D2668" s="74">
        <v>246.74684173860379</v>
      </c>
      <c r="E2668" s="81">
        <v>1333529</v>
      </c>
      <c r="F2668" s="82">
        <v>1303811.5000000009</v>
      </c>
      <c r="G2668" s="75">
        <v>2759.82</v>
      </c>
      <c r="H2668" s="76">
        <v>1</v>
      </c>
      <c r="I2668" s="54" t="s">
        <v>20</v>
      </c>
      <c r="J2668" s="77">
        <v>40</v>
      </c>
      <c r="K2668" s="78">
        <v>1</v>
      </c>
      <c r="L2668" s="54">
        <v>1</v>
      </c>
      <c r="M2668" s="54">
        <f>_xlfn.XLOOKUP(Survey!$F2668,sections[Start],sections[Test Section],,-1,1)</f>
        <v>8</v>
      </c>
      <c r="N2668" s="55">
        <f>_xlfn.XLOOKUP(Survey!$K2668,pipedata[ID],pipedata[WT])</f>
        <v>0.61699999999999999</v>
      </c>
      <c r="O2668" s="56">
        <f>_xlfn.XLOOKUP(Survey!$K2668,pipedata[ID],pipedata[104%])</f>
        <v>2138.9333333333334</v>
      </c>
      <c r="P2668" s="57">
        <f t="shared" si="41"/>
        <v>1850</v>
      </c>
      <c r="Q2668" s="58">
        <f>_xlfn.MAXIFS(Survey!$G$2:$G$3647,Survey!$M$2:$M$3647,Survey!$M2668)-Survey!$G2668</f>
        <v>427.88949281786972</v>
      </c>
      <c r="R2668" s="59">
        <f>Survey!$P2668+(Survey!$Q2668*0.433)</f>
        <v>2035.2761503901377</v>
      </c>
    </row>
    <row r="2669" spans="1:18" x14ac:dyDescent="0.25">
      <c r="A2669" s="60" t="s">
        <v>17</v>
      </c>
      <c r="B2669" s="61" t="s">
        <v>23</v>
      </c>
      <c r="C2669" s="62" t="s">
        <v>19</v>
      </c>
      <c r="D2669" s="63">
        <v>246.75399284070943</v>
      </c>
      <c r="E2669" s="64">
        <v>1333569</v>
      </c>
      <c r="F2669" s="65">
        <v>1303847.5416666677</v>
      </c>
      <c r="G2669" s="66">
        <v>2755.4106539795343</v>
      </c>
      <c r="H2669" s="67">
        <v>1</v>
      </c>
      <c r="I2669" s="68" t="s">
        <v>20</v>
      </c>
      <c r="J2669" s="69">
        <v>40</v>
      </c>
      <c r="K2669" s="70">
        <v>1</v>
      </c>
      <c r="L2669" s="68">
        <v>1</v>
      </c>
      <c r="M2669" s="68">
        <f>_xlfn.XLOOKUP(Survey!$F2669,sections[Start],sections[Test Section],,-1,1)</f>
        <v>8</v>
      </c>
      <c r="N2669" s="55">
        <f>_xlfn.XLOOKUP(Survey!$K2669,pipedata[ID],pipedata[WT])</f>
        <v>0.61699999999999999</v>
      </c>
      <c r="O2669" s="56">
        <f>_xlfn.XLOOKUP(Survey!$K2669,pipedata[ID],pipedata[104%])</f>
        <v>2138.9333333333334</v>
      </c>
      <c r="P2669" s="57">
        <f t="shared" si="41"/>
        <v>1850</v>
      </c>
      <c r="Q2669" s="58">
        <f>_xlfn.MAXIFS(Survey!$G$2:$G$3647,Survey!$M$2:$M$3647,Survey!$M2669)-Survey!$G2669</f>
        <v>432.29883883833554</v>
      </c>
      <c r="R2669" s="59">
        <f>Survey!$P2669+(Survey!$Q2669*0.433)</f>
        <v>2037.1853972169993</v>
      </c>
    </row>
    <row r="2670" spans="1:18" x14ac:dyDescent="0.25">
      <c r="A2670" s="71" t="s">
        <v>17</v>
      </c>
      <c r="B2670" s="72" t="s">
        <v>23</v>
      </c>
      <c r="C2670" s="73" t="s">
        <v>19</v>
      </c>
      <c r="D2670" s="74">
        <v>246.76170912800282</v>
      </c>
      <c r="E2670" s="64">
        <v>1333609</v>
      </c>
      <c r="F2670" s="65">
        <v>1303883.5833333344</v>
      </c>
      <c r="G2670" s="75">
        <v>2755.4764039070378</v>
      </c>
      <c r="H2670" s="76">
        <v>1</v>
      </c>
      <c r="I2670" s="54" t="s">
        <v>20</v>
      </c>
      <c r="J2670" s="77">
        <v>40</v>
      </c>
      <c r="K2670" s="78">
        <v>1</v>
      </c>
      <c r="L2670" s="54">
        <v>1</v>
      </c>
      <c r="M2670" s="54">
        <f>_xlfn.XLOOKUP(Survey!$F2670,sections[Start],sections[Test Section],,-1,1)</f>
        <v>8</v>
      </c>
      <c r="N2670" s="55">
        <f>_xlfn.XLOOKUP(Survey!$K2670,pipedata[ID],pipedata[WT])</f>
        <v>0.61699999999999999</v>
      </c>
      <c r="O2670" s="56">
        <f>_xlfn.XLOOKUP(Survey!$K2670,pipedata[ID],pipedata[104%])</f>
        <v>2138.9333333333334</v>
      </c>
      <c r="P2670" s="57">
        <f t="shared" si="41"/>
        <v>1850</v>
      </c>
      <c r="Q2670" s="58">
        <f>_xlfn.MAXIFS(Survey!$G$2:$G$3647,Survey!$M$2:$M$3647,Survey!$M2670)-Survey!$G2670</f>
        <v>432.23308891083207</v>
      </c>
      <c r="R2670" s="59">
        <f>Survey!$P2670+(Survey!$Q2670*0.433)</f>
        <v>2037.1569274983904</v>
      </c>
    </row>
    <row r="2671" spans="1:18" x14ac:dyDescent="0.25">
      <c r="A2671" s="60" t="s">
        <v>17</v>
      </c>
      <c r="B2671" s="61" t="s">
        <v>23</v>
      </c>
      <c r="C2671" s="62" t="s">
        <v>19</v>
      </c>
      <c r="D2671" s="63">
        <v>246.76929609217473</v>
      </c>
      <c r="E2671" s="79">
        <v>1333649</v>
      </c>
      <c r="F2671" s="80">
        <v>1303919.6250000012</v>
      </c>
      <c r="G2671" s="66">
        <v>2759.2586877081053</v>
      </c>
      <c r="H2671" s="67">
        <v>1</v>
      </c>
      <c r="I2671" s="68" t="s">
        <v>20</v>
      </c>
      <c r="J2671" s="69">
        <v>40</v>
      </c>
      <c r="K2671" s="70">
        <v>1</v>
      </c>
      <c r="L2671" s="68">
        <v>1</v>
      </c>
      <c r="M2671" s="68">
        <f>_xlfn.XLOOKUP(Survey!$F2671,sections[Start],sections[Test Section],,-1,1)</f>
        <v>8</v>
      </c>
      <c r="N2671" s="55">
        <f>_xlfn.XLOOKUP(Survey!$K2671,pipedata[ID],pipedata[WT])</f>
        <v>0.61699999999999999</v>
      </c>
      <c r="O2671" s="56">
        <f>_xlfn.XLOOKUP(Survey!$K2671,pipedata[ID],pipedata[104%])</f>
        <v>2138.9333333333334</v>
      </c>
      <c r="P2671" s="57">
        <f t="shared" si="41"/>
        <v>1850</v>
      </c>
      <c r="Q2671" s="58">
        <f>_xlfn.MAXIFS(Survey!$G$2:$G$3647,Survey!$M$2:$M$3647,Survey!$M2671)-Survey!$G2671</f>
        <v>428.45080510976459</v>
      </c>
      <c r="R2671" s="59">
        <f>Survey!$P2671+(Survey!$Q2671*0.433)</f>
        <v>2035.519198612528</v>
      </c>
    </row>
    <row r="2672" spans="1:18" x14ac:dyDescent="0.25">
      <c r="A2672" s="71" t="s">
        <v>17</v>
      </c>
      <c r="B2672" s="72" t="s">
        <v>23</v>
      </c>
      <c r="C2672" s="73" t="s">
        <v>19</v>
      </c>
      <c r="D2672" s="74">
        <v>246.77637550269941</v>
      </c>
      <c r="E2672" s="81">
        <v>1333689</v>
      </c>
      <c r="F2672" s="82">
        <v>1303955.6666666679</v>
      </c>
      <c r="G2672" s="75">
        <v>2763.7162888483481</v>
      </c>
      <c r="H2672" s="76">
        <v>1</v>
      </c>
      <c r="I2672" s="54" t="s">
        <v>20</v>
      </c>
      <c r="J2672" s="77">
        <v>40</v>
      </c>
      <c r="K2672" s="78">
        <v>1</v>
      </c>
      <c r="L2672" s="54">
        <v>1</v>
      </c>
      <c r="M2672" s="54">
        <f>_xlfn.XLOOKUP(Survey!$F2672,sections[Start],sections[Test Section],,-1,1)</f>
        <v>8</v>
      </c>
      <c r="N2672" s="55">
        <f>_xlfn.XLOOKUP(Survey!$K2672,pipedata[ID],pipedata[WT])</f>
        <v>0.61699999999999999</v>
      </c>
      <c r="O2672" s="56">
        <f>_xlfn.XLOOKUP(Survey!$K2672,pipedata[ID],pipedata[104%])</f>
        <v>2138.9333333333334</v>
      </c>
      <c r="P2672" s="57">
        <f t="shared" si="41"/>
        <v>1850</v>
      </c>
      <c r="Q2672" s="58">
        <f>_xlfn.MAXIFS(Survey!$G$2:$G$3647,Survey!$M$2:$M$3647,Survey!$M2672)-Survey!$G2672</f>
        <v>423.9932039695218</v>
      </c>
      <c r="R2672" s="59">
        <f>Survey!$P2672+(Survey!$Q2672*0.433)</f>
        <v>2033.589057318803</v>
      </c>
    </row>
    <row r="2673" spans="1:18" x14ac:dyDescent="0.25">
      <c r="A2673" s="60" t="s">
        <v>17</v>
      </c>
      <c r="B2673" s="61" t="s">
        <v>23</v>
      </c>
      <c r="C2673" s="62" t="s">
        <v>19</v>
      </c>
      <c r="D2673" s="63">
        <v>246.78386905560373</v>
      </c>
      <c r="E2673" s="79">
        <v>1333729</v>
      </c>
      <c r="F2673" s="80">
        <v>1303991.7083333347</v>
      </c>
      <c r="G2673" s="66">
        <v>2768.9664386436471</v>
      </c>
      <c r="H2673" s="67">
        <v>1</v>
      </c>
      <c r="I2673" s="68" t="s">
        <v>20</v>
      </c>
      <c r="J2673" s="69">
        <v>40</v>
      </c>
      <c r="K2673" s="70">
        <v>1</v>
      </c>
      <c r="L2673" s="68">
        <v>1</v>
      </c>
      <c r="M2673" s="68">
        <f>_xlfn.XLOOKUP(Survey!$F2673,sections[Start],sections[Test Section],,-1,1)</f>
        <v>8</v>
      </c>
      <c r="N2673" s="55">
        <f>_xlfn.XLOOKUP(Survey!$K2673,pipedata[ID],pipedata[WT])</f>
        <v>0.61699999999999999</v>
      </c>
      <c r="O2673" s="56">
        <f>_xlfn.XLOOKUP(Survey!$K2673,pipedata[ID],pipedata[104%])</f>
        <v>2138.9333333333334</v>
      </c>
      <c r="P2673" s="57">
        <f t="shared" si="41"/>
        <v>1850</v>
      </c>
      <c r="Q2673" s="58">
        <f>_xlfn.MAXIFS(Survey!$G$2:$G$3647,Survey!$M$2:$M$3647,Survey!$M2673)-Survey!$G2673</f>
        <v>418.74305417422283</v>
      </c>
      <c r="R2673" s="59">
        <f>Survey!$P2673+(Survey!$Q2673*0.433)</f>
        <v>2031.3157424574385</v>
      </c>
    </row>
    <row r="2674" spans="1:18" x14ac:dyDescent="0.25">
      <c r="A2674" s="71" t="s">
        <v>17</v>
      </c>
      <c r="B2674" s="72" t="s">
        <v>23</v>
      </c>
      <c r="C2674" s="73" t="s">
        <v>19</v>
      </c>
      <c r="D2674" s="74">
        <v>246.79153943630635</v>
      </c>
      <c r="E2674" s="81">
        <v>1333769</v>
      </c>
      <c r="F2674" s="82">
        <v>1304027.7500000014</v>
      </c>
      <c r="G2674" s="75">
        <v>2765.4685887502987</v>
      </c>
      <c r="H2674" s="76">
        <v>1</v>
      </c>
      <c r="I2674" s="54" t="s">
        <v>20</v>
      </c>
      <c r="J2674" s="77">
        <v>40</v>
      </c>
      <c r="K2674" s="78">
        <v>1</v>
      </c>
      <c r="L2674" s="54">
        <v>1</v>
      </c>
      <c r="M2674" s="54">
        <f>_xlfn.XLOOKUP(Survey!$F2674,sections[Start],sections[Test Section],,-1,1)</f>
        <v>8</v>
      </c>
      <c r="N2674" s="55">
        <f>_xlfn.XLOOKUP(Survey!$K2674,pipedata[ID],pipedata[WT])</f>
        <v>0.61699999999999999</v>
      </c>
      <c r="O2674" s="56">
        <f>_xlfn.XLOOKUP(Survey!$K2674,pipedata[ID],pipedata[104%])</f>
        <v>2138.9333333333334</v>
      </c>
      <c r="P2674" s="57">
        <f t="shared" si="41"/>
        <v>1850</v>
      </c>
      <c r="Q2674" s="58">
        <f>_xlfn.MAXIFS(Survey!$G$2:$G$3647,Survey!$M$2:$M$3647,Survey!$M2674)-Survey!$G2674</f>
        <v>422.24090406757114</v>
      </c>
      <c r="R2674" s="59">
        <f>Survey!$P2674+(Survey!$Q2674*0.433)</f>
        <v>2032.8303114612584</v>
      </c>
    </row>
    <row r="2675" spans="1:18" x14ac:dyDescent="0.25">
      <c r="A2675" s="60" t="s">
        <v>17</v>
      </c>
      <c r="B2675" s="61" t="s">
        <v>23</v>
      </c>
      <c r="C2675" s="62" t="s">
        <v>19</v>
      </c>
      <c r="D2675" s="63">
        <v>246.79713141013494</v>
      </c>
      <c r="E2675" s="79">
        <v>1333809</v>
      </c>
      <c r="F2675" s="80">
        <v>1304063.7916666681</v>
      </c>
      <c r="G2675" s="66">
        <v>2758.6129920264411</v>
      </c>
      <c r="H2675" s="67">
        <v>1</v>
      </c>
      <c r="I2675" s="68" t="s">
        <v>20</v>
      </c>
      <c r="J2675" s="69">
        <v>40</v>
      </c>
      <c r="K2675" s="70">
        <v>1</v>
      </c>
      <c r="L2675" s="68">
        <v>1</v>
      </c>
      <c r="M2675" s="68">
        <f>_xlfn.XLOOKUP(Survey!$F2675,sections[Start],sections[Test Section],,-1,1)</f>
        <v>8</v>
      </c>
      <c r="N2675" s="55">
        <f>_xlfn.XLOOKUP(Survey!$K2675,pipedata[ID],pipedata[WT])</f>
        <v>0.61699999999999999</v>
      </c>
      <c r="O2675" s="56">
        <f>_xlfn.XLOOKUP(Survey!$K2675,pipedata[ID],pipedata[104%])</f>
        <v>2138.9333333333334</v>
      </c>
      <c r="P2675" s="57">
        <f t="shared" si="41"/>
        <v>1850</v>
      </c>
      <c r="Q2675" s="58">
        <f>_xlfn.MAXIFS(Survey!$G$2:$G$3647,Survey!$M$2:$M$3647,Survey!$M2675)-Survey!$G2675</f>
        <v>429.09650079142875</v>
      </c>
      <c r="R2675" s="59">
        <f>Survey!$P2675+(Survey!$Q2675*0.433)</f>
        <v>2035.7987848426887</v>
      </c>
    </row>
    <row r="2676" spans="1:18" x14ac:dyDescent="0.25">
      <c r="A2676" s="71" t="s">
        <v>17</v>
      </c>
      <c r="B2676" s="72" t="s">
        <v>23</v>
      </c>
      <c r="C2676" s="73" t="s">
        <v>19</v>
      </c>
      <c r="D2676" s="74">
        <v>246.80497888516416</v>
      </c>
      <c r="E2676" s="81">
        <v>1333849</v>
      </c>
      <c r="F2676" s="82">
        <v>1304099.8333333349</v>
      </c>
      <c r="G2676" s="75">
        <v>2743.6359805384946</v>
      </c>
      <c r="H2676" s="76">
        <v>1</v>
      </c>
      <c r="I2676" s="54" t="s">
        <v>20</v>
      </c>
      <c r="J2676" s="77">
        <v>40</v>
      </c>
      <c r="K2676" s="78">
        <v>1</v>
      </c>
      <c r="L2676" s="54">
        <v>1</v>
      </c>
      <c r="M2676" s="54">
        <f>_xlfn.XLOOKUP(Survey!$F2676,sections[Start],sections[Test Section],,-1,1)</f>
        <v>8</v>
      </c>
      <c r="N2676" s="55">
        <f>_xlfn.XLOOKUP(Survey!$K2676,pipedata[ID],pipedata[WT])</f>
        <v>0.61699999999999999</v>
      </c>
      <c r="O2676" s="56">
        <f>_xlfn.XLOOKUP(Survey!$K2676,pipedata[ID],pipedata[104%])</f>
        <v>2138.9333333333334</v>
      </c>
      <c r="P2676" s="57">
        <f t="shared" si="41"/>
        <v>1850</v>
      </c>
      <c r="Q2676" s="58">
        <f>_xlfn.MAXIFS(Survey!$G$2:$G$3647,Survey!$M$2:$M$3647,Survey!$M2676)-Survey!$G2676</f>
        <v>444.07351227937534</v>
      </c>
      <c r="R2676" s="59">
        <f>Survey!$P2676+(Survey!$Q2676*0.433)</f>
        <v>2042.2838308169696</v>
      </c>
    </row>
    <row r="2677" spans="1:18" x14ac:dyDescent="0.25">
      <c r="A2677" s="60" t="s">
        <v>17</v>
      </c>
      <c r="B2677" s="61" t="s">
        <v>23</v>
      </c>
      <c r="C2677" s="62" t="s">
        <v>19</v>
      </c>
      <c r="D2677" s="63">
        <v>246.8123026157734</v>
      </c>
      <c r="E2677" s="79">
        <v>1333889</v>
      </c>
      <c r="F2677" s="80">
        <v>1304135.8750000016</v>
      </c>
      <c r="G2677" s="66">
        <v>2722.7028300658612</v>
      </c>
      <c r="H2677" s="67">
        <v>1</v>
      </c>
      <c r="I2677" s="68" t="s">
        <v>20</v>
      </c>
      <c r="J2677" s="69">
        <v>40</v>
      </c>
      <c r="K2677" s="70">
        <v>1</v>
      </c>
      <c r="L2677" s="68">
        <v>1</v>
      </c>
      <c r="M2677" s="68">
        <f>_xlfn.XLOOKUP(Survey!$F2677,sections[Start],sections[Test Section],,-1,1)</f>
        <v>8</v>
      </c>
      <c r="N2677" s="55">
        <f>_xlfn.XLOOKUP(Survey!$K2677,pipedata[ID],pipedata[WT])</f>
        <v>0.61699999999999999</v>
      </c>
      <c r="O2677" s="56">
        <f>_xlfn.XLOOKUP(Survey!$K2677,pipedata[ID],pipedata[104%])</f>
        <v>2138.9333333333334</v>
      </c>
      <c r="P2677" s="57">
        <f t="shared" si="41"/>
        <v>1850</v>
      </c>
      <c r="Q2677" s="58">
        <f>_xlfn.MAXIFS(Survey!$G$2:$G$3647,Survey!$M$2:$M$3647,Survey!$M2677)-Survey!$G2677</f>
        <v>465.00666275200865</v>
      </c>
      <c r="R2677" s="59">
        <f>Survey!$P2677+(Survey!$Q2677*0.433)</f>
        <v>2051.3478849716198</v>
      </c>
    </row>
    <row r="2678" spans="1:18" x14ac:dyDescent="0.25">
      <c r="A2678" s="71" t="s">
        <v>17</v>
      </c>
      <c r="B2678" s="72" t="s">
        <v>23</v>
      </c>
      <c r="C2678" s="73" t="s">
        <v>19</v>
      </c>
      <c r="D2678" s="74">
        <v>246.81857927507306</v>
      </c>
      <c r="E2678" s="81">
        <v>1333929</v>
      </c>
      <c r="F2678" s="82">
        <v>1304171.9166666684</v>
      </c>
      <c r="G2678" s="75">
        <v>2707.6599023985787</v>
      </c>
      <c r="H2678" s="76">
        <v>1</v>
      </c>
      <c r="I2678" s="54" t="s">
        <v>20</v>
      </c>
      <c r="J2678" s="77">
        <v>5</v>
      </c>
      <c r="K2678" s="78">
        <v>1</v>
      </c>
      <c r="L2678" s="54">
        <v>1</v>
      </c>
      <c r="M2678" s="54">
        <f>_xlfn.XLOOKUP(Survey!$F2678,sections[Start],sections[Test Section],,-1,1)</f>
        <v>8</v>
      </c>
      <c r="N2678" s="55">
        <f>_xlfn.XLOOKUP(Survey!$K2678,pipedata[ID],pipedata[WT])</f>
        <v>0.61699999999999999</v>
      </c>
      <c r="O2678" s="56">
        <f>_xlfn.XLOOKUP(Survey!$K2678,pipedata[ID],pipedata[104%])</f>
        <v>2138.9333333333334</v>
      </c>
      <c r="P2678" s="57">
        <f t="shared" si="41"/>
        <v>1850</v>
      </c>
      <c r="Q2678" s="58">
        <f>_xlfn.MAXIFS(Survey!$G$2:$G$3647,Survey!$M$2:$M$3647,Survey!$M2678)-Survey!$G2678</f>
        <v>480.04959041929123</v>
      </c>
      <c r="R2678" s="59">
        <f>Survey!$P2678+(Survey!$Q2678*0.433)</f>
        <v>2057.861472651553</v>
      </c>
    </row>
    <row r="2679" spans="1:18" x14ac:dyDescent="0.25">
      <c r="A2679" s="60" t="s">
        <v>17</v>
      </c>
      <c r="B2679" s="61" t="s">
        <v>23</v>
      </c>
      <c r="C2679" s="62" t="s">
        <v>19</v>
      </c>
      <c r="D2679" s="63">
        <v>246.82563608686252</v>
      </c>
      <c r="E2679" s="79">
        <v>1333934</v>
      </c>
      <c r="F2679" s="80">
        <v>1304244</v>
      </c>
      <c r="G2679" s="66">
        <v>2666.3866758624913</v>
      </c>
      <c r="H2679" s="67">
        <v>1</v>
      </c>
      <c r="I2679" s="68" t="s">
        <v>21</v>
      </c>
      <c r="J2679" s="69">
        <v>40</v>
      </c>
      <c r="K2679" s="70">
        <v>6</v>
      </c>
      <c r="L2679" s="68">
        <v>1</v>
      </c>
      <c r="M2679" s="68">
        <f>_xlfn.XLOOKUP(Survey!$F2679,sections[Start],sections[Test Section],,-1,1)</f>
        <v>8</v>
      </c>
      <c r="N2679" s="55">
        <f>_xlfn.XLOOKUP(Survey!$K2679,pipedata[ID],pipedata[WT])</f>
        <v>0.61699999999999999</v>
      </c>
      <c r="O2679" s="56">
        <f>_xlfn.XLOOKUP(Survey!$K2679,pipedata[ID],pipedata[104%])</f>
        <v>2138.9333333333334</v>
      </c>
      <c r="P2679" s="57">
        <f t="shared" si="41"/>
        <v>1850</v>
      </c>
      <c r="Q2679" s="58">
        <f>_xlfn.MAXIFS(Survey!$G$2:$G$3647,Survey!$M$2:$M$3647,Survey!$M2679)-Survey!$G2679</f>
        <v>521.32281695537858</v>
      </c>
      <c r="R2679" s="59">
        <f>Survey!$P2679+(Survey!$Q2679*0.433)</f>
        <v>2075.7327797416788</v>
      </c>
    </row>
    <row r="2680" spans="1:18" x14ac:dyDescent="0.25">
      <c r="A2680" s="71" t="s">
        <v>17</v>
      </c>
      <c r="B2680" s="72" t="s">
        <v>23</v>
      </c>
      <c r="C2680" s="73" t="s">
        <v>19</v>
      </c>
      <c r="D2680" s="74">
        <v>246.83137957677152</v>
      </c>
      <c r="E2680" s="81">
        <v>1333974</v>
      </c>
      <c r="F2680" s="82">
        <v>1304284</v>
      </c>
      <c r="G2680" s="75">
        <v>2656.1899900559788</v>
      </c>
      <c r="H2680" s="76">
        <v>1</v>
      </c>
      <c r="I2680" s="54" t="s">
        <v>20</v>
      </c>
      <c r="J2680" s="77">
        <v>75</v>
      </c>
      <c r="K2680" s="78">
        <v>1</v>
      </c>
      <c r="L2680" s="54">
        <v>1</v>
      </c>
      <c r="M2680" s="54">
        <f>_xlfn.XLOOKUP(Survey!$F2680,sections[Start],sections[Test Section],,-1,1)</f>
        <v>8</v>
      </c>
      <c r="N2680" s="55">
        <f>_xlfn.XLOOKUP(Survey!$K2680,pipedata[ID],pipedata[WT])</f>
        <v>0.61699999999999999</v>
      </c>
      <c r="O2680" s="56">
        <f>_xlfn.XLOOKUP(Survey!$K2680,pipedata[ID],pipedata[104%])</f>
        <v>2138.9333333333334</v>
      </c>
      <c r="P2680" s="57">
        <f t="shared" si="41"/>
        <v>1850</v>
      </c>
      <c r="Q2680" s="58">
        <f>_xlfn.MAXIFS(Survey!$G$2:$G$3647,Survey!$M$2:$M$3647,Survey!$M2680)-Survey!$G2680</f>
        <v>531.51950276189109</v>
      </c>
      <c r="R2680" s="59">
        <f>Survey!$P2680+(Survey!$Q2680*0.433)</f>
        <v>2080.1479446958988</v>
      </c>
    </row>
    <row r="2681" spans="1:18" x14ac:dyDescent="0.25">
      <c r="A2681" s="60" t="s">
        <v>17</v>
      </c>
      <c r="B2681" s="61" t="s">
        <v>23</v>
      </c>
      <c r="C2681" s="62" t="s">
        <v>19</v>
      </c>
      <c r="D2681" s="63">
        <v>246.84016128570568</v>
      </c>
      <c r="E2681" s="79">
        <v>1334049</v>
      </c>
      <c r="F2681" s="80">
        <v>1304322.4375</v>
      </c>
      <c r="G2681" s="66">
        <v>2669.4623802788701</v>
      </c>
      <c r="H2681" s="67">
        <v>1</v>
      </c>
      <c r="I2681" s="68" t="s">
        <v>20</v>
      </c>
      <c r="J2681" s="69">
        <v>40</v>
      </c>
      <c r="K2681" s="70">
        <v>1</v>
      </c>
      <c r="L2681" s="68">
        <v>1</v>
      </c>
      <c r="M2681" s="68">
        <f>_xlfn.XLOOKUP(Survey!$F2681,sections[Start],sections[Test Section],,-1,1)</f>
        <v>8</v>
      </c>
      <c r="N2681" s="55">
        <f>_xlfn.XLOOKUP(Survey!$K2681,pipedata[ID],pipedata[WT])</f>
        <v>0.61699999999999999</v>
      </c>
      <c r="O2681" s="56">
        <f>_xlfn.XLOOKUP(Survey!$K2681,pipedata[ID],pipedata[104%])</f>
        <v>2138.9333333333334</v>
      </c>
      <c r="P2681" s="57">
        <f t="shared" si="41"/>
        <v>1850</v>
      </c>
      <c r="Q2681" s="58">
        <f>_xlfn.MAXIFS(Survey!$G$2:$G$3647,Survey!$M$2:$M$3647,Survey!$M2681)-Survey!$G2681</f>
        <v>518.24711253899977</v>
      </c>
      <c r="R2681" s="59">
        <f>Survey!$P2681+(Survey!$Q2681*0.433)</f>
        <v>2074.400999729387</v>
      </c>
    </row>
    <row r="2682" spans="1:18" x14ac:dyDescent="0.25">
      <c r="A2682" s="71" t="s">
        <v>17</v>
      </c>
      <c r="B2682" s="72" t="s">
        <v>23</v>
      </c>
      <c r="C2682" s="73" t="s">
        <v>19</v>
      </c>
      <c r="D2682" s="74">
        <v>246.8464940146134</v>
      </c>
      <c r="E2682" s="81">
        <v>1334089</v>
      </c>
      <c r="F2682" s="82">
        <v>1304360.875</v>
      </c>
      <c r="G2682" s="75">
        <v>2682.0472425707626</v>
      </c>
      <c r="H2682" s="76">
        <v>1</v>
      </c>
      <c r="I2682" s="54" t="s">
        <v>20</v>
      </c>
      <c r="J2682" s="77">
        <v>40</v>
      </c>
      <c r="K2682" s="78">
        <v>1</v>
      </c>
      <c r="L2682" s="54">
        <v>1</v>
      </c>
      <c r="M2682" s="54">
        <f>_xlfn.XLOOKUP(Survey!$F2682,sections[Start],sections[Test Section],,-1,1)</f>
        <v>8</v>
      </c>
      <c r="N2682" s="55">
        <f>_xlfn.XLOOKUP(Survey!$K2682,pipedata[ID],pipedata[WT])</f>
        <v>0.61699999999999999</v>
      </c>
      <c r="O2682" s="56">
        <f>_xlfn.XLOOKUP(Survey!$K2682,pipedata[ID],pipedata[104%])</f>
        <v>2138.9333333333334</v>
      </c>
      <c r="P2682" s="57">
        <f t="shared" si="41"/>
        <v>1850</v>
      </c>
      <c r="Q2682" s="58">
        <f>_xlfn.MAXIFS(Survey!$G$2:$G$3647,Survey!$M$2:$M$3647,Survey!$M2682)-Survey!$G2682</f>
        <v>505.66225024710729</v>
      </c>
      <c r="R2682" s="59">
        <f>Survey!$P2682+(Survey!$Q2682*0.433)</f>
        <v>2068.9517543569973</v>
      </c>
    </row>
    <row r="2683" spans="1:18" x14ac:dyDescent="0.25">
      <c r="A2683" s="60" t="s">
        <v>17</v>
      </c>
      <c r="B2683" s="61" t="s">
        <v>23</v>
      </c>
      <c r="C2683" s="62" t="s">
        <v>19</v>
      </c>
      <c r="D2683" s="63">
        <v>246.85374033768818</v>
      </c>
      <c r="E2683" s="79">
        <v>1334129</v>
      </c>
      <c r="F2683" s="80">
        <v>1304399.3125</v>
      </c>
      <c r="G2683" s="66">
        <v>2693.9819726877136</v>
      </c>
      <c r="H2683" s="67">
        <v>1</v>
      </c>
      <c r="I2683" s="68" t="s">
        <v>20</v>
      </c>
      <c r="J2683" s="69">
        <v>40</v>
      </c>
      <c r="K2683" s="70">
        <v>1</v>
      </c>
      <c r="L2683" s="68">
        <v>1</v>
      </c>
      <c r="M2683" s="68">
        <f>_xlfn.XLOOKUP(Survey!$F2683,sections[Start],sections[Test Section],,-1,1)</f>
        <v>8</v>
      </c>
      <c r="N2683" s="55">
        <f>_xlfn.XLOOKUP(Survey!$K2683,pipedata[ID],pipedata[WT])</f>
        <v>0.61699999999999999</v>
      </c>
      <c r="O2683" s="56">
        <f>_xlfn.XLOOKUP(Survey!$K2683,pipedata[ID],pipedata[104%])</f>
        <v>2138.9333333333334</v>
      </c>
      <c r="P2683" s="57">
        <f t="shared" si="41"/>
        <v>1850</v>
      </c>
      <c r="Q2683" s="58">
        <f>_xlfn.MAXIFS(Survey!$G$2:$G$3647,Survey!$M$2:$M$3647,Survey!$M2683)-Survey!$G2683</f>
        <v>493.72752013015634</v>
      </c>
      <c r="R2683" s="59">
        <f>Survey!$P2683+(Survey!$Q2683*0.433)</f>
        <v>2063.7840162163575</v>
      </c>
    </row>
    <row r="2684" spans="1:18" x14ac:dyDescent="0.25">
      <c r="A2684" s="71" t="s">
        <v>17</v>
      </c>
      <c r="B2684" s="72" t="s">
        <v>23</v>
      </c>
      <c r="C2684" s="73" t="s">
        <v>19</v>
      </c>
      <c r="D2684" s="74">
        <v>246.86068623366049</v>
      </c>
      <c r="E2684" s="81">
        <v>1334169</v>
      </c>
      <c r="F2684" s="82">
        <v>1304437.75</v>
      </c>
      <c r="G2684" s="75">
        <v>2704.8572800916672</v>
      </c>
      <c r="H2684" s="76">
        <v>1</v>
      </c>
      <c r="I2684" s="54" t="s">
        <v>20</v>
      </c>
      <c r="J2684" s="77">
        <v>40</v>
      </c>
      <c r="K2684" s="78">
        <v>1</v>
      </c>
      <c r="L2684" s="54">
        <v>1</v>
      </c>
      <c r="M2684" s="54">
        <f>_xlfn.XLOOKUP(Survey!$F2684,sections[Start],sections[Test Section],,-1,1)</f>
        <v>8</v>
      </c>
      <c r="N2684" s="55">
        <f>_xlfn.XLOOKUP(Survey!$K2684,pipedata[ID],pipedata[WT])</f>
        <v>0.61699999999999999</v>
      </c>
      <c r="O2684" s="56">
        <f>_xlfn.XLOOKUP(Survey!$K2684,pipedata[ID],pipedata[104%])</f>
        <v>2138.9333333333334</v>
      </c>
      <c r="P2684" s="57">
        <f t="shared" si="41"/>
        <v>1850</v>
      </c>
      <c r="Q2684" s="58">
        <f>_xlfn.MAXIFS(Survey!$G$2:$G$3647,Survey!$M$2:$M$3647,Survey!$M2684)-Survey!$G2684</f>
        <v>482.85221272620265</v>
      </c>
      <c r="R2684" s="59">
        <f>Survey!$P2684+(Survey!$Q2684*0.433)</f>
        <v>2059.0750081104457</v>
      </c>
    </row>
    <row r="2685" spans="1:18" x14ac:dyDescent="0.25">
      <c r="A2685" s="60" t="s">
        <v>17</v>
      </c>
      <c r="B2685" s="61" t="s">
        <v>23</v>
      </c>
      <c r="C2685" s="62" t="s">
        <v>19</v>
      </c>
      <c r="D2685" s="63">
        <v>246.868449668794</v>
      </c>
      <c r="E2685" s="79">
        <v>1334209</v>
      </c>
      <c r="F2685" s="80">
        <v>1304476.1875</v>
      </c>
      <c r="G2685" s="66">
        <v>2715.6623184737418</v>
      </c>
      <c r="H2685" s="67">
        <v>1</v>
      </c>
      <c r="I2685" s="68" t="s">
        <v>20</v>
      </c>
      <c r="J2685" s="69">
        <v>40</v>
      </c>
      <c r="K2685" s="70">
        <v>1</v>
      </c>
      <c r="L2685" s="68">
        <v>1</v>
      </c>
      <c r="M2685" s="68">
        <f>_xlfn.XLOOKUP(Survey!$F2685,sections[Start],sections[Test Section],,-1,1)</f>
        <v>8</v>
      </c>
      <c r="N2685" s="55">
        <f>_xlfn.XLOOKUP(Survey!$K2685,pipedata[ID],pipedata[WT])</f>
        <v>0.61699999999999999</v>
      </c>
      <c r="O2685" s="56">
        <f>_xlfn.XLOOKUP(Survey!$K2685,pipedata[ID],pipedata[104%])</f>
        <v>2138.9333333333334</v>
      </c>
      <c r="P2685" s="57">
        <f t="shared" si="41"/>
        <v>1850</v>
      </c>
      <c r="Q2685" s="58">
        <f>_xlfn.MAXIFS(Survey!$G$2:$G$3647,Survey!$M$2:$M$3647,Survey!$M2685)-Survey!$G2685</f>
        <v>472.04717434412805</v>
      </c>
      <c r="R2685" s="59">
        <f>Survey!$P2685+(Survey!$Q2685*0.433)</f>
        <v>2054.3964264910073</v>
      </c>
    </row>
    <row r="2686" spans="1:18" x14ac:dyDescent="0.25">
      <c r="A2686" s="71" t="s">
        <v>17</v>
      </c>
      <c r="B2686" s="72" t="s">
        <v>23</v>
      </c>
      <c r="C2686" s="73" t="s">
        <v>19</v>
      </c>
      <c r="D2686" s="74">
        <v>246.87635026909848</v>
      </c>
      <c r="E2686" s="81">
        <v>1334249</v>
      </c>
      <c r="F2686" s="82">
        <v>1304514.625</v>
      </c>
      <c r="G2686" s="75">
        <v>2722.1210841868819</v>
      </c>
      <c r="H2686" s="76">
        <v>1</v>
      </c>
      <c r="I2686" s="54" t="s">
        <v>20</v>
      </c>
      <c r="J2686" s="77">
        <v>40</v>
      </c>
      <c r="K2686" s="78">
        <v>1</v>
      </c>
      <c r="L2686" s="54">
        <v>1</v>
      </c>
      <c r="M2686" s="54">
        <f>_xlfn.XLOOKUP(Survey!$F2686,sections[Start],sections[Test Section],,-1,1)</f>
        <v>8</v>
      </c>
      <c r="N2686" s="55">
        <f>_xlfn.XLOOKUP(Survey!$K2686,pipedata[ID],pipedata[WT])</f>
        <v>0.61699999999999999</v>
      </c>
      <c r="O2686" s="56">
        <f>_xlfn.XLOOKUP(Survey!$K2686,pipedata[ID],pipedata[104%])</f>
        <v>2138.9333333333334</v>
      </c>
      <c r="P2686" s="57">
        <f t="shared" si="41"/>
        <v>1850</v>
      </c>
      <c r="Q2686" s="58">
        <f>_xlfn.MAXIFS(Survey!$G$2:$G$3647,Survey!$M$2:$M$3647,Survey!$M2686)-Survey!$G2686</f>
        <v>465.58840863098794</v>
      </c>
      <c r="R2686" s="59">
        <f>Survey!$P2686+(Survey!$Q2686*0.433)</f>
        <v>2051.5997809372179</v>
      </c>
    </row>
    <row r="2687" spans="1:18" x14ac:dyDescent="0.25">
      <c r="A2687" s="60" t="s">
        <v>17</v>
      </c>
      <c r="B2687" s="61" t="s">
        <v>23</v>
      </c>
      <c r="C2687" s="62" t="s">
        <v>19</v>
      </c>
      <c r="D2687" s="63">
        <v>246.88413613381303</v>
      </c>
      <c r="E2687" s="79">
        <v>1334289</v>
      </c>
      <c r="F2687" s="80">
        <v>1304553.0625</v>
      </c>
      <c r="G2687" s="66">
        <v>2724.5928809339616</v>
      </c>
      <c r="H2687" s="67">
        <v>1</v>
      </c>
      <c r="I2687" s="68" t="s">
        <v>20</v>
      </c>
      <c r="J2687" s="69">
        <v>40</v>
      </c>
      <c r="K2687" s="70">
        <v>1</v>
      </c>
      <c r="L2687" s="68">
        <v>1</v>
      </c>
      <c r="M2687" s="68">
        <f>_xlfn.XLOOKUP(Survey!$F2687,sections[Start],sections[Test Section],,-1,1)</f>
        <v>8</v>
      </c>
      <c r="N2687" s="55">
        <f>_xlfn.XLOOKUP(Survey!$K2687,pipedata[ID],pipedata[WT])</f>
        <v>0.61699999999999999</v>
      </c>
      <c r="O2687" s="56">
        <f>_xlfn.XLOOKUP(Survey!$K2687,pipedata[ID],pipedata[104%])</f>
        <v>2138.9333333333334</v>
      </c>
      <c r="P2687" s="57">
        <f t="shared" si="41"/>
        <v>1850</v>
      </c>
      <c r="Q2687" s="58">
        <f>_xlfn.MAXIFS(Survey!$G$2:$G$3647,Survey!$M$2:$M$3647,Survey!$M2687)-Survey!$G2687</f>
        <v>463.11661188390826</v>
      </c>
      <c r="R2687" s="59">
        <f>Survey!$P2687+(Survey!$Q2687*0.433)</f>
        <v>2050.5294929457323</v>
      </c>
    </row>
    <row r="2688" spans="1:18" x14ac:dyDescent="0.25">
      <c r="A2688" s="71" t="s">
        <v>17</v>
      </c>
      <c r="B2688" s="72" t="s">
        <v>23</v>
      </c>
      <c r="C2688" s="73" t="s">
        <v>19</v>
      </c>
      <c r="D2688" s="74">
        <v>246.89163166810908</v>
      </c>
      <c r="E2688" s="64">
        <v>1334329</v>
      </c>
      <c r="F2688" s="65">
        <v>1304591.5</v>
      </c>
      <c r="G2688" s="75">
        <v>2729.1157023300393</v>
      </c>
      <c r="H2688" s="76">
        <v>1</v>
      </c>
      <c r="I2688" s="54" t="s">
        <v>20</v>
      </c>
      <c r="J2688" s="77">
        <v>40</v>
      </c>
      <c r="K2688" s="78">
        <v>1</v>
      </c>
      <c r="L2688" s="54">
        <v>1</v>
      </c>
      <c r="M2688" s="54">
        <f>_xlfn.XLOOKUP(Survey!$F2688,sections[Start],sections[Test Section],,-1,1)</f>
        <v>8</v>
      </c>
      <c r="N2688" s="55">
        <f>_xlfn.XLOOKUP(Survey!$K2688,pipedata[ID],pipedata[WT])</f>
        <v>0.61699999999999999</v>
      </c>
      <c r="O2688" s="56">
        <f>_xlfn.XLOOKUP(Survey!$K2688,pipedata[ID],pipedata[104%])</f>
        <v>2138.9333333333334</v>
      </c>
      <c r="P2688" s="57">
        <f t="shared" si="41"/>
        <v>1850</v>
      </c>
      <c r="Q2688" s="58">
        <f>_xlfn.MAXIFS(Survey!$G$2:$G$3647,Survey!$M$2:$M$3647,Survey!$M2688)-Survey!$G2688</f>
        <v>458.59379048783057</v>
      </c>
      <c r="R2688" s="59">
        <f>Survey!$P2688+(Survey!$Q2688*0.433)</f>
        <v>2048.5711112812305</v>
      </c>
    </row>
    <row r="2689" spans="1:18" x14ac:dyDescent="0.25">
      <c r="A2689" s="60" t="s">
        <v>17</v>
      </c>
      <c r="B2689" s="61" t="s">
        <v>23</v>
      </c>
      <c r="C2689" s="62" t="s">
        <v>19</v>
      </c>
      <c r="D2689" s="63">
        <v>246.89896902531103</v>
      </c>
      <c r="E2689" s="64">
        <v>1334369</v>
      </c>
      <c r="F2689" s="65">
        <v>1304629.9375</v>
      </c>
      <c r="G2689" s="66">
        <v>2734.1803975516277</v>
      </c>
      <c r="H2689" s="67">
        <v>1</v>
      </c>
      <c r="I2689" s="68" t="s">
        <v>20</v>
      </c>
      <c r="J2689" s="69">
        <v>40</v>
      </c>
      <c r="K2689" s="70">
        <v>1</v>
      </c>
      <c r="L2689" s="68">
        <v>1</v>
      </c>
      <c r="M2689" s="68">
        <f>_xlfn.XLOOKUP(Survey!$F2689,sections[Start],sections[Test Section],,-1,1)</f>
        <v>8</v>
      </c>
      <c r="N2689" s="55">
        <f>_xlfn.XLOOKUP(Survey!$K2689,pipedata[ID],pipedata[WT])</f>
        <v>0.61699999999999999</v>
      </c>
      <c r="O2689" s="56">
        <f>_xlfn.XLOOKUP(Survey!$K2689,pipedata[ID],pipedata[104%])</f>
        <v>2138.9333333333334</v>
      </c>
      <c r="P2689" s="57">
        <f t="shared" si="41"/>
        <v>1850</v>
      </c>
      <c r="Q2689" s="58">
        <f>_xlfn.MAXIFS(Survey!$G$2:$G$3647,Survey!$M$2:$M$3647,Survey!$M2689)-Survey!$G2689</f>
        <v>453.52909526624217</v>
      </c>
      <c r="R2689" s="59">
        <f>Survey!$P2689+(Survey!$Q2689*0.433)</f>
        <v>2046.3780982502828</v>
      </c>
    </row>
    <row r="2690" spans="1:18" x14ac:dyDescent="0.25">
      <c r="A2690" s="71" t="s">
        <v>17</v>
      </c>
      <c r="B2690" s="72" t="s">
        <v>23</v>
      </c>
      <c r="C2690" s="73" t="s">
        <v>19</v>
      </c>
      <c r="D2690" s="74">
        <v>246.90601586531614</v>
      </c>
      <c r="E2690" s="81">
        <v>1334409</v>
      </c>
      <c r="F2690" s="82">
        <v>1304668.375</v>
      </c>
      <c r="G2690" s="75">
        <v>2739.271200728796</v>
      </c>
      <c r="H2690" s="76">
        <v>1</v>
      </c>
      <c r="I2690" s="54" t="s">
        <v>20</v>
      </c>
      <c r="J2690" s="77">
        <v>40</v>
      </c>
      <c r="K2690" s="78">
        <v>1</v>
      </c>
      <c r="L2690" s="54">
        <v>1</v>
      </c>
      <c r="M2690" s="54">
        <f>_xlfn.XLOOKUP(Survey!$F2690,sections[Start],sections[Test Section],,-1,1)</f>
        <v>8</v>
      </c>
      <c r="N2690" s="55">
        <f>_xlfn.XLOOKUP(Survey!$K2690,pipedata[ID],pipedata[WT])</f>
        <v>0.61699999999999999</v>
      </c>
      <c r="O2690" s="56">
        <f>_xlfn.XLOOKUP(Survey!$K2690,pipedata[ID],pipedata[104%])</f>
        <v>2138.9333333333334</v>
      </c>
      <c r="P2690" s="57">
        <f t="shared" ref="P2690:P2753" si="42">IF(L2690=1,1850,IF(L2690=2,1850,2220))</f>
        <v>1850</v>
      </c>
      <c r="Q2690" s="58">
        <f>_xlfn.MAXIFS(Survey!$G$2:$G$3647,Survey!$M$2:$M$3647,Survey!$M2690)-Survey!$G2690</f>
        <v>448.43829208907391</v>
      </c>
      <c r="R2690" s="59">
        <f>Survey!$P2690+(Survey!$Q2690*0.433)</f>
        <v>2044.173780474569</v>
      </c>
    </row>
    <row r="2691" spans="1:18" x14ac:dyDescent="0.25">
      <c r="A2691" s="60" t="s">
        <v>17</v>
      </c>
      <c r="B2691" s="61" t="s">
        <v>23</v>
      </c>
      <c r="C2691" s="62" t="s">
        <v>19</v>
      </c>
      <c r="D2691" s="63">
        <v>246.9140846522404</v>
      </c>
      <c r="E2691" s="79">
        <v>1334449</v>
      </c>
      <c r="F2691" s="80">
        <v>1304706.8125</v>
      </c>
      <c r="G2691" s="66">
        <v>2742.3209081955206</v>
      </c>
      <c r="H2691" s="67">
        <v>1</v>
      </c>
      <c r="I2691" s="68" t="s">
        <v>20</v>
      </c>
      <c r="J2691" s="69">
        <v>40</v>
      </c>
      <c r="K2691" s="70">
        <v>1</v>
      </c>
      <c r="L2691" s="68">
        <v>1</v>
      </c>
      <c r="M2691" s="68">
        <f>_xlfn.XLOOKUP(Survey!$F2691,sections[Start],sections[Test Section],,-1,1)</f>
        <v>8</v>
      </c>
      <c r="N2691" s="55">
        <f>_xlfn.XLOOKUP(Survey!$K2691,pipedata[ID],pipedata[WT])</f>
        <v>0.61699999999999999</v>
      </c>
      <c r="O2691" s="56">
        <f>_xlfn.XLOOKUP(Survey!$K2691,pipedata[ID],pipedata[104%])</f>
        <v>2138.9333333333334</v>
      </c>
      <c r="P2691" s="57">
        <f t="shared" si="42"/>
        <v>1850</v>
      </c>
      <c r="Q2691" s="58">
        <f>_xlfn.MAXIFS(Survey!$G$2:$G$3647,Survey!$M$2:$M$3647,Survey!$M2691)-Survey!$G2691</f>
        <v>445.3885846223493</v>
      </c>
      <c r="R2691" s="59">
        <f>Survey!$P2691+(Survey!$Q2691*0.433)</f>
        <v>2042.8532571414773</v>
      </c>
    </row>
    <row r="2692" spans="1:18" x14ac:dyDescent="0.25">
      <c r="A2692" s="71" t="s">
        <v>17</v>
      </c>
      <c r="B2692" s="72" t="s">
        <v>23</v>
      </c>
      <c r="C2692" s="73" t="s">
        <v>19</v>
      </c>
      <c r="D2692" s="74">
        <v>246.92172905983315</v>
      </c>
      <c r="E2692" s="81">
        <v>1334489</v>
      </c>
      <c r="F2692" s="82">
        <v>1304745.25</v>
      </c>
      <c r="G2692" s="75">
        <v>2745.9859687267835</v>
      </c>
      <c r="H2692" s="76">
        <v>1</v>
      </c>
      <c r="I2692" s="54" t="s">
        <v>20</v>
      </c>
      <c r="J2692" s="77">
        <v>40</v>
      </c>
      <c r="K2692" s="78">
        <v>1</v>
      </c>
      <c r="L2692" s="54">
        <v>1</v>
      </c>
      <c r="M2692" s="54">
        <f>_xlfn.XLOOKUP(Survey!$F2692,sections[Start],sections[Test Section],,-1,1)</f>
        <v>8</v>
      </c>
      <c r="N2692" s="55">
        <f>_xlfn.XLOOKUP(Survey!$K2692,pipedata[ID],pipedata[WT])</f>
        <v>0.61699999999999999</v>
      </c>
      <c r="O2692" s="56">
        <f>_xlfn.XLOOKUP(Survey!$K2692,pipedata[ID],pipedata[104%])</f>
        <v>2138.9333333333334</v>
      </c>
      <c r="P2692" s="57">
        <f t="shared" si="42"/>
        <v>1850</v>
      </c>
      <c r="Q2692" s="58">
        <f>_xlfn.MAXIFS(Survey!$G$2:$G$3647,Survey!$M$2:$M$3647,Survey!$M2692)-Survey!$G2692</f>
        <v>441.72352409108635</v>
      </c>
      <c r="R2692" s="59">
        <f>Survey!$P2692+(Survey!$Q2692*0.433)</f>
        <v>2041.2662859314405</v>
      </c>
    </row>
    <row r="2693" spans="1:18" x14ac:dyDescent="0.25">
      <c r="A2693" s="60" t="s">
        <v>17</v>
      </c>
      <c r="B2693" s="61" t="s">
        <v>23</v>
      </c>
      <c r="C2693" s="62" t="s">
        <v>19</v>
      </c>
      <c r="D2693" s="63">
        <v>246.92916787111639</v>
      </c>
      <c r="E2693" s="79">
        <v>1334529</v>
      </c>
      <c r="F2693" s="80">
        <v>1304783.6875</v>
      </c>
      <c r="G2693" s="66">
        <v>2751.3224995223504</v>
      </c>
      <c r="H2693" s="67">
        <v>1</v>
      </c>
      <c r="I2693" s="68" t="s">
        <v>20</v>
      </c>
      <c r="J2693" s="69">
        <v>40</v>
      </c>
      <c r="K2693" s="70">
        <v>1</v>
      </c>
      <c r="L2693" s="68">
        <v>1</v>
      </c>
      <c r="M2693" s="68">
        <f>_xlfn.XLOOKUP(Survey!$F2693,sections[Start],sections[Test Section],,-1,1)</f>
        <v>8</v>
      </c>
      <c r="N2693" s="55">
        <f>_xlfn.XLOOKUP(Survey!$K2693,pipedata[ID],pipedata[WT])</f>
        <v>0.61699999999999999</v>
      </c>
      <c r="O2693" s="56">
        <f>_xlfn.XLOOKUP(Survey!$K2693,pipedata[ID],pipedata[104%])</f>
        <v>2138.9333333333334</v>
      </c>
      <c r="P2693" s="57">
        <f t="shared" si="42"/>
        <v>1850</v>
      </c>
      <c r="Q2693" s="58">
        <f>_xlfn.MAXIFS(Survey!$G$2:$G$3647,Survey!$M$2:$M$3647,Survey!$M2693)-Survey!$G2693</f>
        <v>436.38699329551946</v>
      </c>
      <c r="R2693" s="59">
        <f>Survey!$P2693+(Survey!$Q2693*0.433)</f>
        <v>2038.95556809696</v>
      </c>
    </row>
    <row r="2694" spans="1:18" x14ac:dyDescent="0.25">
      <c r="A2694" s="71" t="s">
        <v>17</v>
      </c>
      <c r="B2694" s="72" t="s">
        <v>23</v>
      </c>
      <c r="C2694" s="73" t="s">
        <v>19</v>
      </c>
      <c r="D2694" s="74">
        <v>246.93660668240031</v>
      </c>
      <c r="E2694" s="81">
        <v>1334569</v>
      </c>
      <c r="F2694" s="82">
        <v>1304822.125</v>
      </c>
      <c r="G2694" s="75">
        <v>2754.6122647500333</v>
      </c>
      <c r="H2694" s="76">
        <v>1</v>
      </c>
      <c r="I2694" s="54" t="s">
        <v>20</v>
      </c>
      <c r="J2694" s="77">
        <v>40</v>
      </c>
      <c r="K2694" s="78">
        <v>1</v>
      </c>
      <c r="L2694" s="54">
        <v>1</v>
      </c>
      <c r="M2694" s="54">
        <f>_xlfn.XLOOKUP(Survey!$F2694,sections[Start],sections[Test Section],,-1,1)</f>
        <v>8</v>
      </c>
      <c r="N2694" s="55">
        <f>_xlfn.XLOOKUP(Survey!$K2694,pipedata[ID],pipedata[WT])</f>
        <v>0.61699999999999999</v>
      </c>
      <c r="O2694" s="56">
        <f>_xlfn.XLOOKUP(Survey!$K2694,pipedata[ID],pipedata[104%])</f>
        <v>2138.9333333333334</v>
      </c>
      <c r="P2694" s="57">
        <f t="shared" si="42"/>
        <v>1850</v>
      </c>
      <c r="Q2694" s="58">
        <f>_xlfn.MAXIFS(Survey!$G$2:$G$3647,Survey!$M$2:$M$3647,Survey!$M2694)-Survey!$G2694</f>
        <v>433.09722806783657</v>
      </c>
      <c r="R2694" s="59">
        <f>Survey!$P2694+(Survey!$Q2694*0.433)</f>
        <v>2037.5310997533732</v>
      </c>
    </row>
    <row r="2695" spans="1:18" x14ac:dyDescent="0.25">
      <c r="A2695" s="60" t="s">
        <v>17</v>
      </c>
      <c r="B2695" s="61" t="s">
        <v>23</v>
      </c>
      <c r="C2695" s="62" t="s">
        <v>19</v>
      </c>
      <c r="D2695" s="63">
        <v>246.94294504564971</v>
      </c>
      <c r="E2695" s="79">
        <v>1334609</v>
      </c>
      <c r="F2695" s="80">
        <v>1304860.5625</v>
      </c>
      <c r="G2695" s="66">
        <v>2757.0956694602314</v>
      </c>
      <c r="H2695" s="67">
        <v>1</v>
      </c>
      <c r="I2695" s="68" t="s">
        <v>20</v>
      </c>
      <c r="J2695" s="69">
        <v>40</v>
      </c>
      <c r="K2695" s="70">
        <v>1</v>
      </c>
      <c r="L2695" s="68">
        <v>1</v>
      </c>
      <c r="M2695" s="68">
        <f>_xlfn.XLOOKUP(Survey!$F2695,sections[Start],sections[Test Section],,-1,1)</f>
        <v>8</v>
      </c>
      <c r="N2695" s="55">
        <f>_xlfn.XLOOKUP(Survey!$K2695,pipedata[ID],pipedata[WT])</f>
        <v>0.61699999999999999</v>
      </c>
      <c r="O2695" s="56">
        <f>_xlfn.XLOOKUP(Survey!$K2695,pipedata[ID],pipedata[104%])</f>
        <v>2138.9333333333334</v>
      </c>
      <c r="P2695" s="57">
        <f t="shared" si="42"/>
        <v>1850</v>
      </c>
      <c r="Q2695" s="58">
        <f>_xlfn.MAXIFS(Survey!$G$2:$G$3647,Survey!$M$2:$M$3647,Survey!$M2695)-Survey!$G2695</f>
        <v>430.61382335763847</v>
      </c>
      <c r="R2695" s="59">
        <f>Survey!$P2695+(Survey!$Q2695*0.433)</f>
        <v>2036.4557855138573</v>
      </c>
    </row>
    <row r="2696" spans="1:18" x14ac:dyDescent="0.25">
      <c r="A2696" s="71" t="s">
        <v>17</v>
      </c>
      <c r="B2696" s="72" t="s">
        <v>23</v>
      </c>
      <c r="C2696" s="73" t="s">
        <v>19</v>
      </c>
      <c r="D2696" s="74">
        <v>246.95171130093559</v>
      </c>
      <c r="E2696" s="81">
        <v>1334649</v>
      </c>
      <c r="F2696" s="82">
        <v>1304899</v>
      </c>
      <c r="G2696" s="75">
        <v>2760.8730226213374</v>
      </c>
      <c r="H2696" s="76">
        <v>1</v>
      </c>
      <c r="I2696" s="54" t="s">
        <v>20</v>
      </c>
      <c r="J2696" s="77">
        <v>40</v>
      </c>
      <c r="K2696" s="78">
        <v>1</v>
      </c>
      <c r="L2696" s="54">
        <v>1</v>
      </c>
      <c r="M2696" s="54">
        <f>_xlfn.XLOOKUP(Survey!$F2696,sections[Start],sections[Test Section],,-1,1)</f>
        <v>8</v>
      </c>
      <c r="N2696" s="55">
        <f>_xlfn.XLOOKUP(Survey!$K2696,pipedata[ID],pipedata[WT])</f>
        <v>0.61699999999999999</v>
      </c>
      <c r="O2696" s="56">
        <f>_xlfn.XLOOKUP(Survey!$K2696,pipedata[ID],pipedata[104%])</f>
        <v>2138.9333333333334</v>
      </c>
      <c r="P2696" s="57">
        <f t="shared" si="42"/>
        <v>1850</v>
      </c>
      <c r="Q2696" s="58">
        <f>_xlfn.MAXIFS(Survey!$G$2:$G$3647,Survey!$M$2:$M$3647,Survey!$M2696)-Survey!$G2696</f>
        <v>426.83647019653245</v>
      </c>
      <c r="R2696" s="59">
        <f>Survey!$P2696+(Survey!$Q2696*0.433)</f>
        <v>2034.8201915950985</v>
      </c>
    </row>
    <row r="2697" spans="1:18" x14ac:dyDescent="0.25">
      <c r="A2697" s="60" t="s">
        <v>17</v>
      </c>
      <c r="B2697" s="61" t="s">
        <v>23</v>
      </c>
      <c r="C2697" s="62" t="s">
        <v>19</v>
      </c>
      <c r="D2697" s="63">
        <v>246.95837563258115</v>
      </c>
      <c r="E2697" s="79">
        <v>1334689</v>
      </c>
      <c r="F2697" s="80">
        <v>1304937.4375</v>
      </c>
      <c r="G2697" s="66">
        <v>2765.1670215635017</v>
      </c>
      <c r="H2697" s="67">
        <v>1</v>
      </c>
      <c r="I2697" s="68" t="s">
        <v>20</v>
      </c>
      <c r="J2697" s="69">
        <v>40</v>
      </c>
      <c r="K2697" s="70">
        <v>1</v>
      </c>
      <c r="L2697" s="68">
        <v>1</v>
      </c>
      <c r="M2697" s="68">
        <f>_xlfn.XLOOKUP(Survey!$F2697,sections[Start],sections[Test Section],,-1,1)</f>
        <v>8</v>
      </c>
      <c r="N2697" s="55">
        <f>_xlfn.XLOOKUP(Survey!$K2697,pipedata[ID],pipedata[WT])</f>
        <v>0.61699999999999999</v>
      </c>
      <c r="O2697" s="56">
        <f>_xlfn.XLOOKUP(Survey!$K2697,pipedata[ID],pipedata[104%])</f>
        <v>2138.9333333333334</v>
      </c>
      <c r="P2697" s="57">
        <f t="shared" si="42"/>
        <v>1850</v>
      </c>
      <c r="Q2697" s="58">
        <f>_xlfn.MAXIFS(Survey!$G$2:$G$3647,Survey!$M$2:$M$3647,Survey!$M2697)-Survey!$G2697</f>
        <v>422.54247125436814</v>
      </c>
      <c r="R2697" s="59">
        <f>Survey!$P2697+(Survey!$Q2697*0.433)</f>
        <v>2032.9608900531414</v>
      </c>
    </row>
    <row r="2698" spans="1:18" x14ac:dyDescent="0.25">
      <c r="A2698" s="71" t="s">
        <v>17</v>
      </c>
      <c r="B2698" s="72" t="s">
        <v>23</v>
      </c>
      <c r="C2698" s="73" t="s">
        <v>19</v>
      </c>
      <c r="D2698" s="74">
        <v>246.96661855891298</v>
      </c>
      <c r="E2698" s="81">
        <v>1334729</v>
      </c>
      <c r="F2698" s="82">
        <v>1304975.875</v>
      </c>
      <c r="G2698" s="75">
        <v>2768.6459812035405</v>
      </c>
      <c r="H2698" s="76">
        <v>1</v>
      </c>
      <c r="I2698" s="54" t="s">
        <v>20</v>
      </c>
      <c r="J2698" s="77">
        <v>40</v>
      </c>
      <c r="K2698" s="78">
        <v>1</v>
      </c>
      <c r="L2698" s="54">
        <v>1</v>
      </c>
      <c r="M2698" s="54">
        <f>_xlfn.XLOOKUP(Survey!$F2698,sections[Start],sections[Test Section],,-1,1)</f>
        <v>8</v>
      </c>
      <c r="N2698" s="55">
        <f>_xlfn.XLOOKUP(Survey!$K2698,pipedata[ID],pipedata[WT])</f>
        <v>0.61699999999999999</v>
      </c>
      <c r="O2698" s="56">
        <f>_xlfn.XLOOKUP(Survey!$K2698,pipedata[ID],pipedata[104%])</f>
        <v>2138.9333333333334</v>
      </c>
      <c r="P2698" s="57">
        <f t="shared" si="42"/>
        <v>1850</v>
      </c>
      <c r="Q2698" s="58">
        <f>_xlfn.MAXIFS(Survey!$G$2:$G$3647,Survey!$M$2:$M$3647,Survey!$M2698)-Survey!$G2698</f>
        <v>419.0635116143294</v>
      </c>
      <c r="R2698" s="59">
        <f>Survey!$P2698+(Survey!$Q2698*0.433)</f>
        <v>2031.4545005290047</v>
      </c>
    </row>
    <row r="2699" spans="1:18" x14ac:dyDescent="0.25">
      <c r="A2699" s="60" t="s">
        <v>17</v>
      </c>
      <c r="B2699" s="61" t="s">
        <v>23</v>
      </c>
      <c r="C2699" s="62" t="s">
        <v>19</v>
      </c>
      <c r="D2699" s="63">
        <v>246.97406809741719</v>
      </c>
      <c r="E2699" s="79">
        <v>1334769</v>
      </c>
      <c r="F2699" s="80">
        <v>1305014.3125</v>
      </c>
      <c r="G2699" s="66">
        <v>2772.9097027229609</v>
      </c>
      <c r="H2699" s="67">
        <v>1</v>
      </c>
      <c r="I2699" s="68" t="s">
        <v>20</v>
      </c>
      <c r="J2699" s="69">
        <v>40</v>
      </c>
      <c r="K2699" s="70">
        <v>1</v>
      </c>
      <c r="L2699" s="68">
        <v>1</v>
      </c>
      <c r="M2699" s="68">
        <f>_xlfn.XLOOKUP(Survey!$F2699,sections[Start],sections[Test Section],,-1,1)</f>
        <v>8</v>
      </c>
      <c r="N2699" s="55">
        <f>_xlfn.XLOOKUP(Survey!$K2699,pipedata[ID],pipedata[WT])</f>
        <v>0.61699999999999999</v>
      </c>
      <c r="O2699" s="56">
        <f>_xlfn.XLOOKUP(Survey!$K2699,pipedata[ID],pipedata[104%])</f>
        <v>2138.9333333333334</v>
      </c>
      <c r="P2699" s="57">
        <f t="shared" si="42"/>
        <v>1850</v>
      </c>
      <c r="Q2699" s="58">
        <f>_xlfn.MAXIFS(Survey!$G$2:$G$3647,Survey!$M$2:$M$3647,Survey!$M2699)-Survey!$G2699</f>
        <v>414.79979009490899</v>
      </c>
      <c r="R2699" s="59">
        <f>Survey!$P2699+(Survey!$Q2699*0.433)</f>
        <v>2029.6083091110957</v>
      </c>
    </row>
    <row r="2700" spans="1:18" x14ac:dyDescent="0.25">
      <c r="A2700" s="71" t="s">
        <v>17</v>
      </c>
      <c r="B2700" s="72" t="s">
        <v>23</v>
      </c>
      <c r="C2700" s="73" t="s">
        <v>19</v>
      </c>
      <c r="D2700" s="74">
        <v>246.98191966044428</v>
      </c>
      <c r="E2700" s="81">
        <v>1334809</v>
      </c>
      <c r="F2700" s="82">
        <v>1305052.75</v>
      </c>
      <c r="G2700" s="75">
        <v>2776.8677873648348</v>
      </c>
      <c r="H2700" s="76">
        <v>1</v>
      </c>
      <c r="I2700" s="54" t="s">
        <v>20</v>
      </c>
      <c r="J2700" s="77">
        <v>40</v>
      </c>
      <c r="K2700" s="78">
        <v>1</v>
      </c>
      <c r="L2700" s="54">
        <v>1</v>
      </c>
      <c r="M2700" s="54">
        <f>_xlfn.XLOOKUP(Survey!$F2700,sections[Start],sections[Test Section],,-1,1)</f>
        <v>8</v>
      </c>
      <c r="N2700" s="55">
        <f>_xlfn.XLOOKUP(Survey!$K2700,pipedata[ID],pipedata[WT])</f>
        <v>0.61699999999999999</v>
      </c>
      <c r="O2700" s="56">
        <f>_xlfn.XLOOKUP(Survey!$K2700,pipedata[ID],pipedata[104%])</f>
        <v>2138.9333333333334</v>
      </c>
      <c r="P2700" s="57">
        <f t="shared" si="42"/>
        <v>1850</v>
      </c>
      <c r="Q2700" s="58">
        <f>_xlfn.MAXIFS(Survey!$G$2:$G$3647,Survey!$M$2:$M$3647,Survey!$M2700)-Survey!$G2700</f>
        <v>410.84170545303505</v>
      </c>
      <c r="R2700" s="59">
        <f>Survey!$P2700+(Survey!$Q2700*0.433)</f>
        <v>2027.894458461164</v>
      </c>
    </row>
    <row r="2701" spans="1:18" x14ac:dyDescent="0.25">
      <c r="A2701" s="60" t="s">
        <v>17</v>
      </c>
      <c r="B2701" s="61" t="s">
        <v>23</v>
      </c>
      <c r="C2701" s="62" t="s">
        <v>19</v>
      </c>
      <c r="D2701" s="63">
        <v>246.98907857615006</v>
      </c>
      <c r="E2701" s="79">
        <v>1334849</v>
      </c>
      <c r="F2701" s="80">
        <v>1305091.1875</v>
      </c>
      <c r="G2701" s="66">
        <v>2784.7414162343593</v>
      </c>
      <c r="H2701" s="67">
        <v>1</v>
      </c>
      <c r="I2701" s="68" t="s">
        <v>20</v>
      </c>
      <c r="J2701" s="69">
        <v>40</v>
      </c>
      <c r="K2701" s="70">
        <v>1</v>
      </c>
      <c r="L2701" s="68">
        <v>1</v>
      </c>
      <c r="M2701" s="68">
        <f>_xlfn.XLOOKUP(Survey!$F2701,sections[Start],sections[Test Section],,-1,1)</f>
        <v>8</v>
      </c>
      <c r="N2701" s="55">
        <f>_xlfn.XLOOKUP(Survey!$K2701,pipedata[ID],pipedata[WT])</f>
        <v>0.61699999999999999</v>
      </c>
      <c r="O2701" s="56">
        <f>_xlfn.XLOOKUP(Survey!$K2701,pipedata[ID],pipedata[104%])</f>
        <v>2138.9333333333334</v>
      </c>
      <c r="P2701" s="57">
        <f t="shared" si="42"/>
        <v>1850</v>
      </c>
      <c r="Q2701" s="58">
        <f>_xlfn.MAXIFS(Survey!$G$2:$G$3647,Survey!$M$2:$M$3647,Survey!$M2701)-Survey!$G2701</f>
        <v>402.96807658351054</v>
      </c>
      <c r="R2701" s="59">
        <f>Survey!$P2701+(Survey!$Q2701*0.433)</f>
        <v>2024.48517716066</v>
      </c>
    </row>
    <row r="2702" spans="1:18" x14ac:dyDescent="0.25">
      <c r="A2702" s="71" t="s">
        <v>17</v>
      </c>
      <c r="B2702" s="72" t="s">
        <v>23</v>
      </c>
      <c r="C2702" s="73" t="s">
        <v>19</v>
      </c>
      <c r="D2702" s="74">
        <v>246.99641028881814</v>
      </c>
      <c r="E2702" s="81">
        <v>1334889</v>
      </c>
      <c r="F2702" s="82">
        <v>1305129.625</v>
      </c>
      <c r="G2702" s="75">
        <v>2792.3316570452603</v>
      </c>
      <c r="H2702" s="76">
        <v>1</v>
      </c>
      <c r="I2702" s="54" t="s">
        <v>20</v>
      </c>
      <c r="J2702" s="77">
        <v>40</v>
      </c>
      <c r="K2702" s="78">
        <v>1</v>
      </c>
      <c r="L2702" s="54">
        <v>1</v>
      </c>
      <c r="M2702" s="54">
        <f>_xlfn.XLOOKUP(Survey!$F2702,sections[Start],sections[Test Section],,-1,1)</f>
        <v>8</v>
      </c>
      <c r="N2702" s="55">
        <f>_xlfn.XLOOKUP(Survey!$K2702,pipedata[ID],pipedata[WT])</f>
        <v>0.61699999999999999</v>
      </c>
      <c r="O2702" s="56">
        <f>_xlfn.XLOOKUP(Survey!$K2702,pipedata[ID],pipedata[104%])</f>
        <v>2138.9333333333334</v>
      </c>
      <c r="P2702" s="57">
        <f t="shared" si="42"/>
        <v>1850</v>
      </c>
      <c r="Q2702" s="58">
        <f>_xlfn.MAXIFS(Survey!$G$2:$G$3647,Survey!$M$2:$M$3647,Survey!$M2702)-Survey!$G2702</f>
        <v>395.37783577260961</v>
      </c>
      <c r="R2702" s="59">
        <f>Survey!$P2702+(Survey!$Q2702*0.433)</f>
        <v>2021.1986028895399</v>
      </c>
    </row>
    <row r="2703" spans="1:18" x14ac:dyDescent="0.25">
      <c r="A2703" s="60" t="s">
        <v>17</v>
      </c>
      <c r="B2703" s="61" t="s">
        <v>23</v>
      </c>
      <c r="C2703" s="62" t="s">
        <v>19</v>
      </c>
      <c r="D2703" s="63">
        <v>247.00399522689196</v>
      </c>
      <c r="E2703" s="79">
        <v>1334929</v>
      </c>
      <c r="F2703" s="80">
        <v>1305168.0625</v>
      </c>
      <c r="G2703" s="66">
        <v>2797.5394062632317</v>
      </c>
      <c r="H2703" s="67">
        <v>1</v>
      </c>
      <c r="I2703" s="68" t="s">
        <v>20</v>
      </c>
      <c r="J2703" s="69">
        <v>40</v>
      </c>
      <c r="K2703" s="70">
        <v>1</v>
      </c>
      <c r="L2703" s="68">
        <v>1</v>
      </c>
      <c r="M2703" s="68">
        <f>_xlfn.XLOOKUP(Survey!$F2703,sections[Start],sections[Test Section],,-1,1)</f>
        <v>8</v>
      </c>
      <c r="N2703" s="55">
        <f>_xlfn.XLOOKUP(Survey!$K2703,pipedata[ID],pipedata[WT])</f>
        <v>0.61699999999999999</v>
      </c>
      <c r="O2703" s="56">
        <f>_xlfn.XLOOKUP(Survey!$K2703,pipedata[ID],pipedata[104%])</f>
        <v>2138.9333333333334</v>
      </c>
      <c r="P2703" s="57">
        <f t="shared" si="42"/>
        <v>1850</v>
      </c>
      <c r="Q2703" s="58">
        <f>_xlfn.MAXIFS(Survey!$G$2:$G$3647,Survey!$M$2:$M$3647,Survey!$M2703)-Survey!$G2703</f>
        <v>390.17008655463815</v>
      </c>
      <c r="R2703" s="59">
        <f>Survey!$P2703+(Survey!$Q2703*0.433)</f>
        <v>2018.9436474781583</v>
      </c>
    </row>
    <row r="2704" spans="1:18" x14ac:dyDescent="0.25">
      <c r="A2704" s="71" t="s">
        <v>17</v>
      </c>
      <c r="B2704" s="72" t="s">
        <v>23</v>
      </c>
      <c r="C2704" s="73" t="s">
        <v>19</v>
      </c>
      <c r="D2704" s="74">
        <v>247.01158016496572</v>
      </c>
      <c r="E2704" s="81">
        <v>1334969</v>
      </c>
      <c r="F2704" s="82">
        <v>1305206.5</v>
      </c>
      <c r="G2704" s="75">
        <v>2804.1089381288771</v>
      </c>
      <c r="H2704" s="76">
        <v>1</v>
      </c>
      <c r="I2704" s="54" t="s">
        <v>20</v>
      </c>
      <c r="J2704" s="77">
        <v>40</v>
      </c>
      <c r="K2704" s="78">
        <v>1</v>
      </c>
      <c r="L2704" s="54">
        <v>1</v>
      </c>
      <c r="M2704" s="54">
        <f>_xlfn.XLOOKUP(Survey!$F2704,sections[Start],sections[Test Section],,-1,1)</f>
        <v>8</v>
      </c>
      <c r="N2704" s="55">
        <f>_xlfn.XLOOKUP(Survey!$K2704,pipedata[ID],pipedata[WT])</f>
        <v>0.61699999999999999</v>
      </c>
      <c r="O2704" s="56">
        <f>_xlfn.XLOOKUP(Survey!$K2704,pipedata[ID],pipedata[104%])</f>
        <v>2138.9333333333334</v>
      </c>
      <c r="P2704" s="57">
        <f t="shared" si="42"/>
        <v>1850</v>
      </c>
      <c r="Q2704" s="58">
        <f>_xlfn.MAXIFS(Survey!$G$2:$G$3647,Survey!$M$2:$M$3647,Survey!$M2704)-Survey!$G2704</f>
        <v>383.60055468899282</v>
      </c>
      <c r="R2704" s="59">
        <f>Survey!$P2704+(Survey!$Q2704*0.433)</f>
        <v>2016.099040180334</v>
      </c>
    </row>
    <row r="2705" spans="1:18" x14ac:dyDescent="0.25">
      <c r="A2705" s="60" t="s">
        <v>17</v>
      </c>
      <c r="B2705" s="61" t="s">
        <v>23</v>
      </c>
      <c r="C2705" s="62" t="s">
        <v>19</v>
      </c>
      <c r="D2705" s="63">
        <v>247.01916510303954</v>
      </c>
      <c r="E2705" s="79">
        <v>1335009</v>
      </c>
      <c r="F2705" s="80">
        <v>1305244.9375</v>
      </c>
      <c r="G2705" s="66">
        <v>2808.7237499389516</v>
      </c>
      <c r="H2705" s="67">
        <v>1</v>
      </c>
      <c r="I2705" s="68" t="s">
        <v>20</v>
      </c>
      <c r="J2705" s="69">
        <v>40</v>
      </c>
      <c r="K2705" s="70">
        <v>1</v>
      </c>
      <c r="L2705" s="68">
        <v>1</v>
      </c>
      <c r="M2705" s="68">
        <f>_xlfn.XLOOKUP(Survey!$F2705,sections[Start],sections[Test Section],,-1,1)</f>
        <v>8</v>
      </c>
      <c r="N2705" s="55">
        <f>_xlfn.XLOOKUP(Survey!$K2705,pipedata[ID],pipedata[WT])</f>
        <v>0.61699999999999999</v>
      </c>
      <c r="O2705" s="56">
        <f>_xlfn.XLOOKUP(Survey!$K2705,pipedata[ID],pipedata[104%])</f>
        <v>2138.9333333333334</v>
      </c>
      <c r="P2705" s="57">
        <f t="shared" si="42"/>
        <v>1850</v>
      </c>
      <c r="Q2705" s="58">
        <f>_xlfn.MAXIFS(Survey!$G$2:$G$3647,Survey!$M$2:$M$3647,Survey!$M2705)-Survey!$G2705</f>
        <v>378.98574287891824</v>
      </c>
      <c r="R2705" s="59">
        <f>Survey!$P2705+(Survey!$Q2705*0.433)</f>
        <v>2014.1008266665717</v>
      </c>
    </row>
    <row r="2706" spans="1:18" x14ac:dyDescent="0.25">
      <c r="A2706" s="71" t="s">
        <v>17</v>
      </c>
      <c r="B2706" s="72" t="s">
        <v>23</v>
      </c>
      <c r="C2706" s="73" t="s">
        <v>19</v>
      </c>
      <c r="D2706" s="74">
        <v>247.02625112036242</v>
      </c>
      <c r="E2706" s="81">
        <v>1335049</v>
      </c>
      <c r="F2706" s="82">
        <v>1305283.375</v>
      </c>
      <c r="G2706" s="75">
        <v>2810.1547575939994</v>
      </c>
      <c r="H2706" s="76">
        <v>1</v>
      </c>
      <c r="I2706" s="54" t="s">
        <v>20</v>
      </c>
      <c r="J2706" s="77">
        <v>40</v>
      </c>
      <c r="K2706" s="78">
        <v>1</v>
      </c>
      <c r="L2706" s="54">
        <v>1</v>
      </c>
      <c r="M2706" s="54">
        <f>_xlfn.XLOOKUP(Survey!$F2706,sections[Start],sections[Test Section],,-1,1)</f>
        <v>8</v>
      </c>
      <c r="N2706" s="55">
        <f>_xlfn.XLOOKUP(Survey!$K2706,pipedata[ID],pipedata[WT])</f>
        <v>0.61699999999999999</v>
      </c>
      <c r="O2706" s="56">
        <f>_xlfn.XLOOKUP(Survey!$K2706,pipedata[ID],pipedata[104%])</f>
        <v>2138.9333333333334</v>
      </c>
      <c r="P2706" s="57">
        <f t="shared" si="42"/>
        <v>1850</v>
      </c>
      <c r="Q2706" s="58">
        <f>_xlfn.MAXIFS(Survey!$G$2:$G$3647,Survey!$M$2:$M$3647,Survey!$M2706)-Survey!$G2706</f>
        <v>377.55473522387047</v>
      </c>
      <c r="R2706" s="59">
        <f>Survey!$P2706+(Survey!$Q2706*0.433)</f>
        <v>2013.481200351936</v>
      </c>
    </row>
    <row r="2707" spans="1:18" x14ac:dyDescent="0.25">
      <c r="A2707" s="60" t="s">
        <v>17</v>
      </c>
      <c r="B2707" s="61" t="s">
        <v>23</v>
      </c>
      <c r="C2707" s="62" t="s">
        <v>19</v>
      </c>
      <c r="D2707" s="63">
        <v>247.03370321874311</v>
      </c>
      <c r="E2707" s="79">
        <v>1335089</v>
      </c>
      <c r="F2707" s="80">
        <v>1305321.8125</v>
      </c>
      <c r="G2707" s="66">
        <v>2809.23962625283</v>
      </c>
      <c r="H2707" s="67">
        <v>1</v>
      </c>
      <c r="I2707" s="68" t="s">
        <v>20</v>
      </c>
      <c r="J2707" s="69">
        <v>40</v>
      </c>
      <c r="K2707" s="70">
        <v>1</v>
      </c>
      <c r="L2707" s="68">
        <v>1</v>
      </c>
      <c r="M2707" s="68">
        <f>_xlfn.XLOOKUP(Survey!$F2707,sections[Start],sections[Test Section],,-1,1)</f>
        <v>8</v>
      </c>
      <c r="N2707" s="55">
        <f>_xlfn.XLOOKUP(Survey!$K2707,pipedata[ID],pipedata[WT])</f>
        <v>0.61699999999999999</v>
      </c>
      <c r="O2707" s="56">
        <f>_xlfn.XLOOKUP(Survey!$K2707,pipedata[ID],pipedata[104%])</f>
        <v>2138.9333333333334</v>
      </c>
      <c r="P2707" s="57">
        <f t="shared" si="42"/>
        <v>1850</v>
      </c>
      <c r="Q2707" s="58">
        <f>_xlfn.MAXIFS(Survey!$G$2:$G$3647,Survey!$M$2:$M$3647,Survey!$M2707)-Survey!$G2707</f>
        <v>378.46986656503987</v>
      </c>
      <c r="R2707" s="59">
        <f>Survey!$P2707+(Survey!$Q2707*0.433)</f>
        <v>2013.8774522226622</v>
      </c>
    </row>
    <row r="2708" spans="1:18" x14ac:dyDescent="0.25">
      <c r="A2708" s="71" t="s">
        <v>17</v>
      </c>
      <c r="B2708" s="72" t="s">
        <v>23</v>
      </c>
      <c r="C2708" s="73" t="s">
        <v>19</v>
      </c>
      <c r="D2708" s="74">
        <v>247.04170655223783</v>
      </c>
      <c r="E2708" s="81">
        <v>1335129</v>
      </c>
      <c r="F2708" s="82">
        <v>1305360.25</v>
      </c>
      <c r="G2708" s="75">
        <v>2807.3020373255854</v>
      </c>
      <c r="H2708" s="76">
        <v>1</v>
      </c>
      <c r="I2708" s="54" t="s">
        <v>20</v>
      </c>
      <c r="J2708" s="77">
        <v>40</v>
      </c>
      <c r="K2708" s="78">
        <v>1</v>
      </c>
      <c r="L2708" s="54">
        <v>1</v>
      </c>
      <c r="M2708" s="54">
        <f>_xlfn.XLOOKUP(Survey!$F2708,sections[Start],sections[Test Section],,-1,1)</f>
        <v>8</v>
      </c>
      <c r="N2708" s="55">
        <f>_xlfn.XLOOKUP(Survey!$K2708,pipedata[ID],pipedata[WT])</f>
        <v>0.61699999999999999</v>
      </c>
      <c r="O2708" s="56">
        <f>_xlfn.XLOOKUP(Survey!$K2708,pipedata[ID],pipedata[104%])</f>
        <v>2138.9333333333334</v>
      </c>
      <c r="P2708" s="57">
        <f t="shared" si="42"/>
        <v>1850</v>
      </c>
      <c r="Q2708" s="58">
        <f>_xlfn.MAXIFS(Survey!$G$2:$G$3647,Survey!$M$2:$M$3647,Survey!$M2708)-Survey!$G2708</f>
        <v>380.4074554922845</v>
      </c>
      <c r="R2708" s="59">
        <f>Survey!$P2708+(Survey!$Q2708*0.433)</f>
        <v>2014.7164282281592</v>
      </c>
    </row>
    <row r="2709" spans="1:18" x14ac:dyDescent="0.25">
      <c r="A2709" s="60" t="s">
        <v>17</v>
      </c>
      <c r="B2709" s="61" t="s">
        <v>23</v>
      </c>
      <c r="C2709" s="62" t="s">
        <v>19</v>
      </c>
      <c r="D2709" s="63">
        <v>247.04812777327791</v>
      </c>
      <c r="E2709" s="79">
        <v>1335169</v>
      </c>
      <c r="F2709" s="80">
        <v>1305398.6875</v>
      </c>
      <c r="G2709" s="66">
        <v>2804.1955315446776</v>
      </c>
      <c r="H2709" s="67">
        <v>1</v>
      </c>
      <c r="I2709" s="68" t="s">
        <v>20</v>
      </c>
      <c r="J2709" s="69">
        <v>40</v>
      </c>
      <c r="K2709" s="70">
        <v>1</v>
      </c>
      <c r="L2709" s="68">
        <v>1</v>
      </c>
      <c r="M2709" s="68">
        <f>_xlfn.XLOOKUP(Survey!$F2709,sections[Start],sections[Test Section],,-1,1)</f>
        <v>8</v>
      </c>
      <c r="N2709" s="55">
        <f>_xlfn.XLOOKUP(Survey!$K2709,pipedata[ID],pipedata[WT])</f>
        <v>0.61699999999999999</v>
      </c>
      <c r="O2709" s="56">
        <f>_xlfn.XLOOKUP(Survey!$K2709,pipedata[ID],pipedata[104%])</f>
        <v>2138.9333333333334</v>
      </c>
      <c r="P2709" s="57">
        <f t="shared" si="42"/>
        <v>1850</v>
      </c>
      <c r="Q2709" s="58">
        <f>_xlfn.MAXIFS(Survey!$G$2:$G$3647,Survey!$M$2:$M$3647,Survey!$M2709)-Survey!$G2709</f>
        <v>383.51396127319231</v>
      </c>
      <c r="R2709" s="59">
        <f>Survey!$P2709+(Survey!$Q2709*0.433)</f>
        <v>2016.0615452312923</v>
      </c>
    </row>
    <row r="2710" spans="1:18" x14ac:dyDescent="0.25">
      <c r="A2710" s="71" t="s">
        <v>17</v>
      </c>
      <c r="B2710" s="72" t="s">
        <v>23</v>
      </c>
      <c r="C2710" s="73" t="s">
        <v>19</v>
      </c>
      <c r="D2710" s="74">
        <v>247.05642684681069</v>
      </c>
      <c r="E2710" s="81">
        <v>1335209</v>
      </c>
      <c r="F2710" s="82">
        <v>1305437.125</v>
      </c>
      <c r="G2710" s="75">
        <v>2798.4425211776233</v>
      </c>
      <c r="H2710" s="76">
        <v>1</v>
      </c>
      <c r="I2710" s="54" t="s">
        <v>20</v>
      </c>
      <c r="J2710" s="77">
        <v>40</v>
      </c>
      <c r="K2710" s="78">
        <v>1</v>
      </c>
      <c r="L2710" s="54">
        <v>1</v>
      </c>
      <c r="M2710" s="54">
        <f>_xlfn.XLOOKUP(Survey!$F2710,sections[Start],sections[Test Section],,-1,1)</f>
        <v>8</v>
      </c>
      <c r="N2710" s="55">
        <f>_xlfn.XLOOKUP(Survey!$K2710,pipedata[ID],pipedata[WT])</f>
        <v>0.61699999999999999</v>
      </c>
      <c r="O2710" s="56">
        <f>_xlfn.XLOOKUP(Survey!$K2710,pipedata[ID],pipedata[104%])</f>
        <v>2138.9333333333334</v>
      </c>
      <c r="P2710" s="57">
        <f t="shared" si="42"/>
        <v>1850</v>
      </c>
      <c r="Q2710" s="58">
        <f>_xlfn.MAXIFS(Survey!$G$2:$G$3647,Survey!$M$2:$M$3647,Survey!$M2710)-Survey!$G2710</f>
        <v>389.26697164024654</v>
      </c>
      <c r="R2710" s="59">
        <f>Survey!$P2710+(Survey!$Q2710*0.433)</f>
        <v>2018.5525987202268</v>
      </c>
    </row>
    <row r="2711" spans="1:18" x14ac:dyDescent="0.25">
      <c r="A2711" s="60" t="s">
        <v>17</v>
      </c>
      <c r="B2711" s="61" t="s">
        <v>23</v>
      </c>
      <c r="C2711" s="62" t="s">
        <v>19</v>
      </c>
      <c r="D2711" s="63">
        <v>247.06361406885651</v>
      </c>
      <c r="E2711" s="79">
        <v>1335249</v>
      </c>
      <c r="F2711" s="80">
        <v>1305475.5625</v>
      </c>
      <c r="G2711" s="66">
        <v>2794.3031237383721</v>
      </c>
      <c r="H2711" s="67">
        <v>1</v>
      </c>
      <c r="I2711" s="68" t="s">
        <v>20</v>
      </c>
      <c r="J2711" s="69">
        <v>40</v>
      </c>
      <c r="K2711" s="70">
        <v>1</v>
      </c>
      <c r="L2711" s="68">
        <v>1</v>
      </c>
      <c r="M2711" s="68">
        <f>_xlfn.XLOOKUP(Survey!$F2711,sections[Start],sections[Test Section],,-1,1)</f>
        <v>8</v>
      </c>
      <c r="N2711" s="55">
        <f>_xlfn.XLOOKUP(Survey!$K2711,pipedata[ID],pipedata[WT])</f>
        <v>0.61699999999999999</v>
      </c>
      <c r="O2711" s="56">
        <f>_xlfn.XLOOKUP(Survey!$K2711,pipedata[ID],pipedata[104%])</f>
        <v>2138.9333333333334</v>
      </c>
      <c r="P2711" s="57">
        <f t="shared" si="42"/>
        <v>1850</v>
      </c>
      <c r="Q2711" s="58">
        <f>_xlfn.MAXIFS(Survey!$G$2:$G$3647,Survey!$M$2:$M$3647,Survey!$M2711)-Survey!$G2711</f>
        <v>393.40636907949784</v>
      </c>
      <c r="R2711" s="59">
        <f>Survey!$P2711+(Survey!$Q2711*0.433)</f>
        <v>2020.3449578114225</v>
      </c>
    </row>
    <row r="2712" spans="1:18" x14ac:dyDescent="0.25">
      <c r="A2712" s="71" t="s">
        <v>17</v>
      </c>
      <c r="B2712" s="72" t="s">
        <v>23</v>
      </c>
      <c r="C2712" s="73" t="s">
        <v>19</v>
      </c>
      <c r="D2712" s="74">
        <v>247.07183750311384</v>
      </c>
      <c r="E2712" s="81">
        <v>1335289</v>
      </c>
      <c r="F2712" s="82">
        <v>1305514</v>
      </c>
      <c r="G2712" s="75">
        <v>2789.8449473918695</v>
      </c>
      <c r="H2712" s="76">
        <v>1</v>
      </c>
      <c r="I2712" s="54" t="s">
        <v>20</v>
      </c>
      <c r="J2712" s="77">
        <v>40</v>
      </c>
      <c r="K2712" s="78">
        <v>1</v>
      </c>
      <c r="L2712" s="54">
        <v>1</v>
      </c>
      <c r="M2712" s="54">
        <f>_xlfn.XLOOKUP(Survey!$F2712,sections[Start],sections[Test Section],,-1,1)</f>
        <v>8</v>
      </c>
      <c r="N2712" s="55">
        <f>_xlfn.XLOOKUP(Survey!$K2712,pipedata[ID],pipedata[WT])</f>
        <v>0.61699999999999999</v>
      </c>
      <c r="O2712" s="56">
        <f>_xlfn.XLOOKUP(Survey!$K2712,pipedata[ID],pipedata[104%])</f>
        <v>2138.9333333333334</v>
      </c>
      <c r="P2712" s="57">
        <f t="shared" si="42"/>
        <v>1850</v>
      </c>
      <c r="Q2712" s="58">
        <f>_xlfn.MAXIFS(Survey!$G$2:$G$3647,Survey!$M$2:$M$3647,Survey!$M2712)-Survey!$G2712</f>
        <v>397.8645454260004</v>
      </c>
      <c r="R2712" s="59">
        <f>Survey!$P2712+(Survey!$Q2712*0.433)</f>
        <v>2022.2753481694581</v>
      </c>
    </row>
    <row r="2713" spans="1:18" x14ac:dyDescent="0.25">
      <c r="A2713" s="60" t="s">
        <v>17</v>
      </c>
      <c r="B2713" s="61" t="s">
        <v>23</v>
      </c>
      <c r="C2713" s="62" t="s">
        <v>19</v>
      </c>
      <c r="D2713" s="63">
        <v>247.07935068996366</v>
      </c>
      <c r="E2713" s="79">
        <v>1335329</v>
      </c>
      <c r="F2713" s="80">
        <v>1305552.4375</v>
      </c>
      <c r="G2713" s="66">
        <v>2787.6285510396997</v>
      </c>
      <c r="H2713" s="67">
        <v>1</v>
      </c>
      <c r="I2713" s="68" t="s">
        <v>20</v>
      </c>
      <c r="J2713" s="69">
        <v>40</v>
      </c>
      <c r="K2713" s="70">
        <v>1</v>
      </c>
      <c r="L2713" s="68">
        <v>1</v>
      </c>
      <c r="M2713" s="68">
        <f>_xlfn.XLOOKUP(Survey!$F2713,sections[Start],sections[Test Section],,-1,1)</f>
        <v>8</v>
      </c>
      <c r="N2713" s="55">
        <f>_xlfn.XLOOKUP(Survey!$K2713,pipedata[ID],pipedata[WT])</f>
        <v>0.61699999999999999</v>
      </c>
      <c r="O2713" s="56">
        <f>_xlfn.XLOOKUP(Survey!$K2713,pipedata[ID],pipedata[104%])</f>
        <v>2138.9333333333334</v>
      </c>
      <c r="P2713" s="57">
        <f t="shared" si="42"/>
        <v>1850</v>
      </c>
      <c r="Q2713" s="58">
        <f>_xlfn.MAXIFS(Survey!$G$2:$G$3647,Survey!$M$2:$M$3647,Survey!$M2713)-Survey!$G2713</f>
        <v>400.0809417781702</v>
      </c>
      <c r="R2713" s="59">
        <f>Survey!$P2713+(Survey!$Q2713*0.433)</f>
        <v>2023.2350477899477</v>
      </c>
    </row>
    <row r="2714" spans="1:18" x14ac:dyDescent="0.25">
      <c r="A2714" s="71" t="s">
        <v>17</v>
      </c>
      <c r="B2714" s="72" t="s">
        <v>23</v>
      </c>
      <c r="C2714" s="73" t="s">
        <v>19</v>
      </c>
      <c r="D2714" s="74">
        <v>247.08689106951218</v>
      </c>
      <c r="E2714" s="81">
        <v>1335369</v>
      </c>
      <c r="F2714" s="82">
        <v>1305590.875</v>
      </c>
      <c r="G2714" s="75">
        <v>2785.4837008422537</v>
      </c>
      <c r="H2714" s="76">
        <v>1</v>
      </c>
      <c r="I2714" s="54" t="s">
        <v>20</v>
      </c>
      <c r="J2714" s="77">
        <v>40</v>
      </c>
      <c r="K2714" s="78">
        <v>1</v>
      </c>
      <c r="L2714" s="54">
        <v>1</v>
      </c>
      <c r="M2714" s="54">
        <f>_xlfn.XLOOKUP(Survey!$F2714,sections[Start],sections[Test Section],,-1,1)</f>
        <v>8</v>
      </c>
      <c r="N2714" s="55">
        <f>_xlfn.XLOOKUP(Survey!$K2714,pipedata[ID],pipedata[WT])</f>
        <v>0.61699999999999999</v>
      </c>
      <c r="O2714" s="56">
        <f>_xlfn.XLOOKUP(Survey!$K2714,pipedata[ID],pipedata[104%])</f>
        <v>2138.9333333333334</v>
      </c>
      <c r="P2714" s="57">
        <f t="shared" si="42"/>
        <v>1850</v>
      </c>
      <c r="Q2714" s="58">
        <f>_xlfn.MAXIFS(Survey!$G$2:$G$3647,Survey!$M$2:$M$3647,Survey!$M2714)-Survey!$G2714</f>
        <v>402.22579197561618</v>
      </c>
      <c r="R2714" s="59">
        <f>Survey!$P2714+(Survey!$Q2714*0.433)</f>
        <v>2024.1637679254418</v>
      </c>
    </row>
    <row r="2715" spans="1:18" x14ac:dyDescent="0.25">
      <c r="A2715" s="60" t="s">
        <v>17</v>
      </c>
      <c r="B2715" s="61" t="s">
        <v>23</v>
      </c>
      <c r="C2715" s="62" t="s">
        <v>19</v>
      </c>
      <c r="D2715" s="63">
        <v>247.09443144906086</v>
      </c>
      <c r="E2715" s="79">
        <v>1335409</v>
      </c>
      <c r="F2715" s="80">
        <v>1305629.3125</v>
      </c>
      <c r="G2715" s="66">
        <v>2782.0921456485057</v>
      </c>
      <c r="H2715" s="67">
        <v>1</v>
      </c>
      <c r="I2715" s="68" t="s">
        <v>20</v>
      </c>
      <c r="J2715" s="69">
        <v>40</v>
      </c>
      <c r="K2715" s="70">
        <v>1</v>
      </c>
      <c r="L2715" s="68">
        <v>1</v>
      </c>
      <c r="M2715" s="68">
        <f>_xlfn.XLOOKUP(Survey!$F2715,sections[Start],sections[Test Section],,-1,1)</f>
        <v>8</v>
      </c>
      <c r="N2715" s="55">
        <f>_xlfn.XLOOKUP(Survey!$K2715,pipedata[ID],pipedata[WT])</f>
        <v>0.61699999999999999</v>
      </c>
      <c r="O2715" s="56">
        <f>_xlfn.XLOOKUP(Survey!$K2715,pipedata[ID],pipedata[104%])</f>
        <v>2138.9333333333334</v>
      </c>
      <c r="P2715" s="57">
        <f t="shared" si="42"/>
        <v>1850</v>
      </c>
      <c r="Q2715" s="58">
        <f>_xlfn.MAXIFS(Survey!$G$2:$G$3647,Survey!$M$2:$M$3647,Survey!$M2715)-Survey!$G2715</f>
        <v>405.61734716936417</v>
      </c>
      <c r="R2715" s="59">
        <f>Survey!$P2715+(Survey!$Q2715*0.433)</f>
        <v>2025.6323113243348</v>
      </c>
    </row>
    <row r="2716" spans="1:18" x14ac:dyDescent="0.25">
      <c r="A2716" s="71" t="s">
        <v>17</v>
      </c>
      <c r="B2716" s="72" t="s">
        <v>23</v>
      </c>
      <c r="C2716" s="73" t="s">
        <v>19</v>
      </c>
      <c r="D2716" s="74">
        <v>247.10197182860853</v>
      </c>
      <c r="E2716" s="81">
        <v>1335449</v>
      </c>
      <c r="F2716" s="82">
        <v>1305667.75</v>
      </c>
      <c r="G2716" s="75">
        <v>2778.3569397315496</v>
      </c>
      <c r="H2716" s="76">
        <v>1</v>
      </c>
      <c r="I2716" s="54" t="s">
        <v>20</v>
      </c>
      <c r="J2716" s="77">
        <v>40</v>
      </c>
      <c r="K2716" s="78">
        <v>1</v>
      </c>
      <c r="L2716" s="54">
        <v>1</v>
      </c>
      <c r="M2716" s="54">
        <f>_xlfn.XLOOKUP(Survey!$F2716,sections[Start],sections[Test Section],,-1,1)</f>
        <v>8</v>
      </c>
      <c r="N2716" s="55">
        <f>_xlfn.XLOOKUP(Survey!$K2716,pipedata[ID],pipedata[WT])</f>
        <v>0.61699999999999999</v>
      </c>
      <c r="O2716" s="56">
        <f>_xlfn.XLOOKUP(Survey!$K2716,pipedata[ID],pipedata[104%])</f>
        <v>2138.9333333333334</v>
      </c>
      <c r="P2716" s="57">
        <f t="shared" si="42"/>
        <v>1850</v>
      </c>
      <c r="Q2716" s="58">
        <f>_xlfn.MAXIFS(Survey!$G$2:$G$3647,Survey!$M$2:$M$3647,Survey!$M2716)-Survey!$G2716</f>
        <v>409.35255308632031</v>
      </c>
      <c r="R2716" s="59">
        <f>Survey!$P2716+(Survey!$Q2716*0.433)</f>
        <v>2027.2496554863767</v>
      </c>
    </row>
    <row r="2717" spans="1:18" x14ac:dyDescent="0.25">
      <c r="A2717" s="60" t="s">
        <v>17</v>
      </c>
      <c r="B2717" s="61" t="s">
        <v>23</v>
      </c>
      <c r="C2717" s="62" t="s">
        <v>19</v>
      </c>
      <c r="D2717" s="63">
        <v>247.10951220815693</v>
      </c>
      <c r="E2717" s="79">
        <v>1335489</v>
      </c>
      <c r="F2717" s="80">
        <v>1305706.1875</v>
      </c>
      <c r="G2717" s="66">
        <v>2772.4578798162565</v>
      </c>
      <c r="H2717" s="67">
        <v>1</v>
      </c>
      <c r="I2717" s="68" t="s">
        <v>20</v>
      </c>
      <c r="J2717" s="69">
        <v>40</v>
      </c>
      <c r="K2717" s="70">
        <v>1</v>
      </c>
      <c r="L2717" s="68">
        <v>1</v>
      </c>
      <c r="M2717" s="68">
        <f>_xlfn.XLOOKUP(Survey!$F2717,sections[Start],sections[Test Section],,-1,1)</f>
        <v>8</v>
      </c>
      <c r="N2717" s="55">
        <f>_xlfn.XLOOKUP(Survey!$K2717,pipedata[ID],pipedata[WT])</f>
        <v>0.61699999999999999</v>
      </c>
      <c r="O2717" s="56">
        <f>_xlfn.XLOOKUP(Survey!$K2717,pipedata[ID],pipedata[104%])</f>
        <v>2138.9333333333334</v>
      </c>
      <c r="P2717" s="57">
        <f t="shared" si="42"/>
        <v>1850</v>
      </c>
      <c r="Q2717" s="58">
        <f>_xlfn.MAXIFS(Survey!$G$2:$G$3647,Survey!$M$2:$M$3647,Survey!$M2717)-Survey!$G2717</f>
        <v>415.25161300161335</v>
      </c>
      <c r="R2717" s="59">
        <f>Survey!$P2717+(Survey!$Q2717*0.433)</f>
        <v>2029.8039484296985</v>
      </c>
    </row>
    <row r="2718" spans="1:18" x14ac:dyDescent="0.25">
      <c r="A2718" s="71" t="s">
        <v>17</v>
      </c>
      <c r="B2718" s="72" t="s">
        <v>23</v>
      </c>
      <c r="C2718" s="73" t="s">
        <v>19</v>
      </c>
      <c r="D2718" s="74">
        <v>247.11705258770522</v>
      </c>
      <c r="E2718" s="81">
        <v>1335529</v>
      </c>
      <c r="F2718" s="82">
        <v>1305744.625</v>
      </c>
      <c r="G2718" s="75">
        <v>2768.4094863630371</v>
      </c>
      <c r="H2718" s="76">
        <v>1</v>
      </c>
      <c r="I2718" s="54" t="s">
        <v>20</v>
      </c>
      <c r="J2718" s="77">
        <v>40</v>
      </c>
      <c r="K2718" s="78">
        <v>1</v>
      </c>
      <c r="L2718" s="54">
        <v>1</v>
      </c>
      <c r="M2718" s="54">
        <f>_xlfn.XLOOKUP(Survey!$F2718,sections[Start],sections[Test Section],,-1,1)</f>
        <v>8</v>
      </c>
      <c r="N2718" s="55">
        <f>_xlfn.XLOOKUP(Survey!$K2718,pipedata[ID],pipedata[WT])</f>
        <v>0.61699999999999999</v>
      </c>
      <c r="O2718" s="56">
        <f>_xlfn.XLOOKUP(Survey!$K2718,pipedata[ID],pipedata[104%])</f>
        <v>2138.9333333333334</v>
      </c>
      <c r="P2718" s="57">
        <f t="shared" si="42"/>
        <v>1850</v>
      </c>
      <c r="Q2718" s="58">
        <f>_xlfn.MAXIFS(Survey!$G$2:$G$3647,Survey!$M$2:$M$3647,Survey!$M2718)-Survey!$G2718</f>
        <v>419.30000645483278</v>
      </c>
      <c r="R2718" s="59">
        <f>Survey!$P2718+(Survey!$Q2718*0.433)</f>
        <v>2031.5569027949425</v>
      </c>
    </row>
    <row r="2719" spans="1:18" x14ac:dyDescent="0.25">
      <c r="A2719" s="60" t="s">
        <v>17</v>
      </c>
      <c r="B2719" s="61" t="s">
        <v>23</v>
      </c>
      <c r="C2719" s="62" t="s">
        <v>19</v>
      </c>
      <c r="D2719" s="63">
        <v>247.12483470798364</v>
      </c>
      <c r="E2719" s="79">
        <v>1335569</v>
      </c>
      <c r="F2719" s="80">
        <v>1305783.0625</v>
      </c>
      <c r="G2719" s="66">
        <v>2762.5144855198077</v>
      </c>
      <c r="H2719" s="67">
        <v>1</v>
      </c>
      <c r="I2719" s="68" t="s">
        <v>20</v>
      </c>
      <c r="J2719" s="69">
        <v>40</v>
      </c>
      <c r="K2719" s="70">
        <v>1</v>
      </c>
      <c r="L2719" s="68">
        <v>1</v>
      </c>
      <c r="M2719" s="68">
        <f>_xlfn.XLOOKUP(Survey!$F2719,sections[Start],sections[Test Section],,-1,1)</f>
        <v>8</v>
      </c>
      <c r="N2719" s="55">
        <f>_xlfn.XLOOKUP(Survey!$K2719,pipedata[ID],pipedata[WT])</f>
        <v>0.61699999999999999</v>
      </c>
      <c r="O2719" s="56">
        <f>_xlfn.XLOOKUP(Survey!$K2719,pipedata[ID],pipedata[104%])</f>
        <v>2138.9333333333334</v>
      </c>
      <c r="P2719" s="57">
        <f t="shared" si="42"/>
        <v>1850</v>
      </c>
      <c r="Q2719" s="58">
        <f>_xlfn.MAXIFS(Survey!$G$2:$G$3647,Survey!$M$2:$M$3647,Survey!$M2719)-Survey!$G2719</f>
        <v>425.19500729806214</v>
      </c>
      <c r="R2719" s="59">
        <f>Survey!$P2719+(Survey!$Q2719*0.433)</f>
        <v>2034.109438160061</v>
      </c>
    </row>
    <row r="2720" spans="1:18" x14ac:dyDescent="0.25">
      <c r="A2720" s="71" t="s">
        <v>17</v>
      </c>
      <c r="B2720" s="72" t="s">
        <v>23</v>
      </c>
      <c r="C2720" s="73" t="s">
        <v>19</v>
      </c>
      <c r="D2720" s="74">
        <v>247.13142968173369</v>
      </c>
      <c r="E2720" s="81">
        <v>1335609</v>
      </c>
      <c r="F2720" s="82">
        <v>1305821.5</v>
      </c>
      <c r="G2720" s="75">
        <v>2757.750168170086</v>
      </c>
      <c r="H2720" s="76">
        <v>1</v>
      </c>
      <c r="I2720" s="54" t="s">
        <v>20</v>
      </c>
      <c r="J2720" s="77">
        <v>40</v>
      </c>
      <c r="K2720" s="78">
        <v>1</v>
      </c>
      <c r="L2720" s="54">
        <v>1</v>
      </c>
      <c r="M2720" s="54">
        <f>_xlfn.XLOOKUP(Survey!$F2720,sections[Start],sections[Test Section],,-1,1)</f>
        <v>8</v>
      </c>
      <c r="N2720" s="55">
        <f>_xlfn.XLOOKUP(Survey!$K2720,pipedata[ID],pipedata[WT])</f>
        <v>0.61699999999999999</v>
      </c>
      <c r="O2720" s="56">
        <f>_xlfn.XLOOKUP(Survey!$K2720,pipedata[ID],pipedata[104%])</f>
        <v>2138.9333333333334</v>
      </c>
      <c r="P2720" s="57">
        <f t="shared" si="42"/>
        <v>1850</v>
      </c>
      <c r="Q2720" s="58">
        <f>_xlfn.MAXIFS(Survey!$G$2:$G$3647,Survey!$M$2:$M$3647,Survey!$M2720)-Survey!$G2720</f>
        <v>429.95932464778389</v>
      </c>
      <c r="R2720" s="59">
        <f>Survey!$P2720+(Survey!$Q2720*0.433)</f>
        <v>2036.1723875724904</v>
      </c>
    </row>
    <row r="2721" spans="1:18" x14ac:dyDescent="0.25">
      <c r="A2721" s="60" t="s">
        <v>17</v>
      </c>
      <c r="B2721" s="61" t="s">
        <v>23</v>
      </c>
      <c r="C2721" s="62" t="s">
        <v>19</v>
      </c>
      <c r="D2721" s="63">
        <v>247.13928748625568</v>
      </c>
      <c r="E2721" s="79">
        <v>1335649</v>
      </c>
      <c r="F2721" s="80">
        <v>1305859.9375</v>
      </c>
      <c r="G2721" s="66">
        <v>2750.0373970698006</v>
      </c>
      <c r="H2721" s="67">
        <v>1</v>
      </c>
      <c r="I2721" s="68" t="s">
        <v>20</v>
      </c>
      <c r="J2721" s="69">
        <v>40</v>
      </c>
      <c r="K2721" s="70">
        <v>1</v>
      </c>
      <c r="L2721" s="68">
        <v>1</v>
      </c>
      <c r="M2721" s="68">
        <f>_xlfn.XLOOKUP(Survey!$F2721,sections[Start],sections[Test Section],,-1,1)</f>
        <v>8</v>
      </c>
      <c r="N2721" s="55">
        <f>_xlfn.XLOOKUP(Survey!$K2721,pipedata[ID],pipedata[WT])</f>
        <v>0.61699999999999999</v>
      </c>
      <c r="O2721" s="56">
        <f>_xlfn.XLOOKUP(Survey!$K2721,pipedata[ID],pipedata[104%])</f>
        <v>2138.9333333333334</v>
      </c>
      <c r="P2721" s="57">
        <f t="shared" si="42"/>
        <v>1850</v>
      </c>
      <c r="Q2721" s="58">
        <f>_xlfn.MAXIFS(Survey!$G$2:$G$3647,Survey!$M$2:$M$3647,Survey!$M2721)-Survey!$G2721</f>
        <v>437.6720957480693</v>
      </c>
      <c r="R2721" s="59">
        <f>Survey!$P2721+(Survey!$Q2721*0.433)</f>
        <v>2039.512017458914</v>
      </c>
    </row>
    <row r="2722" spans="1:18" x14ac:dyDescent="0.25">
      <c r="A2722" s="71" t="s">
        <v>17</v>
      </c>
      <c r="B2722" s="72" t="s">
        <v>23</v>
      </c>
      <c r="C2722" s="73" t="s">
        <v>19</v>
      </c>
      <c r="D2722" s="74">
        <v>247.14676911619</v>
      </c>
      <c r="E2722" s="81">
        <v>1335689</v>
      </c>
      <c r="F2722" s="82">
        <v>1305898.375</v>
      </c>
      <c r="G2722" s="75">
        <v>2739.9307794295078</v>
      </c>
      <c r="H2722" s="76">
        <v>1</v>
      </c>
      <c r="I2722" s="54" t="s">
        <v>20</v>
      </c>
      <c r="J2722" s="77">
        <v>40</v>
      </c>
      <c r="K2722" s="78">
        <v>1</v>
      </c>
      <c r="L2722" s="54">
        <v>1</v>
      </c>
      <c r="M2722" s="54">
        <f>_xlfn.XLOOKUP(Survey!$F2722,sections[Start],sections[Test Section],,-1,1)</f>
        <v>8</v>
      </c>
      <c r="N2722" s="55">
        <f>_xlfn.XLOOKUP(Survey!$K2722,pipedata[ID],pipedata[WT])</f>
        <v>0.61699999999999999</v>
      </c>
      <c r="O2722" s="56">
        <f>_xlfn.XLOOKUP(Survey!$K2722,pipedata[ID],pipedata[104%])</f>
        <v>2138.9333333333334</v>
      </c>
      <c r="P2722" s="57">
        <f t="shared" si="42"/>
        <v>1850</v>
      </c>
      <c r="Q2722" s="58">
        <f>_xlfn.MAXIFS(Survey!$G$2:$G$3647,Survey!$M$2:$M$3647,Survey!$M2722)-Survey!$G2722</f>
        <v>447.77871338836212</v>
      </c>
      <c r="R2722" s="59">
        <f>Survey!$P2722+(Survey!$Q2722*0.433)</f>
        <v>2043.8881828971607</v>
      </c>
    </row>
    <row r="2723" spans="1:18" x14ac:dyDescent="0.25">
      <c r="A2723" s="60" t="s">
        <v>17</v>
      </c>
      <c r="B2723" s="61" t="s">
        <v>23</v>
      </c>
      <c r="C2723" s="62" t="s">
        <v>19</v>
      </c>
      <c r="D2723" s="63">
        <v>247.15238382712559</v>
      </c>
      <c r="E2723" s="79">
        <v>1335729</v>
      </c>
      <c r="F2723" s="80">
        <v>1305936.8125</v>
      </c>
      <c r="G2723" s="66">
        <v>2731.2325892283175</v>
      </c>
      <c r="H2723" s="67">
        <v>1</v>
      </c>
      <c r="I2723" s="68" t="s">
        <v>20</v>
      </c>
      <c r="J2723" s="69">
        <v>40</v>
      </c>
      <c r="K2723" s="70">
        <v>1</v>
      </c>
      <c r="L2723" s="68">
        <v>1</v>
      </c>
      <c r="M2723" s="68">
        <f>_xlfn.XLOOKUP(Survey!$F2723,sections[Start],sections[Test Section],,-1,1)</f>
        <v>8</v>
      </c>
      <c r="N2723" s="55">
        <f>_xlfn.XLOOKUP(Survey!$K2723,pipedata[ID],pipedata[WT])</f>
        <v>0.61699999999999999</v>
      </c>
      <c r="O2723" s="56">
        <f>_xlfn.XLOOKUP(Survey!$K2723,pipedata[ID],pipedata[104%])</f>
        <v>2138.9333333333334</v>
      </c>
      <c r="P2723" s="57">
        <f t="shared" si="42"/>
        <v>1850</v>
      </c>
      <c r="Q2723" s="58">
        <f>_xlfn.MAXIFS(Survey!$G$2:$G$3647,Survey!$M$2:$M$3647,Survey!$M2723)-Survey!$G2723</f>
        <v>456.47690358955242</v>
      </c>
      <c r="R2723" s="59">
        <f>Survey!$P2723+(Survey!$Q2723*0.433)</f>
        <v>2047.6544992542763</v>
      </c>
    </row>
    <row r="2724" spans="1:18" x14ac:dyDescent="0.25">
      <c r="A2724" s="71" t="s">
        <v>17</v>
      </c>
      <c r="B2724" s="72" t="s">
        <v>23</v>
      </c>
      <c r="C2724" s="73" t="s">
        <v>19</v>
      </c>
      <c r="D2724" s="74">
        <v>247.16049735063737</v>
      </c>
      <c r="E2724" s="81">
        <v>1335769</v>
      </c>
      <c r="F2724" s="82">
        <v>1305975.25</v>
      </c>
      <c r="G2724" s="75">
        <v>2717.3908480892133</v>
      </c>
      <c r="H2724" s="76">
        <v>1</v>
      </c>
      <c r="I2724" s="54" t="s">
        <v>20</v>
      </c>
      <c r="J2724" s="77">
        <v>40</v>
      </c>
      <c r="K2724" s="78">
        <v>1</v>
      </c>
      <c r="L2724" s="54">
        <v>1</v>
      </c>
      <c r="M2724" s="54">
        <f>_xlfn.XLOOKUP(Survey!$F2724,sections[Start],sections[Test Section],,-1,1)</f>
        <v>8</v>
      </c>
      <c r="N2724" s="55">
        <f>_xlfn.XLOOKUP(Survey!$K2724,pipedata[ID],pipedata[WT])</f>
        <v>0.61699999999999999</v>
      </c>
      <c r="O2724" s="56">
        <f>_xlfn.XLOOKUP(Survey!$K2724,pipedata[ID],pipedata[104%])</f>
        <v>2138.9333333333334</v>
      </c>
      <c r="P2724" s="57">
        <f t="shared" si="42"/>
        <v>1850</v>
      </c>
      <c r="Q2724" s="58">
        <f>_xlfn.MAXIFS(Survey!$G$2:$G$3647,Survey!$M$2:$M$3647,Survey!$M2724)-Survey!$G2724</f>
        <v>470.31864472865664</v>
      </c>
      <c r="R2724" s="59">
        <f>Survey!$P2724+(Survey!$Q2724*0.433)</f>
        <v>2053.6479731675081</v>
      </c>
    </row>
    <row r="2725" spans="1:18" x14ac:dyDescent="0.25">
      <c r="A2725" s="60" t="s">
        <v>17</v>
      </c>
      <c r="B2725" s="61" t="s">
        <v>23</v>
      </c>
      <c r="C2725" s="62" t="s">
        <v>19</v>
      </c>
      <c r="D2725" s="63">
        <v>247.16686579321376</v>
      </c>
      <c r="E2725" s="79">
        <v>1335809</v>
      </c>
      <c r="F2725" s="80">
        <v>1306013.6875</v>
      </c>
      <c r="G2725" s="66">
        <v>2700.02282403253</v>
      </c>
      <c r="H2725" s="67">
        <v>1</v>
      </c>
      <c r="I2725" s="68" t="s">
        <v>20</v>
      </c>
      <c r="J2725" s="69">
        <v>40</v>
      </c>
      <c r="K2725" s="70">
        <v>1</v>
      </c>
      <c r="L2725" s="68">
        <v>1</v>
      </c>
      <c r="M2725" s="68">
        <f>_xlfn.XLOOKUP(Survey!$F2725,sections[Start],sections[Test Section],,-1,1)</f>
        <v>8</v>
      </c>
      <c r="N2725" s="55">
        <f>_xlfn.XLOOKUP(Survey!$K2725,pipedata[ID],pipedata[WT])</f>
        <v>0.61699999999999999</v>
      </c>
      <c r="O2725" s="56">
        <f>_xlfn.XLOOKUP(Survey!$K2725,pipedata[ID],pipedata[104%])</f>
        <v>2138.9333333333334</v>
      </c>
      <c r="P2725" s="57">
        <f t="shared" si="42"/>
        <v>1850</v>
      </c>
      <c r="Q2725" s="58">
        <f>_xlfn.MAXIFS(Survey!$G$2:$G$3647,Survey!$M$2:$M$3647,Survey!$M2725)-Survey!$G2725</f>
        <v>487.68666878533986</v>
      </c>
      <c r="R2725" s="59">
        <f>Survey!$P2725+(Survey!$Q2725*0.433)</f>
        <v>2061.1683275840523</v>
      </c>
    </row>
    <row r="2726" spans="1:18" x14ac:dyDescent="0.25">
      <c r="A2726" s="71" t="s">
        <v>17</v>
      </c>
      <c r="B2726" s="72" t="s">
        <v>23</v>
      </c>
      <c r="C2726" s="73" t="s">
        <v>19</v>
      </c>
      <c r="D2726" s="74">
        <v>247.17347245521532</v>
      </c>
      <c r="E2726" s="81">
        <v>1335849</v>
      </c>
      <c r="F2726" s="82">
        <v>1306052.125</v>
      </c>
      <c r="G2726" s="75">
        <v>2681.4108200472219</v>
      </c>
      <c r="H2726" s="76">
        <v>1</v>
      </c>
      <c r="I2726" s="54" t="s">
        <v>20</v>
      </c>
      <c r="J2726" s="77">
        <v>19</v>
      </c>
      <c r="K2726" s="78">
        <v>1</v>
      </c>
      <c r="L2726" s="54">
        <v>1</v>
      </c>
      <c r="M2726" s="54">
        <f>_xlfn.XLOOKUP(Survey!$F2726,sections[Start],sections[Test Section],,-1,1)</f>
        <v>8</v>
      </c>
      <c r="N2726" s="55">
        <f>_xlfn.XLOOKUP(Survey!$K2726,pipedata[ID],pipedata[WT])</f>
        <v>0.61699999999999999</v>
      </c>
      <c r="O2726" s="56">
        <f>_xlfn.XLOOKUP(Survey!$K2726,pipedata[ID],pipedata[104%])</f>
        <v>2138.9333333333334</v>
      </c>
      <c r="P2726" s="57">
        <f t="shared" si="42"/>
        <v>1850</v>
      </c>
      <c r="Q2726" s="58">
        <f>_xlfn.MAXIFS(Survey!$G$2:$G$3647,Survey!$M$2:$M$3647,Survey!$M2726)-Survey!$G2726</f>
        <v>506.29867277064795</v>
      </c>
      <c r="R2726" s="59">
        <f>Survey!$P2726+(Survey!$Q2726*0.433)</f>
        <v>2069.2273253096905</v>
      </c>
    </row>
    <row r="2727" spans="1:18" x14ac:dyDescent="0.25">
      <c r="A2727" s="60" t="s">
        <v>17</v>
      </c>
      <c r="B2727" s="61" t="s">
        <v>23</v>
      </c>
      <c r="C2727" s="62" t="s">
        <v>19</v>
      </c>
      <c r="D2727" s="63">
        <v>247.18064910445815</v>
      </c>
      <c r="E2727" s="79">
        <v>1335868</v>
      </c>
      <c r="F2727" s="80">
        <v>1306129</v>
      </c>
      <c r="G2727" s="66">
        <v>2637.3696470040391</v>
      </c>
      <c r="H2727" s="67">
        <v>2</v>
      </c>
      <c r="I2727" s="68" t="s">
        <v>20</v>
      </c>
      <c r="J2727" s="69">
        <v>40</v>
      </c>
      <c r="K2727" s="70">
        <v>2</v>
      </c>
      <c r="L2727" s="68">
        <v>1</v>
      </c>
      <c r="M2727" s="68">
        <f>_xlfn.XLOOKUP(Survey!$F2727,sections[Start],sections[Test Section],,-1,1)</f>
        <v>8</v>
      </c>
      <c r="N2727" s="55">
        <f>_xlfn.XLOOKUP(Survey!$K2727,pipedata[ID],pipedata[WT])</f>
        <v>0.74</v>
      </c>
      <c r="O2727" s="56">
        <f>_xlfn.XLOOKUP(Survey!$K2727,pipedata[ID],pipedata[104%])</f>
        <v>2565.3333333333335</v>
      </c>
      <c r="P2727" s="57">
        <f t="shared" si="42"/>
        <v>1850</v>
      </c>
      <c r="Q2727" s="58">
        <f>_xlfn.MAXIFS(Survey!$G$2:$G$3647,Survey!$M$2:$M$3647,Survey!$M2727)-Survey!$G2727</f>
        <v>550.33984581383083</v>
      </c>
      <c r="R2727" s="59">
        <f>Survey!$P2727+(Survey!$Q2727*0.433)</f>
        <v>2088.2971532373886</v>
      </c>
    </row>
    <row r="2728" spans="1:18" x14ac:dyDescent="0.25">
      <c r="A2728" s="71" t="s">
        <v>17</v>
      </c>
      <c r="B2728" s="72" t="s">
        <v>23</v>
      </c>
      <c r="C2728" s="73" t="s">
        <v>19</v>
      </c>
      <c r="D2728" s="74">
        <v>247.18682264528425</v>
      </c>
      <c r="E2728" s="81">
        <v>1335908</v>
      </c>
      <c r="F2728" s="82">
        <v>1306169</v>
      </c>
      <c r="G2728" s="75">
        <v>2623.9931201669847</v>
      </c>
      <c r="H2728" s="76">
        <v>2</v>
      </c>
      <c r="I2728" s="54" t="s">
        <v>21</v>
      </c>
      <c r="J2728" s="77">
        <v>40</v>
      </c>
      <c r="K2728" s="78">
        <v>4</v>
      </c>
      <c r="L2728" s="54">
        <v>1</v>
      </c>
      <c r="M2728" s="54">
        <f>_xlfn.XLOOKUP(Survey!$F2728,sections[Start],sections[Test Section],,-1,1)</f>
        <v>8</v>
      </c>
      <c r="N2728" s="55">
        <f>_xlfn.XLOOKUP(Survey!$K2728,pipedata[ID],pipedata[WT])</f>
        <v>0.74</v>
      </c>
      <c r="O2728" s="56">
        <f>_xlfn.XLOOKUP(Survey!$K2728,pipedata[ID],pipedata[104%])</f>
        <v>2565.3333333333335</v>
      </c>
      <c r="P2728" s="57">
        <f t="shared" si="42"/>
        <v>1850</v>
      </c>
      <c r="Q2728" s="58">
        <f>_xlfn.MAXIFS(Survey!$G$2:$G$3647,Survey!$M$2:$M$3647,Survey!$M2728)-Survey!$G2728</f>
        <v>563.71637265088521</v>
      </c>
      <c r="R2728" s="59">
        <f>Survey!$P2728+(Survey!$Q2728*0.433)</f>
        <v>2094.0891893578332</v>
      </c>
    </row>
    <row r="2729" spans="1:18" x14ac:dyDescent="0.25">
      <c r="A2729" s="60" t="s">
        <v>17</v>
      </c>
      <c r="B2729" s="61" t="s">
        <v>23</v>
      </c>
      <c r="C2729" s="62" t="s">
        <v>19</v>
      </c>
      <c r="D2729" s="63">
        <v>247.19485779800149</v>
      </c>
      <c r="E2729" s="79">
        <v>1335948</v>
      </c>
      <c r="F2729" s="80">
        <v>1306209</v>
      </c>
      <c r="G2729" s="66">
        <v>2622.635376726158</v>
      </c>
      <c r="H2729" s="67">
        <v>1</v>
      </c>
      <c r="I2729" s="68" t="s">
        <v>20</v>
      </c>
      <c r="J2729" s="69">
        <v>61</v>
      </c>
      <c r="K2729" s="70">
        <v>1</v>
      </c>
      <c r="L2729" s="68">
        <v>1</v>
      </c>
      <c r="M2729" s="68">
        <f>_xlfn.XLOOKUP(Survey!$F2729,sections[Start],sections[Test Section],,-1,1)</f>
        <v>8</v>
      </c>
      <c r="N2729" s="55">
        <f>_xlfn.XLOOKUP(Survey!$K2729,pipedata[ID],pipedata[WT])</f>
        <v>0.61699999999999999</v>
      </c>
      <c r="O2729" s="56">
        <f>_xlfn.XLOOKUP(Survey!$K2729,pipedata[ID],pipedata[104%])</f>
        <v>2138.9333333333334</v>
      </c>
      <c r="P2729" s="57">
        <f t="shared" si="42"/>
        <v>1850</v>
      </c>
      <c r="Q2729" s="58">
        <f>_xlfn.MAXIFS(Survey!$G$2:$G$3647,Survey!$M$2:$M$3647,Survey!$M2729)-Survey!$G2729</f>
        <v>565.07411609171186</v>
      </c>
      <c r="R2729" s="59">
        <f>Survey!$P2729+(Survey!$Q2729*0.433)</f>
        <v>2094.677092267711</v>
      </c>
    </row>
    <row r="2730" spans="1:18" x14ac:dyDescent="0.25">
      <c r="A2730" s="71" t="s">
        <v>17</v>
      </c>
      <c r="B2730" s="72" t="s">
        <v>23</v>
      </c>
      <c r="C2730" s="73" t="s">
        <v>19</v>
      </c>
      <c r="D2730" s="74">
        <v>247.20258529747548</v>
      </c>
      <c r="E2730" s="81">
        <v>1336009</v>
      </c>
      <c r="F2730" s="82">
        <v>1306231.3333333333</v>
      </c>
      <c r="G2730" s="75">
        <v>2620.9888024167426</v>
      </c>
      <c r="H2730" s="76">
        <v>1</v>
      </c>
      <c r="I2730" s="54" t="s">
        <v>20</v>
      </c>
      <c r="J2730" s="77">
        <v>6</v>
      </c>
      <c r="K2730" s="78">
        <v>1</v>
      </c>
      <c r="L2730" s="54">
        <v>1</v>
      </c>
      <c r="M2730" s="54">
        <f>_xlfn.XLOOKUP(Survey!$F2730,sections[Start],sections[Test Section],,-1,1)</f>
        <v>8</v>
      </c>
      <c r="N2730" s="55">
        <f>_xlfn.XLOOKUP(Survey!$K2730,pipedata[ID],pipedata[WT])</f>
        <v>0.61699999999999999</v>
      </c>
      <c r="O2730" s="56">
        <f>_xlfn.XLOOKUP(Survey!$K2730,pipedata[ID],pipedata[104%])</f>
        <v>2138.9333333333334</v>
      </c>
      <c r="P2730" s="57">
        <f t="shared" si="42"/>
        <v>1850</v>
      </c>
      <c r="Q2730" s="58">
        <f>_xlfn.MAXIFS(Survey!$G$2:$G$3647,Survey!$M$2:$M$3647,Survey!$M2730)-Survey!$G2730</f>
        <v>566.72069040112729</v>
      </c>
      <c r="R2730" s="59">
        <f>Survey!$P2730+(Survey!$Q2730*0.433)</f>
        <v>2095.390058943688</v>
      </c>
    </row>
    <row r="2731" spans="1:18" x14ac:dyDescent="0.25">
      <c r="A2731" s="60" t="s">
        <v>17</v>
      </c>
      <c r="B2731" s="61" t="s">
        <v>23</v>
      </c>
      <c r="C2731" s="62" t="s">
        <v>19</v>
      </c>
      <c r="D2731" s="63">
        <v>247.20888850725822</v>
      </c>
      <c r="E2731" s="79">
        <v>1336015</v>
      </c>
      <c r="F2731" s="80">
        <v>1306276</v>
      </c>
      <c r="G2731" s="66">
        <v>2621.3941240334725</v>
      </c>
      <c r="H2731" s="67">
        <v>1</v>
      </c>
      <c r="I2731" s="68" t="s">
        <v>21</v>
      </c>
      <c r="J2731" s="69">
        <v>40</v>
      </c>
      <c r="K2731" s="70">
        <v>6</v>
      </c>
      <c r="L2731" s="68">
        <v>1</v>
      </c>
      <c r="M2731" s="68">
        <f>_xlfn.XLOOKUP(Survey!$F2731,sections[Start],sections[Test Section],,-1,1)</f>
        <v>8</v>
      </c>
      <c r="N2731" s="55">
        <f>_xlfn.XLOOKUP(Survey!$K2731,pipedata[ID],pipedata[WT])</f>
        <v>0.61699999999999999</v>
      </c>
      <c r="O2731" s="56">
        <f>_xlfn.XLOOKUP(Survey!$K2731,pipedata[ID],pipedata[104%])</f>
        <v>2138.9333333333334</v>
      </c>
      <c r="P2731" s="57">
        <f t="shared" si="42"/>
        <v>1850</v>
      </c>
      <c r="Q2731" s="58">
        <f>_xlfn.MAXIFS(Survey!$G$2:$G$3647,Survey!$M$2:$M$3647,Survey!$M2731)-Survey!$G2731</f>
        <v>566.31536878439738</v>
      </c>
      <c r="R2731" s="59">
        <f>Survey!$P2731+(Survey!$Q2731*0.433)</f>
        <v>2095.2145546836441</v>
      </c>
    </row>
    <row r="2732" spans="1:18" x14ac:dyDescent="0.25">
      <c r="A2732" s="71" t="s">
        <v>17</v>
      </c>
      <c r="B2732" s="72" t="s">
        <v>23</v>
      </c>
      <c r="C2732" s="73" t="s">
        <v>19</v>
      </c>
      <c r="D2732" s="74">
        <v>247.21658031866536</v>
      </c>
      <c r="E2732" s="81">
        <v>1336055</v>
      </c>
      <c r="F2732" s="82">
        <v>1306316</v>
      </c>
      <c r="G2732" s="75">
        <v>2621.7056312171626</v>
      </c>
      <c r="H2732" s="76">
        <v>1</v>
      </c>
      <c r="I2732" s="54" t="s">
        <v>20</v>
      </c>
      <c r="J2732" s="77">
        <v>74</v>
      </c>
      <c r="K2732" s="78">
        <v>1</v>
      </c>
      <c r="L2732" s="54">
        <v>1</v>
      </c>
      <c r="M2732" s="54">
        <f>_xlfn.XLOOKUP(Survey!$F2732,sections[Start],sections[Test Section],,-1,1)</f>
        <v>8</v>
      </c>
      <c r="N2732" s="55">
        <f>_xlfn.XLOOKUP(Survey!$K2732,pipedata[ID],pipedata[WT])</f>
        <v>0.61699999999999999</v>
      </c>
      <c r="O2732" s="56">
        <f>_xlfn.XLOOKUP(Survey!$K2732,pipedata[ID],pipedata[104%])</f>
        <v>2138.9333333333334</v>
      </c>
      <c r="P2732" s="57">
        <f t="shared" si="42"/>
        <v>1850</v>
      </c>
      <c r="Q2732" s="58">
        <f>_xlfn.MAXIFS(Survey!$G$2:$G$3647,Survey!$M$2:$M$3647,Survey!$M2732)-Survey!$G2732</f>
        <v>566.0038616007073</v>
      </c>
      <c r="R2732" s="59">
        <f>Survey!$P2732+(Survey!$Q2732*0.433)</f>
        <v>2095.0796720731064</v>
      </c>
    </row>
    <row r="2733" spans="1:18" x14ac:dyDescent="0.25">
      <c r="A2733" s="60" t="s">
        <v>17</v>
      </c>
      <c r="B2733" s="61" t="s">
        <v>23</v>
      </c>
      <c r="C2733" s="62" t="s">
        <v>19</v>
      </c>
      <c r="D2733" s="63">
        <v>247.2252642405891</v>
      </c>
      <c r="E2733" s="79">
        <v>1336129</v>
      </c>
      <c r="F2733" s="80">
        <v>1306354.1103448276</v>
      </c>
      <c r="G2733" s="66">
        <v>2623.223836580109</v>
      </c>
      <c r="H2733" s="67">
        <v>1</v>
      </c>
      <c r="I2733" s="68" t="s">
        <v>20</v>
      </c>
      <c r="J2733" s="69">
        <v>40</v>
      </c>
      <c r="K2733" s="70">
        <v>1</v>
      </c>
      <c r="L2733" s="68">
        <v>1</v>
      </c>
      <c r="M2733" s="68">
        <f>_xlfn.XLOOKUP(Survey!$F2733,sections[Start],sections[Test Section],,-1,1)</f>
        <v>8</v>
      </c>
      <c r="N2733" s="55">
        <f>_xlfn.XLOOKUP(Survey!$K2733,pipedata[ID],pipedata[WT])</f>
        <v>0.61699999999999999</v>
      </c>
      <c r="O2733" s="56">
        <f>_xlfn.XLOOKUP(Survey!$K2733,pipedata[ID],pipedata[104%])</f>
        <v>2138.9333333333334</v>
      </c>
      <c r="P2733" s="57">
        <f t="shared" si="42"/>
        <v>1850</v>
      </c>
      <c r="Q2733" s="58">
        <f>_xlfn.MAXIFS(Survey!$G$2:$G$3647,Survey!$M$2:$M$3647,Survey!$M2733)-Survey!$G2733</f>
        <v>564.48565623776085</v>
      </c>
      <c r="R2733" s="59">
        <f>Survey!$P2733+(Survey!$Q2733*0.433)</f>
        <v>2094.4222891509503</v>
      </c>
    </row>
    <row r="2734" spans="1:18" x14ac:dyDescent="0.25">
      <c r="A2734" s="71" t="s">
        <v>17</v>
      </c>
      <c r="B2734" s="72" t="s">
        <v>23</v>
      </c>
      <c r="C2734" s="73" t="s">
        <v>19</v>
      </c>
      <c r="D2734" s="74">
        <v>247.23276987496823</v>
      </c>
      <c r="E2734" s="81">
        <v>1336169</v>
      </c>
      <c r="F2734" s="82">
        <v>1306392.2206896553</v>
      </c>
      <c r="G2734" s="75">
        <v>2628.9680620437825</v>
      </c>
      <c r="H2734" s="76">
        <v>1</v>
      </c>
      <c r="I2734" s="54" t="s">
        <v>20</v>
      </c>
      <c r="J2734" s="77">
        <v>40</v>
      </c>
      <c r="K2734" s="78">
        <v>1</v>
      </c>
      <c r="L2734" s="54">
        <v>1</v>
      </c>
      <c r="M2734" s="54">
        <f>_xlfn.XLOOKUP(Survey!$F2734,sections[Start],sections[Test Section],,-1,1)</f>
        <v>8</v>
      </c>
      <c r="N2734" s="55">
        <f>_xlfn.XLOOKUP(Survey!$K2734,pipedata[ID],pipedata[WT])</f>
        <v>0.61699999999999999</v>
      </c>
      <c r="O2734" s="56">
        <f>_xlfn.XLOOKUP(Survey!$K2734,pipedata[ID],pipedata[104%])</f>
        <v>2138.9333333333334</v>
      </c>
      <c r="P2734" s="57">
        <f t="shared" si="42"/>
        <v>1850</v>
      </c>
      <c r="Q2734" s="58">
        <f>_xlfn.MAXIFS(Survey!$G$2:$G$3647,Survey!$M$2:$M$3647,Survey!$M2734)-Survey!$G2734</f>
        <v>558.74143077408735</v>
      </c>
      <c r="R2734" s="59">
        <f>Survey!$P2734+(Survey!$Q2734*0.433)</f>
        <v>2091.9350395251799</v>
      </c>
    </row>
    <row r="2735" spans="1:18" x14ac:dyDescent="0.25">
      <c r="A2735" s="60" t="s">
        <v>17</v>
      </c>
      <c r="B2735" s="61" t="s">
        <v>23</v>
      </c>
      <c r="C2735" s="62" t="s">
        <v>19</v>
      </c>
      <c r="D2735" s="63">
        <v>247.23884987270418</v>
      </c>
      <c r="E2735" s="79">
        <v>1336209</v>
      </c>
      <c r="F2735" s="80">
        <v>1306430.3310344829</v>
      </c>
      <c r="G2735" s="66">
        <v>2633.049874646701</v>
      </c>
      <c r="H2735" s="67">
        <v>1</v>
      </c>
      <c r="I2735" s="68" t="s">
        <v>20</v>
      </c>
      <c r="J2735" s="69">
        <v>40</v>
      </c>
      <c r="K2735" s="70">
        <v>1</v>
      </c>
      <c r="L2735" s="68">
        <v>1</v>
      </c>
      <c r="M2735" s="68">
        <f>_xlfn.XLOOKUP(Survey!$F2735,sections[Start],sections[Test Section],,-1,1)</f>
        <v>8</v>
      </c>
      <c r="N2735" s="55">
        <f>_xlfn.XLOOKUP(Survey!$K2735,pipedata[ID],pipedata[WT])</f>
        <v>0.61699999999999999</v>
      </c>
      <c r="O2735" s="56">
        <f>_xlfn.XLOOKUP(Survey!$K2735,pipedata[ID],pipedata[104%])</f>
        <v>2138.9333333333334</v>
      </c>
      <c r="P2735" s="57">
        <f t="shared" si="42"/>
        <v>1850</v>
      </c>
      <c r="Q2735" s="58">
        <f>_xlfn.MAXIFS(Survey!$G$2:$G$3647,Survey!$M$2:$M$3647,Survey!$M2735)-Survey!$G2735</f>
        <v>554.65961817116886</v>
      </c>
      <c r="R2735" s="59">
        <f>Survey!$P2735+(Survey!$Q2735*0.433)</f>
        <v>2090.1676146681161</v>
      </c>
    </row>
    <row r="2736" spans="1:18" x14ac:dyDescent="0.25">
      <c r="A2736" s="71" t="s">
        <v>17</v>
      </c>
      <c r="B2736" s="72" t="s">
        <v>23</v>
      </c>
      <c r="C2736" s="73" t="s">
        <v>19</v>
      </c>
      <c r="D2736" s="74">
        <v>247.24720885149057</v>
      </c>
      <c r="E2736" s="81">
        <v>1336249</v>
      </c>
      <c r="F2736" s="82">
        <v>1306468.4413793106</v>
      </c>
      <c r="G2736" s="75">
        <v>2636.5273390238513</v>
      </c>
      <c r="H2736" s="76">
        <v>1</v>
      </c>
      <c r="I2736" s="54" t="s">
        <v>20</v>
      </c>
      <c r="J2736" s="77">
        <v>40</v>
      </c>
      <c r="K2736" s="78">
        <v>1</v>
      </c>
      <c r="L2736" s="54">
        <v>1</v>
      </c>
      <c r="M2736" s="54">
        <f>_xlfn.XLOOKUP(Survey!$F2736,sections[Start],sections[Test Section],,-1,1)</f>
        <v>8</v>
      </c>
      <c r="N2736" s="55">
        <f>_xlfn.XLOOKUP(Survey!$K2736,pipedata[ID],pipedata[WT])</f>
        <v>0.61699999999999999</v>
      </c>
      <c r="O2736" s="56">
        <f>_xlfn.XLOOKUP(Survey!$K2736,pipedata[ID],pipedata[104%])</f>
        <v>2138.9333333333334</v>
      </c>
      <c r="P2736" s="57">
        <f t="shared" si="42"/>
        <v>1850</v>
      </c>
      <c r="Q2736" s="58">
        <f>_xlfn.MAXIFS(Survey!$G$2:$G$3647,Survey!$M$2:$M$3647,Survey!$M2736)-Survey!$G2736</f>
        <v>551.18215379401863</v>
      </c>
      <c r="R2736" s="59">
        <f>Survey!$P2736+(Survey!$Q2736*0.433)</f>
        <v>2088.6618725928101</v>
      </c>
    </row>
    <row r="2737" spans="1:18" x14ac:dyDescent="0.25">
      <c r="A2737" s="60" t="s">
        <v>17</v>
      </c>
      <c r="B2737" s="61" t="s">
        <v>23</v>
      </c>
      <c r="C2737" s="62" t="s">
        <v>19</v>
      </c>
      <c r="D2737" s="63">
        <v>247.25444803597259</v>
      </c>
      <c r="E2737" s="79">
        <v>1336289</v>
      </c>
      <c r="F2737" s="80">
        <v>1306506.5517241382</v>
      </c>
      <c r="G2737" s="66">
        <v>2641.4293888587958</v>
      </c>
      <c r="H2737" s="67">
        <v>1</v>
      </c>
      <c r="I2737" s="68" t="s">
        <v>20</v>
      </c>
      <c r="J2737" s="69">
        <v>40</v>
      </c>
      <c r="K2737" s="70">
        <v>1</v>
      </c>
      <c r="L2737" s="68">
        <v>1</v>
      </c>
      <c r="M2737" s="68">
        <f>_xlfn.XLOOKUP(Survey!$F2737,sections[Start],sections[Test Section],,-1,1)</f>
        <v>8</v>
      </c>
      <c r="N2737" s="55">
        <f>_xlfn.XLOOKUP(Survey!$K2737,pipedata[ID],pipedata[WT])</f>
        <v>0.61699999999999999</v>
      </c>
      <c r="O2737" s="56">
        <f>_xlfn.XLOOKUP(Survey!$K2737,pipedata[ID],pipedata[104%])</f>
        <v>2138.9333333333334</v>
      </c>
      <c r="P2737" s="57">
        <f t="shared" si="42"/>
        <v>1850</v>
      </c>
      <c r="Q2737" s="58">
        <f>_xlfn.MAXIFS(Survey!$G$2:$G$3647,Survey!$M$2:$M$3647,Survey!$M2737)-Survey!$G2737</f>
        <v>546.28010395907404</v>
      </c>
      <c r="R2737" s="59">
        <f>Survey!$P2737+(Survey!$Q2737*0.433)</f>
        <v>2086.5392850142789</v>
      </c>
    </row>
    <row r="2738" spans="1:18" x14ac:dyDescent="0.25">
      <c r="A2738" s="71" t="s">
        <v>17</v>
      </c>
      <c r="B2738" s="72" t="s">
        <v>23</v>
      </c>
      <c r="C2738" s="73" t="s">
        <v>19</v>
      </c>
      <c r="D2738" s="74">
        <v>247.26233995824242</v>
      </c>
      <c r="E2738" s="81">
        <v>1336329</v>
      </c>
      <c r="F2738" s="82">
        <v>1306544.6620689658</v>
      </c>
      <c r="G2738" s="75">
        <v>2646.5676994596793</v>
      </c>
      <c r="H2738" s="76">
        <v>1</v>
      </c>
      <c r="I2738" s="54" t="s">
        <v>20</v>
      </c>
      <c r="J2738" s="77">
        <v>40</v>
      </c>
      <c r="K2738" s="78">
        <v>1</v>
      </c>
      <c r="L2738" s="54">
        <v>1</v>
      </c>
      <c r="M2738" s="54">
        <f>_xlfn.XLOOKUP(Survey!$F2738,sections[Start],sections[Test Section],,-1,1)</f>
        <v>8</v>
      </c>
      <c r="N2738" s="55">
        <f>_xlfn.XLOOKUP(Survey!$K2738,pipedata[ID],pipedata[WT])</f>
        <v>0.61699999999999999</v>
      </c>
      <c r="O2738" s="56">
        <f>_xlfn.XLOOKUP(Survey!$K2738,pipedata[ID],pipedata[104%])</f>
        <v>2138.9333333333334</v>
      </c>
      <c r="P2738" s="57">
        <f t="shared" si="42"/>
        <v>1850</v>
      </c>
      <c r="Q2738" s="58">
        <f>_xlfn.MAXIFS(Survey!$G$2:$G$3647,Survey!$M$2:$M$3647,Survey!$M2738)-Survey!$G2738</f>
        <v>541.14179335819063</v>
      </c>
      <c r="R2738" s="59">
        <f>Survey!$P2738+(Survey!$Q2738*0.433)</f>
        <v>2084.3143965240965</v>
      </c>
    </row>
    <row r="2739" spans="1:18" x14ac:dyDescent="0.25">
      <c r="A2739" s="60" t="s">
        <v>17</v>
      </c>
      <c r="B2739" s="61" t="s">
        <v>23</v>
      </c>
      <c r="C2739" s="62" t="s">
        <v>19</v>
      </c>
      <c r="D2739" s="63">
        <v>247.27023188051214</v>
      </c>
      <c r="E2739" s="79">
        <v>1336369</v>
      </c>
      <c r="F2739" s="80">
        <v>1306582.7724137935</v>
      </c>
      <c r="G2739" s="66">
        <v>2651.9208266638493</v>
      </c>
      <c r="H2739" s="67">
        <v>1</v>
      </c>
      <c r="I2739" s="68" t="s">
        <v>20</v>
      </c>
      <c r="J2739" s="69">
        <v>40</v>
      </c>
      <c r="K2739" s="70">
        <v>1</v>
      </c>
      <c r="L2739" s="68">
        <v>1</v>
      </c>
      <c r="M2739" s="68">
        <f>_xlfn.XLOOKUP(Survey!$F2739,sections[Start],sections[Test Section],,-1,1)</f>
        <v>8</v>
      </c>
      <c r="N2739" s="55">
        <f>_xlfn.XLOOKUP(Survey!$K2739,pipedata[ID],pipedata[WT])</f>
        <v>0.61699999999999999</v>
      </c>
      <c r="O2739" s="56">
        <f>_xlfn.XLOOKUP(Survey!$K2739,pipedata[ID],pipedata[104%])</f>
        <v>2138.9333333333334</v>
      </c>
      <c r="P2739" s="57">
        <f t="shared" si="42"/>
        <v>1850</v>
      </c>
      <c r="Q2739" s="58">
        <f>_xlfn.MAXIFS(Survey!$G$2:$G$3647,Survey!$M$2:$M$3647,Survey!$M2739)-Survey!$G2739</f>
        <v>535.78866615402058</v>
      </c>
      <c r="R2739" s="59">
        <f>Survey!$P2739+(Survey!$Q2739*0.433)</f>
        <v>2081.9964924446908</v>
      </c>
    </row>
    <row r="2740" spans="1:18" x14ac:dyDescent="0.25">
      <c r="A2740" s="71" t="s">
        <v>17</v>
      </c>
      <c r="B2740" s="72" t="s">
        <v>23</v>
      </c>
      <c r="C2740" s="73" t="s">
        <v>19</v>
      </c>
      <c r="D2740" s="74">
        <v>247.27785844037425</v>
      </c>
      <c r="E2740" s="81">
        <v>1336409</v>
      </c>
      <c r="F2740" s="82">
        <v>1306620.8827586211</v>
      </c>
      <c r="G2740" s="75">
        <v>2656.8440530095872</v>
      </c>
      <c r="H2740" s="76">
        <v>1</v>
      </c>
      <c r="I2740" s="54" t="s">
        <v>20</v>
      </c>
      <c r="J2740" s="77">
        <v>40</v>
      </c>
      <c r="K2740" s="78">
        <v>1</v>
      </c>
      <c r="L2740" s="54">
        <v>1</v>
      </c>
      <c r="M2740" s="54">
        <f>_xlfn.XLOOKUP(Survey!$F2740,sections[Start],sections[Test Section],,-1,1)</f>
        <v>8</v>
      </c>
      <c r="N2740" s="55">
        <f>_xlfn.XLOOKUP(Survey!$K2740,pipedata[ID],pipedata[WT])</f>
        <v>0.61699999999999999</v>
      </c>
      <c r="O2740" s="56">
        <f>_xlfn.XLOOKUP(Survey!$K2740,pipedata[ID],pipedata[104%])</f>
        <v>2138.9333333333334</v>
      </c>
      <c r="P2740" s="57">
        <f t="shared" si="42"/>
        <v>1850</v>
      </c>
      <c r="Q2740" s="58">
        <f>_xlfn.MAXIFS(Survey!$G$2:$G$3647,Survey!$M$2:$M$3647,Survey!$M2740)-Survey!$G2740</f>
        <v>530.86543980828264</v>
      </c>
      <c r="R2740" s="59">
        <f>Survey!$P2740+(Survey!$Q2740*0.433)</f>
        <v>2079.8647354369864</v>
      </c>
    </row>
    <row r="2741" spans="1:18" x14ac:dyDescent="0.25">
      <c r="A2741" s="60" t="s">
        <v>17</v>
      </c>
      <c r="B2741" s="61" t="s">
        <v>23</v>
      </c>
      <c r="C2741" s="62" t="s">
        <v>19</v>
      </c>
      <c r="D2741" s="63">
        <v>247.28404274448417</v>
      </c>
      <c r="E2741" s="79">
        <v>1336449</v>
      </c>
      <c r="F2741" s="80">
        <v>1306658.9931034488</v>
      </c>
      <c r="G2741" s="66">
        <v>2660.0833734225075</v>
      </c>
      <c r="H2741" s="67">
        <v>1</v>
      </c>
      <c r="I2741" s="68" t="s">
        <v>20</v>
      </c>
      <c r="J2741" s="69">
        <v>40</v>
      </c>
      <c r="K2741" s="70">
        <v>1</v>
      </c>
      <c r="L2741" s="68">
        <v>1</v>
      </c>
      <c r="M2741" s="68">
        <f>_xlfn.XLOOKUP(Survey!$F2741,sections[Start],sections[Test Section],,-1,1)</f>
        <v>8</v>
      </c>
      <c r="N2741" s="55">
        <f>_xlfn.XLOOKUP(Survey!$K2741,pipedata[ID],pipedata[WT])</f>
        <v>0.61699999999999999</v>
      </c>
      <c r="O2741" s="56">
        <f>_xlfn.XLOOKUP(Survey!$K2741,pipedata[ID],pipedata[104%])</f>
        <v>2138.9333333333334</v>
      </c>
      <c r="P2741" s="57">
        <f t="shared" si="42"/>
        <v>1850</v>
      </c>
      <c r="Q2741" s="58">
        <f>_xlfn.MAXIFS(Survey!$G$2:$G$3647,Survey!$M$2:$M$3647,Survey!$M2741)-Survey!$G2741</f>
        <v>527.62611939536237</v>
      </c>
      <c r="R2741" s="59">
        <f>Survey!$P2741+(Survey!$Q2741*0.433)</f>
        <v>2078.4621096981919</v>
      </c>
    </row>
    <row r="2742" spans="1:18" x14ac:dyDescent="0.25">
      <c r="A2742" s="71" t="s">
        <v>17</v>
      </c>
      <c r="B2742" s="72" t="s">
        <v>23</v>
      </c>
      <c r="C2742" s="73" t="s">
        <v>19</v>
      </c>
      <c r="D2742" s="74">
        <v>247.29179869696924</v>
      </c>
      <c r="E2742" s="81">
        <v>1336489</v>
      </c>
      <c r="F2742" s="82">
        <v>1306697.1034482764</v>
      </c>
      <c r="G2742" s="75">
        <v>2664.2626410248927</v>
      </c>
      <c r="H2742" s="76">
        <v>1</v>
      </c>
      <c r="I2742" s="54" t="s">
        <v>20</v>
      </c>
      <c r="J2742" s="77">
        <v>40</v>
      </c>
      <c r="K2742" s="78">
        <v>1</v>
      </c>
      <c r="L2742" s="54">
        <v>1</v>
      </c>
      <c r="M2742" s="54">
        <f>_xlfn.XLOOKUP(Survey!$F2742,sections[Start],sections[Test Section],,-1,1)</f>
        <v>8</v>
      </c>
      <c r="N2742" s="55">
        <f>_xlfn.XLOOKUP(Survey!$K2742,pipedata[ID],pipedata[WT])</f>
        <v>0.61699999999999999</v>
      </c>
      <c r="O2742" s="56">
        <f>_xlfn.XLOOKUP(Survey!$K2742,pipedata[ID],pipedata[104%])</f>
        <v>2138.9333333333334</v>
      </c>
      <c r="P2742" s="57">
        <f t="shared" si="42"/>
        <v>1850</v>
      </c>
      <c r="Q2742" s="58">
        <f>_xlfn.MAXIFS(Survey!$G$2:$G$3647,Survey!$M$2:$M$3647,Survey!$M2742)-Survey!$G2742</f>
        <v>523.44685179297721</v>
      </c>
      <c r="R2742" s="59">
        <f>Survey!$P2742+(Survey!$Q2742*0.433)</f>
        <v>2076.6524868263591</v>
      </c>
    </row>
    <row r="2743" spans="1:18" x14ac:dyDescent="0.25">
      <c r="A2743" s="60" t="s">
        <v>17</v>
      </c>
      <c r="B2743" s="61" t="s">
        <v>23</v>
      </c>
      <c r="C2743" s="62" t="s">
        <v>19</v>
      </c>
      <c r="D2743" s="63">
        <v>247.30042683890545</v>
      </c>
      <c r="E2743" s="79">
        <v>1336529</v>
      </c>
      <c r="F2743" s="80">
        <v>1306735.213793104</v>
      </c>
      <c r="G2743" s="66">
        <v>2670.3052909320036</v>
      </c>
      <c r="H2743" s="67">
        <v>1</v>
      </c>
      <c r="I2743" s="68" t="s">
        <v>20</v>
      </c>
      <c r="J2743" s="69">
        <v>40</v>
      </c>
      <c r="K2743" s="70">
        <v>1</v>
      </c>
      <c r="L2743" s="68">
        <v>1</v>
      </c>
      <c r="M2743" s="68">
        <f>_xlfn.XLOOKUP(Survey!$F2743,sections[Start],sections[Test Section],,-1,1)</f>
        <v>8</v>
      </c>
      <c r="N2743" s="55">
        <f>_xlfn.XLOOKUP(Survey!$K2743,pipedata[ID],pipedata[WT])</f>
        <v>0.61699999999999999</v>
      </c>
      <c r="O2743" s="56">
        <f>_xlfn.XLOOKUP(Survey!$K2743,pipedata[ID],pipedata[104%])</f>
        <v>2138.9333333333334</v>
      </c>
      <c r="P2743" s="57">
        <f t="shared" si="42"/>
        <v>1850</v>
      </c>
      <c r="Q2743" s="58">
        <f>_xlfn.MAXIFS(Survey!$G$2:$G$3647,Survey!$M$2:$M$3647,Survey!$M2743)-Survey!$G2743</f>
        <v>517.40420188586631</v>
      </c>
      <c r="R2743" s="59">
        <f>Survey!$P2743+(Survey!$Q2743*0.433)</f>
        <v>2074.0360194165801</v>
      </c>
    </row>
    <row r="2744" spans="1:18" x14ac:dyDescent="0.25">
      <c r="A2744" s="71" t="s">
        <v>17</v>
      </c>
      <c r="B2744" s="72" t="s">
        <v>23</v>
      </c>
      <c r="C2744" s="73" t="s">
        <v>19</v>
      </c>
      <c r="D2744" s="74">
        <v>247.30753879773067</v>
      </c>
      <c r="E2744" s="81">
        <v>1336569</v>
      </c>
      <c r="F2744" s="82">
        <v>1306773.3241379317</v>
      </c>
      <c r="G2744" s="75">
        <v>2675.4198316619331</v>
      </c>
      <c r="H2744" s="76">
        <v>1</v>
      </c>
      <c r="I2744" s="54" t="s">
        <v>20</v>
      </c>
      <c r="J2744" s="77">
        <v>40</v>
      </c>
      <c r="K2744" s="78">
        <v>1</v>
      </c>
      <c r="L2744" s="54">
        <v>1</v>
      </c>
      <c r="M2744" s="54">
        <f>_xlfn.XLOOKUP(Survey!$F2744,sections[Start],sections[Test Section],,-1,1)</f>
        <v>8</v>
      </c>
      <c r="N2744" s="55">
        <f>_xlfn.XLOOKUP(Survey!$K2744,pipedata[ID],pipedata[WT])</f>
        <v>0.61699999999999999</v>
      </c>
      <c r="O2744" s="56">
        <f>_xlfn.XLOOKUP(Survey!$K2744,pipedata[ID],pipedata[104%])</f>
        <v>2138.9333333333334</v>
      </c>
      <c r="P2744" s="57">
        <f t="shared" si="42"/>
        <v>1850</v>
      </c>
      <c r="Q2744" s="58">
        <f>_xlfn.MAXIFS(Survey!$G$2:$G$3647,Survey!$M$2:$M$3647,Survey!$M2744)-Survey!$G2744</f>
        <v>512.28966115593676</v>
      </c>
      <c r="R2744" s="59">
        <f>Survey!$P2744+(Survey!$Q2744*0.433)</f>
        <v>2071.8214232805208</v>
      </c>
    </row>
    <row r="2745" spans="1:18" x14ac:dyDescent="0.25">
      <c r="A2745" s="60" t="s">
        <v>17</v>
      </c>
      <c r="B2745" s="61" t="s">
        <v>23</v>
      </c>
      <c r="C2745" s="62" t="s">
        <v>19</v>
      </c>
      <c r="D2745" s="63">
        <v>247.3151776838632</v>
      </c>
      <c r="E2745" s="79">
        <v>1336609</v>
      </c>
      <c r="F2745" s="80">
        <v>1306811.4344827593</v>
      </c>
      <c r="G2745" s="66">
        <v>2681.3225598987642</v>
      </c>
      <c r="H2745" s="67">
        <v>1</v>
      </c>
      <c r="I2745" s="68" t="s">
        <v>20</v>
      </c>
      <c r="J2745" s="69">
        <v>40</v>
      </c>
      <c r="K2745" s="70">
        <v>1</v>
      </c>
      <c r="L2745" s="68">
        <v>1</v>
      </c>
      <c r="M2745" s="68">
        <f>_xlfn.XLOOKUP(Survey!$F2745,sections[Start],sections[Test Section],,-1,1)</f>
        <v>8</v>
      </c>
      <c r="N2745" s="55">
        <f>_xlfn.XLOOKUP(Survey!$K2745,pipedata[ID],pipedata[WT])</f>
        <v>0.61699999999999999</v>
      </c>
      <c r="O2745" s="56">
        <f>_xlfn.XLOOKUP(Survey!$K2745,pipedata[ID],pipedata[104%])</f>
        <v>2138.9333333333334</v>
      </c>
      <c r="P2745" s="57">
        <f t="shared" si="42"/>
        <v>1850</v>
      </c>
      <c r="Q2745" s="58">
        <f>_xlfn.MAXIFS(Survey!$G$2:$G$3647,Survey!$M$2:$M$3647,Survey!$M2745)-Survey!$G2745</f>
        <v>506.38693291910567</v>
      </c>
      <c r="R2745" s="59">
        <f>Survey!$P2745+(Survey!$Q2745*0.433)</f>
        <v>2069.2655419539728</v>
      </c>
    </row>
    <row r="2746" spans="1:18" x14ac:dyDescent="0.25">
      <c r="A2746" s="71" t="s">
        <v>17</v>
      </c>
      <c r="B2746" s="72" t="s">
        <v>23</v>
      </c>
      <c r="C2746" s="73" t="s">
        <v>19</v>
      </c>
      <c r="D2746" s="74">
        <v>247.3228675279895</v>
      </c>
      <c r="E2746" s="81">
        <v>1336649</v>
      </c>
      <c r="F2746" s="82">
        <v>1306849.544827587</v>
      </c>
      <c r="G2746" s="75">
        <v>2687.7101738072374</v>
      </c>
      <c r="H2746" s="76">
        <v>1</v>
      </c>
      <c r="I2746" s="54" t="s">
        <v>20</v>
      </c>
      <c r="J2746" s="77">
        <v>40</v>
      </c>
      <c r="K2746" s="78">
        <v>1</v>
      </c>
      <c r="L2746" s="54">
        <v>1</v>
      </c>
      <c r="M2746" s="54">
        <f>_xlfn.XLOOKUP(Survey!$F2746,sections[Start],sections[Test Section],,-1,1)</f>
        <v>8</v>
      </c>
      <c r="N2746" s="55">
        <f>_xlfn.XLOOKUP(Survey!$K2746,pipedata[ID],pipedata[WT])</f>
        <v>0.61699999999999999</v>
      </c>
      <c r="O2746" s="56">
        <f>_xlfn.XLOOKUP(Survey!$K2746,pipedata[ID],pipedata[104%])</f>
        <v>2138.9333333333334</v>
      </c>
      <c r="P2746" s="57">
        <f t="shared" si="42"/>
        <v>1850</v>
      </c>
      <c r="Q2746" s="58">
        <f>_xlfn.MAXIFS(Survey!$G$2:$G$3647,Survey!$M$2:$M$3647,Survey!$M2746)-Survey!$G2746</f>
        <v>499.99931901063246</v>
      </c>
      <c r="R2746" s="59">
        <f>Survey!$P2746+(Survey!$Q2746*0.433)</f>
        <v>2066.4997051316041</v>
      </c>
    </row>
    <row r="2747" spans="1:18" x14ac:dyDescent="0.25">
      <c r="A2747" s="60" t="s">
        <v>17</v>
      </c>
      <c r="B2747" s="61" t="s">
        <v>23</v>
      </c>
      <c r="C2747" s="62" t="s">
        <v>19</v>
      </c>
      <c r="D2747" s="63">
        <v>247.32936046062187</v>
      </c>
      <c r="E2747" s="79">
        <v>1336689</v>
      </c>
      <c r="F2747" s="80">
        <v>1306887.6551724146</v>
      </c>
      <c r="G2747" s="66">
        <v>2692.5073713204079</v>
      </c>
      <c r="H2747" s="67">
        <v>1</v>
      </c>
      <c r="I2747" s="68" t="s">
        <v>20</v>
      </c>
      <c r="J2747" s="69">
        <v>40</v>
      </c>
      <c r="K2747" s="70">
        <v>1</v>
      </c>
      <c r="L2747" s="68">
        <v>1</v>
      </c>
      <c r="M2747" s="68">
        <f>_xlfn.XLOOKUP(Survey!$F2747,sections[Start],sections[Test Section],,-1,1)</f>
        <v>8</v>
      </c>
      <c r="N2747" s="55">
        <f>_xlfn.XLOOKUP(Survey!$K2747,pipedata[ID],pipedata[WT])</f>
        <v>0.61699999999999999</v>
      </c>
      <c r="O2747" s="56">
        <f>_xlfn.XLOOKUP(Survey!$K2747,pipedata[ID],pipedata[104%])</f>
        <v>2138.9333333333334</v>
      </c>
      <c r="P2747" s="57">
        <f t="shared" si="42"/>
        <v>1850</v>
      </c>
      <c r="Q2747" s="58">
        <f>_xlfn.MAXIFS(Survey!$G$2:$G$3647,Survey!$M$2:$M$3647,Survey!$M2747)-Survey!$G2747</f>
        <v>495.20212149746203</v>
      </c>
      <c r="R2747" s="59">
        <f>Survey!$P2747+(Survey!$Q2747*0.433)</f>
        <v>2064.4225186084009</v>
      </c>
    </row>
    <row r="2748" spans="1:18" x14ac:dyDescent="0.25">
      <c r="A2748" s="71" t="s">
        <v>17</v>
      </c>
      <c r="B2748" s="72" t="s">
        <v>23</v>
      </c>
      <c r="C2748" s="73" t="s">
        <v>19</v>
      </c>
      <c r="D2748" s="74">
        <v>247.33740238251215</v>
      </c>
      <c r="E2748" s="81">
        <v>1336729</v>
      </c>
      <c r="F2748" s="82">
        <v>1306925.7655172423</v>
      </c>
      <c r="G2748" s="75">
        <v>2698.0427743518349</v>
      </c>
      <c r="H2748" s="76">
        <v>1</v>
      </c>
      <c r="I2748" s="54" t="s">
        <v>20</v>
      </c>
      <c r="J2748" s="77">
        <v>40</v>
      </c>
      <c r="K2748" s="78">
        <v>1</v>
      </c>
      <c r="L2748" s="54">
        <v>1</v>
      </c>
      <c r="M2748" s="54">
        <f>_xlfn.XLOOKUP(Survey!$F2748,sections[Start],sections[Test Section],,-1,1)</f>
        <v>8</v>
      </c>
      <c r="N2748" s="55">
        <f>_xlfn.XLOOKUP(Survey!$K2748,pipedata[ID],pipedata[WT])</f>
        <v>0.61699999999999999</v>
      </c>
      <c r="O2748" s="56">
        <f>_xlfn.XLOOKUP(Survey!$K2748,pipedata[ID],pipedata[104%])</f>
        <v>2138.9333333333334</v>
      </c>
      <c r="P2748" s="57">
        <f t="shared" si="42"/>
        <v>1850</v>
      </c>
      <c r="Q2748" s="58">
        <f>_xlfn.MAXIFS(Survey!$G$2:$G$3647,Survey!$M$2:$M$3647,Survey!$M2748)-Survey!$G2748</f>
        <v>489.66671846603504</v>
      </c>
      <c r="R2748" s="59">
        <f>Survey!$P2748+(Survey!$Q2748*0.433)</f>
        <v>2062.025689095793</v>
      </c>
    </row>
    <row r="2749" spans="1:18" x14ac:dyDescent="0.25">
      <c r="A2749" s="60" t="s">
        <v>17</v>
      </c>
      <c r="B2749" s="61" t="s">
        <v>23</v>
      </c>
      <c r="C2749" s="62" t="s">
        <v>19</v>
      </c>
      <c r="D2749" s="63">
        <v>247.3434636639619</v>
      </c>
      <c r="E2749" s="79">
        <v>1336769</v>
      </c>
      <c r="F2749" s="80">
        <v>1306963.8758620699</v>
      </c>
      <c r="G2749" s="66">
        <v>2704.6254211425198</v>
      </c>
      <c r="H2749" s="67">
        <v>1</v>
      </c>
      <c r="I2749" s="68" t="s">
        <v>20</v>
      </c>
      <c r="J2749" s="69">
        <v>40</v>
      </c>
      <c r="K2749" s="70">
        <v>1</v>
      </c>
      <c r="L2749" s="68">
        <v>1</v>
      </c>
      <c r="M2749" s="68">
        <f>_xlfn.XLOOKUP(Survey!$F2749,sections[Start],sections[Test Section],,-1,1)</f>
        <v>8</v>
      </c>
      <c r="N2749" s="55">
        <f>_xlfn.XLOOKUP(Survey!$K2749,pipedata[ID],pipedata[WT])</f>
        <v>0.61699999999999999</v>
      </c>
      <c r="O2749" s="56">
        <f>_xlfn.XLOOKUP(Survey!$K2749,pipedata[ID],pipedata[104%])</f>
        <v>2138.9333333333334</v>
      </c>
      <c r="P2749" s="57">
        <f t="shared" si="42"/>
        <v>1850</v>
      </c>
      <c r="Q2749" s="58">
        <f>_xlfn.MAXIFS(Survey!$G$2:$G$3647,Survey!$M$2:$M$3647,Survey!$M2749)-Survey!$G2749</f>
        <v>483.08407167535006</v>
      </c>
      <c r="R2749" s="59">
        <f>Survey!$P2749+(Survey!$Q2749*0.433)</f>
        <v>2059.1754030354264</v>
      </c>
    </row>
    <row r="2750" spans="1:18" x14ac:dyDescent="0.25">
      <c r="A2750" s="71" t="s">
        <v>17</v>
      </c>
      <c r="B2750" s="72" t="s">
        <v>23</v>
      </c>
      <c r="C2750" s="73" t="s">
        <v>19</v>
      </c>
      <c r="D2750" s="74">
        <v>247.35180084412573</v>
      </c>
      <c r="E2750" s="81">
        <v>1336809</v>
      </c>
      <c r="F2750" s="82">
        <v>1307001.9862068975</v>
      </c>
      <c r="G2750" s="75">
        <v>2712.2124965725075</v>
      </c>
      <c r="H2750" s="76">
        <v>1</v>
      </c>
      <c r="I2750" s="54" t="s">
        <v>20</v>
      </c>
      <c r="J2750" s="77">
        <v>40</v>
      </c>
      <c r="K2750" s="78">
        <v>1</v>
      </c>
      <c r="L2750" s="54">
        <v>1</v>
      </c>
      <c r="M2750" s="54">
        <f>_xlfn.XLOOKUP(Survey!$F2750,sections[Start],sections[Test Section],,-1,1)</f>
        <v>8</v>
      </c>
      <c r="N2750" s="55">
        <f>_xlfn.XLOOKUP(Survey!$K2750,pipedata[ID],pipedata[WT])</f>
        <v>0.61699999999999999</v>
      </c>
      <c r="O2750" s="56">
        <f>_xlfn.XLOOKUP(Survey!$K2750,pipedata[ID],pipedata[104%])</f>
        <v>2138.9333333333334</v>
      </c>
      <c r="P2750" s="57">
        <f t="shared" si="42"/>
        <v>1850</v>
      </c>
      <c r="Q2750" s="58">
        <f>_xlfn.MAXIFS(Survey!$G$2:$G$3647,Survey!$M$2:$M$3647,Survey!$M2750)-Survey!$G2750</f>
        <v>475.49699624536242</v>
      </c>
      <c r="R2750" s="59">
        <f>Survey!$P2750+(Survey!$Q2750*0.433)</f>
        <v>2055.890199374242</v>
      </c>
    </row>
    <row r="2751" spans="1:18" x14ac:dyDescent="0.25">
      <c r="A2751" s="60" t="s">
        <v>17</v>
      </c>
      <c r="B2751" s="61" t="s">
        <v>23</v>
      </c>
      <c r="C2751" s="62" t="s">
        <v>19</v>
      </c>
      <c r="D2751" s="63">
        <v>247.35962708116116</v>
      </c>
      <c r="E2751" s="79">
        <v>1336849</v>
      </c>
      <c r="F2751" s="80">
        <v>1307040.0965517252</v>
      </c>
      <c r="G2751" s="66">
        <v>2717.0606019545721</v>
      </c>
      <c r="H2751" s="67">
        <v>1</v>
      </c>
      <c r="I2751" s="68" t="s">
        <v>20</v>
      </c>
      <c r="J2751" s="69">
        <v>40</v>
      </c>
      <c r="K2751" s="70">
        <v>1</v>
      </c>
      <c r="L2751" s="68">
        <v>1</v>
      </c>
      <c r="M2751" s="68">
        <f>_xlfn.XLOOKUP(Survey!$F2751,sections[Start],sections[Test Section],,-1,1)</f>
        <v>8</v>
      </c>
      <c r="N2751" s="55">
        <f>_xlfn.XLOOKUP(Survey!$K2751,pipedata[ID],pipedata[WT])</f>
        <v>0.61699999999999999</v>
      </c>
      <c r="O2751" s="56">
        <f>_xlfn.XLOOKUP(Survey!$K2751,pipedata[ID],pipedata[104%])</f>
        <v>2138.9333333333334</v>
      </c>
      <c r="P2751" s="57">
        <f t="shared" si="42"/>
        <v>1850</v>
      </c>
      <c r="Q2751" s="58">
        <f>_xlfn.MAXIFS(Survey!$G$2:$G$3647,Survey!$M$2:$M$3647,Survey!$M2751)-Survey!$G2751</f>
        <v>470.64889086329777</v>
      </c>
      <c r="R2751" s="59">
        <f>Survey!$P2751+(Survey!$Q2751*0.433)</f>
        <v>2053.7909697438081</v>
      </c>
    </row>
    <row r="2752" spans="1:18" x14ac:dyDescent="0.25">
      <c r="A2752" s="71" t="s">
        <v>17</v>
      </c>
      <c r="B2752" s="72" t="s">
        <v>23</v>
      </c>
      <c r="C2752" s="73" t="s">
        <v>19</v>
      </c>
      <c r="D2752" s="74">
        <v>247.36742778246773</v>
      </c>
      <c r="E2752" s="81">
        <v>1336889</v>
      </c>
      <c r="F2752" s="82">
        <v>1307078.2068965528</v>
      </c>
      <c r="G2752" s="75">
        <v>2726.1506112466413</v>
      </c>
      <c r="H2752" s="76">
        <v>1</v>
      </c>
      <c r="I2752" s="54" t="s">
        <v>20</v>
      </c>
      <c r="J2752" s="77">
        <v>40</v>
      </c>
      <c r="K2752" s="78">
        <v>1</v>
      </c>
      <c r="L2752" s="54">
        <v>1</v>
      </c>
      <c r="M2752" s="54">
        <f>_xlfn.XLOOKUP(Survey!$F2752,sections[Start],sections[Test Section],,-1,1)</f>
        <v>8</v>
      </c>
      <c r="N2752" s="55">
        <f>_xlfn.XLOOKUP(Survey!$K2752,pipedata[ID],pipedata[WT])</f>
        <v>0.61699999999999999</v>
      </c>
      <c r="O2752" s="56">
        <f>_xlfn.XLOOKUP(Survey!$K2752,pipedata[ID],pipedata[104%])</f>
        <v>2138.9333333333334</v>
      </c>
      <c r="P2752" s="57">
        <f t="shared" si="42"/>
        <v>1850</v>
      </c>
      <c r="Q2752" s="58">
        <f>_xlfn.MAXIFS(Survey!$G$2:$G$3647,Survey!$M$2:$M$3647,Survey!$M2752)-Survey!$G2752</f>
        <v>461.55888157122854</v>
      </c>
      <c r="R2752" s="59">
        <f>Survey!$P2752+(Survey!$Q2752*0.433)</f>
        <v>2049.8549957203418</v>
      </c>
    </row>
    <row r="2753" spans="1:18" x14ac:dyDescent="0.25">
      <c r="A2753" s="60" t="s">
        <v>17</v>
      </c>
      <c r="B2753" s="61" t="s">
        <v>23</v>
      </c>
      <c r="C2753" s="62" t="s">
        <v>19</v>
      </c>
      <c r="D2753" s="63">
        <v>247.37430453445629</v>
      </c>
      <c r="E2753" s="79">
        <v>1336929</v>
      </c>
      <c r="F2753" s="80">
        <v>1307116.3172413805</v>
      </c>
      <c r="G2753" s="66">
        <v>2732.8588380029341</v>
      </c>
      <c r="H2753" s="67">
        <v>1</v>
      </c>
      <c r="I2753" s="68" t="s">
        <v>20</v>
      </c>
      <c r="J2753" s="69">
        <v>40</v>
      </c>
      <c r="K2753" s="70">
        <v>1</v>
      </c>
      <c r="L2753" s="68">
        <v>1</v>
      </c>
      <c r="M2753" s="68">
        <f>_xlfn.XLOOKUP(Survey!$F2753,sections[Start],sections[Test Section],,-1,1)</f>
        <v>8</v>
      </c>
      <c r="N2753" s="55">
        <f>_xlfn.XLOOKUP(Survey!$K2753,pipedata[ID],pipedata[WT])</f>
        <v>0.61699999999999999</v>
      </c>
      <c r="O2753" s="56">
        <f>_xlfn.XLOOKUP(Survey!$K2753,pipedata[ID],pipedata[104%])</f>
        <v>2138.9333333333334</v>
      </c>
      <c r="P2753" s="57">
        <f t="shared" si="42"/>
        <v>1850</v>
      </c>
      <c r="Q2753" s="58">
        <f>_xlfn.MAXIFS(Survey!$G$2:$G$3647,Survey!$M$2:$M$3647,Survey!$M2753)-Survey!$G2753</f>
        <v>454.85065481493575</v>
      </c>
      <c r="R2753" s="59">
        <f>Survey!$P2753+(Survey!$Q2753*0.433)</f>
        <v>2046.9503335348672</v>
      </c>
    </row>
    <row r="2754" spans="1:18" x14ac:dyDescent="0.25">
      <c r="A2754" s="71" t="s">
        <v>17</v>
      </c>
      <c r="B2754" s="72" t="s">
        <v>23</v>
      </c>
      <c r="C2754" s="73" t="s">
        <v>19</v>
      </c>
      <c r="D2754" s="74">
        <v>247.38107938934695</v>
      </c>
      <c r="E2754" s="81">
        <v>1336969</v>
      </c>
      <c r="F2754" s="82">
        <v>1307154.4275862081</v>
      </c>
      <c r="G2754" s="75">
        <v>2740.7095077112317</v>
      </c>
      <c r="H2754" s="76">
        <v>1</v>
      </c>
      <c r="I2754" s="54" t="s">
        <v>20</v>
      </c>
      <c r="J2754" s="77">
        <v>40</v>
      </c>
      <c r="K2754" s="78">
        <v>1</v>
      </c>
      <c r="L2754" s="54">
        <v>1</v>
      </c>
      <c r="M2754" s="54">
        <f>_xlfn.XLOOKUP(Survey!$F2754,sections[Start],sections[Test Section],,-1,1)</f>
        <v>8</v>
      </c>
      <c r="N2754" s="55">
        <f>_xlfn.XLOOKUP(Survey!$K2754,pipedata[ID],pipedata[WT])</f>
        <v>0.61699999999999999</v>
      </c>
      <c r="O2754" s="56">
        <f>_xlfn.XLOOKUP(Survey!$K2754,pipedata[ID],pipedata[104%])</f>
        <v>2138.9333333333334</v>
      </c>
      <c r="P2754" s="57">
        <f t="shared" ref="P2754:P2817" si="43">IF(L2754=1,1850,IF(L2754=2,1850,2220))</f>
        <v>1850</v>
      </c>
      <c r="Q2754" s="58">
        <f>_xlfn.MAXIFS(Survey!$G$2:$G$3647,Survey!$M$2:$M$3647,Survey!$M2754)-Survey!$G2754</f>
        <v>446.99998510663818</v>
      </c>
      <c r="R2754" s="59">
        <f>Survey!$P2754+(Survey!$Q2754*0.433)</f>
        <v>2043.5509935511743</v>
      </c>
    </row>
    <row r="2755" spans="1:18" x14ac:dyDescent="0.25">
      <c r="A2755" s="60" t="s">
        <v>17</v>
      </c>
      <c r="B2755" s="61" t="s">
        <v>23</v>
      </c>
      <c r="C2755" s="62" t="s">
        <v>19</v>
      </c>
      <c r="D2755" s="63">
        <v>247.38937947051383</v>
      </c>
      <c r="E2755" s="79">
        <v>1337009</v>
      </c>
      <c r="F2755" s="80">
        <v>1307192.5379310357</v>
      </c>
      <c r="G2755" s="66">
        <v>2747.2112496065674</v>
      </c>
      <c r="H2755" s="67">
        <v>1</v>
      </c>
      <c r="I2755" s="68" t="s">
        <v>20</v>
      </c>
      <c r="J2755" s="69">
        <v>40</v>
      </c>
      <c r="K2755" s="70">
        <v>1</v>
      </c>
      <c r="L2755" s="68">
        <v>1</v>
      </c>
      <c r="M2755" s="68">
        <f>_xlfn.XLOOKUP(Survey!$F2755,sections[Start],sections[Test Section],,-1,1)</f>
        <v>8</v>
      </c>
      <c r="N2755" s="55">
        <f>_xlfn.XLOOKUP(Survey!$K2755,pipedata[ID],pipedata[WT])</f>
        <v>0.61699999999999999</v>
      </c>
      <c r="O2755" s="56">
        <f>_xlfn.XLOOKUP(Survey!$K2755,pipedata[ID],pipedata[104%])</f>
        <v>2138.9333333333334</v>
      </c>
      <c r="P2755" s="57">
        <f t="shared" si="43"/>
        <v>1850</v>
      </c>
      <c r="Q2755" s="58">
        <f>_xlfn.MAXIFS(Survey!$G$2:$G$3647,Survey!$M$2:$M$3647,Survey!$M2755)-Survey!$G2755</f>
        <v>440.49824321130245</v>
      </c>
      <c r="R2755" s="59">
        <f>Survey!$P2755+(Survey!$Q2755*0.433)</f>
        <v>2040.735739310494</v>
      </c>
    </row>
    <row r="2756" spans="1:18" x14ac:dyDescent="0.25">
      <c r="A2756" s="71" t="s">
        <v>17</v>
      </c>
      <c r="B2756" s="72" t="s">
        <v>23</v>
      </c>
      <c r="C2756" s="73" t="s">
        <v>19</v>
      </c>
      <c r="D2756" s="74">
        <v>247.39608807017356</v>
      </c>
      <c r="E2756" s="81">
        <v>1337049</v>
      </c>
      <c r="F2756" s="82">
        <v>1307230.6482758634</v>
      </c>
      <c r="G2756" s="75">
        <v>2753.9311035611672</v>
      </c>
      <c r="H2756" s="76">
        <v>1</v>
      </c>
      <c r="I2756" s="54" t="s">
        <v>20</v>
      </c>
      <c r="J2756" s="77">
        <v>40</v>
      </c>
      <c r="K2756" s="78">
        <v>1</v>
      </c>
      <c r="L2756" s="54">
        <v>1</v>
      </c>
      <c r="M2756" s="54">
        <f>_xlfn.XLOOKUP(Survey!$F2756,sections[Start],sections[Test Section],,-1,1)</f>
        <v>8</v>
      </c>
      <c r="N2756" s="55">
        <f>_xlfn.XLOOKUP(Survey!$K2756,pipedata[ID],pipedata[WT])</f>
        <v>0.61699999999999999</v>
      </c>
      <c r="O2756" s="56">
        <f>_xlfn.XLOOKUP(Survey!$K2756,pipedata[ID],pipedata[104%])</f>
        <v>2138.9333333333334</v>
      </c>
      <c r="P2756" s="57">
        <f t="shared" si="43"/>
        <v>1850</v>
      </c>
      <c r="Q2756" s="58">
        <f>_xlfn.MAXIFS(Survey!$G$2:$G$3647,Survey!$M$2:$M$3647,Survey!$M2756)-Survey!$G2756</f>
        <v>433.77838925670267</v>
      </c>
      <c r="R2756" s="59">
        <f>Survey!$P2756+(Survey!$Q2756*0.433)</f>
        <v>2037.8260425481521</v>
      </c>
    </row>
    <row r="2757" spans="1:18" x14ac:dyDescent="0.25">
      <c r="A2757" s="60" t="s">
        <v>17</v>
      </c>
      <c r="B2757" s="61" t="s">
        <v>23</v>
      </c>
      <c r="C2757" s="62" t="s">
        <v>19</v>
      </c>
      <c r="D2757" s="63">
        <v>247.40421617573932</v>
      </c>
      <c r="E2757" s="79">
        <v>1337089</v>
      </c>
      <c r="F2757" s="80">
        <v>1307268.758620691</v>
      </c>
      <c r="G2757" s="66">
        <v>2762.3631672294887</v>
      </c>
      <c r="H2757" s="67">
        <v>1</v>
      </c>
      <c r="I2757" s="68" t="s">
        <v>20</v>
      </c>
      <c r="J2757" s="69">
        <v>40</v>
      </c>
      <c r="K2757" s="70">
        <v>1</v>
      </c>
      <c r="L2757" s="68">
        <v>1</v>
      </c>
      <c r="M2757" s="68">
        <f>_xlfn.XLOOKUP(Survey!$F2757,sections[Start],sections[Test Section],,-1,1)</f>
        <v>8</v>
      </c>
      <c r="N2757" s="55">
        <f>_xlfn.XLOOKUP(Survey!$K2757,pipedata[ID],pipedata[WT])</f>
        <v>0.61699999999999999</v>
      </c>
      <c r="O2757" s="56">
        <f>_xlfn.XLOOKUP(Survey!$K2757,pipedata[ID],pipedata[104%])</f>
        <v>2138.9333333333334</v>
      </c>
      <c r="P2757" s="57">
        <f t="shared" si="43"/>
        <v>1850</v>
      </c>
      <c r="Q2757" s="58">
        <f>_xlfn.MAXIFS(Survey!$G$2:$G$3647,Survey!$M$2:$M$3647,Survey!$M2757)-Survey!$G2757</f>
        <v>425.34632558838121</v>
      </c>
      <c r="R2757" s="59">
        <f>Survey!$P2757+(Survey!$Q2757*0.433)</f>
        <v>2034.1749589797691</v>
      </c>
    </row>
    <row r="2758" spans="1:18" x14ac:dyDescent="0.25">
      <c r="A2758" s="71" t="s">
        <v>17</v>
      </c>
      <c r="B2758" s="72" t="s">
        <v>23</v>
      </c>
      <c r="C2758" s="73" t="s">
        <v>19</v>
      </c>
      <c r="D2758" s="74">
        <v>247.4108482985387</v>
      </c>
      <c r="E2758" s="81">
        <v>1337129</v>
      </c>
      <c r="F2758" s="82">
        <v>1307306.8689655187</v>
      </c>
      <c r="G2758" s="75">
        <v>2776.2584318205527</v>
      </c>
      <c r="H2758" s="76">
        <v>1</v>
      </c>
      <c r="I2758" s="54" t="s">
        <v>20</v>
      </c>
      <c r="J2758" s="77">
        <v>40</v>
      </c>
      <c r="K2758" s="78">
        <v>1</v>
      </c>
      <c r="L2758" s="54">
        <v>1</v>
      </c>
      <c r="M2758" s="54">
        <f>_xlfn.XLOOKUP(Survey!$F2758,sections[Start],sections[Test Section],,-1,1)</f>
        <v>8</v>
      </c>
      <c r="N2758" s="55">
        <f>_xlfn.XLOOKUP(Survey!$K2758,pipedata[ID],pipedata[WT])</f>
        <v>0.61699999999999999</v>
      </c>
      <c r="O2758" s="56">
        <f>_xlfn.XLOOKUP(Survey!$K2758,pipedata[ID],pipedata[104%])</f>
        <v>2138.9333333333334</v>
      </c>
      <c r="P2758" s="57">
        <f t="shared" si="43"/>
        <v>1850</v>
      </c>
      <c r="Q2758" s="58">
        <f>_xlfn.MAXIFS(Survey!$G$2:$G$3647,Survey!$M$2:$M$3647,Survey!$M2758)-Survey!$G2758</f>
        <v>411.4510609973172</v>
      </c>
      <c r="R2758" s="59">
        <f>Survey!$P2758+(Survey!$Q2758*0.433)</f>
        <v>2028.1583094118384</v>
      </c>
    </row>
    <row r="2759" spans="1:18" x14ac:dyDescent="0.25">
      <c r="A2759" s="60" t="s">
        <v>17</v>
      </c>
      <c r="B2759" s="61" t="s">
        <v>23</v>
      </c>
      <c r="C2759" s="62" t="s">
        <v>19</v>
      </c>
      <c r="D2759" s="63">
        <v>247.41817399802756</v>
      </c>
      <c r="E2759" s="79">
        <v>1337169</v>
      </c>
      <c r="F2759" s="80">
        <v>1307344.9793103463</v>
      </c>
      <c r="G2759" s="66">
        <v>2792.4270345917921</v>
      </c>
      <c r="H2759" s="67">
        <v>1</v>
      </c>
      <c r="I2759" s="68" t="s">
        <v>20</v>
      </c>
      <c r="J2759" s="69">
        <v>40</v>
      </c>
      <c r="K2759" s="70">
        <v>1</v>
      </c>
      <c r="L2759" s="68">
        <v>1</v>
      </c>
      <c r="M2759" s="68">
        <f>_xlfn.XLOOKUP(Survey!$F2759,sections[Start],sections[Test Section],,-1,1)</f>
        <v>8</v>
      </c>
      <c r="N2759" s="55">
        <f>_xlfn.XLOOKUP(Survey!$K2759,pipedata[ID],pipedata[WT])</f>
        <v>0.61699999999999999</v>
      </c>
      <c r="O2759" s="56">
        <f>_xlfn.XLOOKUP(Survey!$K2759,pipedata[ID],pipedata[104%])</f>
        <v>2138.9333333333334</v>
      </c>
      <c r="P2759" s="57">
        <f t="shared" si="43"/>
        <v>1850</v>
      </c>
      <c r="Q2759" s="58">
        <f>_xlfn.MAXIFS(Survey!$G$2:$G$3647,Survey!$M$2:$M$3647,Survey!$M2759)-Survey!$G2759</f>
        <v>395.28245822607778</v>
      </c>
      <c r="R2759" s="59">
        <f>Survey!$P2759+(Survey!$Q2759*0.433)</f>
        <v>2021.1573044118918</v>
      </c>
    </row>
    <row r="2760" spans="1:18" x14ac:dyDescent="0.25">
      <c r="A2760" s="71" t="s">
        <v>17</v>
      </c>
      <c r="B2760" s="72" t="s">
        <v>23</v>
      </c>
      <c r="C2760" s="73" t="s">
        <v>19</v>
      </c>
      <c r="D2760" s="74">
        <v>247.42568352311744</v>
      </c>
      <c r="E2760" s="81">
        <v>1337209</v>
      </c>
      <c r="F2760" s="82">
        <v>1307383.0896551739</v>
      </c>
      <c r="G2760" s="75">
        <v>2803.7440590235492</v>
      </c>
      <c r="H2760" s="76">
        <v>1</v>
      </c>
      <c r="I2760" s="54" t="s">
        <v>20</v>
      </c>
      <c r="J2760" s="77">
        <v>40</v>
      </c>
      <c r="K2760" s="78">
        <v>1</v>
      </c>
      <c r="L2760" s="54">
        <v>1</v>
      </c>
      <c r="M2760" s="54">
        <f>_xlfn.XLOOKUP(Survey!$F2760,sections[Start],sections[Test Section],,-1,1)</f>
        <v>8</v>
      </c>
      <c r="N2760" s="55">
        <f>_xlfn.XLOOKUP(Survey!$K2760,pipedata[ID],pipedata[WT])</f>
        <v>0.61699999999999999</v>
      </c>
      <c r="O2760" s="56">
        <f>_xlfn.XLOOKUP(Survey!$K2760,pipedata[ID],pipedata[104%])</f>
        <v>2138.9333333333334</v>
      </c>
      <c r="P2760" s="57">
        <f t="shared" si="43"/>
        <v>1850</v>
      </c>
      <c r="Q2760" s="58">
        <f>_xlfn.MAXIFS(Survey!$G$2:$G$3647,Survey!$M$2:$M$3647,Survey!$M2760)-Survey!$G2760</f>
        <v>383.96543379432069</v>
      </c>
      <c r="R2760" s="59">
        <f>Survey!$P2760+(Survey!$Q2760*0.433)</f>
        <v>2016.2570328329409</v>
      </c>
    </row>
    <row r="2761" spans="1:18" x14ac:dyDescent="0.25">
      <c r="A2761" s="60" t="s">
        <v>17</v>
      </c>
      <c r="B2761" s="61" t="s">
        <v>23</v>
      </c>
      <c r="C2761" s="62" t="s">
        <v>19</v>
      </c>
      <c r="D2761" s="63">
        <v>247.43253899641886</v>
      </c>
      <c r="E2761" s="79">
        <v>1337249</v>
      </c>
      <c r="F2761" s="80">
        <v>1307421.2000000016</v>
      </c>
      <c r="G2761" s="66">
        <v>2817.6618900713611</v>
      </c>
      <c r="H2761" s="67">
        <v>1</v>
      </c>
      <c r="I2761" s="68" t="s">
        <v>20</v>
      </c>
      <c r="J2761" s="69">
        <v>40</v>
      </c>
      <c r="K2761" s="70">
        <v>1</v>
      </c>
      <c r="L2761" s="68">
        <v>1</v>
      </c>
      <c r="M2761" s="68">
        <f>_xlfn.XLOOKUP(Survey!$F2761,sections[Start],sections[Test Section],,-1,1)</f>
        <v>8</v>
      </c>
      <c r="N2761" s="55">
        <f>_xlfn.XLOOKUP(Survey!$K2761,pipedata[ID],pipedata[WT])</f>
        <v>0.61699999999999999</v>
      </c>
      <c r="O2761" s="56">
        <f>_xlfn.XLOOKUP(Survey!$K2761,pipedata[ID],pipedata[104%])</f>
        <v>2138.9333333333334</v>
      </c>
      <c r="P2761" s="57">
        <f t="shared" si="43"/>
        <v>1850</v>
      </c>
      <c r="Q2761" s="58">
        <f>_xlfn.MAXIFS(Survey!$G$2:$G$3647,Survey!$M$2:$M$3647,Survey!$M2761)-Survey!$G2761</f>
        <v>370.0476027465088</v>
      </c>
      <c r="R2761" s="59">
        <f>Survey!$P2761+(Survey!$Q2761*0.433)</f>
        <v>2010.2306119892382</v>
      </c>
    </row>
    <row r="2762" spans="1:18" x14ac:dyDescent="0.25">
      <c r="A2762" s="71" t="s">
        <v>17</v>
      </c>
      <c r="B2762" s="72" t="s">
        <v>23</v>
      </c>
      <c r="C2762" s="73" t="s">
        <v>19</v>
      </c>
      <c r="D2762" s="74">
        <v>247.43939446972044</v>
      </c>
      <c r="E2762" s="81">
        <v>1337289</v>
      </c>
      <c r="F2762" s="82">
        <v>1307459.3103448292</v>
      </c>
      <c r="G2762" s="75">
        <v>2830.0523652788702</v>
      </c>
      <c r="H2762" s="76">
        <v>1</v>
      </c>
      <c r="I2762" s="54" t="s">
        <v>20</v>
      </c>
      <c r="J2762" s="77">
        <v>40</v>
      </c>
      <c r="K2762" s="78">
        <v>1</v>
      </c>
      <c r="L2762" s="54">
        <v>1</v>
      </c>
      <c r="M2762" s="54">
        <f>_xlfn.XLOOKUP(Survey!$F2762,sections[Start],sections[Test Section],,-1,1)</f>
        <v>8</v>
      </c>
      <c r="N2762" s="55">
        <f>_xlfn.XLOOKUP(Survey!$K2762,pipedata[ID],pipedata[WT])</f>
        <v>0.61699999999999999</v>
      </c>
      <c r="O2762" s="56">
        <f>_xlfn.XLOOKUP(Survey!$K2762,pipedata[ID],pipedata[104%])</f>
        <v>2138.9333333333334</v>
      </c>
      <c r="P2762" s="57">
        <f t="shared" si="43"/>
        <v>1850</v>
      </c>
      <c r="Q2762" s="58">
        <f>_xlfn.MAXIFS(Survey!$G$2:$G$3647,Survey!$M$2:$M$3647,Survey!$M2762)-Survey!$G2762</f>
        <v>357.6571275389997</v>
      </c>
      <c r="R2762" s="59">
        <f>Survey!$P2762+(Survey!$Q2762*0.433)</f>
        <v>2004.8655362243869</v>
      </c>
    </row>
    <row r="2763" spans="1:18" x14ac:dyDescent="0.25">
      <c r="A2763" s="60" t="s">
        <v>17</v>
      </c>
      <c r="B2763" s="61" t="s">
        <v>23</v>
      </c>
      <c r="C2763" s="62" t="s">
        <v>19</v>
      </c>
      <c r="D2763" s="63">
        <v>247.44762103768247</v>
      </c>
      <c r="E2763" s="79">
        <v>1337329</v>
      </c>
      <c r="F2763" s="80">
        <v>1307497.4206896569</v>
      </c>
      <c r="G2763" s="66">
        <v>2840.6778865398669</v>
      </c>
      <c r="H2763" s="67">
        <v>1</v>
      </c>
      <c r="I2763" s="68" t="s">
        <v>20</v>
      </c>
      <c r="J2763" s="69">
        <v>40</v>
      </c>
      <c r="K2763" s="70">
        <v>1</v>
      </c>
      <c r="L2763" s="68">
        <v>1</v>
      </c>
      <c r="M2763" s="68">
        <f>_xlfn.XLOOKUP(Survey!$F2763,sections[Start],sections[Test Section],,-1,1)</f>
        <v>8</v>
      </c>
      <c r="N2763" s="55">
        <f>_xlfn.XLOOKUP(Survey!$K2763,pipedata[ID],pipedata[WT])</f>
        <v>0.61699999999999999</v>
      </c>
      <c r="O2763" s="56">
        <f>_xlfn.XLOOKUP(Survey!$K2763,pipedata[ID],pipedata[104%])</f>
        <v>2138.9333333333334</v>
      </c>
      <c r="P2763" s="57">
        <f t="shared" si="43"/>
        <v>1850</v>
      </c>
      <c r="Q2763" s="58">
        <f>_xlfn.MAXIFS(Survey!$G$2:$G$3647,Survey!$M$2:$M$3647,Survey!$M2763)-Survey!$G2763</f>
        <v>347.03160627800298</v>
      </c>
      <c r="R2763" s="59">
        <f>Survey!$P2763+(Survey!$Q2763*0.433)</f>
        <v>2000.2646855183752</v>
      </c>
    </row>
    <row r="2764" spans="1:18" x14ac:dyDescent="0.25">
      <c r="A2764" s="71" t="s">
        <v>17</v>
      </c>
      <c r="B2764" s="72" t="s">
        <v>23</v>
      </c>
      <c r="C2764" s="73" t="s">
        <v>19</v>
      </c>
      <c r="D2764" s="74">
        <v>247.45498288787635</v>
      </c>
      <c r="E2764" s="81">
        <v>1337369</v>
      </c>
      <c r="F2764" s="82">
        <v>1307535.5310344845</v>
      </c>
      <c r="G2764" s="75">
        <v>2851.6335617094069</v>
      </c>
      <c r="H2764" s="76">
        <v>1</v>
      </c>
      <c r="I2764" s="54" t="s">
        <v>20</v>
      </c>
      <c r="J2764" s="77">
        <v>40</v>
      </c>
      <c r="K2764" s="78">
        <v>1</v>
      </c>
      <c r="L2764" s="54">
        <v>1</v>
      </c>
      <c r="M2764" s="54">
        <f>_xlfn.XLOOKUP(Survey!$F2764,sections[Start],sections[Test Section],,-1,1)</f>
        <v>8</v>
      </c>
      <c r="N2764" s="55">
        <f>_xlfn.XLOOKUP(Survey!$K2764,pipedata[ID],pipedata[WT])</f>
        <v>0.61699999999999999</v>
      </c>
      <c r="O2764" s="56">
        <f>_xlfn.XLOOKUP(Survey!$K2764,pipedata[ID],pipedata[104%])</f>
        <v>2138.9333333333334</v>
      </c>
      <c r="P2764" s="57">
        <f t="shared" si="43"/>
        <v>1850</v>
      </c>
      <c r="Q2764" s="58">
        <f>_xlfn.MAXIFS(Survey!$G$2:$G$3647,Survey!$M$2:$M$3647,Survey!$M2764)-Survey!$G2764</f>
        <v>336.07593110846301</v>
      </c>
      <c r="R2764" s="59">
        <f>Survey!$P2764+(Survey!$Q2764*0.433)</f>
        <v>1995.5208781699644</v>
      </c>
    </row>
    <row r="2765" spans="1:18" x14ac:dyDescent="0.25">
      <c r="A2765" s="60" t="s">
        <v>17</v>
      </c>
      <c r="B2765" s="61" t="s">
        <v>23</v>
      </c>
      <c r="C2765" s="62" t="s">
        <v>19</v>
      </c>
      <c r="D2765" s="63">
        <v>247.46200947722198</v>
      </c>
      <c r="E2765" s="79">
        <v>1337409</v>
      </c>
      <c r="F2765" s="80">
        <v>1307573.6413793121</v>
      </c>
      <c r="G2765" s="66">
        <v>2860.8260926028624</v>
      </c>
      <c r="H2765" s="67">
        <v>1</v>
      </c>
      <c r="I2765" s="68" t="s">
        <v>20</v>
      </c>
      <c r="J2765" s="69">
        <v>40</v>
      </c>
      <c r="K2765" s="70">
        <v>1</v>
      </c>
      <c r="L2765" s="68">
        <v>1</v>
      </c>
      <c r="M2765" s="68">
        <f>_xlfn.XLOOKUP(Survey!$F2765,sections[Start],sections[Test Section],,-1,1)</f>
        <v>8</v>
      </c>
      <c r="N2765" s="55">
        <f>_xlfn.XLOOKUP(Survey!$K2765,pipedata[ID],pipedata[WT])</f>
        <v>0.61699999999999999</v>
      </c>
      <c r="O2765" s="56">
        <f>_xlfn.XLOOKUP(Survey!$K2765,pipedata[ID],pipedata[104%])</f>
        <v>2138.9333333333334</v>
      </c>
      <c r="P2765" s="57">
        <f t="shared" si="43"/>
        <v>1850</v>
      </c>
      <c r="Q2765" s="58">
        <f>_xlfn.MAXIFS(Survey!$G$2:$G$3647,Survey!$M$2:$M$3647,Survey!$M2765)-Survey!$G2765</f>
        <v>326.88340021500744</v>
      </c>
      <c r="R2765" s="59">
        <f>Survey!$P2765+(Survey!$Q2765*0.433)</f>
        <v>1991.5405122930983</v>
      </c>
    </row>
    <row r="2766" spans="1:18" x14ac:dyDescent="0.25">
      <c r="A2766" s="71" t="s">
        <v>17</v>
      </c>
      <c r="B2766" s="72" t="s">
        <v>23</v>
      </c>
      <c r="C2766" s="73" t="s">
        <v>19</v>
      </c>
      <c r="D2766" s="74">
        <v>247.46937809255388</v>
      </c>
      <c r="E2766" s="81">
        <v>1337449</v>
      </c>
      <c r="F2766" s="82">
        <v>1307611.7517241398</v>
      </c>
      <c r="G2766" s="75">
        <v>2868.8411667900468</v>
      </c>
      <c r="H2766" s="76">
        <v>1</v>
      </c>
      <c r="I2766" s="54" t="s">
        <v>20</v>
      </c>
      <c r="J2766" s="77">
        <v>40</v>
      </c>
      <c r="K2766" s="78">
        <v>1</v>
      </c>
      <c r="L2766" s="54">
        <v>1</v>
      </c>
      <c r="M2766" s="54">
        <f>_xlfn.XLOOKUP(Survey!$F2766,sections[Start],sections[Test Section],,-1,1)</f>
        <v>8</v>
      </c>
      <c r="N2766" s="55">
        <f>_xlfn.XLOOKUP(Survey!$K2766,pipedata[ID],pipedata[WT])</f>
        <v>0.61699999999999999</v>
      </c>
      <c r="O2766" s="56">
        <f>_xlfn.XLOOKUP(Survey!$K2766,pipedata[ID],pipedata[104%])</f>
        <v>2138.9333333333334</v>
      </c>
      <c r="P2766" s="57">
        <f t="shared" si="43"/>
        <v>1850</v>
      </c>
      <c r="Q2766" s="58">
        <f>_xlfn.MAXIFS(Survey!$G$2:$G$3647,Survey!$M$2:$M$3647,Survey!$M2766)-Survey!$G2766</f>
        <v>318.86832602782306</v>
      </c>
      <c r="R2766" s="59">
        <f>Survey!$P2766+(Survey!$Q2766*0.433)</f>
        <v>1988.0699851700474</v>
      </c>
    </row>
    <row r="2767" spans="1:18" x14ac:dyDescent="0.25">
      <c r="A2767" s="60" t="s">
        <v>17</v>
      </c>
      <c r="B2767" s="61" t="s">
        <v>23</v>
      </c>
      <c r="C2767" s="62" t="s">
        <v>19</v>
      </c>
      <c r="D2767" s="63">
        <v>247.47603803699047</v>
      </c>
      <c r="E2767" s="79">
        <v>1337489</v>
      </c>
      <c r="F2767" s="80">
        <v>1307649.8620689674</v>
      </c>
      <c r="G2767" s="66">
        <v>2877.9353444319968</v>
      </c>
      <c r="H2767" s="67">
        <v>1</v>
      </c>
      <c r="I2767" s="68" t="s">
        <v>20</v>
      </c>
      <c r="J2767" s="69">
        <v>40</v>
      </c>
      <c r="K2767" s="70">
        <v>1</v>
      </c>
      <c r="L2767" s="68">
        <v>1</v>
      </c>
      <c r="M2767" s="68">
        <f>_xlfn.XLOOKUP(Survey!$F2767,sections[Start],sections[Test Section],,-1,1)</f>
        <v>8</v>
      </c>
      <c r="N2767" s="55">
        <f>_xlfn.XLOOKUP(Survey!$K2767,pipedata[ID],pipedata[WT])</f>
        <v>0.61699999999999999</v>
      </c>
      <c r="O2767" s="56">
        <f>_xlfn.XLOOKUP(Survey!$K2767,pipedata[ID],pipedata[104%])</f>
        <v>2138.9333333333334</v>
      </c>
      <c r="P2767" s="57">
        <f t="shared" si="43"/>
        <v>1850</v>
      </c>
      <c r="Q2767" s="58">
        <f>_xlfn.MAXIFS(Survey!$G$2:$G$3647,Survey!$M$2:$M$3647,Survey!$M2767)-Survey!$G2767</f>
        <v>309.7741483858731</v>
      </c>
      <c r="R2767" s="59">
        <f>Survey!$P2767+(Survey!$Q2767*0.433)</f>
        <v>1984.1322062510831</v>
      </c>
    </row>
    <row r="2768" spans="1:18" x14ac:dyDescent="0.25">
      <c r="A2768" s="71" t="s">
        <v>17</v>
      </c>
      <c r="B2768" s="72" t="s">
        <v>23</v>
      </c>
      <c r="C2768" s="73" t="s">
        <v>19</v>
      </c>
      <c r="D2768" s="74">
        <v>247.48325149077343</v>
      </c>
      <c r="E2768" s="81">
        <v>1337529</v>
      </c>
      <c r="F2768" s="82">
        <v>1307687.9724137951</v>
      </c>
      <c r="G2768" s="75">
        <v>2887.8448944549564</v>
      </c>
      <c r="H2768" s="76">
        <v>1</v>
      </c>
      <c r="I2768" s="54" t="s">
        <v>20</v>
      </c>
      <c r="J2768" s="77">
        <v>40</v>
      </c>
      <c r="K2768" s="78">
        <v>1</v>
      </c>
      <c r="L2768" s="54">
        <v>1</v>
      </c>
      <c r="M2768" s="54">
        <f>_xlfn.XLOOKUP(Survey!$F2768,sections[Start],sections[Test Section],,-1,1)</f>
        <v>8</v>
      </c>
      <c r="N2768" s="55">
        <f>_xlfn.XLOOKUP(Survey!$K2768,pipedata[ID],pipedata[WT])</f>
        <v>0.61699999999999999</v>
      </c>
      <c r="O2768" s="56">
        <f>_xlfn.XLOOKUP(Survey!$K2768,pipedata[ID],pipedata[104%])</f>
        <v>2138.9333333333334</v>
      </c>
      <c r="P2768" s="57">
        <f t="shared" si="43"/>
        <v>1850</v>
      </c>
      <c r="Q2768" s="58">
        <f>_xlfn.MAXIFS(Survey!$G$2:$G$3647,Survey!$M$2:$M$3647,Survey!$M2768)-Survey!$G2768</f>
        <v>299.86459836291351</v>
      </c>
      <c r="R2768" s="59">
        <f>Survey!$P2768+(Survey!$Q2768*0.433)</f>
        <v>1979.8413710911416</v>
      </c>
    </row>
    <row r="2769" spans="1:18" x14ac:dyDescent="0.25">
      <c r="A2769" s="60" t="s">
        <v>17</v>
      </c>
      <c r="B2769" s="61" t="s">
        <v>23</v>
      </c>
      <c r="C2769" s="62" t="s">
        <v>19</v>
      </c>
      <c r="D2769" s="63">
        <v>247.49138093726506</v>
      </c>
      <c r="E2769" s="79">
        <v>1337569</v>
      </c>
      <c r="F2769" s="80">
        <v>1307726.0827586227</v>
      </c>
      <c r="G2769" s="66">
        <v>2895.7038859365844</v>
      </c>
      <c r="H2769" s="67">
        <v>1</v>
      </c>
      <c r="I2769" s="68" t="s">
        <v>20</v>
      </c>
      <c r="J2769" s="69">
        <v>40</v>
      </c>
      <c r="K2769" s="70">
        <v>1</v>
      </c>
      <c r="L2769" s="68">
        <v>1</v>
      </c>
      <c r="M2769" s="68">
        <f>_xlfn.XLOOKUP(Survey!$F2769,sections[Start],sections[Test Section],,-1,1)</f>
        <v>8</v>
      </c>
      <c r="N2769" s="55">
        <f>_xlfn.XLOOKUP(Survey!$K2769,pipedata[ID],pipedata[WT])</f>
        <v>0.61699999999999999</v>
      </c>
      <c r="O2769" s="56">
        <f>_xlfn.XLOOKUP(Survey!$K2769,pipedata[ID],pipedata[104%])</f>
        <v>2138.9333333333334</v>
      </c>
      <c r="P2769" s="57">
        <f t="shared" si="43"/>
        <v>1850</v>
      </c>
      <c r="Q2769" s="58">
        <f>_xlfn.MAXIFS(Survey!$G$2:$G$3647,Survey!$M$2:$M$3647,Survey!$M2769)-Survey!$G2769</f>
        <v>292.00560688128553</v>
      </c>
      <c r="R2769" s="59">
        <f>Survey!$P2769+(Survey!$Q2769*0.433)</f>
        <v>1976.4384277795966</v>
      </c>
    </row>
    <row r="2770" spans="1:18" x14ac:dyDescent="0.25">
      <c r="A2770" s="71" t="s">
        <v>17</v>
      </c>
      <c r="B2770" s="72" t="s">
        <v>23</v>
      </c>
      <c r="C2770" s="73" t="s">
        <v>19</v>
      </c>
      <c r="D2770" s="74">
        <v>247.49866038126933</v>
      </c>
      <c r="E2770" s="81">
        <v>1337609</v>
      </c>
      <c r="F2770" s="82">
        <v>1307764.1931034504</v>
      </c>
      <c r="G2770" s="75">
        <v>2908.3114358984444</v>
      </c>
      <c r="H2770" s="76">
        <v>1</v>
      </c>
      <c r="I2770" s="54" t="s">
        <v>20</v>
      </c>
      <c r="J2770" s="77">
        <v>40</v>
      </c>
      <c r="K2770" s="78">
        <v>1</v>
      </c>
      <c r="L2770" s="54">
        <v>1</v>
      </c>
      <c r="M2770" s="54">
        <f>_xlfn.XLOOKUP(Survey!$F2770,sections[Start],sections[Test Section],,-1,1)</f>
        <v>8</v>
      </c>
      <c r="N2770" s="55">
        <f>_xlfn.XLOOKUP(Survey!$K2770,pipedata[ID],pipedata[WT])</f>
        <v>0.61699999999999999</v>
      </c>
      <c r="O2770" s="56">
        <f>_xlfn.XLOOKUP(Survey!$K2770,pipedata[ID],pipedata[104%])</f>
        <v>2138.9333333333334</v>
      </c>
      <c r="P2770" s="57">
        <f t="shared" si="43"/>
        <v>1850</v>
      </c>
      <c r="Q2770" s="58">
        <f>_xlfn.MAXIFS(Survey!$G$2:$G$3647,Survey!$M$2:$M$3647,Survey!$M2770)-Survey!$G2770</f>
        <v>279.39805691942547</v>
      </c>
      <c r="R2770" s="59">
        <f>Survey!$P2770+(Survey!$Q2770*0.433)</f>
        <v>1970.9793586461112</v>
      </c>
    </row>
    <row r="2771" spans="1:18" x14ac:dyDescent="0.25">
      <c r="A2771" s="60" t="s">
        <v>17</v>
      </c>
      <c r="B2771" s="61" t="s">
        <v>23</v>
      </c>
      <c r="C2771" s="62" t="s">
        <v>19</v>
      </c>
      <c r="D2771" s="63">
        <v>247.50481995589772</v>
      </c>
      <c r="E2771" s="79">
        <v>1337649</v>
      </c>
      <c r="F2771" s="80">
        <v>1307802.303448278</v>
      </c>
      <c r="G2771" s="66">
        <v>2921.5550141743756</v>
      </c>
      <c r="H2771" s="67">
        <v>1</v>
      </c>
      <c r="I2771" s="68" t="s">
        <v>20</v>
      </c>
      <c r="J2771" s="69">
        <v>40</v>
      </c>
      <c r="K2771" s="70">
        <v>1</v>
      </c>
      <c r="L2771" s="68">
        <v>1</v>
      </c>
      <c r="M2771" s="68">
        <f>_xlfn.XLOOKUP(Survey!$F2771,sections[Start],sections[Test Section],,-1,1)</f>
        <v>8</v>
      </c>
      <c r="N2771" s="55">
        <f>_xlfn.XLOOKUP(Survey!$K2771,pipedata[ID],pipedata[WT])</f>
        <v>0.61699999999999999</v>
      </c>
      <c r="O2771" s="56">
        <f>_xlfn.XLOOKUP(Survey!$K2771,pipedata[ID],pipedata[104%])</f>
        <v>2138.9333333333334</v>
      </c>
      <c r="P2771" s="57">
        <f t="shared" si="43"/>
        <v>1850</v>
      </c>
      <c r="Q2771" s="58">
        <f>_xlfn.MAXIFS(Survey!$G$2:$G$3647,Survey!$M$2:$M$3647,Survey!$M2771)-Survey!$G2771</f>
        <v>266.15447864349426</v>
      </c>
      <c r="R2771" s="59">
        <f>Survey!$P2771+(Survey!$Q2771*0.433)</f>
        <v>1965.2448892526331</v>
      </c>
    </row>
    <row r="2772" spans="1:18" x14ac:dyDescent="0.25">
      <c r="A2772" s="71" t="s">
        <v>17</v>
      </c>
      <c r="B2772" s="72" t="s">
        <v>23</v>
      </c>
      <c r="C2772" s="73" t="s">
        <v>19</v>
      </c>
      <c r="D2772" s="74">
        <v>247.51205759942098</v>
      </c>
      <c r="E2772" s="81">
        <v>1337689</v>
      </c>
      <c r="F2772" s="82">
        <v>1307840.4137931056</v>
      </c>
      <c r="G2772" s="75">
        <v>2939.4286350420844</v>
      </c>
      <c r="H2772" s="76">
        <v>1</v>
      </c>
      <c r="I2772" s="54" t="s">
        <v>20</v>
      </c>
      <c r="J2772" s="77">
        <v>40</v>
      </c>
      <c r="K2772" s="78">
        <v>1</v>
      </c>
      <c r="L2772" s="54">
        <v>1</v>
      </c>
      <c r="M2772" s="54">
        <f>_xlfn.XLOOKUP(Survey!$F2772,sections[Start],sections[Test Section],,-1,1)</f>
        <v>8</v>
      </c>
      <c r="N2772" s="55">
        <f>_xlfn.XLOOKUP(Survey!$K2772,pipedata[ID],pipedata[WT])</f>
        <v>0.61699999999999999</v>
      </c>
      <c r="O2772" s="56">
        <f>_xlfn.XLOOKUP(Survey!$K2772,pipedata[ID],pipedata[104%])</f>
        <v>2138.9333333333334</v>
      </c>
      <c r="P2772" s="57">
        <f t="shared" si="43"/>
        <v>1850</v>
      </c>
      <c r="Q2772" s="58">
        <f>_xlfn.MAXIFS(Survey!$G$2:$G$3647,Survey!$M$2:$M$3647,Survey!$M2772)-Survey!$G2772</f>
        <v>248.28085777578553</v>
      </c>
      <c r="R2772" s="59">
        <f>Survey!$P2772+(Survey!$Q2772*0.433)</f>
        <v>1957.5056114169151</v>
      </c>
    </row>
    <row r="2773" spans="1:18" x14ac:dyDescent="0.25">
      <c r="A2773" s="60" t="s">
        <v>17</v>
      </c>
      <c r="B2773" s="61" t="s">
        <v>23</v>
      </c>
      <c r="C2773" s="62" t="s">
        <v>19</v>
      </c>
      <c r="D2773" s="63">
        <v>247.51825897452972</v>
      </c>
      <c r="E2773" s="79">
        <v>1337729</v>
      </c>
      <c r="F2773" s="80">
        <v>1307878.5241379333</v>
      </c>
      <c r="G2773" s="66">
        <v>2953.7257075649795</v>
      </c>
      <c r="H2773" s="67">
        <v>1</v>
      </c>
      <c r="I2773" s="68" t="s">
        <v>20</v>
      </c>
      <c r="J2773" s="69">
        <v>40</v>
      </c>
      <c r="K2773" s="70">
        <v>1</v>
      </c>
      <c r="L2773" s="68">
        <v>1</v>
      </c>
      <c r="M2773" s="68">
        <f>_xlfn.XLOOKUP(Survey!$F2773,sections[Start],sections[Test Section],,-1,1)</f>
        <v>8</v>
      </c>
      <c r="N2773" s="55">
        <f>_xlfn.XLOOKUP(Survey!$K2773,pipedata[ID],pipedata[WT])</f>
        <v>0.61699999999999999</v>
      </c>
      <c r="O2773" s="56">
        <f>_xlfn.XLOOKUP(Survey!$K2773,pipedata[ID],pipedata[104%])</f>
        <v>2138.9333333333334</v>
      </c>
      <c r="P2773" s="57">
        <f t="shared" si="43"/>
        <v>1850</v>
      </c>
      <c r="Q2773" s="58">
        <f>_xlfn.MAXIFS(Survey!$G$2:$G$3647,Survey!$M$2:$M$3647,Survey!$M2773)-Survey!$G2773</f>
        <v>233.98378525289036</v>
      </c>
      <c r="R2773" s="59">
        <f>Survey!$P2773+(Survey!$Q2773*0.433)</f>
        <v>1951.3149790145014</v>
      </c>
    </row>
    <row r="2774" spans="1:18" x14ac:dyDescent="0.25">
      <c r="A2774" s="71" t="s">
        <v>17</v>
      </c>
      <c r="B2774" s="72" t="s">
        <v>23</v>
      </c>
      <c r="C2774" s="73" t="s">
        <v>19</v>
      </c>
      <c r="D2774" s="74">
        <v>247.52581012782025</v>
      </c>
      <c r="E2774" s="81">
        <v>1337769</v>
      </c>
      <c r="F2774" s="82">
        <v>1307916.6344827609</v>
      </c>
      <c r="G2774" s="75">
        <v>2975.4238799230197</v>
      </c>
      <c r="H2774" s="76">
        <v>1</v>
      </c>
      <c r="I2774" s="54" t="s">
        <v>20</v>
      </c>
      <c r="J2774" s="77">
        <v>40</v>
      </c>
      <c r="K2774" s="78">
        <v>1</v>
      </c>
      <c r="L2774" s="54">
        <v>1</v>
      </c>
      <c r="M2774" s="54">
        <f>_xlfn.XLOOKUP(Survey!$F2774,sections[Start],sections[Test Section],,-1,1)</f>
        <v>8</v>
      </c>
      <c r="N2774" s="55">
        <f>_xlfn.XLOOKUP(Survey!$K2774,pipedata[ID],pipedata[WT])</f>
        <v>0.61699999999999999</v>
      </c>
      <c r="O2774" s="56">
        <f>_xlfn.XLOOKUP(Survey!$K2774,pipedata[ID],pipedata[104%])</f>
        <v>2138.9333333333334</v>
      </c>
      <c r="P2774" s="57">
        <f t="shared" si="43"/>
        <v>1850</v>
      </c>
      <c r="Q2774" s="58">
        <f>_xlfn.MAXIFS(Survey!$G$2:$G$3647,Survey!$M$2:$M$3647,Survey!$M2774)-Survey!$G2774</f>
        <v>212.28561289485015</v>
      </c>
      <c r="R2774" s="59">
        <f>Survey!$P2774+(Survey!$Q2774*0.433)</f>
        <v>1941.91967038347</v>
      </c>
    </row>
    <row r="2775" spans="1:18" x14ac:dyDescent="0.25">
      <c r="A2775" s="60" t="s">
        <v>17</v>
      </c>
      <c r="B2775" s="61" t="s">
        <v>23</v>
      </c>
      <c r="C2775" s="62" t="s">
        <v>19</v>
      </c>
      <c r="D2775" s="63">
        <v>247.53311037080186</v>
      </c>
      <c r="E2775" s="79">
        <v>1337809</v>
      </c>
      <c r="F2775" s="80">
        <v>1307954.7448275886</v>
      </c>
      <c r="G2775" s="66">
        <v>2990.3970601679648</v>
      </c>
      <c r="H2775" s="67">
        <v>1</v>
      </c>
      <c r="I2775" s="68" t="s">
        <v>20</v>
      </c>
      <c r="J2775" s="69">
        <v>40</v>
      </c>
      <c r="K2775" s="70">
        <v>1</v>
      </c>
      <c r="L2775" s="68">
        <v>1</v>
      </c>
      <c r="M2775" s="68">
        <f>_xlfn.XLOOKUP(Survey!$F2775,sections[Start],sections[Test Section],,-1,1)</f>
        <v>8</v>
      </c>
      <c r="N2775" s="55">
        <f>_xlfn.XLOOKUP(Survey!$K2775,pipedata[ID],pipedata[WT])</f>
        <v>0.61699999999999999</v>
      </c>
      <c r="O2775" s="56">
        <f>_xlfn.XLOOKUP(Survey!$K2775,pipedata[ID],pipedata[104%])</f>
        <v>2138.9333333333334</v>
      </c>
      <c r="P2775" s="57">
        <f t="shared" si="43"/>
        <v>1850</v>
      </c>
      <c r="Q2775" s="58">
        <f>_xlfn.MAXIFS(Survey!$G$2:$G$3647,Survey!$M$2:$M$3647,Survey!$M2775)-Survey!$G2775</f>
        <v>197.31243264990508</v>
      </c>
      <c r="R2775" s="59">
        <f>Survey!$P2775+(Survey!$Q2775*0.433)</f>
        <v>1935.4362833374089</v>
      </c>
    </row>
    <row r="2776" spans="1:18" x14ac:dyDescent="0.25">
      <c r="A2776" s="71" t="s">
        <v>17</v>
      </c>
      <c r="B2776" s="72" t="s">
        <v>23</v>
      </c>
      <c r="C2776" s="73" t="s">
        <v>19</v>
      </c>
      <c r="D2776" s="74">
        <v>247.53885203572386</v>
      </c>
      <c r="E2776" s="81">
        <v>1337849</v>
      </c>
      <c r="F2776" s="82">
        <v>1307992.8551724162</v>
      </c>
      <c r="G2776" s="75">
        <v>3011.1158484929765</v>
      </c>
      <c r="H2776" s="76">
        <v>1</v>
      </c>
      <c r="I2776" s="54" t="s">
        <v>20</v>
      </c>
      <c r="J2776" s="77">
        <v>40</v>
      </c>
      <c r="K2776" s="78">
        <v>1</v>
      </c>
      <c r="L2776" s="54">
        <v>1</v>
      </c>
      <c r="M2776" s="54">
        <f>_xlfn.XLOOKUP(Survey!$F2776,sections[Start],sections[Test Section],,-1,1)</f>
        <v>8</v>
      </c>
      <c r="N2776" s="55">
        <f>_xlfn.XLOOKUP(Survey!$K2776,pipedata[ID],pipedata[WT])</f>
        <v>0.61699999999999999</v>
      </c>
      <c r="O2776" s="56">
        <f>_xlfn.XLOOKUP(Survey!$K2776,pipedata[ID],pipedata[104%])</f>
        <v>2138.9333333333334</v>
      </c>
      <c r="P2776" s="57">
        <f t="shared" si="43"/>
        <v>1850</v>
      </c>
      <c r="Q2776" s="58">
        <f>_xlfn.MAXIFS(Survey!$G$2:$G$3647,Survey!$M$2:$M$3647,Survey!$M2776)-Survey!$G2776</f>
        <v>176.59364432489338</v>
      </c>
      <c r="R2776" s="59">
        <f>Survey!$P2776+(Survey!$Q2776*0.433)</f>
        <v>1926.4650479926788</v>
      </c>
    </row>
    <row r="2777" spans="1:18" x14ac:dyDescent="0.25">
      <c r="A2777" s="60" t="s">
        <v>17</v>
      </c>
      <c r="B2777" s="61" t="s">
        <v>23</v>
      </c>
      <c r="C2777" s="62" t="s">
        <v>19</v>
      </c>
      <c r="D2777" s="63">
        <v>247.54650758895335</v>
      </c>
      <c r="E2777" s="79">
        <v>1337889</v>
      </c>
      <c r="F2777" s="80">
        <v>1308030.9655172438</v>
      </c>
      <c r="G2777" s="66">
        <v>3027.4890891618038</v>
      </c>
      <c r="H2777" s="67">
        <v>1</v>
      </c>
      <c r="I2777" s="68" t="s">
        <v>20</v>
      </c>
      <c r="J2777" s="69">
        <v>40</v>
      </c>
      <c r="K2777" s="70">
        <v>1</v>
      </c>
      <c r="L2777" s="68">
        <v>1</v>
      </c>
      <c r="M2777" s="68">
        <f>_xlfn.XLOOKUP(Survey!$F2777,sections[Start],sections[Test Section],,-1,1)</f>
        <v>8</v>
      </c>
      <c r="N2777" s="55">
        <f>_xlfn.XLOOKUP(Survey!$K2777,pipedata[ID],pipedata[WT])</f>
        <v>0.61699999999999999</v>
      </c>
      <c r="O2777" s="56">
        <f>_xlfn.XLOOKUP(Survey!$K2777,pipedata[ID],pipedata[104%])</f>
        <v>2138.9333333333334</v>
      </c>
      <c r="P2777" s="57">
        <f t="shared" si="43"/>
        <v>1850</v>
      </c>
      <c r="Q2777" s="58">
        <f>_xlfn.MAXIFS(Survey!$G$2:$G$3647,Survey!$M$2:$M$3647,Survey!$M2777)-Survey!$G2777</f>
        <v>160.22040365606608</v>
      </c>
      <c r="R2777" s="59">
        <f>Survey!$P2777+(Survey!$Q2777*0.433)</f>
        <v>1919.3754347830766</v>
      </c>
    </row>
    <row r="2778" spans="1:18" x14ac:dyDescent="0.25">
      <c r="A2778" s="71" t="s">
        <v>17</v>
      </c>
      <c r="B2778" s="72" t="s">
        <v>23</v>
      </c>
      <c r="C2778" s="73" t="s">
        <v>19</v>
      </c>
      <c r="D2778" s="74">
        <v>247.55224925387549</v>
      </c>
      <c r="E2778" s="81">
        <v>1337929</v>
      </c>
      <c r="F2778" s="82">
        <v>1308069.0758620715</v>
      </c>
      <c r="G2778" s="75">
        <v>3046.5939319028325</v>
      </c>
      <c r="H2778" s="76">
        <v>1</v>
      </c>
      <c r="I2778" s="54" t="s">
        <v>20</v>
      </c>
      <c r="J2778" s="77">
        <v>40</v>
      </c>
      <c r="K2778" s="78">
        <v>1</v>
      </c>
      <c r="L2778" s="54">
        <v>1</v>
      </c>
      <c r="M2778" s="54">
        <f>_xlfn.XLOOKUP(Survey!$F2778,sections[Start],sections[Test Section],,-1,1)</f>
        <v>8</v>
      </c>
      <c r="N2778" s="55">
        <f>_xlfn.XLOOKUP(Survey!$K2778,pipedata[ID],pipedata[WT])</f>
        <v>0.61699999999999999</v>
      </c>
      <c r="O2778" s="56">
        <f>_xlfn.XLOOKUP(Survey!$K2778,pipedata[ID],pipedata[104%])</f>
        <v>2138.9333333333334</v>
      </c>
      <c r="P2778" s="57">
        <f t="shared" si="43"/>
        <v>1850</v>
      </c>
      <c r="Q2778" s="58">
        <f>_xlfn.MAXIFS(Survey!$G$2:$G$3647,Survey!$M$2:$M$3647,Survey!$M2778)-Survey!$G2778</f>
        <v>141.11556091503735</v>
      </c>
      <c r="R2778" s="59">
        <f>Survey!$P2778+(Survey!$Q2778*0.433)</f>
        <v>1911.1030378762111</v>
      </c>
    </row>
    <row r="2779" spans="1:18" x14ac:dyDescent="0.25">
      <c r="A2779" s="60" t="s">
        <v>17</v>
      </c>
      <c r="B2779" s="61" t="s">
        <v>23</v>
      </c>
      <c r="C2779" s="62" t="s">
        <v>19</v>
      </c>
      <c r="D2779" s="63">
        <v>247.559904807105</v>
      </c>
      <c r="E2779" s="79">
        <v>1337969</v>
      </c>
      <c r="F2779" s="80">
        <v>1308107.1862068991</v>
      </c>
      <c r="G2779" s="66">
        <v>3061.6632026745147</v>
      </c>
      <c r="H2779" s="67">
        <v>1</v>
      </c>
      <c r="I2779" s="68" t="s">
        <v>20</v>
      </c>
      <c r="J2779" s="69">
        <v>40</v>
      </c>
      <c r="K2779" s="70">
        <v>1</v>
      </c>
      <c r="L2779" s="68">
        <v>1</v>
      </c>
      <c r="M2779" s="68">
        <f>_xlfn.XLOOKUP(Survey!$F2779,sections[Start],sections[Test Section],,-1,1)</f>
        <v>8</v>
      </c>
      <c r="N2779" s="55">
        <f>_xlfn.XLOOKUP(Survey!$K2779,pipedata[ID],pipedata[WT])</f>
        <v>0.61699999999999999</v>
      </c>
      <c r="O2779" s="56">
        <f>_xlfn.XLOOKUP(Survey!$K2779,pipedata[ID],pipedata[104%])</f>
        <v>2138.9333333333334</v>
      </c>
      <c r="P2779" s="57">
        <f t="shared" si="43"/>
        <v>1850</v>
      </c>
      <c r="Q2779" s="58">
        <f>_xlfn.MAXIFS(Survey!$G$2:$G$3647,Survey!$M$2:$M$3647,Survey!$M2779)-Survey!$G2779</f>
        <v>126.04629014335524</v>
      </c>
      <c r="R2779" s="59">
        <f>Survey!$P2779+(Survey!$Q2779*0.433)</f>
        <v>1904.5780436320729</v>
      </c>
    </row>
    <row r="2780" spans="1:18" x14ac:dyDescent="0.25">
      <c r="A2780" s="71" t="s">
        <v>17</v>
      </c>
      <c r="B2780" s="72" t="s">
        <v>23</v>
      </c>
      <c r="C2780" s="73" t="s">
        <v>19</v>
      </c>
      <c r="D2780" s="74">
        <v>247.56770706122921</v>
      </c>
      <c r="E2780" s="81">
        <v>1338009</v>
      </c>
      <c r="F2780" s="82">
        <v>1308145.2965517268</v>
      </c>
      <c r="G2780" s="75">
        <v>3077.205764788413</v>
      </c>
      <c r="H2780" s="76">
        <v>1</v>
      </c>
      <c r="I2780" s="54" t="s">
        <v>20</v>
      </c>
      <c r="J2780" s="77">
        <v>40</v>
      </c>
      <c r="K2780" s="78">
        <v>1</v>
      </c>
      <c r="L2780" s="54">
        <v>1</v>
      </c>
      <c r="M2780" s="54">
        <f>_xlfn.XLOOKUP(Survey!$F2780,sections[Start],sections[Test Section],,-1,1)</f>
        <v>8</v>
      </c>
      <c r="N2780" s="55">
        <f>_xlfn.XLOOKUP(Survey!$K2780,pipedata[ID],pipedata[WT])</f>
        <v>0.61699999999999999</v>
      </c>
      <c r="O2780" s="56">
        <f>_xlfn.XLOOKUP(Survey!$K2780,pipedata[ID],pipedata[104%])</f>
        <v>2138.9333333333334</v>
      </c>
      <c r="P2780" s="57">
        <f t="shared" si="43"/>
        <v>1850</v>
      </c>
      <c r="Q2780" s="58">
        <f>_xlfn.MAXIFS(Survey!$G$2:$G$3647,Survey!$M$2:$M$3647,Survey!$M2780)-Survey!$G2780</f>
        <v>110.50372802945685</v>
      </c>
      <c r="R2780" s="59">
        <f>Survey!$P2780+(Survey!$Q2780*0.433)</f>
        <v>1897.8481142367548</v>
      </c>
    </row>
    <row r="2781" spans="1:18" x14ac:dyDescent="0.25">
      <c r="A2781" s="60" t="s">
        <v>17</v>
      </c>
      <c r="B2781" s="61" t="s">
        <v>23</v>
      </c>
      <c r="C2781" s="62" t="s">
        <v>19</v>
      </c>
      <c r="D2781" s="63">
        <v>247.57418710391511</v>
      </c>
      <c r="E2781" s="79">
        <v>1338049</v>
      </c>
      <c r="F2781" s="80">
        <v>1308183.4068965544</v>
      </c>
      <c r="G2781" s="66">
        <v>3088.4477160258948</v>
      </c>
      <c r="H2781" s="67">
        <v>1</v>
      </c>
      <c r="I2781" s="68" t="s">
        <v>20</v>
      </c>
      <c r="J2781" s="69">
        <v>40</v>
      </c>
      <c r="K2781" s="70">
        <v>1</v>
      </c>
      <c r="L2781" s="68">
        <v>1</v>
      </c>
      <c r="M2781" s="68">
        <f>_xlfn.XLOOKUP(Survey!$F2781,sections[Start],sections[Test Section],,-1,1)</f>
        <v>8</v>
      </c>
      <c r="N2781" s="55">
        <f>_xlfn.XLOOKUP(Survey!$K2781,pipedata[ID],pipedata[WT])</f>
        <v>0.61699999999999999</v>
      </c>
      <c r="O2781" s="56">
        <f>_xlfn.XLOOKUP(Survey!$K2781,pipedata[ID],pipedata[104%])</f>
        <v>2138.9333333333334</v>
      </c>
      <c r="P2781" s="57">
        <f t="shared" si="43"/>
        <v>1850</v>
      </c>
      <c r="Q2781" s="58">
        <f>_xlfn.MAXIFS(Survey!$G$2:$G$3647,Survey!$M$2:$M$3647,Survey!$M2781)-Survey!$G2781</f>
        <v>99.26177679197508</v>
      </c>
      <c r="R2781" s="59">
        <f>Survey!$P2781+(Survey!$Q2781*0.433)</f>
        <v>1892.9803493509253</v>
      </c>
    </row>
    <row r="2782" spans="1:18" x14ac:dyDescent="0.25">
      <c r="A2782" s="71" t="s">
        <v>17</v>
      </c>
      <c r="B2782" s="72" t="s">
        <v>23</v>
      </c>
      <c r="C2782" s="73" t="s">
        <v>19</v>
      </c>
      <c r="D2782" s="74">
        <v>247.58157731404111</v>
      </c>
      <c r="E2782" s="81">
        <v>1338089</v>
      </c>
      <c r="F2782" s="82">
        <v>1308221.517241382</v>
      </c>
      <c r="G2782" s="75">
        <v>3101.184681739835</v>
      </c>
      <c r="H2782" s="76">
        <v>1</v>
      </c>
      <c r="I2782" s="54" t="s">
        <v>20</v>
      </c>
      <c r="J2782" s="77">
        <v>40</v>
      </c>
      <c r="K2782" s="78">
        <v>1</v>
      </c>
      <c r="L2782" s="54">
        <v>1</v>
      </c>
      <c r="M2782" s="54">
        <f>_xlfn.XLOOKUP(Survey!$F2782,sections[Start],sections[Test Section],,-1,1)</f>
        <v>8</v>
      </c>
      <c r="N2782" s="55">
        <f>_xlfn.XLOOKUP(Survey!$K2782,pipedata[ID],pipedata[WT])</f>
        <v>0.61699999999999999</v>
      </c>
      <c r="O2782" s="56">
        <f>_xlfn.XLOOKUP(Survey!$K2782,pipedata[ID],pipedata[104%])</f>
        <v>2138.9333333333334</v>
      </c>
      <c r="P2782" s="57">
        <f t="shared" si="43"/>
        <v>1850</v>
      </c>
      <c r="Q2782" s="58">
        <f>_xlfn.MAXIFS(Survey!$G$2:$G$3647,Survey!$M$2:$M$3647,Survey!$M2782)-Survey!$G2782</f>
        <v>86.524811078034872</v>
      </c>
      <c r="R2782" s="59">
        <f>Survey!$P2782+(Survey!$Q2782*0.433)</f>
        <v>1887.4652431967891</v>
      </c>
    </row>
    <row r="2783" spans="1:18" x14ac:dyDescent="0.25">
      <c r="A2783" s="60" t="s">
        <v>17</v>
      </c>
      <c r="B2783" s="61" t="s">
        <v>23</v>
      </c>
      <c r="C2783" s="62" t="s">
        <v>19</v>
      </c>
      <c r="D2783" s="63">
        <v>247.58964176104027</v>
      </c>
      <c r="E2783" s="79">
        <v>1338129</v>
      </c>
      <c r="F2783" s="80">
        <v>1308259.6275862097</v>
      </c>
      <c r="G2783" s="66">
        <v>3112.7462258632481</v>
      </c>
      <c r="H2783" s="67">
        <v>1</v>
      </c>
      <c r="I2783" s="68" t="s">
        <v>20</v>
      </c>
      <c r="J2783" s="69">
        <v>40</v>
      </c>
      <c r="K2783" s="70">
        <v>1</v>
      </c>
      <c r="L2783" s="68">
        <v>1</v>
      </c>
      <c r="M2783" s="68">
        <f>_xlfn.XLOOKUP(Survey!$F2783,sections[Start],sections[Test Section],,-1,1)</f>
        <v>8</v>
      </c>
      <c r="N2783" s="55">
        <f>_xlfn.XLOOKUP(Survey!$K2783,pipedata[ID],pipedata[WT])</f>
        <v>0.61699999999999999</v>
      </c>
      <c r="O2783" s="56">
        <f>_xlfn.XLOOKUP(Survey!$K2783,pipedata[ID],pipedata[104%])</f>
        <v>2138.9333333333334</v>
      </c>
      <c r="P2783" s="57">
        <f t="shared" si="43"/>
        <v>1850</v>
      </c>
      <c r="Q2783" s="58">
        <f>_xlfn.MAXIFS(Survey!$G$2:$G$3647,Survey!$M$2:$M$3647,Survey!$M2783)-Survey!$G2783</f>
        <v>74.963266954621758</v>
      </c>
      <c r="R2783" s="59">
        <f>Survey!$P2783+(Survey!$Q2783*0.433)</f>
        <v>1882.4590945913512</v>
      </c>
    </row>
    <row r="2784" spans="1:18" x14ac:dyDescent="0.25">
      <c r="A2784" s="71" t="s">
        <v>17</v>
      </c>
      <c r="B2784" s="72" t="s">
        <v>23</v>
      </c>
      <c r="C2784" s="73" t="s">
        <v>19</v>
      </c>
      <c r="D2784" s="74">
        <v>247.59628561309637</v>
      </c>
      <c r="E2784" s="81">
        <v>1338169</v>
      </c>
      <c r="F2784" s="82">
        <v>1308297.7379310373</v>
      </c>
      <c r="G2784" s="75">
        <v>3117.6829182206925</v>
      </c>
      <c r="H2784" s="76">
        <v>1</v>
      </c>
      <c r="I2784" s="54" t="s">
        <v>20</v>
      </c>
      <c r="J2784" s="77">
        <v>40</v>
      </c>
      <c r="K2784" s="78">
        <v>1</v>
      </c>
      <c r="L2784" s="54">
        <v>1</v>
      </c>
      <c r="M2784" s="54">
        <f>_xlfn.XLOOKUP(Survey!$F2784,sections[Start],sections[Test Section],,-1,1)</f>
        <v>8</v>
      </c>
      <c r="N2784" s="55">
        <f>_xlfn.XLOOKUP(Survey!$K2784,pipedata[ID],pipedata[WT])</f>
        <v>0.61699999999999999</v>
      </c>
      <c r="O2784" s="56">
        <f>_xlfn.XLOOKUP(Survey!$K2784,pipedata[ID],pipedata[104%])</f>
        <v>2138.9333333333334</v>
      </c>
      <c r="P2784" s="57">
        <f t="shared" si="43"/>
        <v>1850</v>
      </c>
      <c r="Q2784" s="58">
        <f>_xlfn.MAXIFS(Survey!$G$2:$G$3647,Survey!$M$2:$M$3647,Survey!$M2784)-Survey!$G2784</f>
        <v>70.026574597177387</v>
      </c>
      <c r="R2784" s="59">
        <f>Survey!$P2784+(Survey!$Q2784*0.433)</f>
        <v>1880.3215068005777</v>
      </c>
    </row>
    <row r="2785" spans="1:18" x14ac:dyDescent="0.25">
      <c r="A2785" s="60" t="s">
        <v>17</v>
      </c>
      <c r="B2785" s="61" t="s">
        <v>23</v>
      </c>
      <c r="C2785" s="62" t="s">
        <v>19</v>
      </c>
      <c r="D2785" s="63">
        <v>247.60433788941859</v>
      </c>
      <c r="E2785" s="79">
        <v>1338209</v>
      </c>
      <c r="F2785" s="80">
        <v>1308335.848275865</v>
      </c>
      <c r="G2785" s="66">
        <v>3127.3575488629767</v>
      </c>
      <c r="H2785" s="67">
        <v>1</v>
      </c>
      <c r="I2785" s="68" t="s">
        <v>20</v>
      </c>
      <c r="J2785" s="69">
        <v>40</v>
      </c>
      <c r="K2785" s="70">
        <v>1</v>
      </c>
      <c r="L2785" s="68">
        <v>1</v>
      </c>
      <c r="M2785" s="68">
        <f>_xlfn.XLOOKUP(Survey!$F2785,sections[Start],sections[Test Section],,-1,1)</f>
        <v>8</v>
      </c>
      <c r="N2785" s="55">
        <f>_xlfn.XLOOKUP(Survey!$K2785,pipedata[ID],pipedata[WT])</f>
        <v>0.61699999999999999</v>
      </c>
      <c r="O2785" s="56">
        <f>_xlfn.XLOOKUP(Survey!$K2785,pipedata[ID],pipedata[104%])</f>
        <v>2138.9333333333334</v>
      </c>
      <c r="P2785" s="57">
        <f t="shared" si="43"/>
        <v>1850</v>
      </c>
      <c r="Q2785" s="58">
        <f>_xlfn.MAXIFS(Survey!$G$2:$G$3647,Survey!$M$2:$M$3647,Survey!$M2785)-Survey!$G2785</f>
        <v>60.351943954893159</v>
      </c>
      <c r="R2785" s="59">
        <f>Survey!$P2785+(Survey!$Q2785*0.433)</f>
        <v>1876.1323917324687</v>
      </c>
    </row>
    <row r="2786" spans="1:18" x14ac:dyDescent="0.25">
      <c r="A2786" s="71" t="s">
        <v>17</v>
      </c>
      <c r="B2786" s="72" t="s">
        <v>23</v>
      </c>
      <c r="C2786" s="73" t="s">
        <v>19</v>
      </c>
      <c r="D2786" s="74">
        <v>247.61041565744102</v>
      </c>
      <c r="E2786" s="81">
        <v>1338249</v>
      </c>
      <c r="F2786" s="82">
        <v>1308373.9586206926</v>
      </c>
      <c r="G2786" s="75">
        <v>3140.8824657015502</v>
      </c>
      <c r="H2786" s="76">
        <v>1</v>
      </c>
      <c r="I2786" s="54" t="s">
        <v>20</v>
      </c>
      <c r="J2786" s="77">
        <v>40</v>
      </c>
      <c r="K2786" s="78">
        <v>1</v>
      </c>
      <c r="L2786" s="54">
        <v>1</v>
      </c>
      <c r="M2786" s="54">
        <f>_xlfn.XLOOKUP(Survey!$F2786,sections[Start],sections[Test Section],,-1,1)</f>
        <v>8</v>
      </c>
      <c r="N2786" s="55">
        <f>_xlfn.XLOOKUP(Survey!$K2786,pipedata[ID],pipedata[WT])</f>
        <v>0.61699999999999999</v>
      </c>
      <c r="O2786" s="56">
        <f>_xlfn.XLOOKUP(Survey!$K2786,pipedata[ID],pipedata[104%])</f>
        <v>2138.9333333333334</v>
      </c>
      <c r="P2786" s="57">
        <f t="shared" si="43"/>
        <v>1850</v>
      </c>
      <c r="Q2786" s="58">
        <f>_xlfn.MAXIFS(Survey!$G$2:$G$3647,Survey!$M$2:$M$3647,Survey!$M2786)-Survey!$G2786</f>
        <v>46.827027116319641</v>
      </c>
      <c r="R2786" s="59">
        <f>Survey!$P2786+(Survey!$Q2786*0.433)</f>
        <v>1870.2761027413665</v>
      </c>
    </row>
    <row r="2787" spans="1:18" x14ac:dyDescent="0.25">
      <c r="A2787" s="60" t="s">
        <v>17</v>
      </c>
      <c r="B2787" s="61" t="s">
        <v>23</v>
      </c>
      <c r="C2787" s="62" t="s">
        <v>19</v>
      </c>
      <c r="D2787" s="63">
        <v>247.61749284433168</v>
      </c>
      <c r="E2787" s="79">
        <v>1338289</v>
      </c>
      <c r="F2787" s="80">
        <v>1308412.0689655202</v>
      </c>
      <c r="G2787" s="66">
        <v>3155.2976364761216</v>
      </c>
      <c r="H2787" s="67">
        <v>1</v>
      </c>
      <c r="I2787" s="68" t="s">
        <v>20</v>
      </c>
      <c r="J2787" s="69">
        <v>40</v>
      </c>
      <c r="K2787" s="70">
        <v>1</v>
      </c>
      <c r="L2787" s="68">
        <v>1</v>
      </c>
      <c r="M2787" s="68">
        <f>_xlfn.XLOOKUP(Survey!$F2787,sections[Start],sections[Test Section],,-1,1)</f>
        <v>8</v>
      </c>
      <c r="N2787" s="55">
        <f>_xlfn.XLOOKUP(Survey!$K2787,pipedata[ID],pipedata[WT])</f>
        <v>0.61699999999999999</v>
      </c>
      <c r="O2787" s="56">
        <f>_xlfn.XLOOKUP(Survey!$K2787,pipedata[ID],pipedata[104%])</f>
        <v>2138.9333333333334</v>
      </c>
      <c r="P2787" s="57">
        <f t="shared" si="43"/>
        <v>1850</v>
      </c>
      <c r="Q2787" s="58">
        <f>_xlfn.MAXIFS(Survey!$G$2:$G$3647,Survey!$M$2:$M$3647,Survey!$M2787)-Survey!$G2787</f>
        <v>32.411856341748262</v>
      </c>
      <c r="R2787" s="59">
        <f>Survey!$P2787+(Survey!$Q2787*0.433)</f>
        <v>1864.0343337959771</v>
      </c>
    </row>
    <row r="2788" spans="1:18" x14ac:dyDescent="0.25">
      <c r="A2788" s="71" t="s">
        <v>17</v>
      </c>
      <c r="B2788" s="72" t="s">
        <v>23</v>
      </c>
      <c r="C2788" s="73" t="s">
        <v>19</v>
      </c>
      <c r="D2788" s="74">
        <v>247.62534627920752</v>
      </c>
      <c r="E2788" s="81">
        <v>1338329</v>
      </c>
      <c r="F2788" s="82">
        <v>1308450.1793103479</v>
      </c>
      <c r="G2788" s="75">
        <v>3165.3322289072348</v>
      </c>
      <c r="H2788" s="76">
        <v>1</v>
      </c>
      <c r="I2788" s="54" t="s">
        <v>20</v>
      </c>
      <c r="J2788" s="77">
        <v>40</v>
      </c>
      <c r="K2788" s="78">
        <v>1</v>
      </c>
      <c r="L2788" s="54">
        <v>1</v>
      </c>
      <c r="M2788" s="54">
        <f>_xlfn.XLOOKUP(Survey!$F2788,sections[Start],sections[Test Section],,-1,1)</f>
        <v>8</v>
      </c>
      <c r="N2788" s="55">
        <f>_xlfn.XLOOKUP(Survey!$K2788,pipedata[ID],pipedata[WT])</f>
        <v>0.61699999999999999</v>
      </c>
      <c r="O2788" s="56">
        <f>_xlfn.XLOOKUP(Survey!$K2788,pipedata[ID],pipedata[104%])</f>
        <v>2138.9333333333334</v>
      </c>
      <c r="P2788" s="57">
        <f t="shared" si="43"/>
        <v>1850</v>
      </c>
      <c r="Q2788" s="58">
        <f>_xlfn.MAXIFS(Survey!$G$2:$G$3647,Survey!$M$2:$M$3647,Survey!$M2788)-Survey!$G2788</f>
        <v>22.377263910635065</v>
      </c>
      <c r="R2788" s="59">
        <f>Survey!$P2788+(Survey!$Q2788*0.433)</f>
        <v>1859.689355273305</v>
      </c>
    </row>
    <row r="2789" spans="1:18" x14ac:dyDescent="0.25">
      <c r="A2789" s="60" t="s">
        <v>17</v>
      </c>
      <c r="B2789" s="61" t="s">
        <v>23</v>
      </c>
      <c r="C2789" s="62" t="s">
        <v>19</v>
      </c>
      <c r="D2789" s="63">
        <v>247.63131852791403</v>
      </c>
      <c r="E2789" s="79">
        <v>1338369</v>
      </c>
      <c r="F2789" s="80">
        <v>1308488.2896551755</v>
      </c>
      <c r="G2789" s="66">
        <v>3174.0725133193132</v>
      </c>
      <c r="H2789" s="67">
        <v>1</v>
      </c>
      <c r="I2789" s="68" t="s">
        <v>20</v>
      </c>
      <c r="J2789" s="69">
        <v>40</v>
      </c>
      <c r="K2789" s="70">
        <v>1</v>
      </c>
      <c r="L2789" s="68">
        <v>1</v>
      </c>
      <c r="M2789" s="68">
        <f>_xlfn.XLOOKUP(Survey!$F2789,sections[Start],sections[Test Section],,-1,1)</f>
        <v>8</v>
      </c>
      <c r="N2789" s="55">
        <f>_xlfn.XLOOKUP(Survey!$K2789,pipedata[ID],pipedata[WT])</f>
        <v>0.61699999999999999</v>
      </c>
      <c r="O2789" s="56">
        <f>_xlfn.XLOOKUP(Survey!$K2789,pipedata[ID],pipedata[104%])</f>
        <v>2138.9333333333334</v>
      </c>
      <c r="P2789" s="57">
        <f t="shared" si="43"/>
        <v>1850</v>
      </c>
      <c r="Q2789" s="58">
        <f>_xlfn.MAXIFS(Survey!$G$2:$G$3647,Survey!$M$2:$M$3647,Survey!$M2789)-Survey!$G2789</f>
        <v>13.636979498556684</v>
      </c>
      <c r="R2789" s="59">
        <f>Survey!$P2789+(Survey!$Q2789*0.433)</f>
        <v>1855.904812122875</v>
      </c>
    </row>
    <row r="2790" spans="1:18" x14ac:dyDescent="0.25">
      <c r="A2790" s="71" t="s">
        <v>17</v>
      </c>
      <c r="B2790" s="72" t="s">
        <v>23</v>
      </c>
      <c r="C2790" s="73" t="s">
        <v>19</v>
      </c>
      <c r="D2790" s="74">
        <v>247.64027690097404</v>
      </c>
      <c r="E2790" s="81">
        <v>1338409</v>
      </c>
      <c r="F2790" s="82">
        <v>1308526.4000000032</v>
      </c>
      <c r="G2790" s="75">
        <v>3181.2122260259498</v>
      </c>
      <c r="H2790" s="76">
        <v>1</v>
      </c>
      <c r="I2790" s="54" t="s">
        <v>20</v>
      </c>
      <c r="J2790" s="77">
        <v>40</v>
      </c>
      <c r="K2790" s="78">
        <v>1</v>
      </c>
      <c r="L2790" s="54">
        <v>1</v>
      </c>
      <c r="M2790" s="54">
        <f>_xlfn.XLOOKUP(Survey!$F2790,sections[Start],sections[Test Section],,-1,1)</f>
        <v>8</v>
      </c>
      <c r="N2790" s="55">
        <f>_xlfn.XLOOKUP(Survey!$K2790,pipedata[ID],pipedata[WT])</f>
        <v>0.61699999999999999</v>
      </c>
      <c r="O2790" s="56">
        <f>_xlfn.XLOOKUP(Survey!$K2790,pipedata[ID],pipedata[104%])</f>
        <v>2138.9333333333334</v>
      </c>
      <c r="P2790" s="57">
        <f t="shared" si="43"/>
        <v>1850</v>
      </c>
      <c r="Q2790" s="58">
        <f>_xlfn.MAXIFS(Survey!$G$2:$G$3647,Survey!$M$2:$M$3647,Survey!$M2790)-Survey!$G2790</f>
        <v>6.4972667919200831</v>
      </c>
      <c r="R2790" s="59">
        <f>Survey!$P2790+(Survey!$Q2790*0.433)</f>
        <v>1852.8133165209015</v>
      </c>
    </row>
    <row r="2791" spans="1:18" x14ac:dyDescent="0.25">
      <c r="A2791" s="60" t="s">
        <v>17</v>
      </c>
      <c r="B2791" s="61" t="s">
        <v>23</v>
      </c>
      <c r="C2791" s="62" t="s">
        <v>19</v>
      </c>
      <c r="D2791" s="63">
        <v>247.64843251189265</v>
      </c>
      <c r="E2791" s="79">
        <v>1338449</v>
      </c>
      <c r="F2791" s="80">
        <v>1308564.5103448308</v>
      </c>
      <c r="G2791" s="66">
        <v>3187.5635197228044</v>
      </c>
      <c r="H2791" s="67">
        <v>1</v>
      </c>
      <c r="I2791" s="68" t="s">
        <v>20</v>
      </c>
      <c r="J2791" s="69">
        <v>40</v>
      </c>
      <c r="K2791" s="70">
        <v>1</v>
      </c>
      <c r="L2791" s="68">
        <v>1</v>
      </c>
      <c r="M2791" s="68">
        <f>_xlfn.XLOOKUP(Survey!$F2791,sections[Start],sections[Test Section],,-1,1)</f>
        <v>8</v>
      </c>
      <c r="N2791" s="55">
        <f>_xlfn.XLOOKUP(Survey!$K2791,pipedata[ID],pipedata[WT])</f>
        <v>0.61699999999999999</v>
      </c>
      <c r="O2791" s="56">
        <f>_xlfn.XLOOKUP(Survey!$K2791,pipedata[ID],pipedata[104%])</f>
        <v>2138.9333333333334</v>
      </c>
      <c r="P2791" s="57">
        <f t="shared" si="43"/>
        <v>1850</v>
      </c>
      <c r="Q2791" s="58">
        <f>_xlfn.MAXIFS(Survey!$G$2:$G$3647,Survey!$M$2:$M$3647,Survey!$M2791)-Survey!$G2791</f>
        <v>0.14597309506552847</v>
      </c>
      <c r="R2791" s="59">
        <f>Survey!$P2791+(Survey!$Q2791*0.433)</f>
        <v>1850.0632063501635</v>
      </c>
    </row>
    <row r="2792" spans="1:18" x14ac:dyDescent="0.25">
      <c r="A2792" s="71" t="s">
        <v>17</v>
      </c>
      <c r="B2792" s="72" t="s">
        <v>23</v>
      </c>
      <c r="C2792" s="73" t="s">
        <v>19</v>
      </c>
      <c r="D2792" s="74">
        <v>247.65578161563792</v>
      </c>
      <c r="E2792" s="81">
        <v>1338489</v>
      </c>
      <c r="F2792" s="82">
        <v>1308602.6206896584</v>
      </c>
      <c r="G2792" s="75">
        <v>3187.7094928178699</v>
      </c>
      <c r="H2792" s="76">
        <v>1</v>
      </c>
      <c r="I2792" s="54" t="s">
        <v>20</v>
      </c>
      <c r="J2792" s="77">
        <v>40</v>
      </c>
      <c r="K2792" s="78">
        <v>1</v>
      </c>
      <c r="L2792" s="54">
        <v>1</v>
      </c>
      <c r="M2792" s="54">
        <f>_xlfn.XLOOKUP(Survey!$F2792,sections[Start],sections[Test Section],,-1,1)</f>
        <v>8</v>
      </c>
      <c r="N2792" s="55">
        <f>_xlfn.XLOOKUP(Survey!$K2792,pipedata[ID],pipedata[WT])</f>
        <v>0.61699999999999999</v>
      </c>
      <c r="O2792" s="56">
        <f>_xlfn.XLOOKUP(Survey!$K2792,pipedata[ID],pipedata[104%])</f>
        <v>2138.9333333333334</v>
      </c>
      <c r="P2792" s="57">
        <f t="shared" si="43"/>
        <v>1850</v>
      </c>
      <c r="Q2792" s="58">
        <f>_xlfn.MAXIFS(Survey!$G$2:$G$3647,Survey!$M$2:$M$3647,Survey!$M2792)-Survey!$G2792</f>
        <v>0</v>
      </c>
      <c r="R2792" s="59">
        <f>Survey!$P2792+(Survey!$Q2792*0.433)</f>
        <v>1850</v>
      </c>
    </row>
    <row r="2793" spans="1:18" x14ac:dyDescent="0.25">
      <c r="A2793" s="60" t="s">
        <v>17</v>
      </c>
      <c r="B2793" s="61" t="s">
        <v>23</v>
      </c>
      <c r="C2793" s="62" t="s">
        <v>19</v>
      </c>
      <c r="D2793" s="63">
        <v>247.66303714079567</v>
      </c>
      <c r="E2793" s="79">
        <v>1338529</v>
      </c>
      <c r="F2793" s="80">
        <v>1308640.7310344861</v>
      </c>
      <c r="G2793" s="66">
        <v>3178.5893521311282</v>
      </c>
      <c r="H2793" s="67">
        <v>1</v>
      </c>
      <c r="I2793" s="68" t="s">
        <v>20</v>
      </c>
      <c r="J2793" s="69">
        <v>40</v>
      </c>
      <c r="K2793" s="70">
        <v>1</v>
      </c>
      <c r="L2793" s="68">
        <v>1</v>
      </c>
      <c r="M2793" s="68">
        <f>_xlfn.XLOOKUP(Survey!$F2793,sections[Start],sections[Test Section],,-1,1)</f>
        <v>8</v>
      </c>
      <c r="N2793" s="55">
        <f>_xlfn.XLOOKUP(Survey!$K2793,pipedata[ID],pipedata[WT])</f>
        <v>0.61699999999999999</v>
      </c>
      <c r="O2793" s="56">
        <f>_xlfn.XLOOKUP(Survey!$K2793,pipedata[ID],pipedata[104%])</f>
        <v>2138.9333333333334</v>
      </c>
      <c r="P2793" s="57">
        <f t="shared" si="43"/>
        <v>1850</v>
      </c>
      <c r="Q2793" s="58">
        <f>_xlfn.MAXIFS(Survey!$G$2:$G$3647,Survey!$M$2:$M$3647,Survey!$M2793)-Survey!$G2793</f>
        <v>9.1201406867417063</v>
      </c>
      <c r="R2793" s="59">
        <f>Survey!$P2793+(Survey!$Q2793*0.433)</f>
        <v>1853.9490209173591</v>
      </c>
    </row>
    <row r="2794" spans="1:18" x14ac:dyDescent="0.25">
      <c r="A2794" s="71" t="s">
        <v>17</v>
      </c>
      <c r="B2794" s="72" t="s">
        <v>23</v>
      </c>
      <c r="C2794" s="73" t="s">
        <v>19</v>
      </c>
      <c r="D2794" s="74">
        <v>247.66973633141652</v>
      </c>
      <c r="E2794" s="81">
        <v>1338569</v>
      </c>
      <c r="F2794" s="82">
        <v>1308678.8413793137</v>
      </c>
      <c r="G2794" s="75">
        <v>3167.9101464649912</v>
      </c>
      <c r="H2794" s="76">
        <v>1</v>
      </c>
      <c r="I2794" s="54" t="s">
        <v>20</v>
      </c>
      <c r="J2794" s="77">
        <v>40</v>
      </c>
      <c r="K2794" s="78">
        <v>1</v>
      </c>
      <c r="L2794" s="54">
        <v>1</v>
      </c>
      <c r="M2794" s="54">
        <f>_xlfn.XLOOKUP(Survey!$F2794,sections[Start],sections[Test Section],,-1,1)</f>
        <v>8</v>
      </c>
      <c r="N2794" s="55">
        <f>_xlfn.XLOOKUP(Survey!$K2794,pipedata[ID],pipedata[WT])</f>
        <v>0.61699999999999999</v>
      </c>
      <c r="O2794" s="56">
        <f>_xlfn.XLOOKUP(Survey!$K2794,pipedata[ID],pipedata[104%])</f>
        <v>2138.9333333333334</v>
      </c>
      <c r="P2794" s="57">
        <f t="shared" si="43"/>
        <v>1850</v>
      </c>
      <c r="Q2794" s="58">
        <f>_xlfn.MAXIFS(Survey!$G$2:$G$3647,Survey!$M$2:$M$3647,Survey!$M2794)-Survey!$G2794</f>
        <v>19.799346352878729</v>
      </c>
      <c r="R2794" s="59">
        <f>Survey!$P2794+(Survey!$Q2794*0.433)</f>
        <v>1858.5731169707965</v>
      </c>
    </row>
    <row r="2795" spans="1:18" x14ac:dyDescent="0.25">
      <c r="A2795" s="60" t="s">
        <v>17</v>
      </c>
      <c r="B2795" s="61" t="s">
        <v>23</v>
      </c>
      <c r="C2795" s="62" t="s">
        <v>19</v>
      </c>
      <c r="D2795" s="63">
        <v>247.67781709356566</v>
      </c>
      <c r="E2795" s="79">
        <v>1338609</v>
      </c>
      <c r="F2795" s="80">
        <v>1308716.9517241414</v>
      </c>
      <c r="G2795" s="66">
        <v>3159.2961711395697</v>
      </c>
      <c r="H2795" s="67">
        <v>1</v>
      </c>
      <c r="I2795" s="68" t="s">
        <v>20</v>
      </c>
      <c r="J2795" s="69">
        <v>40</v>
      </c>
      <c r="K2795" s="70">
        <v>1</v>
      </c>
      <c r="L2795" s="68">
        <v>1</v>
      </c>
      <c r="M2795" s="68">
        <f>_xlfn.XLOOKUP(Survey!$F2795,sections[Start],sections[Test Section],,-1,1)</f>
        <v>8</v>
      </c>
      <c r="N2795" s="55">
        <f>_xlfn.XLOOKUP(Survey!$K2795,pipedata[ID],pipedata[WT])</f>
        <v>0.61699999999999999</v>
      </c>
      <c r="O2795" s="56">
        <f>_xlfn.XLOOKUP(Survey!$K2795,pipedata[ID],pipedata[104%])</f>
        <v>2138.9333333333334</v>
      </c>
      <c r="P2795" s="57">
        <f t="shared" si="43"/>
        <v>1850</v>
      </c>
      <c r="Q2795" s="58">
        <f>_xlfn.MAXIFS(Survey!$G$2:$G$3647,Survey!$M$2:$M$3647,Survey!$M2795)-Survey!$G2795</f>
        <v>28.413321678300235</v>
      </c>
      <c r="R2795" s="59">
        <f>Survey!$P2795+(Survey!$Q2795*0.433)</f>
        <v>1862.3029682867041</v>
      </c>
    </row>
    <row r="2796" spans="1:18" x14ac:dyDescent="0.25">
      <c r="A2796" s="71" t="s">
        <v>17</v>
      </c>
      <c r="B2796" s="72" t="s">
        <v>23</v>
      </c>
      <c r="C2796" s="73" t="s">
        <v>19</v>
      </c>
      <c r="D2796" s="74">
        <v>247.6847690939278</v>
      </c>
      <c r="E2796" s="81">
        <v>1338649</v>
      </c>
      <c r="F2796" s="82">
        <v>1308755.062068969</v>
      </c>
      <c r="G2796" s="75">
        <v>3151.9336093256056</v>
      </c>
      <c r="H2796" s="76">
        <v>1</v>
      </c>
      <c r="I2796" s="54" t="s">
        <v>20</v>
      </c>
      <c r="J2796" s="77">
        <v>40</v>
      </c>
      <c r="K2796" s="78">
        <v>1</v>
      </c>
      <c r="L2796" s="54">
        <v>1</v>
      </c>
      <c r="M2796" s="54">
        <f>_xlfn.XLOOKUP(Survey!$F2796,sections[Start],sections[Test Section],,-1,1)</f>
        <v>8</v>
      </c>
      <c r="N2796" s="55">
        <f>_xlfn.XLOOKUP(Survey!$K2796,pipedata[ID],pipedata[WT])</f>
        <v>0.61699999999999999</v>
      </c>
      <c r="O2796" s="56">
        <f>_xlfn.XLOOKUP(Survey!$K2796,pipedata[ID],pipedata[104%])</f>
        <v>2138.9333333333334</v>
      </c>
      <c r="P2796" s="57">
        <f t="shared" si="43"/>
        <v>1850</v>
      </c>
      <c r="Q2796" s="58">
        <f>_xlfn.MAXIFS(Survey!$G$2:$G$3647,Survey!$M$2:$M$3647,Survey!$M2796)-Survey!$G2796</f>
        <v>35.775883492264256</v>
      </c>
      <c r="R2796" s="59">
        <f>Survey!$P2796+(Survey!$Q2796*0.433)</f>
        <v>1865.4909575521503</v>
      </c>
    </row>
    <row r="2797" spans="1:18" x14ac:dyDescent="0.25">
      <c r="A2797" s="60" t="s">
        <v>17</v>
      </c>
      <c r="B2797" s="61" t="s">
        <v>23</v>
      </c>
      <c r="C2797" s="62" t="s">
        <v>19</v>
      </c>
      <c r="D2797" s="63">
        <v>247.69172109428985</v>
      </c>
      <c r="E2797" s="79">
        <v>1338689</v>
      </c>
      <c r="F2797" s="80">
        <v>1308793.1724137967</v>
      </c>
      <c r="G2797" s="66">
        <v>3141.0635829906428</v>
      </c>
      <c r="H2797" s="67">
        <v>1</v>
      </c>
      <c r="I2797" s="68" t="s">
        <v>20</v>
      </c>
      <c r="J2797" s="69">
        <v>40</v>
      </c>
      <c r="K2797" s="70">
        <v>1</v>
      </c>
      <c r="L2797" s="68">
        <v>1</v>
      </c>
      <c r="M2797" s="68">
        <f>_xlfn.XLOOKUP(Survey!$F2797,sections[Start],sections[Test Section],,-1,1)</f>
        <v>8</v>
      </c>
      <c r="N2797" s="55">
        <f>_xlfn.XLOOKUP(Survey!$K2797,pipedata[ID],pipedata[WT])</f>
        <v>0.61699999999999999</v>
      </c>
      <c r="O2797" s="56">
        <f>_xlfn.XLOOKUP(Survey!$K2797,pipedata[ID],pipedata[104%])</f>
        <v>2138.9333333333334</v>
      </c>
      <c r="P2797" s="57">
        <f t="shared" si="43"/>
        <v>1850</v>
      </c>
      <c r="Q2797" s="58">
        <f>_xlfn.MAXIFS(Survey!$G$2:$G$3647,Survey!$M$2:$M$3647,Survey!$M2797)-Survey!$G2797</f>
        <v>46.645909827227115</v>
      </c>
      <c r="R2797" s="59">
        <f>Survey!$P2797+(Survey!$Q2797*0.433)</f>
        <v>1870.1976789551893</v>
      </c>
    </row>
    <row r="2798" spans="1:18" x14ac:dyDescent="0.25">
      <c r="A2798" s="71" t="s">
        <v>17</v>
      </c>
      <c r="B2798" s="72" t="s">
        <v>23</v>
      </c>
      <c r="C2798" s="73" t="s">
        <v>19</v>
      </c>
      <c r="D2798" s="74">
        <v>247.69931768534849</v>
      </c>
      <c r="E2798" s="81">
        <v>1338729</v>
      </c>
      <c r="F2798" s="82">
        <v>1308831.2827586243</v>
      </c>
      <c r="G2798" s="75">
        <v>3131.8846061792674</v>
      </c>
      <c r="H2798" s="76">
        <v>1</v>
      </c>
      <c r="I2798" s="54" t="s">
        <v>20</v>
      </c>
      <c r="J2798" s="77">
        <v>40</v>
      </c>
      <c r="K2798" s="78">
        <v>1</v>
      </c>
      <c r="L2798" s="54">
        <v>1</v>
      </c>
      <c r="M2798" s="54">
        <f>_xlfn.XLOOKUP(Survey!$F2798,sections[Start],sections[Test Section],,-1,1)</f>
        <v>8</v>
      </c>
      <c r="N2798" s="55">
        <f>_xlfn.XLOOKUP(Survey!$K2798,pipedata[ID],pipedata[WT])</f>
        <v>0.61699999999999999</v>
      </c>
      <c r="O2798" s="56">
        <f>_xlfn.XLOOKUP(Survey!$K2798,pipedata[ID],pipedata[104%])</f>
        <v>2138.9333333333334</v>
      </c>
      <c r="P2798" s="57">
        <f t="shared" si="43"/>
        <v>1850</v>
      </c>
      <c r="Q2798" s="58">
        <f>_xlfn.MAXIFS(Survey!$G$2:$G$3647,Survey!$M$2:$M$3647,Survey!$M2798)-Survey!$G2798</f>
        <v>55.824886638602493</v>
      </c>
      <c r="R2798" s="59">
        <f>Survey!$P2798+(Survey!$Q2798*0.433)</f>
        <v>1874.1721759145148</v>
      </c>
    </row>
    <row r="2799" spans="1:18" x14ac:dyDescent="0.25">
      <c r="A2799" s="60" t="s">
        <v>17</v>
      </c>
      <c r="B2799" s="61" t="s">
        <v>23</v>
      </c>
      <c r="C2799" s="62" t="s">
        <v>19</v>
      </c>
      <c r="D2799" s="63">
        <v>247.70589131955595</v>
      </c>
      <c r="E2799" s="79">
        <v>1338769</v>
      </c>
      <c r="F2799" s="80">
        <v>1308869.3931034519</v>
      </c>
      <c r="G2799" s="66">
        <v>3120.8704525658381</v>
      </c>
      <c r="H2799" s="67">
        <v>1</v>
      </c>
      <c r="I2799" s="68" t="s">
        <v>20</v>
      </c>
      <c r="J2799" s="69">
        <v>40</v>
      </c>
      <c r="K2799" s="70">
        <v>1</v>
      </c>
      <c r="L2799" s="68">
        <v>1</v>
      </c>
      <c r="M2799" s="68">
        <f>_xlfn.XLOOKUP(Survey!$F2799,sections[Start],sections[Test Section],,-1,1)</f>
        <v>8</v>
      </c>
      <c r="N2799" s="55">
        <f>_xlfn.XLOOKUP(Survey!$K2799,pipedata[ID],pipedata[WT])</f>
        <v>0.61699999999999999</v>
      </c>
      <c r="O2799" s="56">
        <f>_xlfn.XLOOKUP(Survey!$K2799,pipedata[ID],pipedata[104%])</f>
        <v>2138.9333333333334</v>
      </c>
      <c r="P2799" s="57">
        <f t="shared" si="43"/>
        <v>1850</v>
      </c>
      <c r="Q2799" s="58">
        <f>_xlfn.MAXIFS(Survey!$G$2:$G$3647,Survey!$M$2:$M$3647,Survey!$M2799)-Survey!$G2799</f>
        <v>66.839040252031737</v>
      </c>
      <c r="R2799" s="59">
        <f>Survey!$P2799+(Survey!$Q2799*0.433)</f>
        <v>1878.9413044291298</v>
      </c>
    </row>
    <row r="2800" spans="1:18" x14ac:dyDescent="0.25">
      <c r="A2800" s="71" t="s">
        <v>17</v>
      </c>
      <c r="B2800" s="72" t="s">
        <v>23</v>
      </c>
      <c r="C2800" s="73" t="s">
        <v>19</v>
      </c>
      <c r="D2800" s="74">
        <v>247.71284514477748</v>
      </c>
      <c r="E2800" s="81">
        <v>1338809</v>
      </c>
      <c r="F2800" s="82">
        <v>1308907.5034482796</v>
      </c>
      <c r="G2800" s="75">
        <v>3108.6615596204288</v>
      </c>
      <c r="H2800" s="76">
        <v>1</v>
      </c>
      <c r="I2800" s="54" t="s">
        <v>20</v>
      </c>
      <c r="J2800" s="77">
        <v>40</v>
      </c>
      <c r="K2800" s="78">
        <v>1</v>
      </c>
      <c r="L2800" s="54">
        <v>1</v>
      </c>
      <c r="M2800" s="54">
        <f>_xlfn.XLOOKUP(Survey!$F2800,sections[Start],sections[Test Section],,-1,1)</f>
        <v>8</v>
      </c>
      <c r="N2800" s="55">
        <f>_xlfn.XLOOKUP(Survey!$K2800,pipedata[ID],pipedata[WT])</f>
        <v>0.61699999999999999</v>
      </c>
      <c r="O2800" s="56">
        <f>_xlfn.XLOOKUP(Survey!$K2800,pipedata[ID],pipedata[104%])</f>
        <v>2138.9333333333334</v>
      </c>
      <c r="P2800" s="57">
        <f t="shared" si="43"/>
        <v>1850</v>
      </c>
      <c r="Q2800" s="58">
        <f>_xlfn.MAXIFS(Survey!$G$2:$G$3647,Survey!$M$2:$M$3647,Survey!$M2800)-Survey!$G2800</f>
        <v>79.047933197441125</v>
      </c>
      <c r="R2800" s="59">
        <f>Survey!$P2800+(Survey!$Q2800*0.433)</f>
        <v>1884.2277550744921</v>
      </c>
    </row>
    <row r="2801" spans="1:18" x14ac:dyDescent="0.25">
      <c r="A2801" s="60" t="s">
        <v>17</v>
      </c>
      <c r="B2801" s="61" t="s">
        <v>23</v>
      </c>
      <c r="C2801" s="62" t="s">
        <v>19</v>
      </c>
      <c r="D2801" s="63">
        <v>247.72070154466081</v>
      </c>
      <c r="E2801" s="79">
        <v>1338849</v>
      </c>
      <c r="F2801" s="80">
        <v>1308945.6137931072</v>
      </c>
      <c r="G2801" s="66">
        <v>3097.3581908529204</v>
      </c>
      <c r="H2801" s="67">
        <v>1</v>
      </c>
      <c r="I2801" s="68" t="s">
        <v>20</v>
      </c>
      <c r="J2801" s="69">
        <v>40</v>
      </c>
      <c r="K2801" s="70">
        <v>1</v>
      </c>
      <c r="L2801" s="68">
        <v>1</v>
      </c>
      <c r="M2801" s="68">
        <f>_xlfn.XLOOKUP(Survey!$F2801,sections[Start],sections[Test Section],,-1,1)</f>
        <v>8</v>
      </c>
      <c r="N2801" s="55">
        <f>_xlfn.XLOOKUP(Survey!$K2801,pipedata[ID],pipedata[WT])</f>
        <v>0.61699999999999999</v>
      </c>
      <c r="O2801" s="56">
        <f>_xlfn.XLOOKUP(Survey!$K2801,pipedata[ID],pipedata[104%])</f>
        <v>2138.9333333333334</v>
      </c>
      <c r="P2801" s="57">
        <f t="shared" si="43"/>
        <v>1850</v>
      </c>
      <c r="Q2801" s="58">
        <f>_xlfn.MAXIFS(Survey!$G$2:$G$3647,Survey!$M$2:$M$3647,Survey!$M2801)-Survey!$G2801</f>
        <v>90.351301964949471</v>
      </c>
      <c r="R2801" s="59">
        <f>Survey!$P2801+(Survey!$Q2801*0.433)</f>
        <v>1889.122113750823</v>
      </c>
    </row>
    <row r="2802" spans="1:18" x14ac:dyDescent="0.25">
      <c r="A2802" s="71" t="s">
        <v>17</v>
      </c>
      <c r="B2802" s="72" t="s">
        <v>23</v>
      </c>
      <c r="C2802" s="73" t="s">
        <v>19</v>
      </c>
      <c r="D2802" s="74">
        <v>247.72889903928092</v>
      </c>
      <c r="E2802" s="81">
        <v>1338889</v>
      </c>
      <c r="F2802" s="82">
        <v>1308983.7241379349</v>
      </c>
      <c r="G2802" s="75">
        <v>3088.9620669268838</v>
      </c>
      <c r="H2802" s="76">
        <v>1</v>
      </c>
      <c r="I2802" s="54" t="s">
        <v>20</v>
      </c>
      <c r="J2802" s="77">
        <v>40</v>
      </c>
      <c r="K2802" s="78">
        <v>1</v>
      </c>
      <c r="L2802" s="54">
        <v>1</v>
      </c>
      <c r="M2802" s="54">
        <f>_xlfn.XLOOKUP(Survey!$F2802,sections[Start],sections[Test Section],,-1,1)</f>
        <v>8</v>
      </c>
      <c r="N2802" s="55">
        <f>_xlfn.XLOOKUP(Survey!$K2802,pipedata[ID],pipedata[WT])</f>
        <v>0.61699999999999999</v>
      </c>
      <c r="O2802" s="56">
        <f>_xlfn.XLOOKUP(Survey!$K2802,pipedata[ID],pipedata[104%])</f>
        <v>2138.9333333333334</v>
      </c>
      <c r="P2802" s="57">
        <f t="shared" si="43"/>
        <v>1850</v>
      </c>
      <c r="Q2802" s="58">
        <f>_xlfn.MAXIFS(Survey!$G$2:$G$3647,Survey!$M$2:$M$3647,Survey!$M2802)-Survey!$G2802</f>
        <v>98.747425890986051</v>
      </c>
      <c r="R2802" s="59">
        <f>Survey!$P2802+(Survey!$Q2802*0.433)</f>
        <v>1892.7576354107969</v>
      </c>
    </row>
    <row r="2803" spans="1:18" x14ac:dyDescent="0.25">
      <c r="A2803" s="60" t="s">
        <v>17</v>
      </c>
      <c r="B2803" s="61" t="s">
        <v>23</v>
      </c>
      <c r="C2803" s="62" t="s">
        <v>19</v>
      </c>
      <c r="D2803" s="63">
        <v>247.73556451287052</v>
      </c>
      <c r="E2803" s="79">
        <v>1338929</v>
      </c>
      <c r="F2803" s="80">
        <v>1309021.8344827625</v>
      </c>
      <c r="G2803" s="66">
        <v>3084.9239360197762</v>
      </c>
      <c r="H2803" s="67">
        <v>1</v>
      </c>
      <c r="I2803" s="68" t="s">
        <v>20</v>
      </c>
      <c r="J2803" s="69">
        <v>40</v>
      </c>
      <c r="K2803" s="70">
        <v>1</v>
      </c>
      <c r="L2803" s="68">
        <v>1</v>
      </c>
      <c r="M2803" s="68">
        <f>_xlfn.XLOOKUP(Survey!$F2803,sections[Start],sections[Test Section],,-1,1)</f>
        <v>8</v>
      </c>
      <c r="N2803" s="55">
        <f>_xlfn.XLOOKUP(Survey!$K2803,pipedata[ID],pipedata[WT])</f>
        <v>0.61699999999999999</v>
      </c>
      <c r="O2803" s="56">
        <f>_xlfn.XLOOKUP(Survey!$K2803,pipedata[ID],pipedata[104%])</f>
        <v>2138.9333333333334</v>
      </c>
      <c r="P2803" s="57">
        <f t="shared" si="43"/>
        <v>1850</v>
      </c>
      <c r="Q2803" s="58">
        <f>_xlfn.MAXIFS(Survey!$G$2:$G$3647,Survey!$M$2:$M$3647,Survey!$M2803)-Survey!$G2803</f>
        <v>102.78555679809369</v>
      </c>
      <c r="R2803" s="59">
        <f>Survey!$P2803+(Survey!$Q2803*0.433)</f>
        <v>1894.5061460935747</v>
      </c>
    </row>
    <row r="2804" spans="1:18" x14ac:dyDescent="0.25">
      <c r="A2804" s="71" t="s">
        <v>17</v>
      </c>
      <c r="B2804" s="72" t="s">
        <v>23</v>
      </c>
      <c r="C2804" s="73" t="s">
        <v>19</v>
      </c>
      <c r="D2804" s="74">
        <v>247.74327628702966</v>
      </c>
      <c r="E2804" s="81">
        <v>1338969</v>
      </c>
      <c r="F2804" s="82">
        <v>1309059.9448275901</v>
      </c>
      <c r="G2804" s="75">
        <v>3074.1513247141243</v>
      </c>
      <c r="H2804" s="76">
        <v>1</v>
      </c>
      <c r="I2804" s="54" t="s">
        <v>20</v>
      </c>
      <c r="J2804" s="77">
        <v>40</v>
      </c>
      <c r="K2804" s="78">
        <v>1</v>
      </c>
      <c r="L2804" s="54">
        <v>1</v>
      </c>
      <c r="M2804" s="54">
        <f>_xlfn.XLOOKUP(Survey!$F2804,sections[Start],sections[Test Section],,-1,1)</f>
        <v>8</v>
      </c>
      <c r="N2804" s="55">
        <f>_xlfn.XLOOKUP(Survey!$K2804,pipedata[ID],pipedata[WT])</f>
        <v>0.61699999999999999</v>
      </c>
      <c r="O2804" s="56">
        <f>_xlfn.XLOOKUP(Survey!$K2804,pipedata[ID],pipedata[104%])</f>
        <v>2138.9333333333334</v>
      </c>
      <c r="P2804" s="57">
        <f t="shared" si="43"/>
        <v>1850</v>
      </c>
      <c r="Q2804" s="58">
        <f>_xlfn.MAXIFS(Survey!$G$2:$G$3647,Survey!$M$2:$M$3647,Survey!$M2804)-Survey!$G2804</f>
        <v>113.55816810374563</v>
      </c>
      <c r="R2804" s="59">
        <f>Survey!$P2804+(Survey!$Q2804*0.433)</f>
        <v>1899.1706867889218</v>
      </c>
    </row>
    <row r="2805" spans="1:18" x14ac:dyDescent="0.25">
      <c r="A2805" s="60" t="s">
        <v>17</v>
      </c>
      <c r="B2805" s="61" t="s">
        <v>23</v>
      </c>
      <c r="C2805" s="62" t="s">
        <v>19</v>
      </c>
      <c r="D2805" s="63">
        <v>247.75008047136851</v>
      </c>
      <c r="E2805" s="79">
        <v>1339009</v>
      </c>
      <c r="F2805" s="80">
        <v>1309098.0551724178</v>
      </c>
      <c r="G2805" s="66">
        <v>3061.8409257474391</v>
      </c>
      <c r="H2805" s="67">
        <v>1</v>
      </c>
      <c r="I2805" s="68" t="s">
        <v>20</v>
      </c>
      <c r="J2805" s="69">
        <v>40</v>
      </c>
      <c r="K2805" s="70">
        <v>1</v>
      </c>
      <c r="L2805" s="68">
        <v>1</v>
      </c>
      <c r="M2805" s="68">
        <f>_xlfn.XLOOKUP(Survey!$F2805,sections[Start],sections[Test Section],,-1,1)</f>
        <v>8</v>
      </c>
      <c r="N2805" s="55">
        <f>_xlfn.XLOOKUP(Survey!$K2805,pipedata[ID],pipedata[WT])</f>
        <v>0.61699999999999999</v>
      </c>
      <c r="O2805" s="56">
        <f>_xlfn.XLOOKUP(Survey!$K2805,pipedata[ID],pipedata[104%])</f>
        <v>2138.9333333333334</v>
      </c>
      <c r="P2805" s="57">
        <f t="shared" si="43"/>
        <v>1850</v>
      </c>
      <c r="Q2805" s="58">
        <f>_xlfn.MAXIFS(Survey!$G$2:$G$3647,Survey!$M$2:$M$3647,Survey!$M2805)-Survey!$G2805</f>
        <v>125.8685670704308</v>
      </c>
      <c r="R2805" s="59">
        <f>Survey!$P2805+(Survey!$Q2805*0.433)</f>
        <v>1904.5010895414966</v>
      </c>
    </row>
    <row r="2806" spans="1:18" x14ac:dyDescent="0.25">
      <c r="A2806" s="71" t="s">
        <v>17</v>
      </c>
      <c r="B2806" s="72" t="s">
        <v>23</v>
      </c>
      <c r="C2806" s="73" t="s">
        <v>19</v>
      </c>
      <c r="D2806" s="74">
        <v>247.7576573872141</v>
      </c>
      <c r="E2806" s="81">
        <v>1339049</v>
      </c>
      <c r="F2806" s="82">
        <v>1309136.1655172454</v>
      </c>
      <c r="G2806" s="75">
        <v>3050.1065386021651</v>
      </c>
      <c r="H2806" s="76">
        <v>1</v>
      </c>
      <c r="I2806" s="54" t="s">
        <v>20</v>
      </c>
      <c r="J2806" s="77">
        <v>40</v>
      </c>
      <c r="K2806" s="78">
        <v>1</v>
      </c>
      <c r="L2806" s="54">
        <v>1</v>
      </c>
      <c r="M2806" s="54">
        <f>_xlfn.XLOOKUP(Survey!$F2806,sections[Start],sections[Test Section],,-1,1)</f>
        <v>8</v>
      </c>
      <c r="N2806" s="55">
        <f>_xlfn.XLOOKUP(Survey!$K2806,pipedata[ID],pipedata[WT])</f>
        <v>0.61699999999999999</v>
      </c>
      <c r="O2806" s="56">
        <f>_xlfn.XLOOKUP(Survey!$K2806,pipedata[ID],pipedata[104%])</f>
        <v>2138.9333333333334</v>
      </c>
      <c r="P2806" s="57">
        <f t="shared" si="43"/>
        <v>1850</v>
      </c>
      <c r="Q2806" s="58">
        <f>_xlfn.MAXIFS(Survey!$G$2:$G$3647,Survey!$M$2:$M$3647,Survey!$M2806)-Survey!$G2806</f>
        <v>137.60295421570481</v>
      </c>
      <c r="R2806" s="59">
        <f>Survey!$P2806+(Survey!$Q2806*0.433)</f>
        <v>1909.5820791754002</v>
      </c>
    </row>
    <row r="2807" spans="1:18" x14ac:dyDescent="0.25">
      <c r="A2807" s="60" t="s">
        <v>17</v>
      </c>
      <c r="B2807" s="61" t="s">
        <v>23</v>
      </c>
      <c r="C2807" s="62" t="s">
        <v>19</v>
      </c>
      <c r="D2807" s="63">
        <v>247.76525076313766</v>
      </c>
      <c r="E2807" s="79">
        <v>1339089</v>
      </c>
      <c r="F2807" s="80">
        <v>1309174.2758620731</v>
      </c>
      <c r="G2807" s="66">
        <v>3038.6747149477451</v>
      </c>
      <c r="H2807" s="67">
        <v>1</v>
      </c>
      <c r="I2807" s="68" t="s">
        <v>20</v>
      </c>
      <c r="J2807" s="69">
        <v>40</v>
      </c>
      <c r="K2807" s="70">
        <v>1</v>
      </c>
      <c r="L2807" s="68">
        <v>1</v>
      </c>
      <c r="M2807" s="68">
        <f>_xlfn.XLOOKUP(Survey!$F2807,sections[Start],sections[Test Section],,-1,1)</f>
        <v>8</v>
      </c>
      <c r="N2807" s="55">
        <f>_xlfn.XLOOKUP(Survey!$K2807,pipedata[ID],pipedata[WT])</f>
        <v>0.61699999999999999</v>
      </c>
      <c r="O2807" s="56">
        <f>_xlfn.XLOOKUP(Survey!$K2807,pipedata[ID],pipedata[104%])</f>
        <v>2138.9333333333334</v>
      </c>
      <c r="P2807" s="57">
        <f t="shared" si="43"/>
        <v>1850</v>
      </c>
      <c r="Q2807" s="58">
        <f>_xlfn.MAXIFS(Survey!$G$2:$G$3647,Survey!$M$2:$M$3647,Survey!$M2807)-Survey!$G2807</f>
        <v>149.0347778701248</v>
      </c>
      <c r="R2807" s="59">
        <f>Survey!$P2807+(Survey!$Q2807*0.433)</f>
        <v>1914.532058817764</v>
      </c>
    </row>
    <row r="2808" spans="1:18" x14ac:dyDescent="0.25">
      <c r="A2808" s="71" t="s">
        <v>17</v>
      </c>
      <c r="B2808" s="72" t="s">
        <v>23</v>
      </c>
      <c r="C2808" s="73" t="s">
        <v>19</v>
      </c>
      <c r="D2808" s="74">
        <v>247.77207088479895</v>
      </c>
      <c r="E2808" s="81">
        <v>1339129</v>
      </c>
      <c r="F2808" s="82">
        <v>1309212.3862069007</v>
      </c>
      <c r="G2808" s="75">
        <v>3027.7182530450268</v>
      </c>
      <c r="H2808" s="76">
        <v>1</v>
      </c>
      <c r="I2808" s="54" t="s">
        <v>20</v>
      </c>
      <c r="J2808" s="77">
        <v>40</v>
      </c>
      <c r="K2808" s="78">
        <v>1</v>
      </c>
      <c r="L2808" s="54">
        <v>1</v>
      </c>
      <c r="M2808" s="54">
        <f>_xlfn.XLOOKUP(Survey!$F2808,sections[Start],sections[Test Section],,-1,1)</f>
        <v>8</v>
      </c>
      <c r="N2808" s="55">
        <f>_xlfn.XLOOKUP(Survey!$K2808,pipedata[ID],pipedata[WT])</f>
        <v>0.61699999999999999</v>
      </c>
      <c r="O2808" s="56">
        <f>_xlfn.XLOOKUP(Survey!$K2808,pipedata[ID],pipedata[104%])</f>
        <v>2138.9333333333334</v>
      </c>
      <c r="P2808" s="57">
        <f t="shared" si="43"/>
        <v>1850</v>
      </c>
      <c r="Q2808" s="58">
        <f>_xlfn.MAXIFS(Survey!$G$2:$G$3647,Survey!$M$2:$M$3647,Survey!$M2808)-Survey!$G2808</f>
        <v>159.99123977284307</v>
      </c>
      <c r="R2808" s="59">
        <f>Survey!$P2808+(Survey!$Q2808*0.433)</f>
        <v>1919.2762068216412</v>
      </c>
    </row>
    <row r="2809" spans="1:18" x14ac:dyDescent="0.25">
      <c r="A2809" s="60" t="s">
        <v>17</v>
      </c>
      <c r="B2809" s="61" t="s">
        <v>23</v>
      </c>
      <c r="C2809" s="62" t="s">
        <v>19</v>
      </c>
      <c r="D2809" s="63">
        <v>247.77955456907512</v>
      </c>
      <c r="E2809" s="79">
        <v>1339169</v>
      </c>
      <c r="F2809" s="80">
        <v>1309250.4965517283</v>
      </c>
      <c r="G2809" s="66">
        <v>3015.1638752879016</v>
      </c>
      <c r="H2809" s="67">
        <v>1</v>
      </c>
      <c r="I2809" s="68" t="s">
        <v>20</v>
      </c>
      <c r="J2809" s="69">
        <v>40</v>
      </c>
      <c r="K2809" s="70">
        <v>1</v>
      </c>
      <c r="L2809" s="68">
        <v>1</v>
      </c>
      <c r="M2809" s="68">
        <f>_xlfn.XLOOKUP(Survey!$F2809,sections[Start],sections[Test Section],,-1,1)</f>
        <v>8</v>
      </c>
      <c r="N2809" s="55">
        <f>_xlfn.XLOOKUP(Survey!$K2809,pipedata[ID],pipedata[WT])</f>
        <v>0.61699999999999999</v>
      </c>
      <c r="O2809" s="56">
        <f>_xlfn.XLOOKUP(Survey!$K2809,pipedata[ID],pipedata[104%])</f>
        <v>2138.9333333333334</v>
      </c>
      <c r="P2809" s="57">
        <f t="shared" si="43"/>
        <v>1850</v>
      </c>
      <c r="Q2809" s="58">
        <f>_xlfn.MAXIFS(Survey!$G$2:$G$3647,Survey!$M$2:$M$3647,Survey!$M2809)-Survey!$G2809</f>
        <v>172.54561752996824</v>
      </c>
      <c r="R2809" s="59">
        <f>Survey!$P2809+(Survey!$Q2809*0.433)</f>
        <v>1924.7122523904764</v>
      </c>
    </row>
    <row r="2810" spans="1:18" x14ac:dyDescent="0.25">
      <c r="A2810" s="71" t="s">
        <v>17</v>
      </c>
      <c r="B2810" s="72" t="s">
        <v>23</v>
      </c>
      <c r="C2810" s="73" t="s">
        <v>19</v>
      </c>
      <c r="D2810" s="74">
        <v>247.78635931876553</v>
      </c>
      <c r="E2810" s="81">
        <v>1339209</v>
      </c>
      <c r="F2810" s="82">
        <v>1309288.606896556</v>
      </c>
      <c r="G2810" s="75">
        <v>3000.1079906168243</v>
      </c>
      <c r="H2810" s="76">
        <v>1</v>
      </c>
      <c r="I2810" s="54" t="s">
        <v>20</v>
      </c>
      <c r="J2810" s="77">
        <v>40</v>
      </c>
      <c r="K2810" s="78">
        <v>1</v>
      </c>
      <c r="L2810" s="54">
        <v>1</v>
      </c>
      <c r="M2810" s="54">
        <f>_xlfn.XLOOKUP(Survey!$F2810,sections[Start],sections[Test Section],,-1,1)</f>
        <v>8</v>
      </c>
      <c r="N2810" s="55">
        <f>_xlfn.XLOOKUP(Survey!$K2810,pipedata[ID],pipedata[WT])</f>
        <v>0.61699999999999999</v>
      </c>
      <c r="O2810" s="56">
        <f>_xlfn.XLOOKUP(Survey!$K2810,pipedata[ID],pipedata[104%])</f>
        <v>2138.9333333333334</v>
      </c>
      <c r="P2810" s="57">
        <f t="shared" si="43"/>
        <v>1850</v>
      </c>
      <c r="Q2810" s="58">
        <f>_xlfn.MAXIFS(Survey!$G$2:$G$3647,Survey!$M$2:$M$3647,Survey!$M2810)-Survey!$G2810</f>
        <v>187.60150220104561</v>
      </c>
      <c r="R2810" s="59">
        <f>Survey!$P2810+(Survey!$Q2810*0.433)</f>
        <v>1931.2314504530527</v>
      </c>
    </row>
    <row r="2811" spans="1:18" x14ac:dyDescent="0.25">
      <c r="A2811" s="60" t="s">
        <v>17</v>
      </c>
      <c r="B2811" s="61" t="s">
        <v>23</v>
      </c>
      <c r="C2811" s="62" t="s">
        <v>19</v>
      </c>
      <c r="D2811" s="63">
        <v>247.79388388006728</v>
      </c>
      <c r="E2811" s="79">
        <v>1339249</v>
      </c>
      <c r="F2811" s="80">
        <v>1309326.7172413836</v>
      </c>
      <c r="G2811" s="66">
        <v>2988.8428708061138</v>
      </c>
      <c r="H2811" s="67">
        <v>1</v>
      </c>
      <c r="I2811" s="68" t="s">
        <v>20</v>
      </c>
      <c r="J2811" s="69">
        <v>40</v>
      </c>
      <c r="K2811" s="70">
        <v>1</v>
      </c>
      <c r="L2811" s="68">
        <v>1</v>
      </c>
      <c r="M2811" s="68">
        <f>_xlfn.XLOOKUP(Survey!$F2811,sections[Start],sections[Test Section],,-1,1)</f>
        <v>8</v>
      </c>
      <c r="N2811" s="55">
        <f>_xlfn.XLOOKUP(Survey!$K2811,pipedata[ID],pipedata[WT])</f>
        <v>0.61699999999999999</v>
      </c>
      <c r="O2811" s="56">
        <f>_xlfn.XLOOKUP(Survey!$K2811,pipedata[ID],pipedata[104%])</f>
        <v>2138.9333333333334</v>
      </c>
      <c r="P2811" s="57">
        <f t="shared" si="43"/>
        <v>1850</v>
      </c>
      <c r="Q2811" s="58">
        <f>_xlfn.MAXIFS(Survey!$G$2:$G$3647,Survey!$M$2:$M$3647,Survey!$M2811)-Survey!$G2811</f>
        <v>198.86662201175614</v>
      </c>
      <c r="R2811" s="59">
        <f>Survey!$P2811+(Survey!$Q2811*0.433)</f>
        <v>1936.1092473310905</v>
      </c>
    </row>
    <row r="2812" spans="1:18" x14ac:dyDescent="0.25">
      <c r="A2812" s="71" t="s">
        <v>17</v>
      </c>
      <c r="B2812" s="72" t="s">
        <v>23</v>
      </c>
      <c r="C2812" s="73" t="s">
        <v>19</v>
      </c>
      <c r="D2812" s="74">
        <v>247.80161903314311</v>
      </c>
      <c r="E2812" s="81">
        <v>1339289</v>
      </c>
      <c r="F2812" s="82">
        <v>1309364.8275862113</v>
      </c>
      <c r="G2812" s="75">
        <v>2978.6555853405189</v>
      </c>
      <c r="H2812" s="76">
        <v>1</v>
      </c>
      <c r="I2812" s="54" t="s">
        <v>20</v>
      </c>
      <c r="J2812" s="77">
        <v>40</v>
      </c>
      <c r="K2812" s="78">
        <v>1</v>
      </c>
      <c r="L2812" s="54">
        <v>1</v>
      </c>
      <c r="M2812" s="54">
        <f>_xlfn.XLOOKUP(Survey!$F2812,sections[Start],sections[Test Section],,-1,1)</f>
        <v>8</v>
      </c>
      <c r="N2812" s="55">
        <f>_xlfn.XLOOKUP(Survey!$K2812,pipedata[ID],pipedata[WT])</f>
        <v>0.61699999999999999</v>
      </c>
      <c r="O2812" s="56">
        <f>_xlfn.XLOOKUP(Survey!$K2812,pipedata[ID],pipedata[104%])</f>
        <v>2138.9333333333334</v>
      </c>
      <c r="P2812" s="57">
        <f t="shared" si="43"/>
        <v>1850</v>
      </c>
      <c r="Q2812" s="58">
        <f>_xlfn.MAXIFS(Survey!$G$2:$G$3647,Survey!$M$2:$M$3647,Survey!$M2812)-Survey!$G2812</f>
        <v>209.053907477351</v>
      </c>
      <c r="R2812" s="59">
        <f>Survey!$P2812+(Survey!$Q2812*0.433)</f>
        <v>1940.520341937693</v>
      </c>
    </row>
    <row r="2813" spans="1:18" x14ac:dyDescent="0.25">
      <c r="A2813" s="60" t="s">
        <v>17</v>
      </c>
      <c r="B2813" s="61" t="s">
        <v>23</v>
      </c>
      <c r="C2813" s="62" t="s">
        <v>19</v>
      </c>
      <c r="D2813" s="63">
        <v>247.80915487576311</v>
      </c>
      <c r="E2813" s="79">
        <v>1339329</v>
      </c>
      <c r="F2813" s="80">
        <v>1309402.9379310389</v>
      </c>
      <c r="G2813" s="66">
        <v>2970.6601243971149</v>
      </c>
      <c r="H2813" s="67">
        <v>1</v>
      </c>
      <c r="I2813" s="68" t="s">
        <v>20</v>
      </c>
      <c r="J2813" s="69">
        <v>40</v>
      </c>
      <c r="K2813" s="70">
        <v>1</v>
      </c>
      <c r="L2813" s="68">
        <v>1</v>
      </c>
      <c r="M2813" s="68">
        <f>_xlfn.XLOOKUP(Survey!$F2813,sections[Start],sections[Test Section],,-1,1)</f>
        <v>8</v>
      </c>
      <c r="N2813" s="55">
        <f>_xlfn.XLOOKUP(Survey!$K2813,pipedata[ID],pipedata[WT])</f>
        <v>0.61699999999999999</v>
      </c>
      <c r="O2813" s="56">
        <f>_xlfn.XLOOKUP(Survey!$K2813,pipedata[ID],pipedata[104%])</f>
        <v>2138.9333333333334</v>
      </c>
      <c r="P2813" s="57">
        <f t="shared" si="43"/>
        <v>1850</v>
      </c>
      <c r="Q2813" s="58">
        <f>_xlfn.MAXIFS(Survey!$G$2:$G$3647,Survey!$M$2:$M$3647,Survey!$M2813)-Survey!$G2813</f>
        <v>217.04936842075494</v>
      </c>
      <c r="R2813" s="59">
        <f>Survey!$P2813+(Survey!$Q2813*0.433)</f>
        <v>1943.982376526187</v>
      </c>
    </row>
    <row r="2814" spans="1:18" x14ac:dyDescent="0.25">
      <c r="A2814" s="71" t="s">
        <v>17</v>
      </c>
      <c r="B2814" s="72" t="s">
        <v>23</v>
      </c>
      <c r="C2814" s="73" t="s">
        <v>19</v>
      </c>
      <c r="D2814" s="74">
        <v>247.81632151011772</v>
      </c>
      <c r="E2814" s="81">
        <v>1339369</v>
      </c>
      <c r="F2814" s="82">
        <v>1309441.0482758665</v>
      </c>
      <c r="G2814" s="75">
        <v>2967.6255929597842</v>
      </c>
      <c r="H2814" s="76">
        <v>1</v>
      </c>
      <c r="I2814" s="54" t="s">
        <v>20</v>
      </c>
      <c r="J2814" s="77">
        <v>40</v>
      </c>
      <c r="K2814" s="78">
        <v>1</v>
      </c>
      <c r="L2814" s="54">
        <v>1</v>
      </c>
      <c r="M2814" s="54">
        <f>_xlfn.XLOOKUP(Survey!$F2814,sections[Start],sections[Test Section],,-1,1)</f>
        <v>8</v>
      </c>
      <c r="N2814" s="55">
        <f>_xlfn.XLOOKUP(Survey!$K2814,pipedata[ID],pipedata[WT])</f>
        <v>0.61699999999999999</v>
      </c>
      <c r="O2814" s="56">
        <f>_xlfn.XLOOKUP(Survey!$K2814,pipedata[ID],pipedata[104%])</f>
        <v>2138.9333333333334</v>
      </c>
      <c r="P2814" s="57">
        <f t="shared" si="43"/>
        <v>1850</v>
      </c>
      <c r="Q2814" s="58">
        <f>_xlfn.MAXIFS(Survey!$G$2:$G$3647,Survey!$M$2:$M$3647,Survey!$M2814)-Survey!$G2814</f>
        <v>220.08389985808572</v>
      </c>
      <c r="R2814" s="59">
        <f>Survey!$P2814+(Survey!$Q2814*0.433)</f>
        <v>1945.2963286385511</v>
      </c>
    </row>
    <row r="2815" spans="1:18" x14ac:dyDescent="0.25">
      <c r="A2815" s="60" t="s">
        <v>17</v>
      </c>
      <c r="B2815" s="61" t="s">
        <v>23</v>
      </c>
      <c r="C2815" s="62" t="s">
        <v>19</v>
      </c>
      <c r="D2815" s="63">
        <v>247.82415540310029</v>
      </c>
      <c r="E2815" s="79">
        <v>1339409</v>
      </c>
      <c r="F2815" s="80">
        <v>1309479.1586206942</v>
      </c>
      <c r="G2815" s="66">
        <v>2969.8951898213213</v>
      </c>
      <c r="H2815" s="67">
        <v>1</v>
      </c>
      <c r="I2815" s="68" t="s">
        <v>20</v>
      </c>
      <c r="J2815" s="69">
        <v>40</v>
      </c>
      <c r="K2815" s="70">
        <v>1</v>
      </c>
      <c r="L2815" s="68">
        <v>1</v>
      </c>
      <c r="M2815" s="68">
        <f>_xlfn.XLOOKUP(Survey!$F2815,sections[Start],sections[Test Section],,-1,1)</f>
        <v>8</v>
      </c>
      <c r="N2815" s="55">
        <f>_xlfn.XLOOKUP(Survey!$K2815,pipedata[ID],pipedata[WT])</f>
        <v>0.61699999999999999</v>
      </c>
      <c r="O2815" s="56">
        <f>_xlfn.XLOOKUP(Survey!$K2815,pipedata[ID],pipedata[104%])</f>
        <v>2138.9333333333334</v>
      </c>
      <c r="P2815" s="57">
        <f t="shared" si="43"/>
        <v>1850</v>
      </c>
      <c r="Q2815" s="58">
        <f>_xlfn.MAXIFS(Survey!$G$2:$G$3647,Survey!$M$2:$M$3647,Survey!$M2815)-Survey!$G2815</f>
        <v>217.81430299654858</v>
      </c>
      <c r="R2815" s="59">
        <f>Survey!$P2815+(Survey!$Q2815*0.433)</f>
        <v>1944.3135931975055</v>
      </c>
    </row>
    <row r="2816" spans="1:18" x14ac:dyDescent="0.25">
      <c r="A2816" s="71" t="s">
        <v>17</v>
      </c>
      <c r="B2816" s="72" t="s">
        <v>23</v>
      </c>
      <c r="C2816" s="73" t="s">
        <v>19</v>
      </c>
      <c r="D2816" s="74">
        <v>247.83116724786899</v>
      </c>
      <c r="E2816" s="81">
        <v>1339449</v>
      </c>
      <c r="F2816" s="82">
        <v>1309517.2689655218</v>
      </c>
      <c r="G2816" s="75">
        <v>2974.2319643477986</v>
      </c>
      <c r="H2816" s="76">
        <v>1</v>
      </c>
      <c r="I2816" s="54" t="s">
        <v>20</v>
      </c>
      <c r="J2816" s="77">
        <v>40</v>
      </c>
      <c r="K2816" s="78">
        <v>1</v>
      </c>
      <c r="L2816" s="54">
        <v>1</v>
      </c>
      <c r="M2816" s="54">
        <f>_xlfn.XLOOKUP(Survey!$F2816,sections[Start],sections[Test Section],,-1,1)</f>
        <v>8</v>
      </c>
      <c r="N2816" s="55">
        <f>_xlfn.XLOOKUP(Survey!$K2816,pipedata[ID],pipedata[WT])</f>
        <v>0.61699999999999999</v>
      </c>
      <c r="O2816" s="56">
        <f>_xlfn.XLOOKUP(Survey!$K2816,pipedata[ID],pipedata[104%])</f>
        <v>2138.9333333333334</v>
      </c>
      <c r="P2816" s="57">
        <f t="shared" si="43"/>
        <v>1850</v>
      </c>
      <c r="Q2816" s="58">
        <f>_xlfn.MAXIFS(Survey!$G$2:$G$3647,Survey!$M$2:$M$3647,Survey!$M2816)-Survey!$G2816</f>
        <v>213.47752847007132</v>
      </c>
      <c r="R2816" s="59">
        <f>Survey!$P2816+(Survey!$Q2816*0.433)</f>
        <v>1942.435769827541</v>
      </c>
    </row>
    <row r="2817" spans="1:18" x14ac:dyDescent="0.25">
      <c r="A2817" s="60" t="s">
        <v>17</v>
      </c>
      <c r="B2817" s="61" t="s">
        <v>23</v>
      </c>
      <c r="C2817" s="62" t="s">
        <v>19</v>
      </c>
      <c r="D2817" s="63">
        <v>247.83897464532635</v>
      </c>
      <c r="E2817" s="79">
        <v>1339489</v>
      </c>
      <c r="F2817" s="80">
        <v>1309555.3793103495</v>
      </c>
      <c r="G2817" s="66">
        <v>2981.6317316986765</v>
      </c>
      <c r="H2817" s="67">
        <v>1</v>
      </c>
      <c r="I2817" s="68" t="s">
        <v>20</v>
      </c>
      <c r="J2817" s="69">
        <v>40</v>
      </c>
      <c r="K2817" s="70">
        <v>1</v>
      </c>
      <c r="L2817" s="68">
        <v>1</v>
      </c>
      <c r="M2817" s="68">
        <f>_xlfn.XLOOKUP(Survey!$F2817,sections[Start],sections[Test Section],,-1,1)</f>
        <v>8</v>
      </c>
      <c r="N2817" s="55">
        <f>_xlfn.XLOOKUP(Survey!$K2817,pipedata[ID],pipedata[WT])</f>
        <v>0.61699999999999999</v>
      </c>
      <c r="O2817" s="56">
        <f>_xlfn.XLOOKUP(Survey!$K2817,pipedata[ID],pipedata[104%])</f>
        <v>2138.9333333333334</v>
      </c>
      <c r="P2817" s="57">
        <f t="shared" si="43"/>
        <v>1850</v>
      </c>
      <c r="Q2817" s="58">
        <f>_xlfn.MAXIFS(Survey!$G$2:$G$3647,Survey!$M$2:$M$3647,Survey!$M2817)-Survey!$G2817</f>
        <v>206.07776111919338</v>
      </c>
      <c r="R2817" s="59">
        <f>Survey!$P2817+(Survey!$Q2817*0.433)</f>
        <v>1939.2316705646108</v>
      </c>
    </row>
    <row r="2818" spans="1:18" x14ac:dyDescent="0.25">
      <c r="A2818" s="71" t="s">
        <v>17</v>
      </c>
      <c r="B2818" s="72" t="s">
        <v>23</v>
      </c>
      <c r="C2818" s="73" t="s">
        <v>19</v>
      </c>
      <c r="D2818" s="74">
        <v>247.84604873013583</v>
      </c>
      <c r="E2818" s="81">
        <v>1339529</v>
      </c>
      <c r="F2818" s="82">
        <v>1309593.4896551771</v>
      </c>
      <c r="G2818" s="75">
        <v>2989.5352968462234</v>
      </c>
      <c r="H2818" s="76">
        <v>1</v>
      </c>
      <c r="I2818" s="54" t="s">
        <v>20</v>
      </c>
      <c r="J2818" s="77">
        <v>40</v>
      </c>
      <c r="K2818" s="78">
        <v>1</v>
      </c>
      <c r="L2818" s="54">
        <v>1</v>
      </c>
      <c r="M2818" s="54">
        <f>_xlfn.XLOOKUP(Survey!$F2818,sections[Start],sections[Test Section],,-1,1)</f>
        <v>8</v>
      </c>
      <c r="N2818" s="55">
        <f>_xlfn.XLOOKUP(Survey!$K2818,pipedata[ID],pipedata[WT])</f>
        <v>0.61699999999999999</v>
      </c>
      <c r="O2818" s="56">
        <f>_xlfn.XLOOKUP(Survey!$K2818,pipedata[ID],pipedata[104%])</f>
        <v>2138.9333333333334</v>
      </c>
      <c r="P2818" s="57">
        <f t="shared" ref="P2818:P2881" si="44">IF(L2818=1,1850,IF(L2818=2,1850,2220))</f>
        <v>1850</v>
      </c>
      <c r="Q2818" s="58">
        <f>_xlfn.MAXIFS(Survey!$G$2:$G$3647,Survey!$M$2:$M$3647,Survey!$M2818)-Survey!$G2818</f>
        <v>198.17419597164644</v>
      </c>
      <c r="R2818" s="59">
        <f>Survey!$P2818+(Survey!$Q2818*0.433)</f>
        <v>1935.8094268557229</v>
      </c>
    </row>
    <row r="2819" spans="1:18" x14ac:dyDescent="0.25">
      <c r="A2819" s="60" t="s">
        <v>17</v>
      </c>
      <c r="B2819" s="61" t="s">
        <v>23</v>
      </c>
      <c r="C2819" s="62" t="s">
        <v>19</v>
      </c>
      <c r="D2819" s="63">
        <v>247.85360515112777</v>
      </c>
      <c r="E2819" s="79">
        <v>1339569</v>
      </c>
      <c r="F2819" s="80">
        <v>1309631.6000000047</v>
      </c>
      <c r="G2819" s="66">
        <v>2998.7087476338725</v>
      </c>
      <c r="H2819" s="67">
        <v>1</v>
      </c>
      <c r="I2819" s="68" t="s">
        <v>20</v>
      </c>
      <c r="J2819" s="69">
        <v>40</v>
      </c>
      <c r="K2819" s="70">
        <v>1</v>
      </c>
      <c r="L2819" s="68">
        <v>1</v>
      </c>
      <c r="M2819" s="68">
        <f>_xlfn.XLOOKUP(Survey!$F2819,sections[Start],sections[Test Section],,-1,1)</f>
        <v>8</v>
      </c>
      <c r="N2819" s="55">
        <f>_xlfn.XLOOKUP(Survey!$K2819,pipedata[ID],pipedata[WT])</f>
        <v>0.61699999999999999</v>
      </c>
      <c r="O2819" s="56">
        <f>_xlfn.XLOOKUP(Survey!$K2819,pipedata[ID],pipedata[104%])</f>
        <v>2138.9333333333334</v>
      </c>
      <c r="P2819" s="57">
        <f t="shared" si="44"/>
        <v>1850</v>
      </c>
      <c r="Q2819" s="58">
        <f>_xlfn.MAXIFS(Survey!$G$2:$G$3647,Survey!$M$2:$M$3647,Survey!$M2819)-Survey!$G2819</f>
        <v>189.00074518399742</v>
      </c>
      <c r="R2819" s="59">
        <f>Survey!$P2819+(Survey!$Q2819*0.433)</f>
        <v>1931.8373226646709</v>
      </c>
    </row>
    <row r="2820" spans="1:18" x14ac:dyDescent="0.25">
      <c r="A2820" s="71" t="s">
        <v>17</v>
      </c>
      <c r="B2820" s="72" t="s">
        <v>23</v>
      </c>
      <c r="C2820" s="73" t="s">
        <v>19</v>
      </c>
      <c r="D2820" s="74">
        <v>247.86108016248915</v>
      </c>
      <c r="E2820" s="81">
        <v>1339609</v>
      </c>
      <c r="F2820" s="82">
        <v>1309669.7103448324</v>
      </c>
      <c r="G2820" s="75">
        <v>3008.8517574356961</v>
      </c>
      <c r="H2820" s="76">
        <v>1</v>
      </c>
      <c r="I2820" s="54" t="s">
        <v>20</v>
      </c>
      <c r="J2820" s="77">
        <v>40</v>
      </c>
      <c r="K2820" s="78">
        <v>1</v>
      </c>
      <c r="L2820" s="54">
        <v>1</v>
      </c>
      <c r="M2820" s="54">
        <f>_xlfn.XLOOKUP(Survey!$F2820,sections[Start],sections[Test Section],,-1,1)</f>
        <v>8</v>
      </c>
      <c r="N2820" s="55">
        <f>_xlfn.XLOOKUP(Survey!$K2820,pipedata[ID],pipedata[WT])</f>
        <v>0.61699999999999999</v>
      </c>
      <c r="O2820" s="56">
        <f>_xlfn.XLOOKUP(Survey!$K2820,pipedata[ID],pipedata[104%])</f>
        <v>2138.9333333333334</v>
      </c>
      <c r="P2820" s="57">
        <f t="shared" si="44"/>
        <v>1850</v>
      </c>
      <c r="Q2820" s="58">
        <f>_xlfn.MAXIFS(Survey!$G$2:$G$3647,Survey!$M$2:$M$3647,Survey!$M2820)-Survey!$G2820</f>
        <v>178.85773538217381</v>
      </c>
      <c r="R2820" s="59">
        <f>Survey!$P2820+(Survey!$Q2820*0.433)</f>
        <v>1927.4453994204812</v>
      </c>
    </row>
    <row r="2821" spans="1:18" x14ac:dyDescent="0.25">
      <c r="A2821" s="60" t="s">
        <v>17</v>
      </c>
      <c r="B2821" s="61" t="s">
        <v>23</v>
      </c>
      <c r="C2821" s="62" t="s">
        <v>19</v>
      </c>
      <c r="D2821" s="63">
        <v>247.86767596026175</v>
      </c>
      <c r="E2821" s="79">
        <v>1339649</v>
      </c>
      <c r="F2821" s="80">
        <v>1309707.82068966</v>
      </c>
      <c r="G2821" s="66">
        <v>3015.7935660005951</v>
      </c>
      <c r="H2821" s="67">
        <v>1</v>
      </c>
      <c r="I2821" s="68" t="s">
        <v>20</v>
      </c>
      <c r="J2821" s="69">
        <v>40</v>
      </c>
      <c r="K2821" s="70">
        <v>1</v>
      </c>
      <c r="L2821" s="68">
        <v>1</v>
      </c>
      <c r="M2821" s="68">
        <f>_xlfn.XLOOKUP(Survey!$F2821,sections[Start],sections[Test Section],,-1,1)</f>
        <v>8</v>
      </c>
      <c r="N2821" s="55">
        <f>_xlfn.XLOOKUP(Survey!$K2821,pipedata[ID],pipedata[WT])</f>
        <v>0.61699999999999999</v>
      </c>
      <c r="O2821" s="56">
        <f>_xlfn.XLOOKUP(Survey!$K2821,pipedata[ID],pipedata[104%])</f>
        <v>2138.9333333333334</v>
      </c>
      <c r="P2821" s="57">
        <f t="shared" si="44"/>
        <v>1850</v>
      </c>
      <c r="Q2821" s="58">
        <f>_xlfn.MAXIFS(Survey!$G$2:$G$3647,Survey!$M$2:$M$3647,Survey!$M2821)-Survey!$G2821</f>
        <v>171.91592681727479</v>
      </c>
      <c r="R2821" s="59">
        <f>Survey!$P2821+(Survey!$Q2821*0.433)</f>
        <v>1924.43959631188</v>
      </c>
    </row>
    <row r="2822" spans="1:18" x14ac:dyDescent="0.25">
      <c r="A2822" s="71" t="s">
        <v>17</v>
      </c>
      <c r="B2822" s="72" t="s">
        <v>23</v>
      </c>
      <c r="C2822" s="73" t="s">
        <v>19</v>
      </c>
      <c r="D2822" s="74">
        <v>247.87598902632351</v>
      </c>
      <c r="E2822" s="81">
        <v>1339689</v>
      </c>
      <c r="F2822" s="82">
        <v>1309745.9310344877</v>
      </c>
      <c r="G2822" s="75">
        <v>3023.6565618191471</v>
      </c>
      <c r="H2822" s="76">
        <v>1</v>
      </c>
      <c r="I2822" s="54" t="s">
        <v>20</v>
      </c>
      <c r="J2822" s="77">
        <v>40</v>
      </c>
      <c r="K2822" s="78">
        <v>1</v>
      </c>
      <c r="L2822" s="54">
        <v>1</v>
      </c>
      <c r="M2822" s="54">
        <f>_xlfn.XLOOKUP(Survey!$F2822,sections[Start],sections[Test Section],,-1,1)</f>
        <v>8</v>
      </c>
      <c r="N2822" s="55">
        <f>_xlfn.XLOOKUP(Survey!$K2822,pipedata[ID],pipedata[WT])</f>
        <v>0.61699999999999999</v>
      </c>
      <c r="O2822" s="56">
        <f>_xlfn.XLOOKUP(Survey!$K2822,pipedata[ID],pipedata[104%])</f>
        <v>2138.9333333333334</v>
      </c>
      <c r="P2822" s="57">
        <f t="shared" si="44"/>
        <v>1850</v>
      </c>
      <c r="Q2822" s="58">
        <f>_xlfn.MAXIFS(Survey!$G$2:$G$3647,Survey!$M$2:$M$3647,Survey!$M2822)-Survey!$G2822</f>
        <v>164.05293099872279</v>
      </c>
      <c r="R2822" s="59">
        <f>Survey!$P2822+(Survey!$Q2822*0.433)</f>
        <v>1921.034919122447</v>
      </c>
    </row>
    <row r="2823" spans="1:18" x14ac:dyDescent="0.25">
      <c r="A2823" s="60" t="s">
        <v>17</v>
      </c>
      <c r="B2823" s="61" t="s">
        <v>23</v>
      </c>
      <c r="C2823" s="62" t="s">
        <v>19</v>
      </c>
      <c r="D2823" s="63">
        <v>247.88312271348761</v>
      </c>
      <c r="E2823" s="79">
        <v>1339729</v>
      </c>
      <c r="F2823" s="80">
        <v>1309784.0413793153</v>
      </c>
      <c r="G2823" s="66">
        <v>3023.1723393631505</v>
      </c>
      <c r="H2823" s="67">
        <v>1</v>
      </c>
      <c r="I2823" s="68" t="s">
        <v>20</v>
      </c>
      <c r="J2823" s="69">
        <v>40</v>
      </c>
      <c r="K2823" s="70">
        <v>1</v>
      </c>
      <c r="L2823" s="68">
        <v>1</v>
      </c>
      <c r="M2823" s="68">
        <f>_xlfn.XLOOKUP(Survey!$F2823,sections[Start],sections[Test Section],,-1,1)</f>
        <v>8</v>
      </c>
      <c r="N2823" s="55">
        <f>_xlfn.XLOOKUP(Survey!$K2823,pipedata[ID],pipedata[WT])</f>
        <v>0.61699999999999999</v>
      </c>
      <c r="O2823" s="56">
        <f>_xlfn.XLOOKUP(Survey!$K2823,pipedata[ID],pipedata[104%])</f>
        <v>2138.9333333333334</v>
      </c>
      <c r="P2823" s="57">
        <f t="shared" si="44"/>
        <v>1850</v>
      </c>
      <c r="Q2823" s="58">
        <f>_xlfn.MAXIFS(Survey!$G$2:$G$3647,Survey!$M$2:$M$3647,Survey!$M2823)-Survey!$G2823</f>
        <v>164.53715345471937</v>
      </c>
      <c r="R2823" s="59">
        <f>Survey!$P2823+(Survey!$Q2823*0.433)</f>
        <v>1921.2445874458936</v>
      </c>
    </row>
    <row r="2824" spans="1:18" x14ac:dyDescent="0.25">
      <c r="A2824" s="71" t="s">
        <v>17</v>
      </c>
      <c r="B2824" s="72" t="s">
        <v>23</v>
      </c>
      <c r="C2824" s="73" t="s">
        <v>19</v>
      </c>
      <c r="D2824" s="74">
        <v>247.89097805991955</v>
      </c>
      <c r="E2824" s="81">
        <v>1339769</v>
      </c>
      <c r="F2824" s="82">
        <v>1309822.151724143</v>
      </c>
      <c r="G2824" s="75">
        <v>3017.0827721199471</v>
      </c>
      <c r="H2824" s="76">
        <v>1</v>
      </c>
      <c r="I2824" s="54" t="s">
        <v>20</v>
      </c>
      <c r="J2824" s="77">
        <v>40</v>
      </c>
      <c r="K2824" s="78">
        <v>1</v>
      </c>
      <c r="L2824" s="54">
        <v>1</v>
      </c>
      <c r="M2824" s="54">
        <f>_xlfn.XLOOKUP(Survey!$F2824,sections[Start],sections[Test Section],,-1,1)</f>
        <v>8</v>
      </c>
      <c r="N2824" s="55">
        <f>_xlfn.XLOOKUP(Survey!$K2824,pipedata[ID],pipedata[WT])</f>
        <v>0.61699999999999999</v>
      </c>
      <c r="O2824" s="56">
        <f>_xlfn.XLOOKUP(Survey!$K2824,pipedata[ID],pipedata[104%])</f>
        <v>2138.9333333333334</v>
      </c>
      <c r="P2824" s="57">
        <f t="shared" si="44"/>
        <v>1850</v>
      </c>
      <c r="Q2824" s="58">
        <f>_xlfn.MAXIFS(Survey!$G$2:$G$3647,Survey!$M$2:$M$3647,Survey!$M2824)-Survey!$G2824</f>
        <v>170.62672069792279</v>
      </c>
      <c r="R2824" s="59">
        <f>Survey!$P2824+(Survey!$Q2824*0.433)</f>
        <v>1923.8813700622006</v>
      </c>
    </row>
    <row r="2825" spans="1:18" x14ac:dyDescent="0.25">
      <c r="A2825" s="60" t="s">
        <v>17</v>
      </c>
      <c r="B2825" s="61" t="s">
        <v>23</v>
      </c>
      <c r="C2825" s="62" t="s">
        <v>19</v>
      </c>
      <c r="D2825" s="63">
        <v>247.89837344790342</v>
      </c>
      <c r="E2825" s="79">
        <v>1339809</v>
      </c>
      <c r="F2825" s="80">
        <v>1309860.2620689706</v>
      </c>
      <c r="G2825" s="66">
        <v>3016.0240109042825</v>
      </c>
      <c r="H2825" s="67">
        <v>1</v>
      </c>
      <c r="I2825" s="68" t="s">
        <v>20</v>
      </c>
      <c r="J2825" s="69">
        <v>40</v>
      </c>
      <c r="K2825" s="70">
        <v>1</v>
      </c>
      <c r="L2825" s="68">
        <v>1</v>
      </c>
      <c r="M2825" s="68">
        <f>_xlfn.XLOOKUP(Survey!$F2825,sections[Start],sections[Test Section],,-1,1)</f>
        <v>8</v>
      </c>
      <c r="N2825" s="55">
        <f>_xlfn.XLOOKUP(Survey!$K2825,pipedata[ID],pipedata[WT])</f>
        <v>0.61699999999999999</v>
      </c>
      <c r="O2825" s="56">
        <f>_xlfn.XLOOKUP(Survey!$K2825,pipedata[ID],pipedata[104%])</f>
        <v>2138.9333333333334</v>
      </c>
      <c r="P2825" s="57">
        <f t="shared" si="44"/>
        <v>1850</v>
      </c>
      <c r="Q2825" s="58">
        <f>_xlfn.MAXIFS(Survey!$G$2:$G$3647,Survey!$M$2:$M$3647,Survey!$M2825)-Survey!$G2825</f>
        <v>171.68548191358741</v>
      </c>
      <c r="R2825" s="59">
        <f>Survey!$P2825+(Survey!$Q2825*0.433)</f>
        <v>1924.3398136685832</v>
      </c>
    </row>
    <row r="2826" spans="1:18" x14ac:dyDescent="0.25">
      <c r="A2826" s="71" t="s">
        <v>17</v>
      </c>
      <c r="B2826" s="72" t="s">
        <v>23</v>
      </c>
      <c r="C2826" s="73" t="s">
        <v>19</v>
      </c>
      <c r="D2826" s="74">
        <v>247.90624420870577</v>
      </c>
      <c r="E2826" s="81">
        <v>1339849</v>
      </c>
      <c r="F2826" s="82">
        <v>1309898.3724137982</v>
      </c>
      <c r="G2826" s="75">
        <v>3016.4089920000347</v>
      </c>
      <c r="H2826" s="76">
        <v>1</v>
      </c>
      <c r="I2826" s="54" t="s">
        <v>20</v>
      </c>
      <c r="J2826" s="77">
        <v>40</v>
      </c>
      <c r="K2826" s="78">
        <v>1</v>
      </c>
      <c r="L2826" s="54">
        <v>1</v>
      </c>
      <c r="M2826" s="54">
        <f>_xlfn.XLOOKUP(Survey!$F2826,sections[Start],sections[Test Section],,-1,1)</f>
        <v>8</v>
      </c>
      <c r="N2826" s="55">
        <f>_xlfn.XLOOKUP(Survey!$K2826,pipedata[ID],pipedata[WT])</f>
        <v>0.61699999999999999</v>
      </c>
      <c r="O2826" s="56">
        <f>_xlfn.XLOOKUP(Survey!$K2826,pipedata[ID],pipedata[104%])</f>
        <v>2138.9333333333334</v>
      </c>
      <c r="P2826" s="57">
        <f t="shared" si="44"/>
        <v>1850</v>
      </c>
      <c r="Q2826" s="58">
        <f>_xlfn.MAXIFS(Survey!$G$2:$G$3647,Survey!$M$2:$M$3647,Survey!$M2826)-Survey!$G2826</f>
        <v>171.3005008178352</v>
      </c>
      <c r="R2826" s="59">
        <f>Survey!$P2826+(Survey!$Q2826*0.433)</f>
        <v>1924.1731168541226</v>
      </c>
    </row>
    <row r="2827" spans="1:18" x14ac:dyDescent="0.25">
      <c r="A2827" s="60" t="s">
        <v>17</v>
      </c>
      <c r="B2827" s="61" t="s">
        <v>23</v>
      </c>
      <c r="C2827" s="62" t="s">
        <v>19</v>
      </c>
      <c r="D2827" s="63">
        <v>247.91365227051176</v>
      </c>
      <c r="E2827" s="79">
        <v>1339889</v>
      </c>
      <c r="F2827" s="80">
        <v>1309936.4827586259</v>
      </c>
      <c r="G2827" s="66">
        <v>3016.9589505882191</v>
      </c>
      <c r="H2827" s="67">
        <v>1</v>
      </c>
      <c r="I2827" s="68" t="s">
        <v>20</v>
      </c>
      <c r="J2827" s="69">
        <v>40</v>
      </c>
      <c r="K2827" s="70">
        <v>1</v>
      </c>
      <c r="L2827" s="68">
        <v>1</v>
      </c>
      <c r="M2827" s="68">
        <f>_xlfn.XLOOKUP(Survey!$F2827,sections[Start],sections[Test Section],,-1,1)</f>
        <v>8</v>
      </c>
      <c r="N2827" s="55">
        <f>_xlfn.XLOOKUP(Survey!$K2827,pipedata[ID],pipedata[WT])</f>
        <v>0.61699999999999999</v>
      </c>
      <c r="O2827" s="56">
        <f>_xlfn.XLOOKUP(Survey!$K2827,pipedata[ID],pipedata[104%])</f>
        <v>2138.9333333333334</v>
      </c>
      <c r="P2827" s="57">
        <f t="shared" si="44"/>
        <v>1850</v>
      </c>
      <c r="Q2827" s="58">
        <f>_xlfn.MAXIFS(Survey!$G$2:$G$3647,Survey!$M$2:$M$3647,Survey!$M2827)-Survey!$G2827</f>
        <v>170.75054222965082</v>
      </c>
      <c r="R2827" s="59">
        <f>Survey!$P2827+(Survey!$Q2827*0.433)</f>
        <v>1923.9349847854387</v>
      </c>
    </row>
    <row r="2828" spans="1:18" x14ac:dyDescent="0.25">
      <c r="A2828" s="71" t="s">
        <v>17</v>
      </c>
      <c r="B2828" s="72" t="s">
        <v>23</v>
      </c>
      <c r="C2828" s="73" t="s">
        <v>19</v>
      </c>
      <c r="D2828" s="74">
        <v>247.91970924392743</v>
      </c>
      <c r="E2828" s="81">
        <v>1339929</v>
      </c>
      <c r="F2828" s="82">
        <v>1309974.5931034535</v>
      </c>
      <c r="G2828" s="75">
        <v>3016.9395569217518</v>
      </c>
      <c r="H2828" s="76">
        <v>1</v>
      </c>
      <c r="I2828" s="54" t="s">
        <v>20</v>
      </c>
      <c r="J2828" s="77">
        <v>40</v>
      </c>
      <c r="K2828" s="78">
        <v>1</v>
      </c>
      <c r="L2828" s="54">
        <v>1</v>
      </c>
      <c r="M2828" s="54">
        <f>_xlfn.XLOOKUP(Survey!$F2828,sections[Start],sections[Test Section],,-1,1)</f>
        <v>8</v>
      </c>
      <c r="N2828" s="55">
        <f>_xlfn.XLOOKUP(Survey!$K2828,pipedata[ID],pipedata[WT])</f>
        <v>0.61699999999999999</v>
      </c>
      <c r="O2828" s="56">
        <f>_xlfn.XLOOKUP(Survey!$K2828,pipedata[ID],pipedata[104%])</f>
        <v>2138.9333333333334</v>
      </c>
      <c r="P2828" s="57">
        <f t="shared" si="44"/>
        <v>1850</v>
      </c>
      <c r="Q2828" s="58">
        <f>_xlfn.MAXIFS(Survey!$G$2:$G$3647,Survey!$M$2:$M$3647,Survey!$M2828)-Survey!$G2828</f>
        <v>170.76993589611811</v>
      </c>
      <c r="R2828" s="59">
        <f>Survey!$P2828+(Survey!$Q2828*0.433)</f>
        <v>1923.9433822430192</v>
      </c>
    </row>
    <row r="2829" spans="1:18" x14ac:dyDescent="0.25">
      <c r="A2829" s="60" t="s">
        <v>17</v>
      </c>
      <c r="B2829" s="61" t="s">
        <v>23</v>
      </c>
      <c r="C2829" s="62" t="s">
        <v>19</v>
      </c>
      <c r="D2829" s="63">
        <v>247.92891118360211</v>
      </c>
      <c r="E2829" s="79">
        <v>1339969</v>
      </c>
      <c r="F2829" s="80">
        <v>1310012.7034482812</v>
      </c>
      <c r="G2829" s="66">
        <v>3016.525102455058</v>
      </c>
      <c r="H2829" s="67">
        <v>1</v>
      </c>
      <c r="I2829" s="68" t="s">
        <v>20</v>
      </c>
      <c r="J2829" s="69">
        <v>40</v>
      </c>
      <c r="K2829" s="70">
        <v>1</v>
      </c>
      <c r="L2829" s="68">
        <v>1</v>
      </c>
      <c r="M2829" s="68">
        <f>_xlfn.XLOOKUP(Survey!$F2829,sections[Start],sections[Test Section],,-1,1)</f>
        <v>8</v>
      </c>
      <c r="N2829" s="55">
        <f>_xlfn.XLOOKUP(Survey!$K2829,pipedata[ID],pipedata[WT])</f>
        <v>0.61699999999999999</v>
      </c>
      <c r="O2829" s="56">
        <f>_xlfn.XLOOKUP(Survey!$K2829,pipedata[ID],pipedata[104%])</f>
        <v>2138.9333333333334</v>
      </c>
      <c r="P2829" s="57">
        <f t="shared" si="44"/>
        <v>1850</v>
      </c>
      <c r="Q2829" s="58">
        <f>_xlfn.MAXIFS(Survey!$G$2:$G$3647,Survey!$M$2:$M$3647,Survey!$M2829)-Survey!$G2829</f>
        <v>171.18439036281188</v>
      </c>
      <c r="R2829" s="59">
        <f>Survey!$P2829+(Survey!$Q2829*0.433)</f>
        <v>1924.1228410270976</v>
      </c>
    </row>
    <row r="2830" spans="1:18" x14ac:dyDescent="0.25">
      <c r="A2830" s="71" t="s">
        <v>17</v>
      </c>
      <c r="B2830" s="72" t="s">
        <v>23</v>
      </c>
      <c r="C2830" s="73" t="s">
        <v>19</v>
      </c>
      <c r="D2830" s="74">
        <v>247.9360487121134</v>
      </c>
      <c r="E2830" s="81">
        <v>1340009</v>
      </c>
      <c r="F2830" s="82">
        <v>1310050.8137931088</v>
      </c>
      <c r="G2830" s="75">
        <v>3016.0879382788185</v>
      </c>
      <c r="H2830" s="76">
        <v>1</v>
      </c>
      <c r="I2830" s="54" t="s">
        <v>20</v>
      </c>
      <c r="J2830" s="77">
        <v>40</v>
      </c>
      <c r="K2830" s="78">
        <v>1</v>
      </c>
      <c r="L2830" s="54">
        <v>1</v>
      </c>
      <c r="M2830" s="54">
        <f>_xlfn.XLOOKUP(Survey!$F2830,sections[Start],sections[Test Section],,-1,1)</f>
        <v>8</v>
      </c>
      <c r="N2830" s="55">
        <f>_xlfn.XLOOKUP(Survey!$K2830,pipedata[ID],pipedata[WT])</f>
        <v>0.61699999999999999</v>
      </c>
      <c r="O2830" s="56">
        <f>_xlfn.XLOOKUP(Survey!$K2830,pipedata[ID],pipedata[104%])</f>
        <v>2138.9333333333334</v>
      </c>
      <c r="P2830" s="57">
        <f t="shared" si="44"/>
        <v>1850</v>
      </c>
      <c r="Q2830" s="58">
        <f>_xlfn.MAXIFS(Survey!$G$2:$G$3647,Survey!$M$2:$M$3647,Survey!$M2830)-Survey!$G2830</f>
        <v>171.62155453905143</v>
      </c>
      <c r="R2830" s="59">
        <f>Survey!$P2830+(Survey!$Q2830*0.433)</f>
        <v>1924.3121331154093</v>
      </c>
    </row>
    <row r="2831" spans="1:18" x14ac:dyDescent="0.25">
      <c r="A2831" s="60" t="s">
        <v>17</v>
      </c>
      <c r="B2831" s="61" t="s">
        <v>23</v>
      </c>
      <c r="C2831" s="62" t="s">
        <v>19</v>
      </c>
      <c r="D2831" s="63">
        <v>247.94407658278175</v>
      </c>
      <c r="E2831" s="79">
        <v>1340049</v>
      </c>
      <c r="F2831" s="80">
        <v>1310088.9241379364</v>
      </c>
      <c r="G2831" s="66">
        <v>3017.9020816854627</v>
      </c>
      <c r="H2831" s="67">
        <v>1</v>
      </c>
      <c r="I2831" s="68" t="s">
        <v>20</v>
      </c>
      <c r="J2831" s="69">
        <v>40</v>
      </c>
      <c r="K2831" s="70">
        <v>1</v>
      </c>
      <c r="L2831" s="68">
        <v>1</v>
      </c>
      <c r="M2831" s="68">
        <f>_xlfn.XLOOKUP(Survey!$F2831,sections[Start],sections[Test Section],,-1,1)</f>
        <v>8</v>
      </c>
      <c r="N2831" s="55">
        <f>_xlfn.XLOOKUP(Survey!$K2831,pipedata[ID],pipedata[WT])</f>
        <v>0.61699999999999999</v>
      </c>
      <c r="O2831" s="56">
        <f>_xlfn.XLOOKUP(Survey!$K2831,pipedata[ID],pipedata[104%])</f>
        <v>2138.9333333333334</v>
      </c>
      <c r="P2831" s="57">
        <f t="shared" si="44"/>
        <v>1850</v>
      </c>
      <c r="Q2831" s="58">
        <f>_xlfn.MAXIFS(Survey!$G$2:$G$3647,Survey!$M$2:$M$3647,Survey!$M2831)-Survey!$G2831</f>
        <v>169.8074111324072</v>
      </c>
      <c r="R2831" s="59">
        <f>Survey!$P2831+(Survey!$Q2831*0.433)</f>
        <v>1923.5266090203322</v>
      </c>
    </row>
    <row r="2832" spans="1:18" x14ac:dyDescent="0.25">
      <c r="A2832" s="71" t="s">
        <v>17</v>
      </c>
      <c r="B2832" s="72" t="s">
        <v>23</v>
      </c>
      <c r="C2832" s="73" t="s">
        <v>19</v>
      </c>
      <c r="D2832" s="74">
        <v>247.95033512953441</v>
      </c>
      <c r="E2832" s="81">
        <v>1340089</v>
      </c>
      <c r="F2832" s="82">
        <v>1310127.0344827641</v>
      </c>
      <c r="G2832" s="75">
        <v>3017.8872840705899</v>
      </c>
      <c r="H2832" s="76">
        <v>1</v>
      </c>
      <c r="I2832" s="54" t="s">
        <v>20</v>
      </c>
      <c r="J2832" s="77">
        <v>40</v>
      </c>
      <c r="K2832" s="78">
        <v>1</v>
      </c>
      <c r="L2832" s="54">
        <v>1</v>
      </c>
      <c r="M2832" s="54">
        <f>_xlfn.XLOOKUP(Survey!$F2832,sections[Start],sections[Test Section],,-1,1)</f>
        <v>8</v>
      </c>
      <c r="N2832" s="55">
        <f>_xlfn.XLOOKUP(Survey!$K2832,pipedata[ID],pipedata[WT])</f>
        <v>0.61699999999999999</v>
      </c>
      <c r="O2832" s="56">
        <f>_xlfn.XLOOKUP(Survey!$K2832,pipedata[ID],pipedata[104%])</f>
        <v>2138.9333333333334</v>
      </c>
      <c r="P2832" s="57">
        <f t="shared" si="44"/>
        <v>1850</v>
      </c>
      <c r="Q2832" s="58">
        <f>_xlfn.MAXIFS(Survey!$G$2:$G$3647,Survey!$M$2:$M$3647,Survey!$M2832)-Survey!$G2832</f>
        <v>169.82220874728</v>
      </c>
      <c r="R2832" s="59">
        <f>Survey!$P2832+(Survey!$Q2832*0.433)</f>
        <v>1923.5330163875722</v>
      </c>
    </row>
    <row r="2833" spans="1:18" x14ac:dyDescent="0.25">
      <c r="A2833" s="60" t="s">
        <v>17</v>
      </c>
      <c r="B2833" s="61" t="s">
        <v>23</v>
      </c>
      <c r="C2833" s="62" t="s">
        <v>19</v>
      </c>
      <c r="D2833" s="63">
        <v>247.95746129764757</v>
      </c>
      <c r="E2833" s="79">
        <v>1340129</v>
      </c>
      <c r="F2833" s="80">
        <v>1310165.1448275917</v>
      </c>
      <c r="G2833" s="66">
        <v>3015.1326833231828</v>
      </c>
      <c r="H2833" s="67">
        <v>1</v>
      </c>
      <c r="I2833" s="68" t="s">
        <v>20</v>
      </c>
      <c r="J2833" s="69">
        <v>40</v>
      </c>
      <c r="K2833" s="70">
        <v>1</v>
      </c>
      <c r="L2833" s="68">
        <v>1</v>
      </c>
      <c r="M2833" s="68">
        <f>_xlfn.XLOOKUP(Survey!$F2833,sections[Start],sections[Test Section],,-1,1)</f>
        <v>8</v>
      </c>
      <c r="N2833" s="55">
        <f>_xlfn.XLOOKUP(Survey!$K2833,pipedata[ID],pipedata[WT])</f>
        <v>0.61699999999999999</v>
      </c>
      <c r="O2833" s="56">
        <f>_xlfn.XLOOKUP(Survey!$K2833,pipedata[ID],pipedata[104%])</f>
        <v>2138.9333333333334</v>
      </c>
      <c r="P2833" s="57">
        <f t="shared" si="44"/>
        <v>1850</v>
      </c>
      <c r="Q2833" s="58">
        <f>_xlfn.MAXIFS(Survey!$G$2:$G$3647,Survey!$M$2:$M$3647,Survey!$M2833)-Survey!$G2833</f>
        <v>172.57680949468704</v>
      </c>
      <c r="R2833" s="59">
        <f>Survey!$P2833+(Survey!$Q2833*0.433)</f>
        <v>1924.7257585111995</v>
      </c>
    </row>
    <row r="2834" spans="1:18" x14ac:dyDescent="0.25">
      <c r="A2834" s="71" t="s">
        <v>17</v>
      </c>
      <c r="B2834" s="72" t="s">
        <v>23</v>
      </c>
      <c r="C2834" s="73" t="s">
        <v>19</v>
      </c>
      <c r="D2834" s="74">
        <v>247.96459882615892</v>
      </c>
      <c r="E2834" s="81">
        <v>1340169</v>
      </c>
      <c r="F2834" s="82">
        <v>1310203.2551724194</v>
      </c>
      <c r="G2834" s="75">
        <v>3007.5322507034725</v>
      </c>
      <c r="H2834" s="76">
        <v>1</v>
      </c>
      <c r="I2834" s="54" t="s">
        <v>20</v>
      </c>
      <c r="J2834" s="77">
        <v>40</v>
      </c>
      <c r="K2834" s="78">
        <v>1</v>
      </c>
      <c r="L2834" s="54">
        <v>1</v>
      </c>
      <c r="M2834" s="54">
        <f>_xlfn.XLOOKUP(Survey!$F2834,sections[Start],sections[Test Section],,-1,1)</f>
        <v>8</v>
      </c>
      <c r="N2834" s="55">
        <f>_xlfn.XLOOKUP(Survey!$K2834,pipedata[ID],pipedata[WT])</f>
        <v>0.61699999999999999</v>
      </c>
      <c r="O2834" s="56">
        <f>_xlfn.XLOOKUP(Survey!$K2834,pipedata[ID],pipedata[104%])</f>
        <v>2138.9333333333334</v>
      </c>
      <c r="P2834" s="57">
        <f t="shared" si="44"/>
        <v>1850</v>
      </c>
      <c r="Q2834" s="58">
        <f>_xlfn.MAXIFS(Survey!$G$2:$G$3647,Survey!$M$2:$M$3647,Survey!$M2834)-Survey!$G2834</f>
        <v>180.17724211439736</v>
      </c>
      <c r="R2834" s="59">
        <f>Survey!$P2834+(Survey!$Q2834*0.433)</f>
        <v>1928.016745835534</v>
      </c>
    </row>
    <row r="2835" spans="1:18" x14ac:dyDescent="0.25">
      <c r="A2835" s="60" t="s">
        <v>17</v>
      </c>
      <c r="B2835" s="61" t="s">
        <v>23</v>
      </c>
      <c r="C2835" s="62" t="s">
        <v>19</v>
      </c>
      <c r="D2835" s="63">
        <v>247.97210790919826</v>
      </c>
      <c r="E2835" s="79">
        <v>1340209</v>
      </c>
      <c r="F2835" s="80">
        <v>1310241.365517247</v>
      </c>
      <c r="G2835" s="66">
        <v>2989.5749372820123</v>
      </c>
      <c r="H2835" s="67">
        <v>1</v>
      </c>
      <c r="I2835" s="68" t="s">
        <v>20</v>
      </c>
      <c r="J2835" s="69">
        <v>40</v>
      </c>
      <c r="K2835" s="70">
        <v>1</v>
      </c>
      <c r="L2835" s="68">
        <v>1</v>
      </c>
      <c r="M2835" s="68">
        <f>_xlfn.XLOOKUP(Survey!$F2835,sections[Start],sections[Test Section],,-1,1)</f>
        <v>8</v>
      </c>
      <c r="N2835" s="55">
        <f>_xlfn.XLOOKUP(Survey!$K2835,pipedata[ID],pipedata[WT])</f>
        <v>0.61699999999999999</v>
      </c>
      <c r="O2835" s="56">
        <f>_xlfn.XLOOKUP(Survey!$K2835,pipedata[ID],pipedata[104%])</f>
        <v>2138.9333333333334</v>
      </c>
      <c r="P2835" s="57">
        <f t="shared" si="44"/>
        <v>1850</v>
      </c>
      <c r="Q2835" s="58">
        <f>_xlfn.MAXIFS(Survey!$G$2:$G$3647,Survey!$M$2:$M$3647,Survey!$M2835)-Survey!$G2835</f>
        <v>198.13455553585754</v>
      </c>
      <c r="R2835" s="59">
        <f>Survey!$P2835+(Survey!$Q2835*0.433)</f>
        <v>1935.7922625470262</v>
      </c>
    </row>
    <row r="2836" spans="1:18" x14ac:dyDescent="0.25">
      <c r="A2836" s="71" t="s">
        <v>17</v>
      </c>
      <c r="B2836" s="72" t="s">
        <v>23</v>
      </c>
      <c r="C2836" s="73" t="s">
        <v>19</v>
      </c>
      <c r="D2836" s="74">
        <v>247.97927488054344</v>
      </c>
      <c r="E2836" s="81">
        <v>1340249</v>
      </c>
      <c r="F2836" s="82">
        <v>1310279.4758620746</v>
      </c>
      <c r="G2836" s="75">
        <v>2979.5322330365575</v>
      </c>
      <c r="H2836" s="76">
        <v>1</v>
      </c>
      <c r="I2836" s="54" t="s">
        <v>20</v>
      </c>
      <c r="J2836" s="77">
        <v>40</v>
      </c>
      <c r="K2836" s="78">
        <v>1</v>
      </c>
      <c r="L2836" s="54">
        <v>1</v>
      </c>
      <c r="M2836" s="54">
        <f>_xlfn.XLOOKUP(Survey!$F2836,sections[Start],sections[Test Section],,-1,1)</f>
        <v>8</v>
      </c>
      <c r="N2836" s="55">
        <f>_xlfn.XLOOKUP(Survey!$K2836,pipedata[ID],pipedata[WT])</f>
        <v>0.61699999999999999</v>
      </c>
      <c r="O2836" s="56">
        <f>_xlfn.XLOOKUP(Survey!$K2836,pipedata[ID],pipedata[104%])</f>
        <v>2138.9333333333334</v>
      </c>
      <c r="P2836" s="57">
        <f t="shared" si="44"/>
        <v>1850</v>
      </c>
      <c r="Q2836" s="58">
        <f>_xlfn.MAXIFS(Survey!$G$2:$G$3647,Survey!$M$2:$M$3647,Survey!$M2836)-Survey!$G2836</f>
        <v>208.17725978131239</v>
      </c>
      <c r="R2836" s="59">
        <f>Survey!$P2836+(Survey!$Q2836*0.433)</f>
        <v>1940.1407534853083</v>
      </c>
    </row>
    <row r="2837" spans="1:18" x14ac:dyDescent="0.25">
      <c r="A2837" s="60" t="s">
        <v>17</v>
      </c>
      <c r="B2837" s="61" t="s">
        <v>23</v>
      </c>
      <c r="C2837" s="62" t="s">
        <v>19</v>
      </c>
      <c r="D2837" s="63">
        <v>247.98674601750889</v>
      </c>
      <c r="E2837" s="79">
        <v>1340289</v>
      </c>
      <c r="F2837" s="80">
        <v>1310317.5862069023</v>
      </c>
      <c r="G2837" s="66">
        <v>2965.5769193155243</v>
      </c>
      <c r="H2837" s="67">
        <v>1</v>
      </c>
      <c r="I2837" s="68" t="s">
        <v>20</v>
      </c>
      <c r="J2837" s="69">
        <v>40</v>
      </c>
      <c r="K2837" s="70">
        <v>1</v>
      </c>
      <c r="L2837" s="68">
        <v>1</v>
      </c>
      <c r="M2837" s="68">
        <f>_xlfn.XLOOKUP(Survey!$F2837,sections[Start],sections[Test Section],,-1,1)</f>
        <v>8</v>
      </c>
      <c r="N2837" s="55">
        <f>_xlfn.XLOOKUP(Survey!$K2837,pipedata[ID],pipedata[WT])</f>
        <v>0.61699999999999999</v>
      </c>
      <c r="O2837" s="56">
        <f>_xlfn.XLOOKUP(Survey!$K2837,pipedata[ID],pipedata[104%])</f>
        <v>2138.9333333333334</v>
      </c>
      <c r="P2837" s="57">
        <f t="shared" si="44"/>
        <v>1850</v>
      </c>
      <c r="Q2837" s="58">
        <f>_xlfn.MAXIFS(Survey!$G$2:$G$3647,Survey!$M$2:$M$3647,Survey!$M2837)-Survey!$G2837</f>
        <v>222.13257350234562</v>
      </c>
      <c r="R2837" s="59">
        <f>Survey!$P2837+(Survey!$Q2837*0.433)</f>
        <v>1946.1834043265158</v>
      </c>
    </row>
    <row r="2838" spans="1:18" x14ac:dyDescent="0.25">
      <c r="A2838" s="71" t="s">
        <v>17</v>
      </c>
      <c r="B2838" s="72" t="s">
        <v>23</v>
      </c>
      <c r="C2838" s="73" t="s">
        <v>19</v>
      </c>
      <c r="D2838" s="74">
        <v>247.99252506701083</v>
      </c>
      <c r="E2838" s="81">
        <v>1340329</v>
      </c>
      <c r="F2838" s="82">
        <v>1310355.6965517299</v>
      </c>
      <c r="G2838" s="75">
        <v>2950.0359077803478</v>
      </c>
      <c r="H2838" s="76">
        <v>1</v>
      </c>
      <c r="I2838" s="54" t="s">
        <v>20</v>
      </c>
      <c r="J2838" s="77">
        <v>40</v>
      </c>
      <c r="K2838" s="78">
        <v>1</v>
      </c>
      <c r="L2838" s="54">
        <v>1</v>
      </c>
      <c r="M2838" s="54">
        <f>_xlfn.XLOOKUP(Survey!$F2838,sections[Start],sections[Test Section],,-1,1)</f>
        <v>8</v>
      </c>
      <c r="N2838" s="55">
        <f>_xlfn.XLOOKUP(Survey!$K2838,pipedata[ID],pipedata[WT])</f>
        <v>0.61699999999999999</v>
      </c>
      <c r="O2838" s="56">
        <f>_xlfn.XLOOKUP(Survey!$K2838,pipedata[ID],pipedata[104%])</f>
        <v>2138.9333333333334</v>
      </c>
      <c r="P2838" s="57">
        <f t="shared" si="44"/>
        <v>1850</v>
      </c>
      <c r="Q2838" s="58">
        <f>_xlfn.MAXIFS(Survey!$G$2:$G$3647,Survey!$M$2:$M$3647,Survey!$M2838)-Survey!$G2838</f>
        <v>237.67358503752212</v>
      </c>
      <c r="R2838" s="59">
        <f>Survey!$P2838+(Survey!$Q2838*0.433)</f>
        <v>1952.9126623212471</v>
      </c>
    </row>
    <row r="2839" spans="1:18" x14ac:dyDescent="0.25">
      <c r="A2839" s="60" t="s">
        <v>17</v>
      </c>
      <c r="B2839" s="61" t="s">
        <v>23</v>
      </c>
      <c r="C2839" s="62" t="s">
        <v>19</v>
      </c>
      <c r="D2839" s="63">
        <v>248.00127527750217</v>
      </c>
      <c r="E2839" s="79">
        <v>1340369</v>
      </c>
      <c r="F2839" s="80">
        <v>1310393.8068965576</v>
      </c>
      <c r="G2839" s="66">
        <v>2933.3019553231074</v>
      </c>
      <c r="H2839" s="67">
        <v>1</v>
      </c>
      <c r="I2839" s="68" t="s">
        <v>20</v>
      </c>
      <c r="J2839" s="69">
        <v>40</v>
      </c>
      <c r="K2839" s="70">
        <v>1</v>
      </c>
      <c r="L2839" s="68">
        <v>1</v>
      </c>
      <c r="M2839" s="68">
        <f>_xlfn.XLOOKUP(Survey!$F2839,sections[Start],sections[Test Section],,-1,1)</f>
        <v>8</v>
      </c>
      <c r="N2839" s="55">
        <f>_xlfn.XLOOKUP(Survey!$K2839,pipedata[ID],pipedata[WT])</f>
        <v>0.61699999999999999</v>
      </c>
      <c r="O2839" s="56">
        <f>_xlfn.XLOOKUP(Survey!$K2839,pipedata[ID],pipedata[104%])</f>
        <v>2138.9333333333334</v>
      </c>
      <c r="P2839" s="57">
        <f t="shared" si="44"/>
        <v>1850</v>
      </c>
      <c r="Q2839" s="58">
        <f>_xlfn.MAXIFS(Survey!$G$2:$G$3647,Survey!$M$2:$M$3647,Survey!$M2839)-Survey!$G2839</f>
        <v>254.40753749476244</v>
      </c>
      <c r="R2839" s="59">
        <f>Survey!$P2839+(Survey!$Q2839*0.433)</f>
        <v>1960.1584637352321</v>
      </c>
    </row>
    <row r="2840" spans="1:18" x14ac:dyDescent="0.25">
      <c r="A2840" s="71" t="s">
        <v>17</v>
      </c>
      <c r="B2840" s="72" t="s">
        <v>23</v>
      </c>
      <c r="C2840" s="73" t="s">
        <v>19</v>
      </c>
      <c r="D2840" s="74">
        <v>248.00710875116334</v>
      </c>
      <c r="E2840" s="81">
        <v>1340409</v>
      </c>
      <c r="F2840" s="82">
        <v>1310431.9172413852</v>
      </c>
      <c r="G2840" s="75">
        <v>2921.8437896955816</v>
      </c>
      <c r="H2840" s="76">
        <v>1</v>
      </c>
      <c r="I2840" s="54" t="s">
        <v>20</v>
      </c>
      <c r="J2840" s="77">
        <v>40</v>
      </c>
      <c r="K2840" s="78">
        <v>1</v>
      </c>
      <c r="L2840" s="54">
        <v>1</v>
      </c>
      <c r="M2840" s="54">
        <f>_xlfn.XLOOKUP(Survey!$F2840,sections[Start],sections[Test Section],,-1,1)</f>
        <v>8</v>
      </c>
      <c r="N2840" s="55">
        <f>_xlfn.XLOOKUP(Survey!$K2840,pipedata[ID],pipedata[WT])</f>
        <v>0.61699999999999999</v>
      </c>
      <c r="O2840" s="56">
        <f>_xlfn.XLOOKUP(Survey!$K2840,pipedata[ID],pipedata[104%])</f>
        <v>2138.9333333333334</v>
      </c>
      <c r="P2840" s="57">
        <f t="shared" si="44"/>
        <v>1850</v>
      </c>
      <c r="Q2840" s="58">
        <f>_xlfn.MAXIFS(Survey!$G$2:$G$3647,Survey!$M$2:$M$3647,Survey!$M2840)-Survey!$G2840</f>
        <v>265.86570312228832</v>
      </c>
      <c r="R2840" s="59">
        <f>Survey!$P2840+(Survey!$Q2840*0.433)</f>
        <v>1965.1198494519508</v>
      </c>
    </row>
    <row r="2841" spans="1:18" x14ac:dyDescent="0.25">
      <c r="A2841" s="60" t="s">
        <v>17</v>
      </c>
      <c r="B2841" s="61" t="s">
        <v>23</v>
      </c>
      <c r="C2841" s="62" t="s">
        <v>19</v>
      </c>
      <c r="D2841" s="63">
        <v>248.01585896165503</v>
      </c>
      <c r="E2841" s="79">
        <v>1340449</v>
      </c>
      <c r="F2841" s="80">
        <v>1310470.0275862128</v>
      </c>
      <c r="G2841" s="66">
        <v>2912.7658741996547</v>
      </c>
      <c r="H2841" s="67">
        <v>1</v>
      </c>
      <c r="I2841" s="68" t="s">
        <v>20</v>
      </c>
      <c r="J2841" s="69">
        <v>40</v>
      </c>
      <c r="K2841" s="70">
        <v>1</v>
      </c>
      <c r="L2841" s="68">
        <v>1</v>
      </c>
      <c r="M2841" s="68">
        <f>_xlfn.XLOOKUP(Survey!$F2841,sections[Start],sections[Test Section],,-1,1)</f>
        <v>8</v>
      </c>
      <c r="N2841" s="55">
        <f>_xlfn.XLOOKUP(Survey!$K2841,pipedata[ID],pipedata[WT])</f>
        <v>0.61699999999999999</v>
      </c>
      <c r="O2841" s="56">
        <f>_xlfn.XLOOKUP(Survey!$K2841,pipedata[ID],pipedata[104%])</f>
        <v>2138.9333333333334</v>
      </c>
      <c r="P2841" s="57">
        <f t="shared" si="44"/>
        <v>1850</v>
      </c>
      <c r="Q2841" s="58">
        <f>_xlfn.MAXIFS(Survey!$G$2:$G$3647,Survey!$M$2:$M$3647,Survey!$M2841)-Survey!$G2841</f>
        <v>274.94361861821517</v>
      </c>
      <c r="R2841" s="59">
        <f>Survey!$P2841+(Survey!$Q2841*0.433)</f>
        <v>1969.0505868616872</v>
      </c>
    </row>
    <row r="2842" spans="1:18" x14ac:dyDescent="0.25">
      <c r="A2842" s="71" t="s">
        <v>17</v>
      </c>
      <c r="B2842" s="72" t="s">
        <v>23</v>
      </c>
      <c r="C2842" s="73" t="s">
        <v>19</v>
      </c>
      <c r="D2842" s="74">
        <v>248.02333457166642</v>
      </c>
      <c r="E2842" s="81">
        <v>1340489</v>
      </c>
      <c r="F2842" s="82">
        <v>1310508.1379310405</v>
      </c>
      <c r="G2842" s="75">
        <v>2906.8987749151288</v>
      </c>
      <c r="H2842" s="76">
        <v>1</v>
      </c>
      <c r="I2842" s="54" t="s">
        <v>20</v>
      </c>
      <c r="J2842" s="77">
        <v>40</v>
      </c>
      <c r="K2842" s="78">
        <v>1</v>
      </c>
      <c r="L2842" s="54">
        <v>1</v>
      </c>
      <c r="M2842" s="54">
        <f>_xlfn.XLOOKUP(Survey!$F2842,sections[Start],sections[Test Section],,-1,1)</f>
        <v>8</v>
      </c>
      <c r="N2842" s="55">
        <f>_xlfn.XLOOKUP(Survey!$K2842,pipedata[ID],pipedata[WT])</f>
        <v>0.61699999999999999</v>
      </c>
      <c r="O2842" s="56">
        <f>_xlfn.XLOOKUP(Survey!$K2842,pipedata[ID],pipedata[104%])</f>
        <v>2138.9333333333334</v>
      </c>
      <c r="P2842" s="57">
        <f t="shared" si="44"/>
        <v>1850</v>
      </c>
      <c r="Q2842" s="58">
        <f>_xlfn.MAXIFS(Survey!$G$2:$G$3647,Survey!$M$2:$M$3647,Survey!$M2842)-Survey!$G2842</f>
        <v>280.81071790274109</v>
      </c>
      <c r="R2842" s="59">
        <f>Survey!$P2842+(Survey!$Q2842*0.433)</f>
        <v>1971.5910408518869</v>
      </c>
    </row>
    <row r="2843" spans="1:18" x14ac:dyDescent="0.25">
      <c r="A2843" s="60" t="s">
        <v>17</v>
      </c>
      <c r="B2843" s="61" t="s">
        <v>23</v>
      </c>
      <c r="C2843" s="62" t="s">
        <v>19</v>
      </c>
      <c r="D2843" s="63">
        <v>248.03014925538156</v>
      </c>
      <c r="E2843" s="79">
        <v>1340529</v>
      </c>
      <c r="F2843" s="80">
        <v>1310546.2482758681</v>
      </c>
      <c r="G2843" s="66">
        <v>2899.5994289999112</v>
      </c>
      <c r="H2843" s="67">
        <v>1</v>
      </c>
      <c r="I2843" s="68" t="s">
        <v>20</v>
      </c>
      <c r="J2843" s="69">
        <v>40</v>
      </c>
      <c r="K2843" s="70">
        <v>1</v>
      </c>
      <c r="L2843" s="68">
        <v>1</v>
      </c>
      <c r="M2843" s="68">
        <f>_xlfn.XLOOKUP(Survey!$F2843,sections[Start],sections[Test Section],,-1,1)</f>
        <v>8</v>
      </c>
      <c r="N2843" s="55">
        <f>_xlfn.XLOOKUP(Survey!$K2843,pipedata[ID],pipedata[WT])</f>
        <v>0.61699999999999999</v>
      </c>
      <c r="O2843" s="56">
        <f>_xlfn.XLOOKUP(Survey!$K2843,pipedata[ID],pipedata[104%])</f>
        <v>2138.9333333333334</v>
      </c>
      <c r="P2843" s="57">
        <f t="shared" si="44"/>
        <v>1850</v>
      </c>
      <c r="Q2843" s="58">
        <f>_xlfn.MAXIFS(Survey!$G$2:$G$3647,Survey!$M$2:$M$3647,Survey!$M2843)-Survey!$G2843</f>
        <v>288.11006381795869</v>
      </c>
      <c r="R2843" s="59">
        <f>Survey!$P2843+(Survey!$Q2843*0.433)</f>
        <v>1974.7516576331761</v>
      </c>
    </row>
    <row r="2844" spans="1:18" x14ac:dyDescent="0.25">
      <c r="A2844" s="71" t="s">
        <v>17</v>
      </c>
      <c r="B2844" s="72" t="s">
        <v>23</v>
      </c>
      <c r="C2844" s="73" t="s">
        <v>19</v>
      </c>
      <c r="D2844" s="74">
        <v>248.03887681448131</v>
      </c>
      <c r="E2844" s="81">
        <v>1340569</v>
      </c>
      <c r="F2844" s="82">
        <v>1310584.3586206958</v>
      </c>
      <c r="G2844" s="75">
        <v>2895.3304452147781</v>
      </c>
      <c r="H2844" s="76">
        <v>1</v>
      </c>
      <c r="I2844" s="54" t="s">
        <v>20</v>
      </c>
      <c r="J2844" s="77">
        <v>40</v>
      </c>
      <c r="K2844" s="78">
        <v>1</v>
      </c>
      <c r="L2844" s="54">
        <v>1</v>
      </c>
      <c r="M2844" s="54">
        <f>_xlfn.XLOOKUP(Survey!$F2844,sections[Start],sections[Test Section],,-1,1)</f>
        <v>8</v>
      </c>
      <c r="N2844" s="55">
        <f>_xlfn.XLOOKUP(Survey!$K2844,pipedata[ID],pipedata[WT])</f>
        <v>0.61699999999999999</v>
      </c>
      <c r="O2844" s="56">
        <f>_xlfn.XLOOKUP(Survey!$K2844,pipedata[ID],pipedata[104%])</f>
        <v>2138.9333333333334</v>
      </c>
      <c r="P2844" s="57">
        <f t="shared" si="44"/>
        <v>1850</v>
      </c>
      <c r="Q2844" s="58">
        <f>_xlfn.MAXIFS(Survey!$G$2:$G$3647,Survey!$M$2:$M$3647,Survey!$M2844)-Survey!$G2844</f>
        <v>292.37904760309175</v>
      </c>
      <c r="R2844" s="59">
        <f>Survey!$P2844+(Survey!$Q2844*0.433)</f>
        <v>1976.6001276121387</v>
      </c>
    </row>
    <row r="2845" spans="1:18" x14ac:dyDescent="0.25">
      <c r="A2845" s="60" t="s">
        <v>17</v>
      </c>
      <c r="B2845" s="61" t="s">
        <v>23</v>
      </c>
      <c r="C2845" s="62" t="s">
        <v>19</v>
      </c>
      <c r="D2845" s="63">
        <v>248.04630249608988</v>
      </c>
      <c r="E2845" s="79">
        <v>1340609</v>
      </c>
      <c r="F2845" s="80">
        <v>1310622.4689655234</v>
      </c>
      <c r="G2845" s="66">
        <v>2893.6555734920425</v>
      </c>
      <c r="H2845" s="67">
        <v>1</v>
      </c>
      <c r="I2845" s="68" t="s">
        <v>20</v>
      </c>
      <c r="J2845" s="69">
        <v>40</v>
      </c>
      <c r="K2845" s="70">
        <v>1</v>
      </c>
      <c r="L2845" s="68">
        <v>1</v>
      </c>
      <c r="M2845" s="68">
        <f>_xlfn.XLOOKUP(Survey!$F2845,sections[Start],sections[Test Section],,-1,1)</f>
        <v>8</v>
      </c>
      <c r="N2845" s="55">
        <f>_xlfn.XLOOKUP(Survey!$K2845,pipedata[ID],pipedata[WT])</f>
        <v>0.61699999999999999</v>
      </c>
      <c r="O2845" s="56">
        <f>_xlfn.XLOOKUP(Survey!$K2845,pipedata[ID],pipedata[104%])</f>
        <v>2138.9333333333334</v>
      </c>
      <c r="P2845" s="57">
        <f t="shared" si="44"/>
        <v>1850</v>
      </c>
      <c r="Q2845" s="58">
        <f>_xlfn.MAXIFS(Survey!$G$2:$G$3647,Survey!$M$2:$M$3647,Survey!$M2845)-Survey!$G2845</f>
        <v>294.05391932582734</v>
      </c>
      <c r="R2845" s="59">
        <f>Survey!$P2845+(Survey!$Q2845*0.433)</f>
        <v>1977.3253470680831</v>
      </c>
    </row>
    <row r="2846" spans="1:18" x14ac:dyDescent="0.25">
      <c r="A2846" s="71" t="s">
        <v>17</v>
      </c>
      <c r="B2846" s="72" t="s">
        <v>23</v>
      </c>
      <c r="C2846" s="73" t="s">
        <v>19</v>
      </c>
      <c r="D2846" s="74">
        <v>248.05400064838244</v>
      </c>
      <c r="E2846" s="81">
        <v>1340649</v>
      </c>
      <c r="F2846" s="82">
        <v>1310660.5793103511</v>
      </c>
      <c r="G2846" s="75">
        <v>2892.1144048043948</v>
      </c>
      <c r="H2846" s="76">
        <v>1</v>
      </c>
      <c r="I2846" s="54" t="s">
        <v>20</v>
      </c>
      <c r="J2846" s="77">
        <v>40</v>
      </c>
      <c r="K2846" s="78">
        <v>1</v>
      </c>
      <c r="L2846" s="54">
        <v>1</v>
      </c>
      <c r="M2846" s="54">
        <f>_xlfn.XLOOKUP(Survey!$F2846,sections[Start],sections[Test Section],,-1,1)</f>
        <v>8</v>
      </c>
      <c r="N2846" s="55">
        <f>_xlfn.XLOOKUP(Survey!$K2846,pipedata[ID],pipedata[WT])</f>
        <v>0.61699999999999999</v>
      </c>
      <c r="O2846" s="56">
        <f>_xlfn.XLOOKUP(Survey!$K2846,pipedata[ID],pipedata[104%])</f>
        <v>2138.9333333333334</v>
      </c>
      <c r="P2846" s="57">
        <f t="shared" si="44"/>
        <v>1850</v>
      </c>
      <c r="Q2846" s="58">
        <f>_xlfn.MAXIFS(Survey!$G$2:$G$3647,Survey!$M$2:$M$3647,Survey!$M2846)-Survey!$G2846</f>
        <v>295.59508801347511</v>
      </c>
      <c r="R2846" s="59">
        <f>Survey!$P2846+(Survey!$Q2846*0.433)</f>
        <v>1977.9926731098346</v>
      </c>
    </row>
    <row r="2847" spans="1:18" x14ac:dyDescent="0.25">
      <c r="A2847" s="60" t="s">
        <v>17</v>
      </c>
      <c r="B2847" s="61" t="s">
        <v>23</v>
      </c>
      <c r="C2847" s="62" t="s">
        <v>19</v>
      </c>
      <c r="D2847" s="63">
        <v>248.06081533209698</v>
      </c>
      <c r="E2847" s="79">
        <v>1340689</v>
      </c>
      <c r="F2847" s="80">
        <v>1310698.6896551787</v>
      </c>
      <c r="G2847" s="66">
        <v>2889.5198000758614</v>
      </c>
      <c r="H2847" s="67">
        <v>1</v>
      </c>
      <c r="I2847" s="68" t="s">
        <v>20</v>
      </c>
      <c r="J2847" s="69">
        <v>40</v>
      </c>
      <c r="K2847" s="70">
        <v>1</v>
      </c>
      <c r="L2847" s="68">
        <v>1</v>
      </c>
      <c r="M2847" s="68">
        <f>_xlfn.XLOOKUP(Survey!$F2847,sections[Start],sections[Test Section],,-1,1)</f>
        <v>8</v>
      </c>
      <c r="N2847" s="55">
        <f>_xlfn.XLOOKUP(Survey!$K2847,pipedata[ID],pipedata[WT])</f>
        <v>0.61699999999999999</v>
      </c>
      <c r="O2847" s="56">
        <f>_xlfn.XLOOKUP(Survey!$K2847,pipedata[ID],pipedata[104%])</f>
        <v>2138.9333333333334</v>
      </c>
      <c r="P2847" s="57">
        <f t="shared" si="44"/>
        <v>1850</v>
      </c>
      <c r="Q2847" s="58">
        <f>_xlfn.MAXIFS(Survey!$G$2:$G$3647,Survey!$M$2:$M$3647,Survey!$M2847)-Survey!$G2847</f>
        <v>298.18969274200845</v>
      </c>
      <c r="R2847" s="59">
        <f>Survey!$P2847+(Survey!$Q2847*0.433)</f>
        <v>1979.1161369572897</v>
      </c>
    </row>
    <row r="2848" spans="1:18" x14ac:dyDescent="0.25">
      <c r="A2848" s="71" t="s">
        <v>17</v>
      </c>
      <c r="B2848" s="72" t="s">
        <v>23</v>
      </c>
      <c r="C2848" s="73" t="s">
        <v>19</v>
      </c>
      <c r="D2848" s="74">
        <v>248.06763001581189</v>
      </c>
      <c r="E2848" s="81">
        <v>1340729</v>
      </c>
      <c r="F2848" s="82">
        <v>1310736.8000000063</v>
      </c>
      <c r="G2848" s="75">
        <v>2885.2898312376983</v>
      </c>
      <c r="H2848" s="76">
        <v>1</v>
      </c>
      <c r="I2848" s="54" t="s">
        <v>20</v>
      </c>
      <c r="J2848" s="77">
        <v>40</v>
      </c>
      <c r="K2848" s="78">
        <v>1</v>
      </c>
      <c r="L2848" s="54">
        <v>1</v>
      </c>
      <c r="M2848" s="54">
        <f>_xlfn.XLOOKUP(Survey!$F2848,sections[Start],sections[Test Section],,-1,1)</f>
        <v>8</v>
      </c>
      <c r="N2848" s="55">
        <f>_xlfn.XLOOKUP(Survey!$K2848,pipedata[ID],pipedata[WT])</f>
        <v>0.61699999999999999</v>
      </c>
      <c r="O2848" s="56">
        <f>_xlfn.XLOOKUP(Survey!$K2848,pipedata[ID],pipedata[104%])</f>
        <v>2138.9333333333334</v>
      </c>
      <c r="P2848" s="57">
        <f t="shared" si="44"/>
        <v>1850</v>
      </c>
      <c r="Q2848" s="58">
        <f>_xlfn.MAXIFS(Survey!$G$2:$G$3647,Survey!$M$2:$M$3647,Survey!$M2848)-Survey!$G2848</f>
        <v>302.41966158017158</v>
      </c>
      <c r="R2848" s="59">
        <f>Survey!$P2848+(Survey!$Q2848*0.433)</f>
        <v>1980.9477134642143</v>
      </c>
    </row>
    <row r="2849" spans="1:18" x14ac:dyDescent="0.25">
      <c r="A2849" s="60" t="s">
        <v>17</v>
      </c>
      <c r="B2849" s="61" t="s">
        <v>23</v>
      </c>
      <c r="C2849" s="62" t="s">
        <v>19</v>
      </c>
      <c r="D2849" s="63">
        <v>248.07444469952713</v>
      </c>
      <c r="E2849" s="79">
        <v>1340769</v>
      </c>
      <c r="F2849" s="80">
        <v>1310774.910344834</v>
      </c>
      <c r="G2849" s="66">
        <v>2870.8679093307628</v>
      </c>
      <c r="H2849" s="67">
        <v>1</v>
      </c>
      <c r="I2849" s="68" t="s">
        <v>20</v>
      </c>
      <c r="J2849" s="69">
        <v>40</v>
      </c>
      <c r="K2849" s="70">
        <v>1</v>
      </c>
      <c r="L2849" s="68">
        <v>1</v>
      </c>
      <c r="M2849" s="68">
        <f>_xlfn.XLOOKUP(Survey!$F2849,sections[Start],sections[Test Section],,-1,1)</f>
        <v>8</v>
      </c>
      <c r="N2849" s="55">
        <f>_xlfn.XLOOKUP(Survey!$K2849,pipedata[ID],pipedata[WT])</f>
        <v>0.61699999999999999</v>
      </c>
      <c r="O2849" s="56">
        <f>_xlfn.XLOOKUP(Survey!$K2849,pipedata[ID],pipedata[104%])</f>
        <v>2138.9333333333334</v>
      </c>
      <c r="P2849" s="57">
        <f t="shared" si="44"/>
        <v>1850</v>
      </c>
      <c r="Q2849" s="58">
        <f>_xlfn.MAXIFS(Survey!$G$2:$G$3647,Survey!$M$2:$M$3647,Survey!$M2849)-Survey!$G2849</f>
        <v>316.84158348710707</v>
      </c>
      <c r="R2849" s="59">
        <f>Survey!$P2849+(Survey!$Q2849*0.433)</f>
        <v>1987.1924056499174</v>
      </c>
    </row>
    <row r="2850" spans="1:18" x14ac:dyDescent="0.25">
      <c r="A2850" s="71" t="s">
        <v>17</v>
      </c>
      <c r="B2850" s="72" t="s">
        <v>23</v>
      </c>
      <c r="C2850" s="73" t="s">
        <v>19</v>
      </c>
      <c r="D2850" s="74">
        <v>248.0821648368825</v>
      </c>
      <c r="E2850" s="81">
        <v>1340809</v>
      </c>
      <c r="F2850" s="82">
        <v>1310813.0206896616</v>
      </c>
      <c r="G2850" s="75">
        <v>2857.2882458810195</v>
      </c>
      <c r="H2850" s="76">
        <v>1</v>
      </c>
      <c r="I2850" s="54" t="s">
        <v>20</v>
      </c>
      <c r="J2850" s="77">
        <v>40</v>
      </c>
      <c r="K2850" s="78">
        <v>1</v>
      </c>
      <c r="L2850" s="54">
        <v>1</v>
      </c>
      <c r="M2850" s="54">
        <f>_xlfn.XLOOKUP(Survey!$F2850,sections[Start],sections[Test Section],,-1,1)</f>
        <v>8</v>
      </c>
      <c r="N2850" s="55">
        <f>_xlfn.XLOOKUP(Survey!$K2850,pipedata[ID],pipedata[WT])</f>
        <v>0.61699999999999999</v>
      </c>
      <c r="O2850" s="56">
        <f>_xlfn.XLOOKUP(Survey!$K2850,pipedata[ID],pipedata[104%])</f>
        <v>2138.9333333333334</v>
      </c>
      <c r="P2850" s="57">
        <f t="shared" si="44"/>
        <v>1850</v>
      </c>
      <c r="Q2850" s="58">
        <f>_xlfn.MAXIFS(Survey!$G$2:$G$3647,Survey!$M$2:$M$3647,Survey!$M2850)-Survey!$G2850</f>
        <v>330.42124693685037</v>
      </c>
      <c r="R2850" s="59">
        <f>Survey!$P2850+(Survey!$Q2850*0.433)</f>
        <v>1993.0723999236561</v>
      </c>
    </row>
    <row r="2851" spans="1:18" x14ac:dyDescent="0.25">
      <c r="A2851" s="60" t="s">
        <v>17</v>
      </c>
      <c r="B2851" s="61" t="s">
        <v>23</v>
      </c>
      <c r="C2851" s="62" t="s">
        <v>19</v>
      </c>
      <c r="D2851" s="63">
        <v>248.08845279916358</v>
      </c>
      <c r="E2851" s="79">
        <v>1340849</v>
      </c>
      <c r="F2851" s="80">
        <v>1310851.1310344893</v>
      </c>
      <c r="G2851" s="66">
        <v>2844.4506035414338</v>
      </c>
      <c r="H2851" s="67">
        <v>1</v>
      </c>
      <c r="I2851" s="68" t="s">
        <v>20</v>
      </c>
      <c r="J2851" s="69">
        <v>40</v>
      </c>
      <c r="K2851" s="70">
        <v>1</v>
      </c>
      <c r="L2851" s="68">
        <v>1</v>
      </c>
      <c r="M2851" s="68">
        <f>_xlfn.XLOOKUP(Survey!$F2851,sections[Start],sections[Test Section],,-1,1)</f>
        <v>8</v>
      </c>
      <c r="N2851" s="55">
        <f>_xlfn.XLOOKUP(Survey!$K2851,pipedata[ID],pipedata[WT])</f>
        <v>0.61699999999999999</v>
      </c>
      <c r="O2851" s="56">
        <f>_xlfn.XLOOKUP(Survey!$K2851,pipedata[ID],pipedata[104%])</f>
        <v>2138.9333333333334</v>
      </c>
      <c r="P2851" s="57">
        <f t="shared" si="44"/>
        <v>1850</v>
      </c>
      <c r="Q2851" s="58">
        <f>_xlfn.MAXIFS(Survey!$G$2:$G$3647,Survey!$M$2:$M$3647,Survey!$M2851)-Survey!$G2851</f>
        <v>343.25888927643609</v>
      </c>
      <c r="R2851" s="59">
        <f>Survey!$P2851+(Survey!$Q2851*0.433)</f>
        <v>1998.6310990566967</v>
      </c>
    </row>
    <row r="2852" spans="1:18" x14ac:dyDescent="0.25">
      <c r="A2852" s="71" t="s">
        <v>17</v>
      </c>
      <c r="B2852" s="72" t="s">
        <v>23</v>
      </c>
      <c r="C2852" s="73" t="s">
        <v>19</v>
      </c>
      <c r="D2852" s="74">
        <v>248.09656900428806</v>
      </c>
      <c r="E2852" s="81">
        <v>1340889</v>
      </c>
      <c r="F2852" s="82">
        <v>1310889.2413793169</v>
      </c>
      <c r="G2852" s="75">
        <v>2831.07</v>
      </c>
      <c r="H2852" s="76">
        <v>1</v>
      </c>
      <c r="I2852" s="54" t="s">
        <v>20</v>
      </c>
      <c r="J2852" s="77">
        <v>40</v>
      </c>
      <c r="K2852" s="78">
        <v>1</v>
      </c>
      <c r="L2852" s="54">
        <v>1</v>
      </c>
      <c r="M2852" s="54">
        <f>_xlfn.XLOOKUP(Survey!$F2852,sections[Start],sections[Test Section],,-1,1)</f>
        <v>8</v>
      </c>
      <c r="N2852" s="55">
        <f>_xlfn.XLOOKUP(Survey!$K2852,pipedata[ID],pipedata[WT])</f>
        <v>0.61699999999999999</v>
      </c>
      <c r="O2852" s="56">
        <f>_xlfn.XLOOKUP(Survey!$K2852,pipedata[ID],pipedata[104%])</f>
        <v>2138.9333333333334</v>
      </c>
      <c r="P2852" s="57">
        <f t="shared" si="44"/>
        <v>1850</v>
      </c>
      <c r="Q2852" s="58">
        <f>_xlfn.MAXIFS(Survey!$G$2:$G$3647,Survey!$M$2:$M$3647,Survey!$M2852)-Survey!$G2852</f>
        <v>356.63949281786972</v>
      </c>
      <c r="R2852" s="59">
        <f>Survey!$P2852+(Survey!$Q2852*0.433)</f>
        <v>2004.4249003901375</v>
      </c>
    </row>
    <row r="2853" spans="1:18" x14ac:dyDescent="0.25">
      <c r="A2853" s="60" t="s">
        <v>17</v>
      </c>
      <c r="B2853" s="61" t="s">
        <v>23</v>
      </c>
      <c r="C2853" s="62" t="s">
        <v>19</v>
      </c>
      <c r="D2853" s="63">
        <v>248.10354528524798</v>
      </c>
      <c r="E2853" s="79">
        <v>1340929</v>
      </c>
      <c r="F2853" s="80">
        <v>1310927.3517241445</v>
      </c>
      <c r="G2853" s="66">
        <v>2815.569817222964</v>
      </c>
      <c r="H2853" s="67">
        <v>1</v>
      </c>
      <c r="I2853" s="68" t="s">
        <v>20</v>
      </c>
      <c r="J2853" s="69">
        <v>40</v>
      </c>
      <c r="K2853" s="70">
        <v>1</v>
      </c>
      <c r="L2853" s="68">
        <v>1</v>
      </c>
      <c r="M2853" s="68">
        <f>_xlfn.XLOOKUP(Survey!$F2853,sections[Start],sections[Test Section],,-1,1)</f>
        <v>8</v>
      </c>
      <c r="N2853" s="55">
        <f>_xlfn.XLOOKUP(Survey!$K2853,pipedata[ID],pipedata[WT])</f>
        <v>0.61699999999999999</v>
      </c>
      <c r="O2853" s="56">
        <f>_xlfn.XLOOKUP(Survey!$K2853,pipedata[ID],pipedata[104%])</f>
        <v>2138.9333333333334</v>
      </c>
      <c r="P2853" s="57">
        <f t="shared" si="44"/>
        <v>1850</v>
      </c>
      <c r="Q2853" s="58">
        <f>_xlfn.MAXIFS(Survey!$G$2:$G$3647,Survey!$M$2:$M$3647,Survey!$M2853)-Survey!$G2853</f>
        <v>372.13967559490584</v>
      </c>
      <c r="R2853" s="59">
        <f>Survey!$P2853+(Survey!$Q2853*0.433)</f>
        <v>2011.1364795325942</v>
      </c>
    </row>
    <row r="2854" spans="1:18" x14ac:dyDescent="0.25">
      <c r="A2854" s="71" t="s">
        <v>17</v>
      </c>
      <c r="B2854" s="72" t="s">
        <v>23</v>
      </c>
      <c r="C2854" s="73" t="s">
        <v>19</v>
      </c>
      <c r="D2854" s="74">
        <v>248.1107333511398</v>
      </c>
      <c r="E2854" s="81">
        <v>1340969</v>
      </c>
      <c r="F2854" s="82">
        <v>1310965.4620689722</v>
      </c>
      <c r="G2854" s="75">
        <v>2807.5032620698416</v>
      </c>
      <c r="H2854" s="76">
        <v>1</v>
      </c>
      <c r="I2854" s="54" t="s">
        <v>20</v>
      </c>
      <c r="J2854" s="77">
        <v>40</v>
      </c>
      <c r="K2854" s="78">
        <v>1</v>
      </c>
      <c r="L2854" s="54">
        <v>1</v>
      </c>
      <c r="M2854" s="54">
        <f>_xlfn.XLOOKUP(Survey!$F2854,sections[Start],sections[Test Section],,-1,1)</f>
        <v>8</v>
      </c>
      <c r="N2854" s="55">
        <f>_xlfn.XLOOKUP(Survey!$K2854,pipedata[ID],pipedata[WT])</f>
        <v>0.61699999999999999</v>
      </c>
      <c r="O2854" s="56">
        <f>_xlfn.XLOOKUP(Survey!$K2854,pipedata[ID],pipedata[104%])</f>
        <v>2138.9333333333334</v>
      </c>
      <c r="P2854" s="57">
        <f t="shared" si="44"/>
        <v>1850</v>
      </c>
      <c r="Q2854" s="58">
        <f>_xlfn.MAXIFS(Survey!$G$2:$G$3647,Survey!$M$2:$M$3647,Survey!$M2854)-Survey!$G2854</f>
        <v>380.20623074802825</v>
      </c>
      <c r="R2854" s="59">
        <f>Survey!$P2854+(Survey!$Q2854*0.433)</f>
        <v>2014.6292979138962</v>
      </c>
    </row>
    <row r="2855" spans="1:18" x14ac:dyDescent="0.25">
      <c r="A2855" s="60" t="s">
        <v>17</v>
      </c>
      <c r="B2855" s="61" t="s">
        <v>23</v>
      </c>
      <c r="C2855" s="62" t="s">
        <v>19</v>
      </c>
      <c r="D2855" s="63">
        <v>248.11825133304771</v>
      </c>
      <c r="E2855" s="79">
        <v>1341009</v>
      </c>
      <c r="F2855" s="80">
        <v>1311003.5724137998</v>
      </c>
      <c r="G2855" s="66">
        <v>2801.7474556324632</v>
      </c>
      <c r="H2855" s="67">
        <v>1</v>
      </c>
      <c r="I2855" s="68" t="s">
        <v>20</v>
      </c>
      <c r="J2855" s="69">
        <v>40</v>
      </c>
      <c r="K2855" s="70">
        <v>1</v>
      </c>
      <c r="L2855" s="68">
        <v>1</v>
      </c>
      <c r="M2855" s="68">
        <f>_xlfn.XLOOKUP(Survey!$F2855,sections[Start],sections[Test Section],,-1,1)</f>
        <v>8</v>
      </c>
      <c r="N2855" s="55">
        <f>_xlfn.XLOOKUP(Survey!$K2855,pipedata[ID],pipedata[WT])</f>
        <v>0.61699999999999999</v>
      </c>
      <c r="O2855" s="56">
        <f>_xlfn.XLOOKUP(Survey!$K2855,pipedata[ID],pipedata[104%])</f>
        <v>2138.9333333333334</v>
      </c>
      <c r="P2855" s="57">
        <f t="shared" si="44"/>
        <v>1850</v>
      </c>
      <c r="Q2855" s="58">
        <f>_xlfn.MAXIFS(Survey!$G$2:$G$3647,Survey!$M$2:$M$3647,Survey!$M2855)-Survey!$G2855</f>
        <v>385.96203718540664</v>
      </c>
      <c r="R2855" s="59">
        <f>Survey!$P2855+(Survey!$Q2855*0.433)</f>
        <v>2017.1215621012811</v>
      </c>
    </row>
    <row r="2856" spans="1:18" x14ac:dyDescent="0.25">
      <c r="A2856" s="71" t="s">
        <v>17</v>
      </c>
      <c r="B2856" s="72" t="s">
        <v>23</v>
      </c>
      <c r="C2856" s="73" t="s">
        <v>19</v>
      </c>
      <c r="D2856" s="74">
        <v>248.12619341166905</v>
      </c>
      <c r="E2856" s="81">
        <v>1341049</v>
      </c>
      <c r="F2856" s="82">
        <v>1311041.6827586275</v>
      </c>
      <c r="G2856" s="75">
        <v>2792.0292424428462</v>
      </c>
      <c r="H2856" s="76">
        <v>1</v>
      </c>
      <c r="I2856" s="54" t="s">
        <v>20</v>
      </c>
      <c r="J2856" s="77">
        <v>40</v>
      </c>
      <c r="K2856" s="78">
        <v>1</v>
      </c>
      <c r="L2856" s="54">
        <v>1</v>
      </c>
      <c r="M2856" s="54">
        <f>_xlfn.XLOOKUP(Survey!$F2856,sections[Start],sections[Test Section],,-1,1)</f>
        <v>8</v>
      </c>
      <c r="N2856" s="55">
        <f>_xlfn.XLOOKUP(Survey!$K2856,pipedata[ID],pipedata[WT])</f>
        <v>0.61699999999999999</v>
      </c>
      <c r="O2856" s="56">
        <f>_xlfn.XLOOKUP(Survey!$K2856,pipedata[ID],pipedata[104%])</f>
        <v>2138.9333333333334</v>
      </c>
      <c r="P2856" s="57">
        <f t="shared" si="44"/>
        <v>1850</v>
      </c>
      <c r="Q2856" s="58">
        <f>_xlfn.MAXIFS(Survey!$G$2:$G$3647,Survey!$M$2:$M$3647,Survey!$M2856)-Survey!$G2856</f>
        <v>395.68025037502366</v>
      </c>
      <c r="R2856" s="59">
        <f>Survey!$P2856+(Survey!$Q2856*0.433)</f>
        <v>2021.3295484123853</v>
      </c>
    </row>
    <row r="2857" spans="1:18" x14ac:dyDescent="0.25">
      <c r="A2857" s="60" t="s">
        <v>17</v>
      </c>
      <c r="B2857" s="61" t="s">
        <v>23</v>
      </c>
      <c r="C2857" s="62" t="s">
        <v>19</v>
      </c>
      <c r="D2857" s="63">
        <v>248.13328729686438</v>
      </c>
      <c r="E2857" s="79">
        <v>1341089</v>
      </c>
      <c r="F2857" s="80">
        <v>1311079.7931034551</v>
      </c>
      <c r="G2857" s="66">
        <v>2783.2486864796624</v>
      </c>
      <c r="H2857" s="67">
        <v>1</v>
      </c>
      <c r="I2857" s="68" t="s">
        <v>20</v>
      </c>
      <c r="J2857" s="69">
        <v>40</v>
      </c>
      <c r="K2857" s="70">
        <v>1</v>
      </c>
      <c r="L2857" s="68">
        <v>1</v>
      </c>
      <c r="M2857" s="68">
        <f>_xlfn.XLOOKUP(Survey!$F2857,sections[Start],sections[Test Section],,-1,1)</f>
        <v>8</v>
      </c>
      <c r="N2857" s="55">
        <f>_xlfn.XLOOKUP(Survey!$K2857,pipedata[ID],pipedata[WT])</f>
        <v>0.61699999999999999</v>
      </c>
      <c r="O2857" s="56">
        <f>_xlfn.XLOOKUP(Survey!$K2857,pipedata[ID],pipedata[104%])</f>
        <v>2138.9333333333334</v>
      </c>
      <c r="P2857" s="57">
        <f t="shared" si="44"/>
        <v>1850</v>
      </c>
      <c r="Q2857" s="58">
        <f>_xlfn.MAXIFS(Survey!$G$2:$G$3647,Survey!$M$2:$M$3647,Survey!$M2857)-Survey!$G2857</f>
        <v>404.46080633820748</v>
      </c>
      <c r="R2857" s="59">
        <f>Survey!$P2857+(Survey!$Q2857*0.433)</f>
        <v>2025.1315291444439</v>
      </c>
    </row>
    <row r="2858" spans="1:18" x14ac:dyDescent="0.25">
      <c r="A2858" s="71" t="s">
        <v>17</v>
      </c>
      <c r="B2858" s="72" t="s">
        <v>23</v>
      </c>
      <c r="C2858" s="73" t="s">
        <v>19</v>
      </c>
      <c r="D2858" s="74">
        <v>248.14080527877249</v>
      </c>
      <c r="E2858" s="81">
        <v>1341129</v>
      </c>
      <c r="F2858" s="82">
        <v>1311117.9034482827</v>
      </c>
      <c r="G2858" s="75">
        <v>2772.3766955033107</v>
      </c>
      <c r="H2858" s="76">
        <v>1</v>
      </c>
      <c r="I2858" s="54" t="s">
        <v>20</v>
      </c>
      <c r="J2858" s="77">
        <v>40</v>
      </c>
      <c r="K2858" s="78">
        <v>1</v>
      </c>
      <c r="L2858" s="54">
        <v>1</v>
      </c>
      <c r="M2858" s="54">
        <f>_xlfn.XLOOKUP(Survey!$F2858,sections[Start],sections[Test Section],,-1,1)</f>
        <v>8</v>
      </c>
      <c r="N2858" s="55">
        <f>_xlfn.XLOOKUP(Survey!$K2858,pipedata[ID],pipedata[WT])</f>
        <v>0.61699999999999999</v>
      </c>
      <c r="O2858" s="56">
        <f>_xlfn.XLOOKUP(Survey!$K2858,pipedata[ID],pipedata[104%])</f>
        <v>2138.9333333333334</v>
      </c>
      <c r="P2858" s="57">
        <f t="shared" si="44"/>
        <v>1850</v>
      </c>
      <c r="Q2858" s="58">
        <f>_xlfn.MAXIFS(Survey!$G$2:$G$3647,Survey!$M$2:$M$3647,Survey!$M2858)-Survey!$G2858</f>
        <v>415.33279731455923</v>
      </c>
      <c r="R2858" s="59">
        <f>Survey!$P2858+(Survey!$Q2858*0.433)</f>
        <v>2029.8391012372042</v>
      </c>
    </row>
    <row r="2859" spans="1:18" x14ac:dyDescent="0.25">
      <c r="A2859" s="60" t="s">
        <v>17</v>
      </c>
      <c r="B2859" s="61" t="s">
        <v>23</v>
      </c>
      <c r="C2859" s="62" t="s">
        <v>19</v>
      </c>
      <c r="D2859" s="63">
        <v>248.1469282506047</v>
      </c>
      <c r="E2859" s="79">
        <v>1341169</v>
      </c>
      <c r="F2859" s="80">
        <v>1311156.0137931104</v>
      </c>
      <c r="G2859" s="66">
        <v>2762.9869793990097</v>
      </c>
      <c r="H2859" s="67">
        <v>1</v>
      </c>
      <c r="I2859" s="68" t="s">
        <v>20</v>
      </c>
      <c r="J2859" s="69">
        <v>40</v>
      </c>
      <c r="K2859" s="70">
        <v>1</v>
      </c>
      <c r="L2859" s="68">
        <v>1</v>
      </c>
      <c r="M2859" s="68">
        <f>_xlfn.XLOOKUP(Survey!$F2859,sections[Start],sections[Test Section],,-1,1)</f>
        <v>8</v>
      </c>
      <c r="N2859" s="55">
        <f>_xlfn.XLOOKUP(Survey!$K2859,pipedata[ID],pipedata[WT])</f>
        <v>0.61699999999999999</v>
      </c>
      <c r="O2859" s="56">
        <f>_xlfn.XLOOKUP(Survey!$K2859,pipedata[ID],pipedata[104%])</f>
        <v>2138.9333333333334</v>
      </c>
      <c r="P2859" s="57">
        <f t="shared" si="44"/>
        <v>1850</v>
      </c>
      <c r="Q2859" s="58">
        <f>_xlfn.MAXIFS(Survey!$G$2:$G$3647,Survey!$M$2:$M$3647,Survey!$M2859)-Survey!$G2859</f>
        <v>424.72251341886022</v>
      </c>
      <c r="R2859" s="59">
        <f>Survey!$P2859+(Survey!$Q2859*0.433)</f>
        <v>2033.9048483103666</v>
      </c>
    </row>
    <row r="2860" spans="1:18" x14ac:dyDescent="0.25">
      <c r="A2860" s="71" t="s">
        <v>17</v>
      </c>
      <c r="B2860" s="72" t="s">
        <v>23</v>
      </c>
      <c r="C2860" s="73" t="s">
        <v>19</v>
      </c>
      <c r="D2860" s="74">
        <v>248.15333524861975</v>
      </c>
      <c r="E2860" s="81">
        <v>1341209</v>
      </c>
      <c r="F2860" s="82">
        <v>1311194.124137938</v>
      </c>
      <c r="G2860" s="75">
        <v>2750.469275782883</v>
      </c>
      <c r="H2860" s="76">
        <v>1</v>
      </c>
      <c r="I2860" s="54" t="s">
        <v>20</v>
      </c>
      <c r="J2860" s="77">
        <v>40</v>
      </c>
      <c r="K2860" s="78">
        <v>1</v>
      </c>
      <c r="L2860" s="54">
        <v>1</v>
      </c>
      <c r="M2860" s="54">
        <f>_xlfn.XLOOKUP(Survey!$F2860,sections[Start],sections[Test Section],,-1,1)</f>
        <v>8</v>
      </c>
      <c r="N2860" s="55">
        <f>_xlfn.XLOOKUP(Survey!$K2860,pipedata[ID],pipedata[WT])</f>
        <v>0.61699999999999999</v>
      </c>
      <c r="O2860" s="56">
        <f>_xlfn.XLOOKUP(Survey!$K2860,pipedata[ID],pipedata[104%])</f>
        <v>2138.9333333333334</v>
      </c>
      <c r="P2860" s="57">
        <f t="shared" si="44"/>
        <v>1850</v>
      </c>
      <c r="Q2860" s="58">
        <f>_xlfn.MAXIFS(Survey!$G$2:$G$3647,Survey!$M$2:$M$3647,Survey!$M2860)-Survey!$G2860</f>
        <v>437.24021703498693</v>
      </c>
      <c r="R2860" s="59">
        <f>Survey!$P2860+(Survey!$Q2860*0.433)</f>
        <v>2039.3250139761494</v>
      </c>
    </row>
    <row r="2861" spans="1:18" x14ac:dyDescent="0.25">
      <c r="A2861" s="60" t="s">
        <v>17</v>
      </c>
      <c r="B2861" s="61" t="s">
        <v>23</v>
      </c>
      <c r="C2861" s="62" t="s">
        <v>19</v>
      </c>
      <c r="D2861" s="63">
        <v>248.16138923905646</v>
      </c>
      <c r="E2861" s="79">
        <v>1341249</v>
      </c>
      <c r="F2861" s="80">
        <v>1311232.2344827657</v>
      </c>
      <c r="G2861" s="66">
        <v>2738.9680323195853</v>
      </c>
      <c r="H2861" s="67">
        <v>1</v>
      </c>
      <c r="I2861" s="68" t="s">
        <v>20</v>
      </c>
      <c r="J2861" s="69">
        <v>40</v>
      </c>
      <c r="K2861" s="70">
        <v>1</v>
      </c>
      <c r="L2861" s="68">
        <v>1</v>
      </c>
      <c r="M2861" s="68">
        <f>_xlfn.XLOOKUP(Survey!$F2861,sections[Start],sections[Test Section],,-1,1)</f>
        <v>8</v>
      </c>
      <c r="N2861" s="55">
        <f>_xlfn.XLOOKUP(Survey!$K2861,pipedata[ID],pipedata[WT])</f>
        <v>0.61699999999999999</v>
      </c>
      <c r="O2861" s="56">
        <f>_xlfn.XLOOKUP(Survey!$K2861,pipedata[ID],pipedata[104%])</f>
        <v>2138.9333333333334</v>
      </c>
      <c r="P2861" s="57">
        <f t="shared" si="44"/>
        <v>1850</v>
      </c>
      <c r="Q2861" s="58">
        <f>_xlfn.MAXIFS(Survey!$G$2:$G$3647,Survey!$M$2:$M$3647,Survey!$M2861)-Survey!$G2861</f>
        <v>448.7414604982846</v>
      </c>
      <c r="R2861" s="59">
        <f>Survey!$P2861+(Survey!$Q2861*0.433)</f>
        <v>2044.3050523957572</v>
      </c>
    </row>
    <row r="2862" spans="1:18" x14ac:dyDescent="0.25">
      <c r="A2862" s="71" t="s">
        <v>17</v>
      </c>
      <c r="B2862" s="72" t="s">
        <v>23</v>
      </c>
      <c r="C2862" s="73" t="s">
        <v>19</v>
      </c>
      <c r="D2862" s="74">
        <v>248.17006583212793</v>
      </c>
      <c r="E2862" s="81">
        <v>1341289</v>
      </c>
      <c r="F2862" s="82">
        <v>1311270.3448275933</v>
      </c>
      <c r="G2862" s="75">
        <v>2727.8827457302255</v>
      </c>
      <c r="H2862" s="76">
        <v>1</v>
      </c>
      <c r="I2862" s="54" t="s">
        <v>20</v>
      </c>
      <c r="J2862" s="77">
        <v>40</v>
      </c>
      <c r="K2862" s="78">
        <v>1</v>
      </c>
      <c r="L2862" s="54">
        <v>1</v>
      </c>
      <c r="M2862" s="54">
        <f>_xlfn.XLOOKUP(Survey!$F2862,sections[Start],sections[Test Section],,-1,1)</f>
        <v>8</v>
      </c>
      <c r="N2862" s="55">
        <f>_xlfn.XLOOKUP(Survey!$K2862,pipedata[ID],pipedata[WT])</f>
        <v>0.61699999999999999</v>
      </c>
      <c r="O2862" s="56">
        <f>_xlfn.XLOOKUP(Survey!$K2862,pipedata[ID],pipedata[104%])</f>
        <v>2138.9333333333334</v>
      </c>
      <c r="P2862" s="57">
        <f t="shared" si="44"/>
        <v>1850</v>
      </c>
      <c r="Q2862" s="58">
        <f>_xlfn.MAXIFS(Survey!$G$2:$G$3647,Survey!$M$2:$M$3647,Survey!$M2862)-Survey!$G2862</f>
        <v>459.82674708764443</v>
      </c>
      <c r="R2862" s="59">
        <f>Survey!$P2862+(Survey!$Q2862*0.433)</f>
        <v>2049.1049814889502</v>
      </c>
    </row>
    <row r="2863" spans="1:18" x14ac:dyDescent="0.25">
      <c r="A2863" s="60" t="s">
        <v>17</v>
      </c>
      <c r="B2863" s="61" t="s">
        <v>23</v>
      </c>
      <c r="C2863" s="62" t="s">
        <v>19</v>
      </c>
      <c r="D2863" s="63">
        <v>248.17742178927918</v>
      </c>
      <c r="E2863" s="79">
        <v>1341329</v>
      </c>
      <c r="F2863" s="80">
        <v>1311308.4551724209</v>
      </c>
      <c r="G2863" s="66">
        <v>2722.4925507245139</v>
      </c>
      <c r="H2863" s="67">
        <v>1</v>
      </c>
      <c r="I2863" s="68" t="s">
        <v>20</v>
      </c>
      <c r="J2863" s="69">
        <v>40</v>
      </c>
      <c r="K2863" s="70">
        <v>1</v>
      </c>
      <c r="L2863" s="68">
        <v>1</v>
      </c>
      <c r="M2863" s="68">
        <f>_xlfn.XLOOKUP(Survey!$F2863,sections[Start],sections[Test Section],,-1,1)</f>
        <v>8</v>
      </c>
      <c r="N2863" s="55">
        <f>_xlfn.XLOOKUP(Survey!$K2863,pipedata[ID],pipedata[WT])</f>
        <v>0.61699999999999999</v>
      </c>
      <c r="O2863" s="56">
        <f>_xlfn.XLOOKUP(Survey!$K2863,pipedata[ID],pipedata[104%])</f>
        <v>2138.9333333333334</v>
      </c>
      <c r="P2863" s="57">
        <f t="shared" si="44"/>
        <v>1850</v>
      </c>
      <c r="Q2863" s="58">
        <f>_xlfn.MAXIFS(Survey!$G$2:$G$3647,Survey!$M$2:$M$3647,Survey!$M2863)-Survey!$G2863</f>
        <v>465.21694209335601</v>
      </c>
      <c r="R2863" s="59">
        <f>Survey!$P2863+(Survey!$Q2863*0.433)</f>
        <v>2051.4389359264233</v>
      </c>
    </row>
    <row r="2864" spans="1:18" x14ac:dyDescent="0.25">
      <c r="A2864" s="71" t="s">
        <v>17</v>
      </c>
      <c r="B2864" s="72" t="s">
        <v>23</v>
      </c>
      <c r="C2864" s="73" t="s">
        <v>19</v>
      </c>
      <c r="D2864" s="74">
        <v>248.1844209937945</v>
      </c>
      <c r="E2864" s="81">
        <v>1341369</v>
      </c>
      <c r="F2864" s="82">
        <v>1311346.5655172486</v>
      </c>
      <c r="G2864" s="75">
        <v>2713.9429960133025</v>
      </c>
      <c r="H2864" s="76">
        <v>1</v>
      </c>
      <c r="I2864" s="54" t="s">
        <v>20</v>
      </c>
      <c r="J2864" s="77">
        <v>40</v>
      </c>
      <c r="K2864" s="78">
        <v>1</v>
      </c>
      <c r="L2864" s="54">
        <v>1</v>
      </c>
      <c r="M2864" s="54">
        <f>_xlfn.XLOOKUP(Survey!$F2864,sections[Start],sections[Test Section],,-1,1)</f>
        <v>8</v>
      </c>
      <c r="N2864" s="55">
        <f>_xlfn.XLOOKUP(Survey!$K2864,pipedata[ID],pipedata[WT])</f>
        <v>0.61699999999999999</v>
      </c>
      <c r="O2864" s="56">
        <f>_xlfn.XLOOKUP(Survey!$K2864,pipedata[ID],pipedata[104%])</f>
        <v>2138.9333333333334</v>
      </c>
      <c r="P2864" s="57">
        <f t="shared" si="44"/>
        <v>1850</v>
      </c>
      <c r="Q2864" s="58">
        <f>_xlfn.MAXIFS(Survey!$G$2:$G$3647,Survey!$M$2:$M$3647,Survey!$M2864)-Survey!$G2864</f>
        <v>473.7664968045674</v>
      </c>
      <c r="R2864" s="59">
        <f>Survey!$P2864+(Survey!$Q2864*0.433)</f>
        <v>2055.1408931163778</v>
      </c>
    </row>
    <row r="2865" spans="1:18" x14ac:dyDescent="0.25">
      <c r="A2865" s="60" t="s">
        <v>17</v>
      </c>
      <c r="B2865" s="61" t="s">
        <v>23</v>
      </c>
      <c r="C2865" s="62" t="s">
        <v>19</v>
      </c>
      <c r="D2865" s="63">
        <v>248.19227767555981</v>
      </c>
      <c r="E2865" s="79">
        <v>1341409</v>
      </c>
      <c r="F2865" s="80">
        <v>1311384.6758620762</v>
      </c>
      <c r="G2865" s="66">
        <v>2705.9808270555618</v>
      </c>
      <c r="H2865" s="67">
        <v>1</v>
      </c>
      <c r="I2865" s="68" t="s">
        <v>20</v>
      </c>
      <c r="J2865" s="69">
        <v>40</v>
      </c>
      <c r="K2865" s="70">
        <v>1</v>
      </c>
      <c r="L2865" s="68">
        <v>1</v>
      </c>
      <c r="M2865" s="68">
        <f>_xlfn.XLOOKUP(Survey!$F2865,sections[Start],sections[Test Section],,-1,1)</f>
        <v>8</v>
      </c>
      <c r="N2865" s="55">
        <f>_xlfn.XLOOKUP(Survey!$K2865,pipedata[ID],pipedata[WT])</f>
        <v>0.61699999999999999</v>
      </c>
      <c r="O2865" s="56">
        <f>_xlfn.XLOOKUP(Survey!$K2865,pipedata[ID],pipedata[104%])</f>
        <v>2138.9333333333334</v>
      </c>
      <c r="P2865" s="57">
        <f t="shared" si="44"/>
        <v>1850</v>
      </c>
      <c r="Q2865" s="58">
        <f>_xlfn.MAXIFS(Survey!$G$2:$G$3647,Survey!$M$2:$M$3647,Survey!$M2865)-Survey!$G2865</f>
        <v>481.72866576230808</v>
      </c>
      <c r="R2865" s="59">
        <f>Survey!$P2865+(Survey!$Q2865*0.433)</f>
        <v>2058.5885122750792</v>
      </c>
    </row>
    <row r="2866" spans="1:18" x14ac:dyDescent="0.25">
      <c r="A2866" s="71" t="s">
        <v>17</v>
      </c>
      <c r="B2866" s="72" t="s">
        <v>23</v>
      </c>
      <c r="C2866" s="73" t="s">
        <v>19</v>
      </c>
      <c r="D2866" s="74">
        <v>248.1992268011723</v>
      </c>
      <c r="E2866" s="81">
        <v>1341449</v>
      </c>
      <c r="F2866" s="82">
        <v>1311422.7862069039</v>
      </c>
      <c r="G2866" s="75">
        <v>2700.108834963984</v>
      </c>
      <c r="H2866" s="76">
        <v>1</v>
      </c>
      <c r="I2866" s="54" t="s">
        <v>20</v>
      </c>
      <c r="J2866" s="77">
        <v>40</v>
      </c>
      <c r="K2866" s="78">
        <v>1</v>
      </c>
      <c r="L2866" s="54">
        <v>1</v>
      </c>
      <c r="M2866" s="54">
        <f>_xlfn.XLOOKUP(Survey!$F2866,sections[Start],sections[Test Section],,-1,1)</f>
        <v>8</v>
      </c>
      <c r="N2866" s="55">
        <f>_xlfn.XLOOKUP(Survey!$K2866,pipedata[ID],pipedata[WT])</f>
        <v>0.61699999999999999</v>
      </c>
      <c r="O2866" s="56">
        <f>_xlfn.XLOOKUP(Survey!$K2866,pipedata[ID],pipedata[104%])</f>
        <v>2138.9333333333334</v>
      </c>
      <c r="P2866" s="57">
        <f t="shared" si="44"/>
        <v>1850</v>
      </c>
      <c r="Q2866" s="58">
        <f>_xlfn.MAXIFS(Survey!$G$2:$G$3647,Survey!$M$2:$M$3647,Survey!$M2866)-Survey!$G2866</f>
        <v>487.60065785388588</v>
      </c>
      <c r="R2866" s="59">
        <f>Survey!$P2866+(Survey!$Q2866*0.433)</f>
        <v>2061.1310848507328</v>
      </c>
    </row>
    <row r="2867" spans="1:18" x14ac:dyDescent="0.25">
      <c r="A2867" s="60" t="s">
        <v>17</v>
      </c>
      <c r="B2867" s="61" t="s">
        <v>23</v>
      </c>
      <c r="C2867" s="62" t="s">
        <v>19</v>
      </c>
      <c r="D2867" s="63">
        <v>248.2064217888728</v>
      </c>
      <c r="E2867" s="79">
        <v>1341489</v>
      </c>
      <c r="F2867" s="80">
        <v>1311460.8965517315</v>
      </c>
      <c r="G2867" s="66">
        <v>2695.2221576965276</v>
      </c>
      <c r="H2867" s="67">
        <v>1</v>
      </c>
      <c r="I2867" s="68" t="s">
        <v>20</v>
      </c>
      <c r="J2867" s="69">
        <v>40</v>
      </c>
      <c r="K2867" s="70">
        <v>1</v>
      </c>
      <c r="L2867" s="68">
        <v>1</v>
      </c>
      <c r="M2867" s="68">
        <f>_xlfn.XLOOKUP(Survey!$F2867,sections[Start],sections[Test Section],,-1,1)</f>
        <v>8</v>
      </c>
      <c r="N2867" s="55">
        <f>_xlfn.XLOOKUP(Survey!$K2867,pipedata[ID],pipedata[WT])</f>
        <v>0.61699999999999999</v>
      </c>
      <c r="O2867" s="56">
        <f>_xlfn.XLOOKUP(Survey!$K2867,pipedata[ID],pipedata[104%])</f>
        <v>2138.9333333333334</v>
      </c>
      <c r="P2867" s="57">
        <f t="shared" si="44"/>
        <v>1850</v>
      </c>
      <c r="Q2867" s="58">
        <f>_xlfn.MAXIFS(Survey!$G$2:$G$3647,Survey!$M$2:$M$3647,Survey!$M2867)-Survey!$G2867</f>
        <v>492.48733512134231</v>
      </c>
      <c r="R2867" s="59">
        <f>Survey!$P2867+(Survey!$Q2867*0.433)</f>
        <v>2063.2470161075412</v>
      </c>
    </row>
    <row r="2868" spans="1:18" x14ac:dyDescent="0.25">
      <c r="A2868" s="71" t="s">
        <v>17</v>
      </c>
      <c r="B2868" s="72" t="s">
        <v>23</v>
      </c>
      <c r="C2868" s="73" t="s">
        <v>19</v>
      </c>
      <c r="D2868" s="74">
        <v>248.21357259402708</v>
      </c>
      <c r="E2868" s="81">
        <v>1341529</v>
      </c>
      <c r="F2868" s="82">
        <v>1311499.0068965591</v>
      </c>
      <c r="G2868" s="75">
        <v>2679.6763765944816</v>
      </c>
      <c r="H2868" s="76">
        <v>1</v>
      </c>
      <c r="I2868" s="54" t="s">
        <v>20</v>
      </c>
      <c r="J2868" s="77">
        <v>40</v>
      </c>
      <c r="K2868" s="78">
        <v>1</v>
      </c>
      <c r="L2868" s="54">
        <v>1</v>
      </c>
      <c r="M2868" s="54">
        <f>_xlfn.XLOOKUP(Survey!$F2868,sections[Start],sections[Test Section],,-1,1)</f>
        <v>8</v>
      </c>
      <c r="N2868" s="55">
        <f>_xlfn.XLOOKUP(Survey!$K2868,pipedata[ID],pipedata[WT])</f>
        <v>0.61699999999999999</v>
      </c>
      <c r="O2868" s="56">
        <f>_xlfn.XLOOKUP(Survey!$K2868,pipedata[ID],pipedata[104%])</f>
        <v>2138.9333333333334</v>
      </c>
      <c r="P2868" s="57">
        <f t="shared" si="44"/>
        <v>1850</v>
      </c>
      <c r="Q2868" s="58">
        <f>_xlfn.MAXIFS(Survey!$G$2:$G$3647,Survey!$M$2:$M$3647,Survey!$M2868)-Survey!$G2868</f>
        <v>508.03311622338833</v>
      </c>
      <c r="R2868" s="59">
        <f>Survey!$P2868+(Survey!$Q2868*0.433)</f>
        <v>2069.9783393247271</v>
      </c>
    </row>
    <row r="2869" spans="1:18" x14ac:dyDescent="0.25">
      <c r="A2869" s="60" t="s">
        <v>17</v>
      </c>
      <c r="B2869" s="61" t="s">
        <v>23</v>
      </c>
      <c r="C2869" s="62" t="s">
        <v>19</v>
      </c>
      <c r="D2869" s="63">
        <v>248.22113584235595</v>
      </c>
      <c r="E2869" s="79">
        <v>1341569</v>
      </c>
      <c r="F2869" s="80">
        <v>1311537.1172413868</v>
      </c>
      <c r="G2869" s="66">
        <v>2669.9159732640255</v>
      </c>
      <c r="H2869" s="67">
        <v>1</v>
      </c>
      <c r="I2869" s="68" t="s">
        <v>20</v>
      </c>
      <c r="J2869" s="69">
        <v>40</v>
      </c>
      <c r="K2869" s="70">
        <v>1</v>
      </c>
      <c r="L2869" s="68">
        <v>1</v>
      </c>
      <c r="M2869" s="68">
        <f>_xlfn.XLOOKUP(Survey!$F2869,sections[Start],sections[Test Section],,-1,1)</f>
        <v>8</v>
      </c>
      <c r="N2869" s="55">
        <f>_xlfn.XLOOKUP(Survey!$K2869,pipedata[ID],pipedata[WT])</f>
        <v>0.61699999999999999</v>
      </c>
      <c r="O2869" s="56">
        <f>_xlfn.XLOOKUP(Survey!$K2869,pipedata[ID],pipedata[104%])</f>
        <v>2138.9333333333334</v>
      </c>
      <c r="P2869" s="57">
        <f t="shared" si="44"/>
        <v>1850</v>
      </c>
      <c r="Q2869" s="58">
        <f>_xlfn.MAXIFS(Survey!$G$2:$G$3647,Survey!$M$2:$M$3647,Survey!$M2869)-Survey!$G2869</f>
        <v>517.79351955384436</v>
      </c>
      <c r="R2869" s="59">
        <f>Survey!$P2869+(Survey!$Q2869*0.433)</f>
        <v>2074.2045939668146</v>
      </c>
    </row>
    <row r="2870" spans="1:18" x14ac:dyDescent="0.25">
      <c r="A2870" s="71" t="s">
        <v>17</v>
      </c>
      <c r="B2870" s="72" t="s">
        <v>23</v>
      </c>
      <c r="C2870" s="73" t="s">
        <v>19</v>
      </c>
      <c r="D2870" s="74">
        <v>248.2284790369537</v>
      </c>
      <c r="E2870" s="81">
        <v>1341609</v>
      </c>
      <c r="F2870" s="82">
        <v>1311575.2275862144</v>
      </c>
      <c r="G2870" s="75">
        <v>2660.4335209829733</v>
      </c>
      <c r="H2870" s="76">
        <v>1</v>
      </c>
      <c r="I2870" s="54" t="s">
        <v>20</v>
      </c>
      <c r="J2870" s="77">
        <v>40</v>
      </c>
      <c r="K2870" s="78">
        <v>1</v>
      </c>
      <c r="L2870" s="54">
        <v>1</v>
      </c>
      <c r="M2870" s="54">
        <f>_xlfn.XLOOKUP(Survey!$F2870,sections[Start],sections[Test Section],,-1,1)</f>
        <v>8</v>
      </c>
      <c r="N2870" s="55">
        <f>_xlfn.XLOOKUP(Survey!$K2870,pipedata[ID],pipedata[WT])</f>
        <v>0.61699999999999999</v>
      </c>
      <c r="O2870" s="56">
        <f>_xlfn.XLOOKUP(Survey!$K2870,pipedata[ID],pipedata[104%])</f>
        <v>2138.9333333333334</v>
      </c>
      <c r="P2870" s="57">
        <f t="shared" si="44"/>
        <v>1850</v>
      </c>
      <c r="Q2870" s="58">
        <f>_xlfn.MAXIFS(Survey!$G$2:$G$3647,Survey!$M$2:$M$3647,Survey!$M2870)-Survey!$G2870</f>
        <v>527.27597183489661</v>
      </c>
      <c r="R2870" s="59">
        <f>Survey!$P2870+(Survey!$Q2870*0.433)</f>
        <v>2078.3104958045101</v>
      </c>
    </row>
    <row r="2871" spans="1:18" x14ac:dyDescent="0.25">
      <c r="A2871" s="60" t="s">
        <v>17</v>
      </c>
      <c r="B2871" s="61" t="s">
        <v>23</v>
      </c>
      <c r="C2871" s="62" t="s">
        <v>19</v>
      </c>
      <c r="D2871" s="63">
        <v>248.23675523586905</v>
      </c>
      <c r="E2871" s="79">
        <v>1341649</v>
      </c>
      <c r="F2871" s="80">
        <v>1311613.3379310421</v>
      </c>
      <c r="G2871" s="66">
        <v>2653.4318977177145</v>
      </c>
      <c r="H2871" s="67">
        <v>1</v>
      </c>
      <c r="I2871" s="68" t="s">
        <v>20</v>
      </c>
      <c r="J2871" s="69">
        <v>40</v>
      </c>
      <c r="K2871" s="70">
        <v>1</v>
      </c>
      <c r="L2871" s="68">
        <v>1</v>
      </c>
      <c r="M2871" s="68">
        <f>_xlfn.XLOOKUP(Survey!$F2871,sections[Start],sections[Test Section],,-1,1)</f>
        <v>8</v>
      </c>
      <c r="N2871" s="55">
        <f>_xlfn.XLOOKUP(Survey!$K2871,pipedata[ID],pipedata[WT])</f>
        <v>0.61699999999999999</v>
      </c>
      <c r="O2871" s="56">
        <f>_xlfn.XLOOKUP(Survey!$K2871,pipedata[ID],pipedata[104%])</f>
        <v>2138.9333333333334</v>
      </c>
      <c r="P2871" s="57">
        <f t="shared" si="44"/>
        <v>1850</v>
      </c>
      <c r="Q2871" s="58">
        <f>_xlfn.MAXIFS(Survey!$G$2:$G$3647,Survey!$M$2:$M$3647,Survey!$M2871)-Survey!$G2871</f>
        <v>534.27759510015539</v>
      </c>
      <c r="R2871" s="59">
        <f>Survey!$P2871+(Survey!$Q2871*0.433)</f>
        <v>2081.3421986783674</v>
      </c>
    </row>
    <row r="2872" spans="1:18" x14ac:dyDescent="0.25">
      <c r="A2872" s="71" t="s">
        <v>17</v>
      </c>
      <c r="B2872" s="72" t="s">
        <v>23</v>
      </c>
      <c r="C2872" s="73" t="s">
        <v>19</v>
      </c>
      <c r="D2872" s="74">
        <v>248.24381675535437</v>
      </c>
      <c r="E2872" s="81">
        <v>1341689</v>
      </c>
      <c r="F2872" s="82">
        <v>1311651.4482758697</v>
      </c>
      <c r="G2872" s="75">
        <v>2645.4622805243735</v>
      </c>
      <c r="H2872" s="76">
        <v>1</v>
      </c>
      <c r="I2872" s="54" t="s">
        <v>20</v>
      </c>
      <c r="J2872" s="77">
        <v>40</v>
      </c>
      <c r="K2872" s="78">
        <v>1</v>
      </c>
      <c r="L2872" s="54">
        <v>1</v>
      </c>
      <c r="M2872" s="54">
        <f>_xlfn.XLOOKUP(Survey!$F2872,sections[Start],sections[Test Section],,-1,1)</f>
        <v>8</v>
      </c>
      <c r="N2872" s="55">
        <f>_xlfn.XLOOKUP(Survey!$K2872,pipedata[ID],pipedata[WT])</f>
        <v>0.61699999999999999</v>
      </c>
      <c r="O2872" s="56">
        <f>_xlfn.XLOOKUP(Survey!$K2872,pipedata[ID],pipedata[104%])</f>
        <v>2138.9333333333334</v>
      </c>
      <c r="P2872" s="57">
        <f t="shared" si="44"/>
        <v>1850</v>
      </c>
      <c r="Q2872" s="58">
        <f>_xlfn.MAXIFS(Survey!$G$2:$G$3647,Survey!$M$2:$M$3647,Survey!$M2872)-Survey!$G2872</f>
        <v>542.24721229349643</v>
      </c>
      <c r="R2872" s="59">
        <f>Survey!$P2872+(Survey!$Q2872*0.433)</f>
        <v>2084.7930429230842</v>
      </c>
    </row>
    <row r="2873" spans="1:18" x14ac:dyDescent="0.25">
      <c r="A2873" s="60" t="s">
        <v>17</v>
      </c>
      <c r="B2873" s="61" t="s">
        <v>23</v>
      </c>
      <c r="C2873" s="62" t="s">
        <v>19</v>
      </c>
      <c r="D2873" s="63">
        <v>248.25071391197957</v>
      </c>
      <c r="E2873" s="79">
        <v>1341729</v>
      </c>
      <c r="F2873" s="80">
        <v>1311689.5586206974</v>
      </c>
      <c r="G2873" s="66">
        <v>2638.2392519999894</v>
      </c>
      <c r="H2873" s="67">
        <v>1</v>
      </c>
      <c r="I2873" s="68" t="s">
        <v>20</v>
      </c>
      <c r="J2873" s="69">
        <v>40</v>
      </c>
      <c r="K2873" s="70">
        <v>1</v>
      </c>
      <c r="L2873" s="68">
        <v>1</v>
      </c>
      <c r="M2873" s="68">
        <f>_xlfn.XLOOKUP(Survey!$F2873,sections[Start],sections[Test Section],,-1,1)</f>
        <v>8</v>
      </c>
      <c r="N2873" s="55">
        <f>_xlfn.XLOOKUP(Survey!$K2873,pipedata[ID],pipedata[WT])</f>
        <v>0.61699999999999999</v>
      </c>
      <c r="O2873" s="56">
        <f>_xlfn.XLOOKUP(Survey!$K2873,pipedata[ID],pipedata[104%])</f>
        <v>2138.9333333333334</v>
      </c>
      <c r="P2873" s="57">
        <f t="shared" si="44"/>
        <v>1850</v>
      </c>
      <c r="Q2873" s="58">
        <f>_xlfn.MAXIFS(Survey!$G$2:$G$3647,Survey!$M$2:$M$3647,Survey!$M2873)-Survey!$G2873</f>
        <v>549.47024081788049</v>
      </c>
      <c r="R2873" s="59">
        <f>Survey!$P2873+(Survey!$Q2873*0.433)</f>
        <v>2087.9206142741423</v>
      </c>
    </row>
    <row r="2874" spans="1:18" x14ac:dyDescent="0.25">
      <c r="A2874" s="71" t="s">
        <v>17</v>
      </c>
      <c r="B2874" s="72" t="s">
        <v>23</v>
      </c>
      <c r="C2874" s="73" t="s">
        <v>19</v>
      </c>
      <c r="D2874" s="74">
        <v>248.25759564580699</v>
      </c>
      <c r="E2874" s="81">
        <v>1341769</v>
      </c>
      <c r="F2874" s="82">
        <v>1311727.668965525</v>
      </c>
      <c r="G2874" s="75">
        <v>2628.7804593218339</v>
      </c>
      <c r="H2874" s="76">
        <v>1</v>
      </c>
      <c r="I2874" s="54" t="s">
        <v>20</v>
      </c>
      <c r="J2874" s="77">
        <v>40</v>
      </c>
      <c r="K2874" s="78">
        <v>1</v>
      </c>
      <c r="L2874" s="54">
        <v>1</v>
      </c>
      <c r="M2874" s="54">
        <f>_xlfn.XLOOKUP(Survey!$F2874,sections[Start],sections[Test Section],,-1,1)</f>
        <v>8</v>
      </c>
      <c r="N2874" s="55">
        <f>_xlfn.XLOOKUP(Survey!$K2874,pipedata[ID],pipedata[WT])</f>
        <v>0.61699999999999999</v>
      </c>
      <c r="O2874" s="56">
        <f>_xlfn.XLOOKUP(Survey!$K2874,pipedata[ID],pipedata[104%])</f>
        <v>2138.9333333333334</v>
      </c>
      <c r="P2874" s="57">
        <f t="shared" si="44"/>
        <v>1850</v>
      </c>
      <c r="Q2874" s="58">
        <f>_xlfn.MAXIFS(Survey!$G$2:$G$3647,Survey!$M$2:$M$3647,Survey!$M2874)-Survey!$G2874</f>
        <v>558.92903349603603</v>
      </c>
      <c r="R2874" s="59">
        <f>Survey!$P2874+(Survey!$Q2874*0.433)</f>
        <v>2092.0162715037836</v>
      </c>
    </row>
    <row r="2875" spans="1:18" x14ac:dyDescent="0.25">
      <c r="A2875" s="60" t="s">
        <v>17</v>
      </c>
      <c r="B2875" s="61" t="s">
        <v>23</v>
      </c>
      <c r="C2875" s="62" t="s">
        <v>19</v>
      </c>
      <c r="D2875" s="63">
        <v>248.26412772663687</v>
      </c>
      <c r="E2875" s="79">
        <v>1341809</v>
      </c>
      <c r="F2875" s="80">
        <v>1311765.7793103526</v>
      </c>
      <c r="G2875" s="66">
        <v>2614.9527675089826</v>
      </c>
      <c r="H2875" s="67">
        <v>1</v>
      </c>
      <c r="I2875" s="68" t="s">
        <v>20</v>
      </c>
      <c r="J2875" s="69">
        <v>66</v>
      </c>
      <c r="K2875" s="70">
        <v>2</v>
      </c>
      <c r="L2875" s="68">
        <v>1</v>
      </c>
      <c r="M2875" s="68">
        <f>_xlfn.XLOOKUP(Survey!$F2875,sections[Start],sections[Test Section],,-1,1)</f>
        <v>8</v>
      </c>
      <c r="N2875" s="55">
        <f>_xlfn.XLOOKUP(Survey!$K2875,pipedata[ID],pipedata[WT])</f>
        <v>0.74</v>
      </c>
      <c r="O2875" s="56">
        <f>_xlfn.XLOOKUP(Survey!$K2875,pipedata[ID],pipedata[104%])</f>
        <v>2565.3333333333335</v>
      </c>
      <c r="P2875" s="57">
        <f t="shared" si="44"/>
        <v>1850</v>
      </c>
      <c r="Q2875" s="58">
        <f>_xlfn.MAXIFS(Survey!$G$2:$G$3647,Survey!$M$2:$M$3647,Survey!$M2875)-Survey!$G2875</f>
        <v>572.75672530888733</v>
      </c>
      <c r="R2875" s="59">
        <f>Survey!$P2875+(Survey!$Q2875*0.433)</f>
        <v>2098.003662058748</v>
      </c>
    </row>
    <row r="2876" spans="1:18" x14ac:dyDescent="0.25">
      <c r="A2876" s="71" t="s">
        <v>17</v>
      </c>
      <c r="B2876" s="72" t="s">
        <v>23</v>
      </c>
      <c r="C2876" s="73" t="s">
        <v>19</v>
      </c>
      <c r="D2876" s="74">
        <v>248.27151353437631</v>
      </c>
      <c r="E2876" s="81">
        <v>1341875</v>
      </c>
      <c r="F2876" s="82">
        <v>1311842</v>
      </c>
      <c r="G2876" s="75">
        <v>2579.0017604055947</v>
      </c>
      <c r="H2876" s="76">
        <v>2</v>
      </c>
      <c r="I2876" s="54" t="s">
        <v>20</v>
      </c>
      <c r="J2876" s="77">
        <v>14</v>
      </c>
      <c r="K2876" s="78">
        <v>2</v>
      </c>
      <c r="L2876" s="54">
        <v>1</v>
      </c>
      <c r="M2876" s="54">
        <f>_xlfn.XLOOKUP(Survey!$F2876,sections[Start],sections[Test Section],,-1,1)</f>
        <v>8</v>
      </c>
      <c r="N2876" s="55">
        <f>_xlfn.XLOOKUP(Survey!$K2876,pipedata[ID],pipedata[WT])</f>
        <v>0.74</v>
      </c>
      <c r="O2876" s="56">
        <f>_xlfn.XLOOKUP(Survey!$K2876,pipedata[ID],pipedata[104%])</f>
        <v>2565.3333333333335</v>
      </c>
      <c r="P2876" s="57">
        <f t="shared" si="44"/>
        <v>1850</v>
      </c>
      <c r="Q2876" s="58">
        <f>_xlfn.MAXIFS(Survey!$G$2:$G$3647,Survey!$M$2:$M$3647,Survey!$M2876)-Survey!$G2876</f>
        <v>608.70773241227516</v>
      </c>
      <c r="R2876" s="59">
        <f>Survey!$P2876+(Survey!$Q2876*0.433)</f>
        <v>2113.5704481345151</v>
      </c>
    </row>
    <row r="2877" spans="1:18" x14ac:dyDescent="0.25">
      <c r="A2877" s="60" t="s">
        <v>17</v>
      </c>
      <c r="B2877" s="61" t="s">
        <v>23</v>
      </c>
      <c r="C2877" s="62" t="s">
        <v>19</v>
      </c>
      <c r="D2877" s="63">
        <v>248.27705289018073</v>
      </c>
      <c r="E2877" s="79">
        <v>1341889</v>
      </c>
      <c r="F2877" s="80">
        <v>1311879.5686274511</v>
      </c>
      <c r="G2877" s="66">
        <v>2563.3467240788414</v>
      </c>
      <c r="H2877" s="67">
        <v>2</v>
      </c>
      <c r="I2877" s="68" t="s">
        <v>20</v>
      </c>
      <c r="J2877" s="69">
        <v>40</v>
      </c>
      <c r="K2877" s="70">
        <v>2</v>
      </c>
      <c r="L2877" s="68">
        <v>1</v>
      </c>
      <c r="M2877" s="68">
        <f>_xlfn.XLOOKUP(Survey!$F2877,sections[Start],sections[Test Section],,-1,1)</f>
        <v>8</v>
      </c>
      <c r="N2877" s="55">
        <f>_xlfn.XLOOKUP(Survey!$K2877,pipedata[ID],pipedata[WT])</f>
        <v>0.74</v>
      </c>
      <c r="O2877" s="56">
        <f>_xlfn.XLOOKUP(Survey!$K2877,pipedata[ID],pipedata[104%])</f>
        <v>2565.3333333333335</v>
      </c>
      <c r="P2877" s="57">
        <f t="shared" si="44"/>
        <v>1850</v>
      </c>
      <c r="Q2877" s="58">
        <f>_xlfn.MAXIFS(Survey!$G$2:$G$3647,Survey!$M$2:$M$3647,Survey!$M2877)-Survey!$G2877</f>
        <v>624.36276873902852</v>
      </c>
      <c r="R2877" s="59">
        <f>Survey!$P2877+(Survey!$Q2877*0.433)</f>
        <v>2120.3490788639992</v>
      </c>
    </row>
    <row r="2878" spans="1:18" x14ac:dyDescent="0.25">
      <c r="A2878" s="71" t="s">
        <v>17</v>
      </c>
      <c r="B2878" s="72" t="s">
        <v>23</v>
      </c>
      <c r="C2878" s="73" t="s">
        <v>19</v>
      </c>
      <c r="D2878" s="74">
        <v>248.28443869791946</v>
      </c>
      <c r="E2878" s="81">
        <v>1341929</v>
      </c>
      <c r="F2878" s="82">
        <v>1311917.1372549022</v>
      </c>
      <c r="G2878" s="75">
        <v>2544.3600736155627</v>
      </c>
      <c r="H2878" s="76">
        <v>2</v>
      </c>
      <c r="I2878" s="54" t="s">
        <v>20</v>
      </c>
      <c r="J2878" s="77">
        <v>40</v>
      </c>
      <c r="K2878" s="78">
        <v>2</v>
      </c>
      <c r="L2878" s="54">
        <v>1</v>
      </c>
      <c r="M2878" s="54">
        <f>_xlfn.XLOOKUP(Survey!$F2878,sections[Start],sections[Test Section],,-1,1)</f>
        <v>8</v>
      </c>
      <c r="N2878" s="55">
        <f>_xlfn.XLOOKUP(Survey!$K2878,pipedata[ID],pipedata[WT])</f>
        <v>0.74</v>
      </c>
      <c r="O2878" s="56">
        <f>_xlfn.XLOOKUP(Survey!$K2878,pipedata[ID],pipedata[104%])</f>
        <v>2565.3333333333335</v>
      </c>
      <c r="P2878" s="57">
        <f t="shared" si="44"/>
        <v>1850</v>
      </c>
      <c r="Q2878" s="58">
        <f>_xlfn.MAXIFS(Survey!$G$2:$G$3647,Survey!$M$2:$M$3647,Survey!$M2878)-Survey!$G2878</f>
        <v>643.34941920230722</v>
      </c>
      <c r="R2878" s="59">
        <f>Survey!$P2878+(Survey!$Q2878*0.433)</f>
        <v>2128.570298514599</v>
      </c>
    </row>
    <row r="2879" spans="1:18" x14ac:dyDescent="0.25">
      <c r="A2879" s="60" t="s">
        <v>17</v>
      </c>
      <c r="B2879" s="61" t="s">
        <v>23</v>
      </c>
      <c r="C2879" s="62" t="s">
        <v>19</v>
      </c>
      <c r="D2879" s="63">
        <v>248.28997805372367</v>
      </c>
      <c r="E2879" s="79">
        <v>1341969</v>
      </c>
      <c r="F2879" s="80">
        <v>1311954.7058823532</v>
      </c>
      <c r="G2879" s="66">
        <v>2522.0269166560688</v>
      </c>
      <c r="H2879" s="67">
        <v>2</v>
      </c>
      <c r="I2879" s="68" t="s">
        <v>20</v>
      </c>
      <c r="J2879" s="69">
        <v>40</v>
      </c>
      <c r="K2879" s="70">
        <v>2</v>
      </c>
      <c r="L2879" s="68">
        <v>1</v>
      </c>
      <c r="M2879" s="68">
        <f>_xlfn.XLOOKUP(Survey!$F2879,sections[Start],sections[Test Section],,-1,1)</f>
        <v>8</v>
      </c>
      <c r="N2879" s="55">
        <f>_xlfn.XLOOKUP(Survey!$K2879,pipedata[ID],pipedata[WT])</f>
        <v>0.74</v>
      </c>
      <c r="O2879" s="56">
        <f>_xlfn.XLOOKUP(Survey!$K2879,pipedata[ID],pipedata[104%])</f>
        <v>2565.3333333333335</v>
      </c>
      <c r="P2879" s="57">
        <f t="shared" si="44"/>
        <v>1850</v>
      </c>
      <c r="Q2879" s="58">
        <f>_xlfn.MAXIFS(Survey!$G$2:$G$3647,Survey!$M$2:$M$3647,Survey!$M2879)-Survey!$G2879</f>
        <v>665.68257616180108</v>
      </c>
      <c r="R2879" s="59">
        <f>Survey!$P2879+(Survey!$Q2879*0.433)</f>
        <v>2138.2405554780598</v>
      </c>
    </row>
    <row r="2880" spans="1:18" x14ac:dyDescent="0.25">
      <c r="A2880" s="71" t="s">
        <v>17</v>
      </c>
      <c r="B2880" s="72" t="s">
        <v>23</v>
      </c>
      <c r="C2880" s="73" t="s">
        <v>19</v>
      </c>
      <c r="D2880" s="74">
        <v>248.29667249876053</v>
      </c>
      <c r="E2880" s="81">
        <v>1342009</v>
      </c>
      <c r="F2880" s="82">
        <v>1311992.2745098043</v>
      </c>
      <c r="G2880" s="75">
        <v>2496.801939668439</v>
      </c>
      <c r="H2880" s="76">
        <v>2</v>
      </c>
      <c r="I2880" s="54" t="s">
        <v>20</v>
      </c>
      <c r="J2880" s="77">
        <v>40</v>
      </c>
      <c r="K2880" s="78">
        <v>2</v>
      </c>
      <c r="L2880" s="54">
        <v>1</v>
      </c>
      <c r="M2880" s="54">
        <f>_xlfn.XLOOKUP(Survey!$F2880,sections[Start],sections[Test Section],,-1,1)</f>
        <v>8</v>
      </c>
      <c r="N2880" s="55">
        <f>_xlfn.XLOOKUP(Survey!$K2880,pipedata[ID],pipedata[WT])</f>
        <v>0.74</v>
      </c>
      <c r="O2880" s="56">
        <f>_xlfn.XLOOKUP(Survey!$K2880,pipedata[ID],pipedata[104%])</f>
        <v>2565.3333333333335</v>
      </c>
      <c r="P2880" s="57">
        <f t="shared" si="44"/>
        <v>1850</v>
      </c>
      <c r="Q2880" s="58">
        <f>_xlfn.MAXIFS(Survey!$G$2:$G$3647,Survey!$M$2:$M$3647,Survey!$M2880)-Survey!$G2880</f>
        <v>690.9075531494309</v>
      </c>
      <c r="R2880" s="59">
        <f>Survey!$P2880+(Survey!$Q2880*0.433)</f>
        <v>2149.1629705137034</v>
      </c>
    </row>
    <row r="2881" spans="1:18" x14ac:dyDescent="0.25">
      <c r="A2881" s="60" t="s">
        <v>17</v>
      </c>
      <c r="B2881" s="61" t="s">
        <v>23</v>
      </c>
      <c r="C2881" s="62" t="s">
        <v>19</v>
      </c>
      <c r="D2881" s="63">
        <v>248.30306563112597</v>
      </c>
      <c r="E2881" s="79">
        <v>1342049</v>
      </c>
      <c r="F2881" s="80">
        <v>1312029.8431372554</v>
      </c>
      <c r="G2881" s="66">
        <v>2472.5073856788276</v>
      </c>
      <c r="H2881" s="67">
        <v>2</v>
      </c>
      <c r="I2881" s="68" t="s">
        <v>20</v>
      </c>
      <c r="J2881" s="69">
        <v>40</v>
      </c>
      <c r="K2881" s="70">
        <v>2</v>
      </c>
      <c r="L2881" s="68">
        <v>1</v>
      </c>
      <c r="M2881" s="68">
        <f>_xlfn.XLOOKUP(Survey!$F2881,sections[Start],sections[Test Section],,-1,1)</f>
        <v>8</v>
      </c>
      <c r="N2881" s="55">
        <f>_xlfn.XLOOKUP(Survey!$K2881,pipedata[ID],pipedata[WT])</f>
        <v>0.74</v>
      </c>
      <c r="O2881" s="56">
        <f>_xlfn.XLOOKUP(Survey!$K2881,pipedata[ID],pipedata[104%])</f>
        <v>2565.3333333333335</v>
      </c>
      <c r="P2881" s="57">
        <f t="shared" si="44"/>
        <v>1850</v>
      </c>
      <c r="Q2881" s="58">
        <f>_xlfn.MAXIFS(Survey!$G$2:$G$3647,Survey!$M$2:$M$3647,Survey!$M2881)-Survey!$G2881</f>
        <v>715.20210713904225</v>
      </c>
      <c r="R2881" s="59">
        <f>Survey!$P2881+(Survey!$Q2881*0.433)</f>
        <v>2159.6825123912054</v>
      </c>
    </row>
    <row r="2882" spans="1:18" x14ac:dyDescent="0.25">
      <c r="A2882" s="71" t="s">
        <v>17</v>
      </c>
      <c r="B2882" s="72" t="s">
        <v>23</v>
      </c>
      <c r="C2882" s="73" t="s">
        <v>19</v>
      </c>
      <c r="D2882" s="74">
        <v>248.30874937929082</v>
      </c>
      <c r="E2882" s="81">
        <v>1342089</v>
      </c>
      <c r="F2882" s="82">
        <v>1312067.4117647065</v>
      </c>
      <c r="G2882" s="75">
        <v>2444.7298997661546</v>
      </c>
      <c r="H2882" s="76">
        <v>2</v>
      </c>
      <c r="I2882" s="54" t="s">
        <v>20</v>
      </c>
      <c r="J2882" s="77">
        <v>40</v>
      </c>
      <c r="K2882" s="78">
        <v>2</v>
      </c>
      <c r="L2882" s="54">
        <v>1</v>
      </c>
      <c r="M2882" s="54">
        <f>_xlfn.XLOOKUP(Survey!$F2882,sections[Start],sections[Test Section],,-1,1)</f>
        <v>8</v>
      </c>
      <c r="N2882" s="55">
        <f>_xlfn.XLOOKUP(Survey!$K2882,pipedata[ID],pipedata[WT])</f>
        <v>0.74</v>
      </c>
      <c r="O2882" s="56">
        <f>_xlfn.XLOOKUP(Survey!$K2882,pipedata[ID],pipedata[104%])</f>
        <v>2565.3333333333335</v>
      </c>
      <c r="P2882" s="57">
        <f t="shared" ref="P2882:P2945" si="45">IF(L2882=1,1850,IF(L2882=2,1850,2220))</f>
        <v>1850</v>
      </c>
      <c r="Q2882" s="58">
        <f>_xlfn.MAXIFS(Survey!$G$2:$G$3647,Survey!$M$2:$M$3647,Survey!$M2882)-Survey!$G2882</f>
        <v>742.97959305171526</v>
      </c>
      <c r="R2882" s="59">
        <f>Survey!$P2882+(Survey!$Q2882*0.433)</f>
        <v>2171.7101637913929</v>
      </c>
    </row>
    <row r="2883" spans="1:18" x14ac:dyDescent="0.25">
      <c r="A2883" s="60" t="s">
        <v>17</v>
      </c>
      <c r="B2883" s="61" t="s">
        <v>23</v>
      </c>
      <c r="C2883" s="62" t="s">
        <v>19</v>
      </c>
      <c r="D2883" s="63">
        <v>248.31490847805475</v>
      </c>
      <c r="E2883" s="79">
        <v>1342129</v>
      </c>
      <c r="F2883" s="80">
        <v>1312104.9803921576</v>
      </c>
      <c r="G2883" s="66">
        <v>2419.4484735446185</v>
      </c>
      <c r="H2883" s="67">
        <v>2</v>
      </c>
      <c r="I2883" s="68" t="s">
        <v>20</v>
      </c>
      <c r="J2883" s="69">
        <v>40</v>
      </c>
      <c r="K2883" s="70">
        <v>2</v>
      </c>
      <c r="L2883" s="68">
        <v>1</v>
      </c>
      <c r="M2883" s="68">
        <f>_xlfn.XLOOKUP(Survey!$F2883,sections[Start],sections[Test Section],,-1,1)</f>
        <v>8</v>
      </c>
      <c r="N2883" s="55">
        <f>_xlfn.XLOOKUP(Survey!$K2883,pipedata[ID],pipedata[WT])</f>
        <v>0.74</v>
      </c>
      <c r="O2883" s="56">
        <f>_xlfn.XLOOKUP(Survey!$K2883,pipedata[ID],pipedata[104%])</f>
        <v>2565.3333333333335</v>
      </c>
      <c r="P2883" s="57">
        <f t="shared" si="45"/>
        <v>1850</v>
      </c>
      <c r="Q2883" s="58">
        <f>_xlfn.MAXIFS(Survey!$G$2:$G$3647,Survey!$M$2:$M$3647,Survey!$M2883)-Survey!$G2883</f>
        <v>768.26101927325135</v>
      </c>
      <c r="R2883" s="59">
        <f>Survey!$P2883+(Survey!$Q2883*0.433)</f>
        <v>2182.6570213453178</v>
      </c>
    </row>
    <row r="2884" spans="1:18" x14ac:dyDescent="0.25">
      <c r="A2884" s="71" t="s">
        <v>17</v>
      </c>
      <c r="B2884" s="72" t="s">
        <v>23</v>
      </c>
      <c r="C2884" s="73" t="s">
        <v>19</v>
      </c>
      <c r="D2884" s="74">
        <v>248.32201145834216</v>
      </c>
      <c r="E2884" s="81">
        <v>1342169</v>
      </c>
      <c r="F2884" s="82">
        <v>1312142.5490196086</v>
      </c>
      <c r="G2884" s="75">
        <v>2397.9638265169565</v>
      </c>
      <c r="H2884" s="76">
        <v>2</v>
      </c>
      <c r="I2884" s="54" t="s">
        <v>20</v>
      </c>
      <c r="J2884" s="77">
        <v>40</v>
      </c>
      <c r="K2884" s="78">
        <v>2</v>
      </c>
      <c r="L2884" s="54">
        <v>1</v>
      </c>
      <c r="M2884" s="54">
        <f>_xlfn.XLOOKUP(Survey!$F2884,sections[Start],sections[Test Section],,-1,1)</f>
        <v>8</v>
      </c>
      <c r="N2884" s="55">
        <f>_xlfn.XLOOKUP(Survey!$K2884,pipedata[ID],pipedata[WT])</f>
        <v>0.74</v>
      </c>
      <c r="O2884" s="56">
        <f>_xlfn.XLOOKUP(Survey!$K2884,pipedata[ID],pipedata[104%])</f>
        <v>2565.3333333333335</v>
      </c>
      <c r="P2884" s="57">
        <f t="shared" si="45"/>
        <v>1850</v>
      </c>
      <c r="Q2884" s="58">
        <f>_xlfn.MAXIFS(Survey!$G$2:$G$3647,Survey!$M$2:$M$3647,Survey!$M2884)-Survey!$G2884</f>
        <v>789.7456663009134</v>
      </c>
      <c r="R2884" s="59">
        <f>Survey!$P2884+(Survey!$Q2884*0.433)</f>
        <v>2191.9598735082955</v>
      </c>
    </row>
    <row r="2885" spans="1:18" x14ac:dyDescent="0.25">
      <c r="A2885" s="60" t="s">
        <v>17</v>
      </c>
      <c r="B2885" s="61" t="s">
        <v>23</v>
      </c>
      <c r="C2885" s="62" t="s">
        <v>19</v>
      </c>
      <c r="D2885" s="63">
        <v>248.327695206507</v>
      </c>
      <c r="E2885" s="79">
        <v>1342209</v>
      </c>
      <c r="F2885" s="80">
        <v>1312180.1176470597</v>
      </c>
      <c r="G2885" s="66">
        <v>2371.5306058161186</v>
      </c>
      <c r="H2885" s="67">
        <v>2</v>
      </c>
      <c r="I2885" s="68" t="s">
        <v>20</v>
      </c>
      <c r="J2885" s="69">
        <v>40</v>
      </c>
      <c r="K2885" s="70">
        <v>2</v>
      </c>
      <c r="L2885" s="68">
        <v>1</v>
      </c>
      <c r="M2885" s="68">
        <f>_xlfn.XLOOKUP(Survey!$F2885,sections[Start],sections[Test Section],,-1,1)</f>
        <v>8</v>
      </c>
      <c r="N2885" s="55">
        <f>_xlfn.XLOOKUP(Survey!$K2885,pipedata[ID],pipedata[WT])</f>
        <v>0.74</v>
      </c>
      <c r="O2885" s="56">
        <f>_xlfn.XLOOKUP(Survey!$K2885,pipedata[ID],pipedata[104%])</f>
        <v>2565.3333333333335</v>
      </c>
      <c r="P2885" s="57">
        <f t="shared" si="45"/>
        <v>1850</v>
      </c>
      <c r="Q2885" s="58">
        <f>_xlfn.MAXIFS(Survey!$G$2:$G$3647,Survey!$M$2:$M$3647,Survey!$M2885)-Survey!$G2885</f>
        <v>816.17888700175126</v>
      </c>
      <c r="R2885" s="59">
        <f>Survey!$P2885+(Survey!$Q2885*0.433)</f>
        <v>2203.4054580717584</v>
      </c>
    </row>
    <row r="2886" spans="1:18" x14ac:dyDescent="0.25">
      <c r="A2886" s="71" t="s">
        <v>17</v>
      </c>
      <c r="B2886" s="72" t="s">
        <v>23</v>
      </c>
      <c r="C2886" s="73" t="s">
        <v>19</v>
      </c>
      <c r="D2886" s="74">
        <v>248.33436137686553</v>
      </c>
      <c r="E2886" s="81">
        <v>1342249</v>
      </c>
      <c r="F2886" s="82">
        <v>1312217.6862745108</v>
      </c>
      <c r="G2886" s="75">
        <v>2344.4621010126548</v>
      </c>
      <c r="H2886" s="76">
        <v>2</v>
      </c>
      <c r="I2886" s="54" t="s">
        <v>20</v>
      </c>
      <c r="J2886" s="77">
        <v>40</v>
      </c>
      <c r="K2886" s="78">
        <v>2</v>
      </c>
      <c r="L2886" s="54">
        <v>1</v>
      </c>
      <c r="M2886" s="54">
        <f>_xlfn.XLOOKUP(Survey!$F2886,sections[Start],sections[Test Section],,-1,1)</f>
        <v>8</v>
      </c>
      <c r="N2886" s="55">
        <f>_xlfn.XLOOKUP(Survey!$K2886,pipedata[ID],pipedata[WT])</f>
        <v>0.74</v>
      </c>
      <c r="O2886" s="56">
        <f>_xlfn.XLOOKUP(Survey!$K2886,pipedata[ID],pipedata[104%])</f>
        <v>2565.3333333333335</v>
      </c>
      <c r="P2886" s="57">
        <f t="shared" si="45"/>
        <v>1850</v>
      </c>
      <c r="Q2886" s="58">
        <f>_xlfn.MAXIFS(Survey!$G$2:$G$3647,Survey!$M$2:$M$3647,Survey!$M2886)-Survey!$G2886</f>
        <v>843.2473918052151</v>
      </c>
      <c r="R2886" s="59">
        <f>Survey!$P2886+(Survey!$Q2886*0.433)</f>
        <v>2215.1261206516583</v>
      </c>
    </row>
    <row r="2887" spans="1:18" x14ac:dyDescent="0.25">
      <c r="A2887" s="60" t="s">
        <v>17</v>
      </c>
      <c r="B2887" s="61" t="s">
        <v>23</v>
      </c>
      <c r="C2887" s="62" t="s">
        <v>19</v>
      </c>
      <c r="D2887" s="63">
        <v>248.34095728555832</v>
      </c>
      <c r="E2887" s="79">
        <v>1342289</v>
      </c>
      <c r="F2887" s="80">
        <v>1312255.2549019619</v>
      </c>
      <c r="G2887" s="66">
        <v>2320.7046001437839</v>
      </c>
      <c r="H2887" s="67">
        <v>2</v>
      </c>
      <c r="I2887" s="68" t="s">
        <v>20</v>
      </c>
      <c r="J2887" s="69">
        <v>40</v>
      </c>
      <c r="K2887" s="70">
        <v>2</v>
      </c>
      <c r="L2887" s="68">
        <v>1</v>
      </c>
      <c r="M2887" s="68">
        <f>_xlfn.XLOOKUP(Survey!$F2887,sections[Start],sections[Test Section],,-1,1)</f>
        <v>8</v>
      </c>
      <c r="N2887" s="55">
        <f>_xlfn.XLOOKUP(Survey!$K2887,pipedata[ID],pipedata[WT])</f>
        <v>0.74</v>
      </c>
      <c r="O2887" s="56">
        <f>_xlfn.XLOOKUP(Survey!$K2887,pipedata[ID],pipedata[104%])</f>
        <v>2565.3333333333335</v>
      </c>
      <c r="P2887" s="57">
        <f t="shared" si="45"/>
        <v>1850</v>
      </c>
      <c r="Q2887" s="58">
        <f>_xlfn.MAXIFS(Survey!$G$2:$G$3647,Survey!$M$2:$M$3647,Survey!$M2887)-Survey!$G2887</f>
        <v>867.00489267408602</v>
      </c>
      <c r="R2887" s="59">
        <f>Survey!$P2887+(Survey!$Q2887*0.433)</f>
        <v>2225.4131185278793</v>
      </c>
    </row>
    <row r="2888" spans="1:18" x14ac:dyDescent="0.25">
      <c r="A2888" s="71" t="s">
        <v>17</v>
      </c>
      <c r="B2888" s="72" t="s">
        <v>23</v>
      </c>
      <c r="C2888" s="73" t="s">
        <v>19</v>
      </c>
      <c r="D2888" s="74">
        <v>248.34721806370132</v>
      </c>
      <c r="E2888" s="81">
        <v>1342329</v>
      </c>
      <c r="F2888" s="82">
        <v>1312292.823529413</v>
      </c>
      <c r="G2888" s="75">
        <v>2293.7744362996568</v>
      </c>
      <c r="H2888" s="76">
        <v>2</v>
      </c>
      <c r="I2888" s="54" t="s">
        <v>20</v>
      </c>
      <c r="J2888" s="77">
        <v>40</v>
      </c>
      <c r="K2888" s="78">
        <v>2</v>
      </c>
      <c r="L2888" s="54">
        <v>1</v>
      </c>
      <c r="M2888" s="54">
        <f>_xlfn.XLOOKUP(Survey!$F2888,sections[Start],sections[Test Section],,-1,1)</f>
        <v>8</v>
      </c>
      <c r="N2888" s="55">
        <f>_xlfn.XLOOKUP(Survey!$K2888,pipedata[ID],pipedata[WT])</f>
        <v>0.74</v>
      </c>
      <c r="O2888" s="56">
        <f>_xlfn.XLOOKUP(Survey!$K2888,pipedata[ID],pipedata[104%])</f>
        <v>2565.3333333333335</v>
      </c>
      <c r="P2888" s="57">
        <f t="shared" si="45"/>
        <v>1850</v>
      </c>
      <c r="Q2888" s="58">
        <f>_xlfn.MAXIFS(Survey!$G$2:$G$3647,Survey!$M$2:$M$3647,Survey!$M2888)-Survey!$G2888</f>
        <v>893.93505651821306</v>
      </c>
      <c r="R2888" s="59">
        <f>Survey!$P2888+(Survey!$Q2888*0.433)</f>
        <v>2237.0738794723861</v>
      </c>
    </row>
    <row r="2889" spans="1:18" x14ac:dyDescent="0.25">
      <c r="A2889" s="60" t="s">
        <v>17</v>
      </c>
      <c r="B2889" s="61" t="s">
        <v>23</v>
      </c>
      <c r="C2889" s="62" t="s">
        <v>19</v>
      </c>
      <c r="D2889" s="63">
        <v>248.35275741950556</v>
      </c>
      <c r="E2889" s="79">
        <v>1342369</v>
      </c>
      <c r="F2889" s="80">
        <v>1312330.3921568641</v>
      </c>
      <c r="G2889" s="66">
        <v>2268.4580999166051</v>
      </c>
      <c r="H2889" s="67">
        <v>2</v>
      </c>
      <c r="I2889" s="68" t="s">
        <v>20</v>
      </c>
      <c r="J2889" s="69">
        <v>40</v>
      </c>
      <c r="K2889" s="70">
        <v>2</v>
      </c>
      <c r="L2889" s="68">
        <v>1</v>
      </c>
      <c r="M2889" s="68">
        <f>_xlfn.XLOOKUP(Survey!$F2889,sections[Start],sections[Test Section],,-1,1)</f>
        <v>8</v>
      </c>
      <c r="N2889" s="55">
        <f>_xlfn.XLOOKUP(Survey!$K2889,pipedata[ID],pipedata[WT])</f>
        <v>0.74</v>
      </c>
      <c r="O2889" s="56">
        <f>_xlfn.XLOOKUP(Survey!$K2889,pipedata[ID],pipedata[104%])</f>
        <v>2565.3333333333335</v>
      </c>
      <c r="P2889" s="57">
        <f t="shared" si="45"/>
        <v>1850</v>
      </c>
      <c r="Q2889" s="58">
        <f>_xlfn.MAXIFS(Survey!$G$2:$G$3647,Survey!$M$2:$M$3647,Survey!$M2889)-Survey!$G2889</f>
        <v>919.25139290126481</v>
      </c>
      <c r="R2889" s="59">
        <f>Survey!$P2889+(Survey!$Q2889*0.433)</f>
        <v>2248.0358531262477</v>
      </c>
    </row>
    <row r="2890" spans="1:18" x14ac:dyDescent="0.25">
      <c r="A2890" s="71" t="s">
        <v>17</v>
      </c>
      <c r="B2890" s="72" t="s">
        <v>23</v>
      </c>
      <c r="C2890" s="73" t="s">
        <v>19</v>
      </c>
      <c r="D2890" s="74">
        <v>248.35990311277445</v>
      </c>
      <c r="E2890" s="81">
        <v>1342409</v>
      </c>
      <c r="F2890" s="82">
        <v>1312367.9607843151</v>
      </c>
      <c r="G2890" s="75">
        <v>2243.9732663967757</v>
      </c>
      <c r="H2890" s="76">
        <v>2</v>
      </c>
      <c r="I2890" s="54" t="s">
        <v>20</v>
      </c>
      <c r="J2890" s="77">
        <v>40</v>
      </c>
      <c r="K2890" s="78">
        <v>2</v>
      </c>
      <c r="L2890" s="54">
        <v>1</v>
      </c>
      <c r="M2890" s="54">
        <f>_xlfn.XLOOKUP(Survey!$F2890,sections[Start],sections[Test Section],,-1,1)</f>
        <v>8</v>
      </c>
      <c r="N2890" s="55">
        <f>_xlfn.XLOOKUP(Survey!$K2890,pipedata[ID],pipedata[WT])</f>
        <v>0.74</v>
      </c>
      <c r="O2890" s="56">
        <f>_xlfn.XLOOKUP(Survey!$K2890,pipedata[ID],pipedata[104%])</f>
        <v>2565.3333333333335</v>
      </c>
      <c r="P2890" s="57">
        <f t="shared" si="45"/>
        <v>1850</v>
      </c>
      <c r="Q2890" s="58">
        <f>_xlfn.MAXIFS(Survey!$G$2:$G$3647,Survey!$M$2:$M$3647,Survey!$M2890)-Survey!$G2890</f>
        <v>943.73622642109422</v>
      </c>
      <c r="R2890" s="59">
        <f>Survey!$P2890+(Survey!$Q2890*0.433)</f>
        <v>2258.6377860403336</v>
      </c>
    </row>
    <row r="2891" spans="1:18" x14ac:dyDescent="0.25">
      <c r="A2891" s="60" t="s">
        <v>17</v>
      </c>
      <c r="B2891" s="61" t="s">
        <v>23</v>
      </c>
      <c r="C2891" s="62" t="s">
        <v>19</v>
      </c>
      <c r="D2891" s="63">
        <v>248.36568258304897</v>
      </c>
      <c r="E2891" s="79">
        <v>1342449</v>
      </c>
      <c r="F2891" s="80">
        <v>1312405.5294117662</v>
      </c>
      <c r="G2891" s="66">
        <v>2225.302289312534</v>
      </c>
      <c r="H2891" s="67">
        <v>2</v>
      </c>
      <c r="I2891" s="68" t="s">
        <v>20</v>
      </c>
      <c r="J2891" s="69">
        <v>40</v>
      </c>
      <c r="K2891" s="70">
        <v>2</v>
      </c>
      <c r="L2891" s="68">
        <v>1</v>
      </c>
      <c r="M2891" s="68">
        <f>_xlfn.XLOOKUP(Survey!$F2891,sections[Start],sections[Test Section],,-1,1)</f>
        <v>8</v>
      </c>
      <c r="N2891" s="55">
        <f>_xlfn.XLOOKUP(Survey!$K2891,pipedata[ID],pipedata[WT])</f>
        <v>0.74</v>
      </c>
      <c r="O2891" s="56">
        <f>_xlfn.XLOOKUP(Survey!$K2891,pipedata[ID],pipedata[104%])</f>
        <v>2565.3333333333335</v>
      </c>
      <c r="P2891" s="57">
        <f t="shared" si="45"/>
        <v>1850</v>
      </c>
      <c r="Q2891" s="58">
        <f>_xlfn.MAXIFS(Survey!$G$2:$G$3647,Survey!$M$2:$M$3647,Survey!$M2891)-Survey!$G2891</f>
        <v>962.40720350533593</v>
      </c>
      <c r="R2891" s="59">
        <f>Survey!$P2891+(Survey!$Q2891*0.433)</f>
        <v>2266.7223191178105</v>
      </c>
    </row>
    <row r="2892" spans="1:18" x14ac:dyDescent="0.25">
      <c r="A2892" s="71" t="s">
        <v>17</v>
      </c>
      <c r="B2892" s="72" t="s">
        <v>23</v>
      </c>
      <c r="C2892" s="73" t="s">
        <v>19</v>
      </c>
      <c r="D2892" s="74">
        <v>248.37306839078792</v>
      </c>
      <c r="E2892" s="81">
        <v>1342489</v>
      </c>
      <c r="F2892" s="82">
        <v>1312443.0980392173</v>
      </c>
      <c r="G2892" s="75">
        <v>2203.5338099437204</v>
      </c>
      <c r="H2892" s="76">
        <v>2</v>
      </c>
      <c r="I2892" s="54" t="s">
        <v>20</v>
      </c>
      <c r="J2892" s="77">
        <v>40</v>
      </c>
      <c r="K2892" s="78">
        <v>2</v>
      </c>
      <c r="L2892" s="54">
        <v>1</v>
      </c>
      <c r="M2892" s="54">
        <f>_xlfn.XLOOKUP(Survey!$F2892,sections[Start],sections[Test Section],,-1,1)</f>
        <v>8</v>
      </c>
      <c r="N2892" s="55">
        <f>_xlfn.XLOOKUP(Survey!$K2892,pipedata[ID],pipedata[WT])</f>
        <v>0.74</v>
      </c>
      <c r="O2892" s="56">
        <f>_xlfn.XLOOKUP(Survey!$K2892,pipedata[ID],pipedata[104%])</f>
        <v>2565.3333333333335</v>
      </c>
      <c r="P2892" s="57">
        <f t="shared" si="45"/>
        <v>1850</v>
      </c>
      <c r="Q2892" s="58">
        <f>_xlfn.MAXIFS(Survey!$G$2:$G$3647,Survey!$M$2:$M$3647,Survey!$M2892)-Survey!$G2892</f>
        <v>984.17568287414952</v>
      </c>
      <c r="R2892" s="59">
        <f>Survey!$P2892+(Survey!$Q2892*0.433)</f>
        <v>2276.1480706845068</v>
      </c>
    </row>
    <row r="2893" spans="1:18" x14ac:dyDescent="0.25">
      <c r="A2893" s="60" t="s">
        <v>17</v>
      </c>
      <c r="B2893" s="61" t="s">
        <v>23</v>
      </c>
      <c r="C2893" s="62" t="s">
        <v>19</v>
      </c>
      <c r="D2893" s="63">
        <v>248.37884893999063</v>
      </c>
      <c r="E2893" s="79">
        <v>1342529</v>
      </c>
      <c r="F2893" s="80">
        <v>1312480.6666666684</v>
      </c>
      <c r="G2893" s="66">
        <v>2186.7270292241424</v>
      </c>
      <c r="H2893" s="67">
        <v>2</v>
      </c>
      <c r="I2893" s="68" t="s">
        <v>20</v>
      </c>
      <c r="J2893" s="69">
        <v>40</v>
      </c>
      <c r="K2893" s="70">
        <v>2</v>
      </c>
      <c r="L2893" s="68">
        <v>1</v>
      </c>
      <c r="M2893" s="68">
        <f>_xlfn.XLOOKUP(Survey!$F2893,sections[Start],sections[Test Section],,-1,1)</f>
        <v>8</v>
      </c>
      <c r="N2893" s="55">
        <f>_xlfn.XLOOKUP(Survey!$K2893,pipedata[ID],pipedata[WT])</f>
        <v>0.74</v>
      </c>
      <c r="O2893" s="56">
        <f>_xlfn.XLOOKUP(Survey!$K2893,pipedata[ID],pipedata[104%])</f>
        <v>2565.3333333333335</v>
      </c>
      <c r="P2893" s="57">
        <f t="shared" si="45"/>
        <v>1850</v>
      </c>
      <c r="Q2893" s="58">
        <f>_xlfn.MAXIFS(Survey!$G$2:$G$3647,Survey!$M$2:$M$3647,Survey!$M2893)-Survey!$G2893</f>
        <v>1000.9824635937275</v>
      </c>
      <c r="R2893" s="59">
        <f>Survey!$P2893+(Survey!$Q2893*0.433)</f>
        <v>2283.4254067360839</v>
      </c>
    </row>
    <row r="2894" spans="1:18" x14ac:dyDescent="0.25">
      <c r="A2894" s="71" t="s">
        <v>17</v>
      </c>
      <c r="B2894" s="72" t="s">
        <v>23</v>
      </c>
      <c r="C2894" s="73" t="s">
        <v>19</v>
      </c>
      <c r="D2894" s="74">
        <v>248.38642727087708</v>
      </c>
      <c r="E2894" s="81">
        <v>1342569</v>
      </c>
      <c r="F2894" s="82">
        <v>1312518.2352941195</v>
      </c>
      <c r="G2894" s="75">
        <v>2174.6740386053921</v>
      </c>
      <c r="H2894" s="76">
        <v>2</v>
      </c>
      <c r="I2894" s="54" t="s">
        <v>20</v>
      </c>
      <c r="J2894" s="77">
        <v>40</v>
      </c>
      <c r="K2894" s="78">
        <v>2</v>
      </c>
      <c r="L2894" s="54">
        <v>1</v>
      </c>
      <c r="M2894" s="54">
        <f>_xlfn.XLOOKUP(Survey!$F2894,sections[Start],sections[Test Section],,-1,1)</f>
        <v>8</v>
      </c>
      <c r="N2894" s="55">
        <f>_xlfn.XLOOKUP(Survey!$K2894,pipedata[ID],pipedata[WT])</f>
        <v>0.74</v>
      </c>
      <c r="O2894" s="56">
        <f>_xlfn.XLOOKUP(Survey!$K2894,pipedata[ID],pipedata[104%])</f>
        <v>2565.3333333333335</v>
      </c>
      <c r="P2894" s="57">
        <f t="shared" si="45"/>
        <v>1850</v>
      </c>
      <c r="Q2894" s="58">
        <f>_xlfn.MAXIFS(Survey!$G$2:$G$3647,Survey!$M$2:$M$3647,Survey!$M2894)-Survey!$G2894</f>
        <v>1013.0354542124778</v>
      </c>
      <c r="R2894" s="59">
        <f>Survey!$P2894+(Survey!$Q2894*0.433)</f>
        <v>2288.6443516740028</v>
      </c>
    </row>
    <row r="2895" spans="1:18" x14ac:dyDescent="0.25">
      <c r="A2895" s="60" t="s">
        <v>17</v>
      </c>
      <c r="B2895" s="61" t="s">
        <v>23</v>
      </c>
      <c r="C2895" s="62" t="s">
        <v>19</v>
      </c>
      <c r="D2895" s="63">
        <v>248.39400560176358</v>
      </c>
      <c r="E2895" s="79">
        <v>1342609</v>
      </c>
      <c r="F2895" s="80">
        <v>1312555.8039215705</v>
      </c>
      <c r="G2895" s="66">
        <v>2161.3524776887257</v>
      </c>
      <c r="H2895" s="67">
        <v>2</v>
      </c>
      <c r="I2895" s="68" t="s">
        <v>20</v>
      </c>
      <c r="J2895" s="69">
        <v>40</v>
      </c>
      <c r="K2895" s="70">
        <v>2</v>
      </c>
      <c r="L2895" s="68">
        <v>1</v>
      </c>
      <c r="M2895" s="68">
        <f>_xlfn.XLOOKUP(Survey!$F2895,sections[Start],sections[Test Section],,-1,1)</f>
        <v>8</v>
      </c>
      <c r="N2895" s="55">
        <f>_xlfn.XLOOKUP(Survey!$K2895,pipedata[ID],pipedata[WT])</f>
        <v>0.74</v>
      </c>
      <c r="O2895" s="56">
        <f>_xlfn.XLOOKUP(Survey!$K2895,pipedata[ID],pipedata[104%])</f>
        <v>2565.3333333333335</v>
      </c>
      <c r="P2895" s="57">
        <f t="shared" si="45"/>
        <v>1850</v>
      </c>
      <c r="Q2895" s="58">
        <f>_xlfn.MAXIFS(Survey!$G$2:$G$3647,Survey!$M$2:$M$3647,Survey!$M2895)-Survey!$G2895</f>
        <v>1026.3570151291442</v>
      </c>
      <c r="R2895" s="59">
        <f>Survey!$P2895+(Survey!$Q2895*0.433)</f>
        <v>2294.4125875509194</v>
      </c>
    </row>
    <row r="2896" spans="1:18" x14ac:dyDescent="0.25">
      <c r="A2896" s="71" t="s">
        <v>17</v>
      </c>
      <c r="B2896" s="72" t="s">
        <v>23</v>
      </c>
      <c r="C2896" s="73" t="s">
        <v>19</v>
      </c>
      <c r="D2896" s="74">
        <v>248.40076516980918</v>
      </c>
      <c r="E2896" s="81">
        <v>1342649</v>
      </c>
      <c r="F2896" s="82">
        <v>1312593.3725490216</v>
      </c>
      <c r="G2896" s="75">
        <v>2140.7419621501599</v>
      </c>
      <c r="H2896" s="76">
        <v>2</v>
      </c>
      <c r="I2896" s="54" t="s">
        <v>20</v>
      </c>
      <c r="J2896" s="77">
        <v>40</v>
      </c>
      <c r="K2896" s="78">
        <v>2</v>
      </c>
      <c r="L2896" s="54">
        <v>1</v>
      </c>
      <c r="M2896" s="54">
        <f>_xlfn.XLOOKUP(Survey!$F2896,sections[Start],sections[Test Section],,-1,1)</f>
        <v>8</v>
      </c>
      <c r="N2896" s="55">
        <f>_xlfn.XLOOKUP(Survey!$K2896,pipedata[ID],pipedata[WT])</f>
        <v>0.74</v>
      </c>
      <c r="O2896" s="56">
        <f>_xlfn.XLOOKUP(Survey!$K2896,pipedata[ID],pipedata[104%])</f>
        <v>2565.3333333333335</v>
      </c>
      <c r="P2896" s="57">
        <f t="shared" si="45"/>
        <v>1850</v>
      </c>
      <c r="Q2896" s="58">
        <f>_xlfn.MAXIFS(Survey!$G$2:$G$3647,Survey!$M$2:$M$3647,Survey!$M2896)-Survey!$G2896</f>
        <v>1046.96753066771</v>
      </c>
      <c r="R2896" s="59">
        <f>Survey!$P2896+(Survey!$Q2896*0.433)</f>
        <v>2303.3369407791183</v>
      </c>
    </row>
    <row r="2897" spans="1:18" x14ac:dyDescent="0.25">
      <c r="A2897" s="60" t="s">
        <v>17</v>
      </c>
      <c r="B2897" s="61" t="s">
        <v>23</v>
      </c>
      <c r="C2897" s="62" t="s">
        <v>19</v>
      </c>
      <c r="D2897" s="63">
        <v>248.40726768081481</v>
      </c>
      <c r="E2897" s="79">
        <v>1342689</v>
      </c>
      <c r="F2897" s="80">
        <v>1312630.9411764727</v>
      </c>
      <c r="G2897" s="66">
        <v>2119.1098685589059</v>
      </c>
      <c r="H2897" s="67">
        <v>2</v>
      </c>
      <c r="I2897" s="68" t="s">
        <v>20</v>
      </c>
      <c r="J2897" s="69">
        <v>40</v>
      </c>
      <c r="K2897" s="70">
        <v>2</v>
      </c>
      <c r="L2897" s="68">
        <v>1</v>
      </c>
      <c r="M2897" s="68">
        <f>_xlfn.XLOOKUP(Survey!$F2897,sections[Start],sections[Test Section],,-1,1)</f>
        <v>8</v>
      </c>
      <c r="N2897" s="55">
        <f>_xlfn.XLOOKUP(Survey!$K2897,pipedata[ID],pipedata[WT])</f>
        <v>0.74</v>
      </c>
      <c r="O2897" s="56">
        <f>_xlfn.XLOOKUP(Survey!$K2897,pipedata[ID],pipedata[104%])</f>
        <v>2565.3333333333335</v>
      </c>
      <c r="P2897" s="57">
        <f t="shared" si="45"/>
        <v>1850</v>
      </c>
      <c r="Q2897" s="58">
        <f>_xlfn.MAXIFS(Survey!$G$2:$G$3647,Survey!$M$2:$M$3647,Survey!$M2897)-Survey!$G2897</f>
        <v>1068.599624258964</v>
      </c>
      <c r="R2897" s="59">
        <f>Survey!$P2897+(Survey!$Q2897*0.433)</f>
        <v>2312.7036373041315</v>
      </c>
    </row>
    <row r="2898" spans="1:18" x14ac:dyDescent="0.25">
      <c r="A2898" s="71" t="s">
        <v>17</v>
      </c>
      <c r="B2898" s="72" t="s">
        <v>23</v>
      </c>
      <c r="C2898" s="73" t="s">
        <v>19</v>
      </c>
      <c r="D2898" s="74">
        <v>248.41369033335332</v>
      </c>
      <c r="E2898" s="81">
        <v>1342729</v>
      </c>
      <c r="F2898" s="82">
        <v>1312668.5098039238</v>
      </c>
      <c r="G2898" s="75">
        <v>2095.7021849996927</v>
      </c>
      <c r="H2898" s="76">
        <v>2</v>
      </c>
      <c r="I2898" s="54" t="s">
        <v>20</v>
      </c>
      <c r="J2898" s="77">
        <v>40</v>
      </c>
      <c r="K2898" s="78">
        <v>2</v>
      </c>
      <c r="L2898" s="54">
        <v>1</v>
      </c>
      <c r="M2898" s="54">
        <f>_xlfn.XLOOKUP(Survey!$F2898,sections[Start],sections[Test Section],,-1,1)</f>
        <v>8</v>
      </c>
      <c r="N2898" s="55">
        <f>_xlfn.XLOOKUP(Survey!$K2898,pipedata[ID],pipedata[WT])</f>
        <v>0.74</v>
      </c>
      <c r="O2898" s="56">
        <f>_xlfn.XLOOKUP(Survey!$K2898,pipedata[ID],pipedata[104%])</f>
        <v>2565.3333333333335</v>
      </c>
      <c r="P2898" s="57">
        <f t="shared" si="45"/>
        <v>1850</v>
      </c>
      <c r="Q2898" s="58">
        <f>_xlfn.MAXIFS(Survey!$G$2:$G$3647,Survey!$M$2:$M$3647,Survey!$M2898)-Survey!$G2898</f>
        <v>1092.0073078181772</v>
      </c>
      <c r="R2898" s="59">
        <f>Survey!$P2898+(Survey!$Q2898*0.433)</f>
        <v>2322.8391642852707</v>
      </c>
    </row>
    <row r="2899" spans="1:18" x14ac:dyDescent="0.25">
      <c r="A2899" s="60" t="s">
        <v>17</v>
      </c>
      <c r="B2899" s="61" t="s">
        <v>23</v>
      </c>
      <c r="C2899" s="62" t="s">
        <v>19</v>
      </c>
      <c r="D2899" s="63">
        <v>248.42020332326334</v>
      </c>
      <c r="E2899" s="79">
        <v>1342769</v>
      </c>
      <c r="F2899" s="80">
        <v>1312706.0784313749</v>
      </c>
      <c r="G2899" s="66">
        <v>2080.2277926147558</v>
      </c>
      <c r="H2899" s="67">
        <v>2</v>
      </c>
      <c r="I2899" s="68" t="s">
        <v>20</v>
      </c>
      <c r="J2899" s="69">
        <v>40</v>
      </c>
      <c r="K2899" s="70">
        <v>2</v>
      </c>
      <c r="L2899" s="68">
        <v>1</v>
      </c>
      <c r="M2899" s="68">
        <f>_xlfn.XLOOKUP(Survey!$F2899,sections[Start],sections[Test Section],,-1,1)</f>
        <v>8</v>
      </c>
      <c r="N2899" s="55">
        <f>_xlfn.XLOOKUP(Survey!$K2899,pipedata[ID],pipedata[WT])</f>
        <v>0.74</v>
      </c>
      <c r="O2899" s="56">
        <f>_xlfn.XLOOKUP(Survey!$K2899,pipedata[ID],pipedata[104%])</f>
        <v>2565.3333333333335</v>
      </c>
      <c r="P2899" s="57">
        <f t="shared" si="45"/>
        <v>1850</v>
      </c>
      <c r="Q2899" s="58">
        <f>_xlfn.MAXIFS(Survey!$G$2:$G$3647,Survey!$M$2:$M$3647,Survey!$M2899)-Survey!$G2899</f>
        <v>1107.4817002031141</v>
      </c>
      <c r="R2899" s="59">
        <f>Survey!$P2899+(Survey!$Q2899*0.433)</f>
        <v>2329.5395761879486</v>
      </c>
    </row>
    <row r="2900" spans="1:18" x14ac:dyDescent="0.25">
      <c r="A2900" s="71" t="s">
        <v>17</v>
      </c>
      <c r="B2900" s="72" t="s">
        <v>23</v>
      </c>
      <c r="C2900" s="73" t="s">
        <v>19</v>
      </c>
      <c r="D2900" s="74">
        <v>248.42695460578776</v>
      </c>
      <c r="E2900" s="81">
        <v>1342809</v>
      </c>
      <c r="F2900" s="82">
        <v>1312743.6470588259</v>
      </c>
      <c r="G2900" s="75">
        <v>2058.0060568357426</v>
      </c>
      <c r="H2900" s="76">
        <v>2</v>
      </c>
      <c r="I2900" s="54" t="s">
        <v>20</v>
      </c>
      <c r="J2900" s="77">
        <v>40</v>
      </c>
      <c r="K2900" s="78">
        <v>2</v>
      </c>
      <c r="L2900" s="54">
        <v>1</v>
      </c>
      <c r="M2900" s="54">
        <f>_xlfn.XLOOKUP(Survey!$F2900,sections[Start],sections[Test Section],,-1,1)</f>
        <v>8</v>
      </c>
      <c r="N2900" s="55">
        <f>_xlfn.XLOOKUP(Survey!$K2900,pipedata[ID],pipedata[WT])</f>
        <v>0.74</v>
      </c>
      <c r="O2900" s="56">
        <f>_xlfn.XLOOKUP(Survey!$K2900,pipedata[ID],pipedata[104%])</f>
        <v>2565.3333333333335</v>
      </c>
      <c r="P2900" s="57">
        <f t="shared" si="45"/>
        <v>1850</v>
      </c>
      <c r="Q2900" s="58">
        <f>_xlfn.MAXIFS(Survey!$G$2:$G$3647,Survey!$M$2:$M$3647,Survey!$M2900)-Survey!$G2900</f>
        <v>1129.7034359821273</v>
      </c>
      <c r="R2900" s="59">
        <f>Survey!$P2900+(Survey!$Q2900*0.433)</f>
        <v>2339.161587780261</v>
      </c>
    </row>
    <row r="2901" spans="1:18" x14ac:dyDescent="0.25">
      <c r="A2901" s="60" t="s">
        <v>17</v>
      </c>
      <c r="B2901" s="61" t="s">
        <v>23</v>
      </c>
      <c r="C2901" s="62" t="s">
        <v>19</v>
      </c>
      <c r="D2901" s="63">
        <v>248.43379163569639</v>
      </c>
      <c r="E2901" s="79">
        <v>1342849</v>
      </c>
      <c r="F2901" s="80">
        <v>1312781.215686277</v>
      </c>
      <c r="G2901" s="66">
        <v>2038.744148622375</v>
      </c>
      <c r="H2901" s="67">
        <v>2</v>
      </c>
      <c r="I2901" s="68" t="s">
        <v>20</v>
      </c>
      <c r="J2901" s="69">
        <v>40</v>
      </c>
      <c r="K2901" s="70">
        <v>2</v>
      </c>
      <c r="L2901" s="68">
        <v>1</v>
      </c>
      <c r="M2901" s="68">
        <f>_xlfn.XLOOKUP(Survey!$F2901,sections[Start],sections[Test Section],,-1,1)</f>
        <v>8</v>
      </c>
      <c r="N2901" s="55">
        <f>_xlfn.XLOOKUP(Survey!$K2901,pipedata[ID],pipedata[WT])</f>
        <v>0.74</v>
      </c>
      <c r="O2901" s="56">
        <f>_xlfn.XLOOKUP(Survey!$K2901,pipedata[ID],pipedata[104%])</f>
        <v>2565.3333333333335</v>
      </c>
      <c r="P2901" s="57">
        <f t="shared" si="45"/>
        <v>1850</v>
      </c>
      <c r="Q2901" s="58">
        <f>_xlfn.MAXIFS(Survey!$G$2:$G$3647,Survey!$M$2:$M$3647,Survey!$M2901)-Survey!$G2901</f>
        <v>1148.9653441954949</v>
      </c>
      <c r="R2901" s="59">
        <f>Survey!$P2901+(Survey!$Q2901*0.433)</f>
        <v>2347.5019940366492</v>
      </c>
    </row>
    <row r="2902" spans="1:18" x14ac:dyDescent="0.25">
      <c r="A2902" s="71" t="s">
        <v>17</v>
      </c>
      <c r="B2902" s="72" t="s">
        <v>23</v>
      </c>
      <c r="C2902" s="73" t="s">
        <v>19</v>
      </c>
      <c r="D2902" s="74">
        <v>248.44056331879909</v>
      </c>
      <c r="E2902" s="81">
        <v>1342889</v>
      </c>
      <c r="F2902" s="82">
        <v>1312818.7843137281</v>
      </c>
      <c r="G2902" s="75">
        <v>2020.2206124585159</v>
      </c>
      <c r="H2902" s="76">
        <v>2</v>
      </c>
      <c r="I2902" s="54" t="s">
        <v>20</v>
      </c>
      <c r="J2902" s="77">
        <v>40</v>
      </c>
      <c r="K2902" s="78">
        <v>2</v>
      </c>
      <c r="L2902" s="54">
        <v>1</v>
      </c>
      <c r="M2902" s="54">
        <f>_xlfn.XLOOKUP(Survey!$F2902,sections[Start],sections[Test Section],,-1,1)</f>
        <v>8</v>
      </c>
      <c r="N2902" s="55">
        <f>_xlfn.XLOOKUP(Survey!$K2902,pipedata[ID],pipedata[WT])</f>
        <v>0.74</v>
      </c>
      <c r="O2902" s="56">
        <f>_xlfn.XLOOKUP(Survey!$K2902,pipedata[ID],pipedata[104%])</f>
        <v>2565.3333333333335</v>
      </c>
      <c r="P2902" s="57">
        <f t="shared" si="45"/>
        <v>1850</v>
      </c>
      <c r="Q2902" s="58">
        <f>_xlfn.MAXIFS(Survey!$G$2:$G$3647,Survey!$M$2:$M$3647,Survey!$M2902)-Survey!$G2902</f>
        <v>1167.488880359354</v>
      </c>
      <c r="R2902" s="59">
        <f>Survey!$P2902+(Survey!$Q2902*0.433)</f>
        <v>2355.5226851956004</v>
      </c>
    </row>
    <row r="2903" spans="1:18" x14ac:dyDescent="0.25">
      <c r="A2903" s="60" t="s">
        <v>17</v>
      </c>
      <c r="B2903" s="61" t="s">
        <v>23</v>
      </c>
      <c r="C2903" s="62" t="s">
        <v>19</v>
      </c>
      <c r="D2903" s="63">
        <v>248.44705351640854</v>
      </c>
      <c r="E2903" s="79">
        <v>1342929</v>
      </c>
      <c r="F2903" s="80">
        <v>1312856.3529411792</v>
      </c>
      <c r="G2903" s="66">
        <v>2005.6463760825955</v>
      </c>
      <c r="H2903" s="67">
        <v>2</v>
      </c>
      <c r="I2903" s="68" t="s">
        <v>20</v>
      </c>
      <c r="J2903" s="69">
        <v>40</v>
      </c>
      <c r="K2903" s="70">
        <v>2</v>
      </c>
      <c r="L2903" s="68">
        <v>1</v>
      </c>
      <c r="M2903" s="68">
        <f>_xlfn.XLOOKUP(Survey!$F2903,sections[Start],sections[Test Section],,-1,1)</f>
        <v>8</v>
      </c>
      <c r="N2903" s="55">
        <f>_xlfn.XLOOKUP(Survey!$K2903,pipedata[ID],pipedata[WT])</f>
        <v>0.74</v>
      </c>
      <c r="O2903" s="56">
        <f>_xlfn.XLOOKUP(Survey!$K2903,pipedata[ID],pipedata[104%])</f>
        <v>2565.3333333333335</v>
      </c>
      <c r="P2903" s="57">
        <f t="shared" si="45"/>
        <v>1850</v>
      </c>
      <c r="Q2903" s="58">
        <f>_xlfn.MAXIFS(Survey!$G$2:$G$3647,Survey!$M$2:$M$3647,Survey!$M2903)-Survey!$G2903</f>
        <v>1182.0631167352744</v>
      </c>
      <c r="R2903" s="59">
        <f>Survey!$P2903+(Survey!$Q2903*0.433)</f>
        <v>2361.833329546374</v>
      </c>
    </row>
    <row r="2904" spans="1:18" x14ac:dyDescent="0.25">
      <c r="A2904" s="71" t="s">
        <v>17</v>
      </c>
      <c r="B2904" s="72" t="s">
        <v>23</v>
      </c>
      <c r="C2904" s="73" t="s">
        <v>19</v>
      </c>
      <c r="D2904" s="74">
        <v>248.45417203181043</v>
      </c>
      <c r="E2904" s="81">
        <v>1342969</v>
      </c>
      <c r="F2904" s="82">
        <v>1312893.9215686303</v>
      </c>
      <c r="G2904" s="75">
        <v>1997.9658608780001</v>
      </c>
      <c r="H2904" s="76">
        <v>2</v>
      </c>
      <c r="I2904" s="54" t="s">
        <v>20</v>
      </c>
      <c r="J2904" s="77">
        <v>40</v>
      </c>
      <c r="K2904" s="78">
        <v>2</v>
      </c>
      <c r="L2904" s="54">
        <v>1</v>
      </c>
      <c r="M2904" s="54">
        <f>_xlfn.XLOOKUP(Survey!$F2904,sections[Start],sections[Test Section],,-1,1)</f>
        <v>8</v>
      </c>
      <c r="N2904" s="55">
        <f>_xlfn.XLOOKUP(Survey!$K2904,pipedata[ID],pipedata[WT])</f>
        <v>0.74</v>
      </c>
      <c r="O2904" s="56">
        <f>_xlfn.XLOOKUP(Survey!$K2904,pipedata[ID],pipedata[104%])</f>
        <v>2565.3333333333335</v>
      </c>
      <c r="P2904" s="57">
        <f t="shared" si="45"/>
        <v>1850</v>
      </c>
      <c r="Q2904" s="58">
        <f>_xlfn.MAXIFS(Survey!$G$2:$G$3647,Survey!$M$2:$M$3647,Survey!$M2904)-Survey!$G2904</f>
        <v>1189.7436319398698</v>
      </c>
      <c r="R2904" s="59">
        <f>Survey!$P2904+(Survey!$Q2904*0.433)</f>
        <v>2365.1589926299639</v>
      </c>
    </row>
    <row r="2905" spans="1:18" x14ac:dyDescent="0.25">
      <c r="A2905" s="60" t="s">
        <v>17</v>
      </c>
      <c r="B2905" s="61" t="s">
        <v>23</v>
      </c>
      <c r="C2905" s="62" t="s">
        <v>19</v>
      </c>
      <c r="D2905" s="63">
        <v>248.46031539712081</v>
      </c>
      <c r="E2905" s="79">
        <v>1343009</v>
      </c>
      <c r="F2905" s="80">
        <v>1312931.4901960813</v>
      </c>
      <c r="G2905" s="66">
        <v>1989.2733543285094</v>
      </c>
      <c r="H2905" s="67">
        <v>2</v>
      </c>
      <c r="I2905" s="68" t="s">
        <v>20</v>
      </c>
      <c r="J2905" s="69">
        <v>40</v>
      </c>
      <c r="K2905" s="70">
        <v>2</v>
      </c>
      <c r="L2905" s="68">
        <v>1</v>
      </c>
      <c r="M2905" s="68">
        <f>_xlfn.XLOOKUP(Survey!$F2905,sections[Start],sections[Test Section],,-1,1)</f>
        <v>8</v>
      </c>
      <c r="N2905" s="55">
        <f>_xlfn.XLOOKUP(Survey!$K2905,pipedata[ID],pipedata[WT])</f>
        <v>0.74</v>
      </c>
      <c r="O2905" s="56">
        <f>_xlfn.XLOOKUP(Survey!$K2905,pipedata[ID],pipedata[104%])</f>
        <v>2565.3333333333335</v>
      </c>
      <c r="P2905" s="57">
        <f t="shared" si="45"/>
        <v>1850</v>
      </c>
      <c r="Q2905" s="58">
        <f>_xlfn.MAXIFS(Survey!$G$2:$G$3647,Survey!$M$2:$M$3647,Survey!$M2905)-Survey!$G2905</f>
        <v>1198.4361384893605</v>
      </c>
      <c r="R2905" s="59">
        <f>Survey!$P2905+(Survey!$Q2905*0.433)</f>
        <v>2368.9228479658932</v>
      </c>
    </row>
    <row r="2906" spans="1:18" x14ac:dyDescent="0.25">
      <c r="A2906" s="71" t="s">
        <v>17</v>
      </c>
      <c r="B2906" s="72" t="s">
        <v>23</v>
      </c>
      <c r="C2906" s="73" t="s">
        <v>19</v>
      </c>
      <c r="D2906" s="74">
        <v>248.46789361467063</v>
      </c>
      <c r="E2906" s="81">
        <v>1343049</v>
      </c>
      <c r="F2906" s="82">
        <v>1312969.0588235324</v>
      </c>
      <c r="G2906" s="75">
        <v>1978.8821341688586</v>
      </c>
      <c r="H2906" s="76">
        <v>2</v>
      </c>
      <c r="I2906" s="54" t="s">
        <v>20</v>
      </c>
      <c r="J2906" s="77">
        <v>40</v>
      </c>
      <c r="K2906" s="78">
        <v>2</v>
      </c>
      <c r="L2906" s="54">
        <v>1</v>
      </c>
      <c r="M2906" s="54">
        <f>_xlfn.XLOOKUP(Survey!$F2906,sections[Start],sections[Test Section],,-1,1)</f>
        <v>8</v>
      </c>
      <c r="N2906" s="55">
        <f>_xlfn.XLOOKUP(Survey!$K2906,pipedata[ID],pipedata[WT])</f>
        <v>0.74</v>
      </c>
      <c r="O2906" s="56">
        <f>_xlfn.XLOOKUP(Survey!$K2906,pipedata[ID],pipedata[104%])</f>
        <v>2565.3333333333335</v>
      </c>
      <c r="P2906" s="57">
        <f t="shared" si="45"/>
        <v>1850</v>
      </c>
      <c r="Q2906" s="58">
        <f>_xlfn.MAXIFS(Survey!$G$2:$G$3647,Survey!$M$2:$M$3647,Survey!$M2906)-Survey!$G2906</f>
        <v>1208.8273586490113</v>
      </c>
      <c r="R2906" s="59">
        <f>Survey!$P2906+(Survey!$Q2906*0.433)</f>
        <v>2373.422246295022</v>
      </c>
    </row>
    <row r="2907" spans="1:18" x14ac:dyDescent="0.25">
      <c r="A2907" s="60" t="s">
        <v>17</v>
      </c>
      <c r="B2907" s="61" t="s">
        <v>23</v>
      </c>
      <c r="C2907" s="62" t="s">
        <v>19</v>
      </c>
      <c r="D2907" s="63">
        <v>248.47555715225693</v>
      </c>
      <c r="E2907" s="79">
        <v>1343089</v>
      </c>
      <c r="F2907" s="80">
        <v>1313006.6274509835</v>
      </c>
      <c r="G2907" s="66">
        <v>1970.6099736688577</v>
      </c>
      <c r="H2907" s="67">
        <v>2</v>
      </c>
      <c r="I2907" s="68" t="s">
        <v>20</v>
      </c>
      <c r="J2907" s="69">
        <v>40</v>
      </c>
      <c r="K2907" s="70">
        <v>2</v>
      </c>
      <c r="L2907" s="68">
        <v>1</v>
      </c>
      <c r="M2907" s="68">
        <f>_xlfn.XLOOKUP(Survey!$F2907,sections[Start],sections[Test Section],,-1,1)</f>
        <v>8</v>
      </c>
      <c r="N2907" s="55">
        <f>_xlfn.XLOOKUP(Survey!$K2907,pipedata[ID],pipedata[WT])</f>
        <v>0.74</v>
      </c>
      <c r="O2907" s="56">
        <f>_xlfn.XLOOKUP(Survey!$K2907,pipedata[ID],pipedata[104%])</f>
        <v>2565.3333333333335</v>
      </c>
      <c r="P2907" s="57">
        <f t="shared" si="45"/>
        <v>1850</v>
      </c>
      <c r="Q2907" s="58">
        <f>_xlfn.MAXIFS(Survey!$G$2:$G$3647,Survey!$M$2:$M$3647,Survey!$M2907)-Survey!$G2907</f>
        <v>1217.0995191490122</v>
      </c>
      <c r="R2907" s="59">
        <f>Survey!$P2907+(Survey!$Q2907*0.433)</f>
        <v>2377.0040917915221</v>
      </c>
    </row>
    <row r="2908" spans="1:18" x14ac:dyDescent="0.25">
      <c r="A2908" s="71" t="s">
        <v>17</v>
      </c>
      <c r="B2908" s="72" t="s">
        <v>23</v>
      </c>
      <c r="C2908" s="73" t="s">
        <v>19</v>
      </c>
      <c r="D2908" s="74">
        <v>248.48333355969163</v>
      </c>
      <c r="E2908" s="81">
        <v>1343129</v>
      </c>
      <c r="F2908" s="82">
        <v>1313044.1960784346</v>
      </c>
      <c r="G2908" s="75">
        <v>1959.0448628370038</v>
      </c>
      <c r="H2908" s="76">
        <v>2</v>
      </c>
      <c r="I2908" s="54" t="s">
        <v>20</v>
      </c>
      <c r="J2908" s="77">
        <v>40</v>
      </c>
      <c r="K2908" s="78">
        <v>2</v>
      </c>
      <c r="L2908" s="54">
        <v>1</v>
      </c>
      <c r="M2908" s="54">
        <f>_xlfn.XLOOKUP(Survey!$F2908,sections[Start],sections[Test Section],,-1,1)</f>
        <v>8</v>
      </c>
      <c r="N2908" s="55">
        <f>_xlfn.XLOOKUP(Survey!$K2908,pipedata[ID],pipedata[WT])</f>
        <v>0.74</v>
      </c>
      <c r="O2908" s="56">
        <f>_xlfn.XLOOKUP(Survey!$K2908,pipedata[ID],pipedata[104%])</f>
        <v>2565.3333333333335</v>
      </c>
      <c r="P2908" s="57">
        <f t="shared" si="45"/>
        <v>1850</v>
      </c>
      <c r="Q2908" s="58">
        <f>_xlfn.MAXIFS(Survey!$G$2:$G$3647,Survey!$M$2:$M$3647,Survey!$M2908)-Survey!$G2908</f>
        <v>1228.664629980866</v>
      </c>
      <c r="R2908" s="59">
        <f>Survey!$P2908+(Survey!$Q2908*0.433)</f>
        <v>2382.0117847817151</v>
      </c>
    </row>
    <row r="2909" spans="1:18" x14ac:dyDescent="0.25">
      <c r="A2909" s="60" t="s">
        <v>17</v>
      </c>
      <c r="B2909" s="61" t="s">
        <v>23</v>
      </c>
      <c r="C2909" s="62" t="s">
        <v>19</v>
      </c>
      <c r="D2909" s="63">
        <v>248.49110996712662</v>
      </c>
      <c r="E2909" s="79">
        <v>1343169</v>
      </c>
      <c r="F2909" s="80">
        <v>1313081.7647058857</v>
      </c>
      <c r="G2909" s="66">
        <v>1943.3713050173596</v>
      </c>
      <c r="H2909" s="67">
        <v>2</v>
      </c>
      <c r="I2909" s="68" t="s">
        <v>20</v>
      </c>
      <c r="J2909" s="69">
        <v>40</v>
      </c>
      <c r="K2909" s="70">
        <v>2</v>
      </c>
      <c r="L2909" s="68">
        <v>1</v>
      </c>
      <c r="M2909" s="68">
        <f>_xlfn.XLOOKUP(Survey!$F2909,sections[Start],sections[Test Section],,-1,1)</f>
        <v>8</v>
      </c>
      <c r="N2909" s="55">
        <f>_xlfn.XLOOKUP(Survey!$K2909,pipedata[ID],pipedata[WT])</f>
        <v>0.74</v>
      </c>
      <c r="O2909" s="56">
        <f>_xlfn.XLOOKUP(Survey!$K2909,pipedata[ID],pipedata[104%])</f>
        <v>2565.3333333333335</v>
      </c>
      <c r="P2909" s="57">
        <f t="shared" si="45"/>
        <v>1850</v>
      </c>
      <c r="Q2909" s="58">
        <f>_xlfn.MAXIFS(Survey!$G$2:$G$3647,Survey!$M$2:$M$3647,Survey!$M2909)-Survey!$G2909</f>
        <v>1244.3381878005102</v>
      </c>
      <c r="R2909" s="59">
        <f>Survey!$P2909+(Survey!$Q2909*0.433)</f>
        <v>2388.7984353176207</v>
      </c>
    </row>
    <row r="2910" spans="1:18" x14ac:dyDescent="0.25">
      <c r="A2910" s="71" t="s">
        <v>17</v>
      </c>
      <c r="B2910" s="72" t="s">
        <v>23</v>
      </c>
      <c r="C2910" s="73" t="s">
        <v>19</v>
      </c>
      <c r="D2910" s="74">
        <v>248.4969422727026</v>
      </c>
      <c r="E2910" s="81">
        <v>1343209</v>
      </c>
      <c r="F2910" s="82">
        <v>1313119.3333333367</v>
      </c>
      <c r="G2910" s="75">
        <v>1930.1394285050555</v>
      </c>
      <c r="H2910" s="76">
        <v>2</v>
      </c>
      <c r="I2910" s="54" t="s">
        <v>20</v>
      </c>
      <c r="J2910" s="77">
        <v>40</v>
      </c>
      <c r="K2910" s="78">
        <v>2</v>
      </c>
      <c r="L2910" s="54">
        <v>1</v>
      </c>
      <c r="M2910" s="54">
        <f>_xlfn.XLOOKUP(Survey!$F2910,sections[Start],sections[Test Section],,-1,1)</f>
        <v>8</v>
      </c>
      <c r="N2910" s="55">
        <f>_xlfn.XLOOKUP(Survey!$K2910,pipedata[ID],pipedata[WT])</f>
        <v>0.74</v>
      </c>
      <c r="O2910" s="56">
        <f>_xlfn.XLOOKUP(Survey!$K2910,pipedata[ID],pipedata[104%])</f>
        <v>2565.3333333333335</v>
      </c>
      <c r="P2910" s="57">
        <f t="shared" si="45"/>
        <v>1850</v>
      </c>
      <c r="Q2910" s="58">
        <f>_xlfn.MAXIFS(Survey!$G$2:$G$3647,Survey!$M$2:$M$3647,Survey!$M2910)-Survey!$G2910</f>
        <v>1257.5700643128143</v>
      </c>
      <c r="R2910" s="59">
        <f>Survey!$P2910+(Survey!$Q2910*0.433)</f>
        <v>2394.5278378474486</v>
      </c>
    </row>
    <row r="2911" spans="1:18" x14ac:dyDescent="0.25">
      <c r="A2911" s="60" t="s">
        <v>17</v>
      </c>
      <c r="B2911" s="61" t="s">
        <v>23</v>
      </c>
      <c r="C2911" s="62" t="s">
        <v>19</v>
      </c>
      <c r="D2911" s="63">
        <v>248.5047186801379</v>
      </c>
      <c r="E2911" s="79">
        <v>1343249</v>
      </c>
      <c r="F2911" s="80">
        <v>1313156.9019607878</v>
      </c>
      <c r="G2911" s="66">
        <v>1919.0817482734449</v>
      </c>
      <c r="H2911" s="67">
        <v>2</v>
      </c>
      <c r="I2911" s="68" t="s">
        <v>20</v>
      </c>
      <c r="J2911" s="69">
        <v>40</v>
      </c>
      <c r="K2911" s="70">
        <v>2</v>
      </c>
      <c r="L2911" s="68">
        <v>1</v>
      </c>
      <c r="M2911" s="68">
        <f>_xlfn.XLOOKUP(Survey!$F2911,sections[Start],sections[Test Section],,-1,1)</f>
        <v>8</v>
      </c>
      <c r="N2911" s="55">
        <f>_xlfn.XLOOKUP(Survey!$K2911,pipedata[ID],pipedata[WT])</f>
        <v>0.74</v>
      </c>
      <c r="O2911" s="56">
        <f>_xlfn.XLOOKUP(Survey!$K2911,pipedata[ID],pipedata[104%])</f>
        <v>2565.3333333333335</v>
      </c>
      <c r="P2911" s="57">
        <f t="shared" si="45"/>
        <v>1850</v>
      </c>
      <c r="Q2911" s="58">
        <f>_xlfn.MAXIFS(Survey!$G$2:$G$3647,Survey!$M$2:$M$3647,Survey!$M2911)-Survey!$G2911</f>
        <v>1268.627744544425</v>
      </c>
      <c r="R2911" s="59">
        <f>Survey!$P2911+(Survey!$Q2911*0.433)</f>
        <v>2399.3158133877359</v>
      </c>
    </row>
    <row r="2912" spans="1:18" x14ac:dyDescent="0.25">
      <c r="A2912" s="71" t="s">
        <v>17</v>
      </c>
      <c r="B2912" s="72" t="s">
        <v>23</v>
      </c>
      <c r="C2912" s="73" t="s">
        <v>19</v>
      </c>
      <c r="D2912" s="74">
        <v>248.51146836558203</v>
      </c>
      <c r="E2912" s="81">
        <v>1343289</v>
      </c>
      <c r="F2912" s="82">
        <v>1313194.4705882389</v>
      </c>
      <c r="G2912" s="75">
        <v>1907.8060464505479</v>
      </c>
      <c r="H2912" s="76">
        <v>2</v>
      </c>
      <c r="I2912" s="54" t="s">
        <v>20</v>
      </c>
      <c r="J2912" s="77">
        <v>40</v>
      </c>
      <c r="K2912" s="78">
        <v>2</v>
      </c>
      <c r="L2912" s="54">
        <v>1</v>
      </c>
      <c r="M2912" s="54">
        <f>_xlfn.XLOOKUP(Survey!$F2912,sections[Start],sections[Test Section],,-1,1)</f>
        <v>8</v>
      </c>
      <c r="N2912" s="55">
        <f>_xlfn.XLOOKUP(Survey!$K2912,pipedata[ID],pipedata[WT])</f>
        <v>0.74</v>
      </c>
      <c r="O2912" s="56">
        <f>_xlfn.XLOOKUP(Survey!$K2912,pipedata[ID],pipedata[104%])</f>
        <v>2565.3333333333335</v>
      </c>
      <c r="P2912" s="57">
        <f t="shared" si="45"/>
        <v>1850</v>
      </c>
      <c r="Q2912" s="58">
        <f>_xlfn.MAXIFS(Survey!$G$2:$G$3647,Survey!$M$2:$M$3647,Survey!$M2912)-Survey!$G2912</f>
        <v>1279.903446367322</v>
      </c>
      <c r="R2912" s="59">
        <f>Survey!$P2912+(Survey!$Q2912*0.433)</f>
        <v>2404.1981922770506</v>
      </c>
    </row>
    <row r="2913" spans="1:18" x14ac:dyDescent="0.25">
      <c r="A2913" s="60" t="s">
        <v>17</v>
      </c>
      <c r="B2913" s="61" t="s">
        <v>23</v>
      </c>
      <c r="C2913" s="62" t="s">
        <v>19</v>
      </c>
      <c r="D2913" s="63">
        <v>248.51904658313185</v>
      </c>
      <c r="E2913" s="79">
        <v>1343329</v>
      </c>
      <c r="F2913" s="80">
        <v>1313232.03921569</v>
      </c>
      <c r="G2913" s="66">
        <v>1900.2263770860563</v>
      </c>
      <c r="H2913" s="67">
        <v>2</v>
      </c>
      <c r="I2913" s="68" t="s">
        <v>20</v>
      </c>
      <c r="J2913" s="69">
        <v>40</v>
      </c>
      <c r="K2913" s="70">
        <v>2</v>
      </c>
      <c r="L2913" s="68">
        <v>1</v>
      </c>
      <c r="M2913" s="68">
        <f>_xlfn.XLOOKUP(Survey!$F2913,sections[Start],sections[Test Section],,-1,1)</f>
        <v>8</v>
      </c>
      <c r="N2913" s="55">
        <f>_xlfn.XLOOKUP(Survey!$K2913,pipedata[ID],pipedata[WT])</f>
        <v>0.74</v>
      </c>
      <c r="O2913" s="56">
        <f>_xlfn.XLOOKUP(Survey!$K2913,pipedata[ID],pipedata[104%])</f>
        <v>2565.3333333333335</v>
      </c>
      <c r="P2913" s="57">
        <f t="shared" si="45"/>
        <v>1850</v>
      </c>
      <c r="Q2913" s="58">
        <f>_xlfn.MAXIFS(Survey!$G$2:$G$3647,Survey!$M$2:$M$3647,Survey!$M2913)-Survey!$G2913</f>
        <v>1287.4831157318135</v>
      </c>
      <c r="R2913" s="59">
        <f>Survey!$P2913+(Survey!$Q2913*0.433)</f>
        <v>2407.480189111875</v>
      </c>
    </row>
    <row r="2914" spans="1:18" x14ac:dyDescent="0.25">
      <c r="A2914" s="71" t="s">
        <v>17</v>
      </c>
      <c r="B2914" s="72" t="s">
        <v>23</v>
      </c>
      <c r="C2914" s="73" t="s">
        <v>19</v>
      </c>
      <c r="D2914" s="74">
        <v>248.52662480068167</v>
      </c>
      <c r="E2914" s="81">
        <v>1343369</v>
      </c>
      <c r="F2914" s="82">
        <v>1313269.6078431411</v>
      </c>
      <c r="G2914" s="75">
        <v>1888.204707088787</v>
      </c>
      <c r="H2914" s="76">
        <v>2</v>
      </c>
      <c r="I2914" s="54" t="s">
        <v>20</v>
      </c>
      <c r="J2914" s="77">
        <v>40</v>
      </c>
      <c r="K2914" s="78">
        <v>2</v>
      </c>
      <c r="L2914" s="54">
        <v>1</v>
      </c>
      <c r="M2914" s="54">
        <f>_xlfn.XLOOKUP(Survey!$F2914,sections[Start],sections[Test Section],,-1,1)</f>
        <v>8</v>
      </c>
      <c r="N2914" s="55">
        <f>_xlfn.XLOOKUP(Survey!$K2914,pipedata[ID],pipedata[WT])</f>
        <v>0.74</v>
      </c>
      <c r="O2914" s="56">
        <f>_xlfn.XLOOKUP(Survey!$K2914,pipedata[ID],pipedata[104%])</f>
        <v>2565.3333333333335</v>
      </c>
      <c r="P2914" s="57">
        <f t="shared" si="45"/>
        <v>1850</v>
      </c>
      <c r="Q2914" s="58">
        <f>_xlfn.MAXIFS(Survey!$G$2:$G$3647,Survey!$M$2:$M$3647,Survey!$M2914)-Survey!$G2914</f>
        <v>1299.5047857290829</v>
      </c>
      <c r="R2914" s="59">
        <f>Survey!$P2914+(Survey!$Q2914*0.433)</f>
        <v>2412.6855722206928</v>
      </c>
    </row>
    <row r="2915" spans="1:18" x14ac:dyDescent="0.25">
      <c r="A2915" s="60" t="s">
        <v>17</v>
      </c>
      <c r="B2915" s="61" t="s">
        <v>23</v>
      </c>
      <c r="C2915" s="62" t="s">
        <v>19</v>
      </c>
      <c r="D2915" s="63">
        <v>248.53422265738473</v>
      </c>
      <c r="E2915" s="79">
        <v>1343409</v>
      </c>
      <c r="F2915" s="80">
        <v>1313307.1764705922</v>
      </c>
      <c r="G2915" s="66">
        <v>1878.7564396347555</v>
      </c>
      <c r="H2915" s="67">
        <v>2</v>
      </c>
      <c r="I2915" s="68" t="s">
        <v>20</v>
      </c>
      <c r="J2915" s="69">
        <v>40</v>
      </c>
      <c r="K2915" s="70">
        <v>2</v>
      </c>
      <c r="L2915" s="68">
        <v>1</v>
      </c>
      <c r="M2915" s="68">
        <f>_xlfn.XLOOKUP(Survey!$F2915,sections[Start],sections[Test Section],,-1,1)</f>
        <v>8</v>
      </c>
      <c r="N2915" s="55">
        <f>_xlfn.XLOOKUP(Survey!$K2915,pipedata[ID],pipedata[WT])</f>
        <v>0.74</v>
      </c>
      <c r="O2915" s="56">
        <f>_xlfn.XLOOKUP(Survey!$K2915,pipedata[ID],pipedata[104%])</f>
        <v>2565.3333333333335</v>
      </c>
      <c r="P2915" s="57">
        <f t="shared" si="45"/>
        <v>1850</v>
      </c>
      <c r="Q2915" s="58">
        <f>_xlfn.MAXIFS(Survey!$G$2:$G$3647,Survey!$M$2:$M$3647,Survey!$M2915)-Survey!$G2915</f>
        <v>1308.9530531831144</v>
      </c>
      <c r="R2915" s="59">
        <f>Survey!$P2915+(Survey!$Q2915*0.433)</f>
        <v>2416.7766720282884</v>
      </c>
    </row>
    <row r="2916" spans="1:18" x14ac:dyDescent="0.25">
      <c r="A2916" s="71" t="s">
        <v>17</v>
      </c>
      <c r="B2916" s="72" t="s">
        <v>23</v>
      </c>
      <c r="C2916" s="73" t="s">
        <v>19</v>
      </c>
      <c r="D2916" s="74">
        <v>248.54010509740129</v>
      </c>
      <c r="E2916" s="81">
        <v>1343449</v>
      </c>
      <c r="F2916" s="82">
        <v>1313344.7450980432</v>
      </c>
      <c r="G2916" s="75">
        <v>1863.3355763778686</v>
      </c>
      <c r="H2916" s="76">
        <v>2</v>
      </c>
      <c r="I2916" s="54" t="s">
        <v>20</v>
      </c>
      <c r="J2916" s="77">
        <v>40</v>
      </c>
      <c r="K2916" s="78">
        <v>2</v>
      </c>
      <c r="L2916" s="54">
        <v>1</v>
      </c>
      <c r="M2916" s="54">
        <f>_xlfn.XLOOKUP(Survey!$F2916,sections[Start],sections[Test Section],,-1,1)</f>
        <v>8</v>
      </c>
      <c r="N2916" s="55">
        <f>_xlfn.XLOOKUP(Survey!$K2916,pipedata[ID],pipedata[WT])</f>
        <v>0.74</v>
      </c>
      <c r="O2916" s="56">
        <f>_xlfn.XLOOKUP(Survey!$K2916,pipedata[ID],pipedata[104%])</f>
        <v>2565.3333333333335</v>
      </c>
      <c r="P2916" s="57">
        <f t="shared" si="45"/>
        <v>1850</v>
      </c>
      <c r="Q2916" s="58">
        <f>_xlfn.MAXIFS(Survey!$G$2:$G$3647,Survey!$M$2:$M$3647,Survey!$M2916)-Survey!$G2916</f>
        <v>1324.3739164400013</v>
      </c>
      <c r="R2916" s="59">
        <f>Survey!$P2916+(Survey!$Q2916*0.433)</f>
        <v>2423.4539058185205</v>
      </c>
    </row>
    <row r="2917" spans="1:18" x14ac:dyDescent="0.25">
      <c r="A2917" s="60" t="s">
        <v>17</v>
      </c>
      <c r="B2917" s="61" t="s">
        <v>23</v>
      </c>
      <c r="C2917" s="62" t="s">
        <v>19</v>
      </c>
      <c r="D2917" s="63">
        <v>248.54794835075666</v>
      </c>
      <c r="E2917" s="64">
        <v>1343489</v>
      </c>
      <c r="F2917" s="65">
        <v>1313382.3137254943</v>
      </c>
      <c r="G2917" s="66">
        <v>1850.5335584579705</v>
      </c>
      <c r="H2917" s="67">
        <v>2</v>
      </c>
      <c r="I2917" s="68" t="s">
        <v>20</v>
      </c>
      <c r="J2917" s="69">
        <v>40</v>
      </c>
      <c r="K2917" s="70">
        <v>2</v>
      </c>
      <c r="L2917" s="68">
        <v>1</v>
      </c>
      <c r="M2917" s="68">
        <f>_xlfn.XLOOKUP(Survey!$F2917,sections[Start],sections[Test Section],,-1,1)</f>
        <v>8</v>
      </c>
      <c r="N2917" s="55">
        <f>_xlfn.XLOOKUP(Survey!$K2917,pipedata[ID],pipedata[WT])</f>
        <v>0.74</v>
      </c>
      <c r="O2917" s="56">
        <f>_xlfn.XLOOKUP(Survey!$K2917,pipedata[ID],pipedata[104%])</f>
        <v>2565.3333333333335</v>
      </c>
      <c r="P2917" s="57">
        <f t="shared" si="45"/>
        <v>1850</v>
      </c>
      <c r="Q2917" s="58">
        <f>_xlfn.MAXIFS(Survey!$G$2:$G$3647,Survey!$M$2:$M$3647,Survey!$M2917)-Survey!$G2917</f>
        <v>1337.1759343598994</v>
      </c>
      <c r="R2917" s="59">
        <f>Survey!$P2917+(Survey!$Q2917*0.433)</f>
        <v>2428.9971795778365</v>
      </c>
    </row>
    <row r="2918" spans="1:18" x14ac:dyDescent="0.25">
      <c r="A2918" s="71" t="s">
        <v>17</v>
      </c>
      <c r="B2918" s="72" t="s">
        <v>23</v>
      </c>
      <c r="C2918" s="73" t="s">
        <v>19</v>
      </c>
      <c r="D2918" s="74">
        <v>248.55579160411202</v>
      </c>
      <c r="E2918" s="64">
        <v>1343529</v>
      </c>
      <c r="F2918" s="65">
        <v>1313419.8823529454</v>
      </c>
      <c r="G2918" s="75">
        <v>1842.7667810732612</v>
      </c>
      <c r="H2918" s="76">
        <v>2</v>
      </c>
      <c r="I2918" s="54" t="s">
        <v>20</v>
      </c>
      <c r="J2918" s="77">
        <v>40</v>
      </c>
      <c r="K2918" s="78">
        <v>2</v>
      </c>
      <c r="L2918" s="54">
        <v>1</v>
      </c>
      <c r="M2918" s="54">
        <f>_xlfn.XLOOKUP(Survey!$F2918,sections[Start],sections[Test Section],,-1,1)</f>
        <v>8</v>
      </c>
      <c r="N2918" s="55">
        <f>_xlfn.XLOOKUP(Survey!$K2918,pipedata[ID],pipedata[WT])</f>
        <v>0.74</v>
      </c>
      <c r="O2918" s="56">
        <f>_xlfn.XLOOKUP(Survey!$K2918,pipedata[ID],pipedata[104%])</f>
        <v>2565.3333333333335</v>
      </c>
      <c r="P2918" s="57">
        <f t="shared" si="45"/>
        <v>1850</v>
      </c>
      <c r="Q2918" s="58">
        <f>_xlfn.MAXIFS(Survey!$G$2:$G$3647,Survey!$M$2:$M$3647,Survey!$M2918)-Survey!$G2918</f>
        <v>1344.9427117446087</v>
      </c>
      <c r="R2918" s="59">
        <f>Survey!$P2918+(Survey!$Q2918*0.433)</f>
        <v>2432.3601941854158</v>
      </c>
    </row>
    <row r="2919" spans="1:18" x14ac:dyDescent="0.25">
      <c r="A2919" s="60" t="s">
        <v>17</v>
      </c>
      <c r="B2919" s="61" t="s">
        <v>23</v>
      </c>
      <c r="C2919" s="62" t="s">
        <v>19</v>
      </c>
      <c r="D2919" s="63">
        <v>248.56167404412849</v>
      </c>
      <c r="E2919" s="79">
        <v>1343569</v>
      </c>
      <c r="F2919" s="80">
        <v>1313457.4509803965</v>
      </c>
      <c r="G2919" s="66">
        <v>1832.3711842320592</v>
      </c>
      <c r="H2919" s="67">
        <v>2</v>
      </c>
      <c r="I2919" s="68" t="s">
        <v>20</v>
      </c>
      <c r="J2919" s="69">
        <v>40</v>
      </c>
      <c r="K2919" s="70">
        <v>2</v>
      </c>
      <c r="L2919" s="68">
        <v>1</v>
      </c>
      <c r="M2919" s="68">
        <f>_xlfn.XLOOKUP(Survey!$F2919,sections[Start],sections[Test Section],,-1,1)</f>
        <v>8</v>
      </c>
      <c r="N2919" s="55">
        <f>_xlfn.XLOOKUP(Survey!$K2919,pipedata[ID],pipedata[WT])</f>
        <v>0.74</v>
      </c>
      <c r="O2919" s="56">
        <f>_xlfn.XLOOKUP(Survey!$K2919,pipedata[ID],pipedata[104%])</f>
        <v>2565.3333333333335</v>
      </c>
      <c r="P2919" s="57">
        <f t="shared" si="45"/>
        <v>1850</v>
      </c>
      <c r="Q2919" s="58">
        <f>_xlfn.MAXIFS(Survey!$G$2:$G$3647,Survey!$M$2:$M$3647,Survey!$M2919)-Survey!$G2919</f>
        <v>1355.3383085858106</v>
      </c>
      <c r="R2919" s="59">
        <f>Survey!$P2919+(Survey!$Q2919*0.433)</f>
        <v>2436.8614876176562</v>
      </c>
    </row>
    <row r="2920" spans="1:18" x14ac:dyDescent="0.25">
      <c r="A2920" s="71" t="s">
        <v>17</v>
      </c>
      <c r="B2920" s="72" t="s">
        <v>23</v>
      </c>
      <c r="C2920" s="73" t="s">
        <v>19</v>
      </c>
      <c r="D2920" s="74">
        <v>248.57011519810541</v>
      </c>
      <c r="E2920" s="81">
        <v>1343609</v>
      </c>
      <c r="F2920" s="82">
        <v>1313495.0196078476</v>
      </c>
      <c r="G2920" s="75">
        <v>1822.9570614904576</v>
      </c>
      <c r="H2920" s="76">
        <v>2</v>
      </c>
      <c r="I2920" s="54" t="s">
        <v>20</v>
      </c>
      <c r="J2920" s="77">
        <v>40</v>
      </c>
      <c r="K2920" s="78">
        <v>2</v>
      </c>
      <c r="L2920" s="54">
        <v>1</v>
      </c>
      <c r="M2920" s="54">
        <f>_xlfn.XLOOKUP(Survey!$F2920,sections[Start],sections[Test Section],,-1,1)</f>
        <v>8</v>
      </c>
      <c r="N2920" s="55">
        <f>_xlfn.XLOOKUP(Survey!$K2920,pipedata[ID],pipedata[WT])</f>
        <v>0.74</v>
      </c>
      <c r="O2920" s="56">
        <f>_xlfn.XLOOKUP(Survey!$K2920,pipedata[ID],pipedata[104%])</f>
        <v>2565.3333333333335</v>
      </c>
      <c r="P2920" s="57">
        <f t="shared" si="45"/>
        <v>1850</v>
      </c>
      <c r="Q2920" s="58">
        <f>_xlfn.MAXIFS(Survey!$G$2:$G$3647,Survey!$M$2:$M$3647,Survey!$M2920)-Survey!$G2920</f>
        <v>1364.7524313274123</v>
      </c>
      <c r="R2920" s="59">
        <f>Survey!$P2920+(Survey!$Q2920*0.433)</f>
        <v>2440.9378027647695</v>
      </c>
    </row>
    <row r="2921" spans="1:18" x14ac:dyDescent="0.25">
      <c r="A2921" s="60" t="s">
        <v>17</v>
      </c>
      <c r="B2921" s="61" t="s">
        <v>23</v>
      </c>
      <c r="C2921" s="62" t="s">
        <v>19</v>
      </c>
      <c r="D2921" s="63">
        <v>248.57742954571344</v>
      </c>
      <c r="E2921" s="79">
        <v>1343649</v>
      </c>
      <c r="F2921" s="80">
        <v>1313532.5882352986</v>
      </c>
      <c r="G2921" s="66">
        <v>1813.4373945037703</v>
      </c>
      <c r="H2921" s="67">
        <v>2</v>
      </c>
      <c r="I2921" s="68" t="s">
        <v>20</v>
      </c>
      <c r="J2921" s="69">
        <v>40</v>
      </c>
      <c r="K2921" s="70">
        <v>2</v>
      </c>
      <c r="L2921" s="68">
        <v>1</v>
      </c>
      <c r="M2921" s="68">
        <f>_xlfn.XLOOKUP(Survey!$F2921,sections[Start],sections[Test Section],,-1,1)</f>
        <v>8</v>
      </c>
      <c r="N2921" s="55">
        <f>_xlfn.XLOOKUP(Survey!$K2921,pipedata[ID],pipedata[WT])</f>
        <v>0.74</v>
      </c>
      <c r="O2921" s="56">
        <f>_xlfn.XLOOKUP(Survey!$K2921,pipedata[ID],pipedata[104%])</f>
        <v>2565.3333333333335</v>
      </c>
      <c r="P2921" s="57">
        <f t="shared" si="45"/>
        <v>1850</v>
      </c>
      <c r="Q2921" s="58">
        <f>_xlfn.MAXIFS(Survey!$G$2:$G$3647,Survey!$M$2:$M$3647,Survey!$M2921)-Survey!$G2921</f>
        <v>1374.2720983140996</v>
      </c>
      <c r="R2921" s="59">
        <f>Survey!$P2921+(Survey!$Q2921*0.433)</f>
        <v>2445.0598185700051</v>
      </c>
    </row>
    <row r="2922" spans="1:18" x14ac:dyDescent="0.25">
      <c r="A2922" s="71" t="s">
        <v>17</v>
      </c>
      <c r="B2922" s="72" t="s">
        <v>23</v>
      </c>
      <c r="C2922" s="73" t="s">
        <v>19</v>
      </c>
      <c r="D2922" s="74">
        <v>248.58474389332281</v>
      </c>
      <c r="E2922" s="81">
        <v>1343689</v>
      </c>
      <c r="F2922" s="82">
        <v>1313570.1568627497</v>
      </c>
      <c r="G2922" s="75">
        <v>1801.2331330419518</v>
      </c>
      <c r="H2922" s="76">
        <v>2</v>
      </c>
      <c r="I2922" s="54" t="s">
        <v>20</v>
      </c>
      <c r="J2922" s="77">
        <v>40</v>
      </c>
      <c r="K2922" s="78">
        <v>2</v>
      </c>
      <c r="L2922" s="54">
        <v>1</v>
      </c>
      <c r="M2922" s="54">
        <f>_xlfn.XLOOKUP(Survey!$F2922,sections[Start],sections[Test Section],,-1,1)</f>
        <v>8</v>
      </c>
      <c r="N2922" s="55">
        <f>_xlfn.XLOOKUP(Survey!$K2922,pipedata[ID],pipedata[WT])</f>
        <v>0.74</v>
      </c>
      <c r="O2922" s="56">
        <f>_xlfn.XLOOKUP(Survey!$K2922,pipedata[ID],pipedata[104%])</f>
        <v>2565.3333333333335</v>
      </c>
      <c r="P2922" s="57">
        <f t="shared" si="45"/>
        <v>1850</v>
      </c>
      <c r="Q2922" s="58">
        <f>_xlfn.MAXIFS(Survey!$G$2:$G$3647,Survey!$M$2:$M$3647,Survey!$M2922)-Survey!$G2922</f>
        <v>1386.4763597759181</v>
      </c>
      <c r="R2922" s="59">
        <f>Survey!$P2922+(Survey!$Q2922*0.433)</f>
        <v>2450.3442637829726</v>
      </c>
    </row>
    <row r="2923" spans="1:18" x14ac:dyDescent="0.25">
      <c r="A2923" s="60" t="s">
        <v>17</v>
      </c>
      <c r="B2923" s="61" t="s">
        <v>23</v>
      </c>
      <c r="C2923" s="62" t="s">
        <v>19</v>
      </c>
      <c r="D2923" s="63">
        <v>248.59205824093175</v>
      </c>
      <c r="E2923" s="79">
        <v>1343729</v>
      </c>
      <c r="F2923" s="80">
        <v>1313607.7254902008</v>
      </c>
      <c r="G2923" s="66">
        <v>1792.4440018900223</v>
      </c>
      <c r="H2923" s="67">
        <v>2</v>
      </c>
      <c r="I2923" s="68" t="s">
        <v>20</v>
      </c>
      <c r="J2923" s="69">
        <v>40</v>
      </c>
      <c r="K2923" s="70">
        <v>2</v>
      </c>
      <c r="L2923" s="68">
        <v>1</v>
      </c>
      <c r="M2923" s="68">
        <f>_xlfn.XLOOKUP(Survey!$F2923,sections[Start],sections[Test Section],,-1,1)</f>
        <v>8</v>
      </c>
      <c r="N2923" s="55">
        <f>_xlfn.XLOOKUP(Survey!$K2923,pipedata[ID],pipedata[WT])</f>
        <v>0.74</v>
      </c>
      <c r="O2923" s="56">
        <f>_xlfn.XLOOKUP(Survey!$K2923,pipedata[ID],pipedata[104%])</f>
        <v>2565.3333333333335</v>
      </c>
      <c r="P2923" s="57">
        <f t="shared" si="45"/>
        <v>1850</v>
      </c>
      <c r="Q2923" s="58">
        <f>_xlfn.MAXIFS(Survey!$G$2:$G$3647,Survey!$M$2:$M$3647,Survey!$M2923)-Survey!$G2923</f>
        <v>1395.2654909278476</v>
      </c>
      <c r="R2923" s="59">
        <f>Survey!$P2923+(Survey!$Q2923*0.433)</f>
        <v>2454.149957571758</v>
      </c>
    </row>
    <row r="2924" spans="1:18" x14ac:dyDescent="0.25">
      <c r="A2924" s="71" t="s">
        <v>17</v>
      </c>
      <c r="B2924" s="72" t="s">
        <v>23</v>
      </c>
      <c r="C2924" s="73" t="s">
        <v>19</v>
      </c>
      <c r="D2924" s="74">
        <v>248.59937258854234</v>
      </c>
      <c r="E2924" s="81">
        <v>1343769</v>
      </c>
      <c r="F2924" s="82">
        <v>1313645.2941176519</v>
      </c>
      <c r="G2924" s="75">
        <v>1783.9140653045026</v>
      </c>
      <c r="H2924" s="76">
        <v>2</v>
      </c>
      <c r="I2924" s="54" t="s">
        <v>20</v>
      </c>
      <c r="J2924" s="77">
        <v>40</v>
      </c>
      <c r="K2924" s="78">
        <v>2</v>
      </c>
      <c r="L2924" s="54">
        <v>1</v>
      </c>
      <c r="M2924" s="54">
        <f>_xlfn.XLOOKUP(Survey!$F2924,sections[Start],sections[Test Section],,-1,1)</f>
        <v>8</v>
      </c>
      <c r="N2924" s="55">
        <f>_xlfn.XLOOKUP(Survey!$K2924,pipedata[ID],pipedata[WT])</f>
        <v>0.74</v>
      </c>
      <c r="O2924" s="56">
        <f>_xlfn.XLOOKUP(Survey!$K2924,pipedata[ID],pipedata[104%])</f>
        <v>2565.3333333333335</v>
      </c>
      <c r="P2924" s="57">
        <f t="shared" si="45"/>
        <v>1850</v>
      </c>
      <c r="Q2924" s="58">
        <f>_xlfn.MAXIFS(Survey!$G$2:$G$3647,Survey!$M$2:$M$3647,Survey!$M2924)-Survey!$G2924</f>
        <v>1403.7954275133673</v>
      </c>
      <c r="R2924" s="59">
        <f>Survey!$P2924+(Survey!$Q2924*0.433)</f>
        <v>2457.8434201132882</v>
      </c>
    </row>
    <row r="2925" spans="1:18" x14ac:dyDescent="0.25">
      <c r="A2925" s="60" t="s">
        <v>17</v>
      </c>
      <c r="B2925" s="61" t="s">
        <v>23</v>
      </c>
      <c r="C2925" s="62" t="s">
        <v>19</v>
      </c>
      <c r="D2925" s="63">
        <v>248.60668693615293</v>
      </c>
      <c r="E2925" s="79">
        <v>1343809</v>
      </c>
      <c r="F2925" s="80">
        <v>1313682.862745103</v>
      </c>
      <c r="G2925" s="66">
        <v>1771.2791506618858</v>
      </c>
      <c r="H2925" s="67">
        <v>2</v>
      </c>
      <c r="I2925" s="68" t="s">
        <v>20</v>
      </c>
      <c r="J2925" s="69">
        <v>40</v>
      </c>
      <c r="K2925" s="70">
        <v>2</v>
      </c>
      <c r="L2925" s="68">
        <v>1</v>
      </c>
      <c r="M2925" s="68">
        <f>_xlfn.XLOOKUP(Survey!$F2925,sections[Start],sections[Test Section],,-1,1)</f>
        <v>8</v>
      </c>
      <c r="N2925" s="55">
        <f>_xlfn.XLOOKUP(Survey!$K2925,pipedata[ID],pipedata[WT])</f>
        <v>0.74</v>
      </c>
      <c r="O2925" s="56">
        <f>_xlfn.XLOOKUP(Survey!$K2925,pipedata[ID],pipedata[104%])</f>
        <v>2565.3333333333335</v>
      </c>
      <c r="P2925" s="57">
        <f t="shared" si="45"/>
        <v>1850</v>
      </c>
      <c r="Q2925" s="58">
        <f>_xlfn.MAXIFS(Survey!$G$2:$G$3647,Survey!$M$2:$M$3647,Survey!$M2925)-Survey!$G2925</f>
        <v>1416.4303421559841</v>
      </c>
      <c r="R2925" s="59">
        <f>Survey!$P2925+(Survey!$Q2925*0.433)</f>
        <v>2463.314338153541</v>
      </c>
    </row>
    <row r="2926" spans="1:18" x14ac:dyDescent="0.25">
      <c r="A2926" s="71" t="s">
        <v>17</v>
      </c>
      <c r="B2926" s="72" t="s">
        <v>23</v>
      </c>
      <c r="C2926" s="73" t="s">
        <v>19</v>
      </c>
      <c r="D2926" s="74">
        <v>248.61400128376354</v>
      </c>
      <c r="E2926" s="81">
        <v>1343849</v>
      </c>
      <c r="F2926" s="82">
        <v>1313720.431372554</v>
      </c>
      <c r="G2926" s="75">
        <v>1756.791824154064</v>
      </c>
      <c r="H2926" s="76">
        <v>2</v>
      </c>
      <c r="I2926" s="54" t="s">
        <v>20</v>
      </c>
      <c r="J2926" s="77">
        <v>42</v>
      </c>
      <c r="K2926" s="78">
        <v>2</v>
      </c>
      <c r="L2926" s="54">
        <v>1</v>
      </c>
      <c r="M2926" s="54">
        <f>_xlfn.XLOOKUP(Survey!$F2926,sections[Start],sections[Test Section],,-1,1)</f>
        <v>8</v>
      </c>
      <c r="N2926" s="55">
        <f>_xlfn.XLOOKUP(Survey!$K2926,pipedata[ID],pipedata[WT])</f>
        <v>0.74</v>
      </c>
      <c r="O2926" s="56">
        <f>_xlfn.XLOOKUP(Survey!$K2926,pipedata[ID],pipedata[104%])</f>
        <v>2565.3333333333335</v>
      </c>
      <c r="P2926" s="57">
        <f t="shared" si="45"/>
        <v>1850</v>
      </c>
      <c r="Q2926" s="58">
        <f>_xlfn.MAXIFS(Survey!$G$2:$G$3647,Survey!$M$2:$M$3647,Survey!$M2926)-Survey!$G2926</f>
        <v>1430.9176686638059</v>
      </c>
      <c r="R2926" s="59">
        <f>Survey!$P2926+(Survey!$Q2926*0.433)</f>
        <v>2469.587350531428</v>
      </c>
    </row>
    <row r="2927" spans="1:18" x14ac:dyDescent="0.25">
      <c r="A2927" s="60" t="s">
        <v>17</v>
      </c>
      <c r="B2927" s="61" t="s">
        <v>23</v>
      </c>
      <c r="C2927" s="62" t="s">
        <v>19</v>
      </c>
      <c r="D2927" s="63">
        <v>248.62131563137228</v>
      </c>
      <c r="E2927" s="79">
        <v>1343891</v>
      </c>
      <c r="F2927" s="80">
        <v>1313758</v>
      </c>
      <c r="G2927" s="66">
        <v>1748.1401451142208</v>
      </c>
      <c r="H2927" s="67">
        <v>2</v>
      </c>
      <c r="I2927" s="68" t="s">
        <v>21</v>
      </c>
      <c r="J2927" s="69">
        <v>40</v>
      </c>
      <c r="K2927" s="70">
        <v>4</v>
      </c>
      <c r="L2927" s="68">
        <v>1</v>
      </c>
      <c r="M2927" s="68">
        <f>_xlfn.XLOOKUP(Survey!$F2927,sections[Start],sections[Test Section],,-1,1)</f>
        <v>8</v>
      </c>
      <c r="N2927" s="55">
        <f>_xlfn.XLOOKUP(Survey!$K2927,pipedata[ID],pipedata[WT])</f>
        <v>0.74</v>
      </c>
      <c r="O2927" s="56">
        <f>_xlfn.XLOOKUP(Survey!$K2927,pipedata[ID],pipedata[104%])</f>
        <v>2565.3333333333335</v>
      </c>
      <c r="P2927" s="57">
        <f t="shared" si="45"/>
        <v>1850</v>
      </c>
      <c r="Q2927" s="58">
        <f>_xlfn.MAXIFS(Survey!$G$2:$G$3647,Survey!$M$2:$M$3647,Survey!$M2927)-Survey!$G2927</f>
        <v>1439.5693477036491</v>
      </c>
      <c r="R2927" s="59">
        <f>Survey!$P2927+(Survey!$Q2927*0.433)</f>
        <v>2473.3335275556801</v>
      </c>
    </row>
    <row r="2928" spans="1:18" x14ac:dyDescent="0.25">
      <c r="A2928" s="71" t="s">
        <v>17</v>
      </c>
      <c r="B2928" s="72" t="s">
        <v>23</v>
      </c>
      <c r="C2928" s="73" t="s">
        <v>19</v>
      </c>
      <c r="D2928" s="74">
        <v>248.62862997898171</v>
      </c>
      <c r="E2928" s="81">
        <v>1343931</v>
      </c>
      <c r="F2928" s="82">
        <v>1313798</v>
      </c>
      <c r="G2928" s="75">
        <v>1742.6308217598798</v>
      </c>
      <c r="H2928" s="76">
        <v>2</v>
      </c>
      <c r="I2928" s="54" t="s">
        <v>20</v>
      </c>
      <c r="J2928" s="77">
        <v>38</v>
      </c>
      <c r="K2928" s="78">
        <v>4</v>
      </c>
      <c r="L2928" s="54">
        <v>1</v>
      </c>
      <c r="M2928" s="54">
        <f>_xlfn.XLOOKUP(Survey!$F2928,sections[Start],sections[Test Section],,-1,1)</f>
        <v>8</v>
      </c>
      <c r="N2928" s="55">
        <f>_xlfn.XLOOKUP(Survey!$K2928,pipedata[ID],pipedata[WT])</f>
        <v>0.74</v>
      </c>
      <c r="O2928" s="56">
        <f>_xlfn.XLOOKUP(Survey!$K2928,pipedata[ID],pipedata[104%])</f>
        <v>2565.3333333333335</v>
      </c>
      <c r="P2928" s="57">
        <f t="shared" si="45"/>
        <v>1850</v>
      </c>
      <c r="Q2928" s="58">
        <f>_xlfn.MAXIFS(Survey!$G$2:$G$3647,Survey!$M$2:$M$3647,Survey!$M2928)-Survey!$G2928</f>
        <v>1445.0786710579901</v>
      </c>
      <c r="R2928" s="59">
        <f>Survey!$P2928+(Survey!$Q2928*0.433)</f>
        <v>2475.7190645681098</v>
      </c>
    </row>
    <row r="2929" spans="1:18" x14ac:dyDescent="0.25">
      <c r="A2929" s="60" t="s">
        <v>17</v>
      </c>
      <c r="B2929" s="61" t="s">
        <v>23</v>
      </c>
      <c r="C2929" s="62" t="s">
        <v>19</v>
      </c>
      <c r="D2929" s="63">
        <v>248.63594432658917</v>
      </c>
      <c r="E2929" s="79">
        <v>1343969</v>
      </c>
      <c r="F2929" s="80">
        <v>1313832.5</v>
      </c>
      <c r="G2929" s="66">
        <v>1738.0628675431838</v>
      </c>
      <c r="H2929" s="67">
        <v>2</v>
      </c>
      <c r="I2929" s="68" t="s">
        <v>20</v>
      </c>
      <c r="J2929" s="69">
        <v>40</v>
      </c>
      <c r="K2929" s="70">
        <v>2</v>
      </c>
      <c r="L2929" s="68">
        <v>1</v>
      </c>
      <c r="M2929" s="68">
        <f>_xlfn.XLOOKUP(Survey!$F2929,sections[Start],sections[Test Section],,-1,1)</f>
        <v>8</v>
      </c>
      <c r="N2929" s="55">
        <f>_xlfn.XLOOKUP(Survey!$K2929,pipedata[ID],pipedata[WT])</f>
        <v>0.74</v>
      </c>
      <c r="O2929" s="56">
        <f>_xlfn.XLOOKUP(Survey!$K2929,pipedata[ID],pipedata[104%])</f>
        <v>2565.3333333333335</v>
      </c>
      <c r="P2929" s="57">
        <f t="shared" si="45"/>
        <v>1850</v>
      </c>
      <c r="Q2929" s="58">
        <f>_xlfn.MAXIFS(Survey!$G$2:$G$3647,Survey!$M$2:$M$3647,Survey!$M2929)-Survey!$G2929</f>
        <v>1449.6466252746861</v>
      </c>
      <c r="R2929" s="59">
        <f>Survey!$P2929+(Survey!$Q2929*0.433)</f>
        <v>2477.6969887439391</v>
      </c>
    </row>
    <row r="2930" spans="1:18" x14ac:dyDescent="0.25">
      <c r="A2930" s="71" t="s">
        <v>17</v>
      </c>
      <c r="B2930" s="72" t="s">
        <v>23</v>
      </c>
      <c r="C2930" s="73" t="s">
        <v>19</v>
      </c>
      <c r="D2930" s="74">
        <v>248.64346617430593</v>
      </c>
      <c r="E2930" s="81">
        <v>1344009</v>
      </c>
      <c r="F2930" s="82">
        <v>1313867</v>
      </c>
      <c r="G2930" s="75">
        <v>1735.4253363271728</v>
      </c>
      <c r="H2930" s="76">
        <v>2</v>
      </c>
      <c r="I2930" s="54" t="s">
        <v>20</v>
      </c>
      <c r="J2930" s="77">
        <v>40</v>
      </c>
      <c r="K2930" s="78">
        <v>2</v>
      </c>
      <c r="L2930" s="54">
        <v>1</v>
      </c>
      <c r="M2930" s="54">
        <f>_xlfn.XLOOKUP(Survey!$F2930,sections[Start],sections[Test Section],,-1,1)</f>
        <v>8</v>
      </c>
      <c r="N2930" s="55">
        <f>_xlfn.XLOOKUP(Survey!$K2930,pipedata[ID],pipedata[WT])</f>
        <v>0.74</v>
      </c>
      <c r="O2930" s="56">
        <f>_xlfn.XLOOKUP(Survey!$K2930,pipedata[ID],pipedata[104%])</f>
        <v>2565.3333333333335</v>
      </c>
      <c r="P2930" s="57">
        <f t="shared" si="45"/>
        <v>1850</v>
      </c>
      <c r="Q2930" s="58">
        <f>_xlfn.MAXIFS(Survey!$G$2:$G$3647,Survey!$M$2:$M$3647,Survey!$M2930)-Survey!$G2930</f>
        <v>1452.2841564906971</v>
      </c>
      <c r="R2930" s="59">
        <f>Survey!$P2930+(Survey!$Q2930*0.433)</f>
        <v>2478.8390397604717</v>
      </c>
    </row>
    <row r="2931" spans="1:18" x14ac:dyDescent="0.25">
      <c r="A2931" s="60" t="s">
        <v>17</v>
      </c>
      <c r="B2931" s="61" t="s">
        <v>23</v>
      </c>
      <c r="C2931" s="62" t="s">
        <v>19</v>
      </c>
      <c r="D2931" s="63">
        <v>248.65125380151392</v>
      </c>
      <c r="E2931" s="79">
        <v>1344049</v>
      </c>
      <c r="F2931" s="80">
        <v>1313901.5</v>
      </c>
      <c r="G2931" s="66">
        <v>1732.2353020913201</v>
      </c>
      <c r="H2931" s="67">
        <v>2</v>
      </c>
      <c r="I2931" s="68" t="s">
        <v>20</v>
      </c>
      <c r="J2931" s="69">
        <v>40</v>
      </c>
      <c r="K2931" s="70">
        <v>2</v>
      </c>
      <c r="L2931" s="68">
        <v>1</v>
      </c>
      <c r="M2931" s="68">
        <f>_xlfn.XLOOKUP(Survey!$F2931,sections[Start],sections[Test Section],,-1,1)</f>
        <v>8</v>
      </c>
      <c r="N2931" s="55">
        <f>_xlfn.XLOOKUP(Survey!$K2931,pipedata[ID],pipedata[WT])</f>
        <v>0.74</v>
      </c>
      <c r="O2931" s="56">
        <f>_xlfn.XLOOKUP(Survey!$K2931,pipedata[ID],pipedata[104%])</f>
        <v>2565.3333333333335</v>
      </c>
      <c r="P2931" s="57">
        <f t="shared" si="45"/>
        <v>1850</v>
      </c>
      <c r="Q2931" s="58">
        <f>_xlfn.MAXIFS(Survey!$G$2:$G$3647,Survey!$M$2:$M$3647,Survey!$M2931)-Survey!$G2931</f>
        <v>1455.4741907265498</v>
      </c>
      <c r="R2931" s="59">
        <f>Survey!$P2931+(Survey!$Q2931*0.433)</f>
        <v>2480.2203245845958</v>
      </c>
    </row>
    <row r="2932" spans="1:18" x14ac:dyDescent="0.25">
      <c r="A2932" s="71" t="s">
        <v>17</v>
      </c>
      <c r="B2932" s="72" t="s">
        <v>23</v>
      </c>
      <c r="C2932" s="73" t="s">
        <v>19</v>
      </c>
      <c r="D2932" s="74">
        <v>248.65788736941724</v>
      </c>
      <c r="E2932" s="81">
        <v>1344089</v>
      </c>
      <c r="F2932" s="82">
        <v>1313936</v>
      </c>
      <c r="G2932" s="75">
        <v>1726.3248584879275</v>
      </c>
      <c r="H2932" s="76">
        <v>2</v>
      </c>
      <c r="I2932" s="54" t="s">
        <v>20</v>
      </c>
      <c r="J2932" s="77">
        <v>52</v>
      </c>
      <c r="K2932" s="78">
        <v>2</v>
      </c>
      <c r="L2932" s="54">
        <v>1</v>
      </c>
      <c r="M2932" s="54">
        <f>_xlfn.XLOOKUP(Survey!$F2932,sections[Start],sections[Test Section],,-1,1)</f>
        <v>8</v>
      </c>
      <c r="N2932" s="55">
        <f>_xlfn.XLOOKUP(Survey!$K2932,pipedata[ID],pipedata[WT])</f>
        <v>0.74</v>
      </c>
      <c r="O2932" s="56">
        <f>_xlfn.XLOOKUP(Survey!$K2932,pipedata[ID],pipedata[104%])</f>
        <v>2565.3333333333335</v>
      </c>
      <c r="P2932" s="57">
        <f t="shared" si="45"/>
        <v>1850</v>
      </c>
      <c r="Q2932" s="58">
        <f>_xlfn.MAXIFS(Survey!$G$2:$G$3647,Survey!$M$2:$M$3647,Survey!$M2932)-Survey!$G2932</f>
        <v>1461.3846343299424</v>
      </c>
      <c r="R2932" s="59">
        <f>Survey!$P2932+(Survey!$Q2932*0.433)</f>
        <v>2482.7795466648649</v>
      </c>
    </row>
    <row r="2933" spans="1:18" x14ac:dyDescent="0.25">
      <c r="A2933" s="60" t="s">
        <v>17</v>
      </c>
      <c r="B2933" s="61" t="s">
        <v>23</v>
      </c>
      <c r="C2933" s="62" t="s">
        <v>19</v>
      </c>
      <c r="D2933" s="63">
        <v>248.6652017170278</v>
      </c>
      <c r="E2933" s="79">
        <v>1344141</v>
      </c>
      <c r="F2933" s="80">
        <v>1314005</v>
      </c>
      <c r="G2933" s="66">
        <v>1713.4526531308795</v>
      </c>
      <c r="H2933" s="67">
        <v>2</v>
      </c>
      <c r="I2933" s="68" t="s">
        <v>21</v>
      </c>
      <c r="J2933" s="69">
        <v>40</v>
      </c>
      <c r="K2933" s="70">
        <v>4</v>
      </c>
      <c r="L2933" s="68">
        <v>1</v>
      </c>
      <c r="M2933" s="68">
        <f>_xlfn.XLOOKUP(Survey!$F2933,sections[Start],sections[Test Section],,-1,1)</f>
        <v>8</v>
      </c>
      <c r="N2933" s="55">
        <f>_xlfn.XLOOKUP(Survey!$K2933,pipedata[ID],pipedata[WT])</f>
        <v>0.74</v>
      </c>
      <c r="O2933" s="56">
        <f>_xlfn.XLOOKUP(Survey!$K2933,pipedata[ID],pipedata[104%])</f>
        <v>2565.3333333333335</v>
      </c>
      <c r="P2933" s="57">
        <f t="shared" si="45"/>
        <v>1850</v>
      </c>
      <c r="Q2933" s="58">
        <f>_xlfn.MAXIFS(Survey!$G$2:$G$3647,Survey!$M$2:$M$3647,Survey!$M2933)-Survey!$G2933</f>
        <v>1474.2568396869904</v>
      </c>
      <c r="R2933" s="59">
        <f>Survey!$P2933+(Survey!$Q2933*0.433)</f>
        <v>2488.3532115844669</v>
      </c>
    </row>
    <row r="2934" spans="1:18" x14ac:dyDescent="0.25">
      <c r="A2934" s="71" t="s">
        <v>17</v>
      </c>
      <c r="B2934" s="72" t="s">
        <v>23</v>
      </c>
      <c r="C2934" s="73" t="s">
        <v>19</v>
      </c>
      <c r="D2934" s="74">
        <v>248.67293507577577</v>
      </c>
      <c r="E2934" s="81">
        <v>1344181</v>
      </c>
      <c r="F2934" s="82">
        <v>1314045</v>
      </c>
      <c r="G2934" s="75">
        <v>1707.3105812721801</v>
      </c>
      <c r="H2934" s="76">
        <v>2</v>
      </c>
      <c r="I2934" s="54" t="s">
        <v>20</v>
      </c>
      <c r="J2934" s="77">
        <v>28</v>
      </c>
      <c r="K2934" s="78">
        <v>2</v>
      </c>
      <c r="L2934" s="54">
        <v>1</v>
      </c>
      <c r="M2934" s="54">
        <f>_xlfn.XLOOKUP(Survey!$F2934,sections[Start],sections[Test Section],,-1,1)</f>
        <v>8</v>
      </c>
      <c r="N2934" s="55">
        <f>_xlfn.XLOOKUP(Survey!$K2934,pipedata[ID],pipedata[WT])</f>
        <v>0.74</v>
      </c>
      <c r="O2934" s="56">
        <f>_xlfn.XLOOKUP(Survey!$K2934,pipedata[ID],pipedata[104%])</f>
        <v>2565.3333333333335</v>
      </c>
      <c r="P2934" s="57">
        <f t="shared" si="45"/>
        <v>1850</v>
      </c>
      <c r="Q2934" s="58">
        <f>_xlfn.MAXIFS(Survey!$G$2:$G$3647,Survey!$M$2:$M$3647,Survey!$M2934)-Survey!$G2934</f>
        <v>1480.3989115456898</v>
      </c>
      <c r="R2934" s="59">
        <f>Survey!$P2934+(Survey!$Q2934*0.433)</f>
        <v>2491.0127286992838</v>
      </c>
    </row>
    <row r="2935" spans="1:18" x14ac:dyDescent="0.25">
      <c r="A2935" s="60" t="s">
        <v>17</v>
      </c>
      <c r="B2935" s="61" t="s">
        <v>23</v>
      </c>
      <c r="C2935" s="62" t="s">
        <v>19</v>
      </c>
      <c r="D2935" s="63">
        <v>248.68097204890458</v>
      </c>
      <c r="E2935" s="79">
        <v>1344209</v>
      </c>
      <c r="F2935" s="80">
        <v>1314072.3333333333</v>
      </c>
      <c r="G2935" s="66">
        <v>1702.1212387076316</v>
      </c>
      <c r="H2935" s="67">
        <v>2</v>
      </c>
      <c r="I2935" s="68" t="s">
        <v>20</v>
      </c>
      <c r="J2935" s="69">
        <v>54</v>
      </c>
      <c r="K2935" s="70">
        <v>2</v>
      </c>
      <c r="L2935" s="68">
        <v>1</v>
      </c>
      <c r="M2935" s="68">
        <f>_xlfn.XLOOKUP(Survey!$F2935,sections[Start],sections[Test Section],,-1,1)</f>
        <v>8</v>
      </c>
      <c r="N2935" s="55">
        <f>_xlfn.XLOOKUP(Survey!$K2935,pipedata[ID],pipedata[WT])</f>
        <v>0.74</v>
      </c>
      <c r="O2935" s="56">
        <f>_xlfn.XLOOKUP(Survey!$K2935,pipedata[ID],pipedata[104%])</f>
        <v>2565.3333333333335</v>
      </c>
      <c r="P2935" s="57">
        <f t="shared" si="45"/>
        <v>1850</v>
      </c>
      <c r="Q2935" s="58">
        <f>_xlfn.MAXIFS(Survey!$G$2:$G$3647,Survey!$M$2:$M$3647,Survey!$M2935)-Survey!$G2935</f>
        <v>1485.5882541102383</v>
      </c>
      <c r="R2935" s="59">
        <f>Survey!$P2935+(Survey!$Q2935*0.433)</f>
        <v>2493.259714029733</v>
      </c>
    </row>
    <row r="2936" spans="1:18" x14ac:dyDescent="0.25">
      <c r="A2936" s="71" t="s">
        <v>17</v>
      </c>
      <c r="B2936" s="72" t="s">
        <v>23</v>
      </c>
      <c r="C2936" s="73" t="s">
        <v>19</v>
      </c>
      <c r="D2936" s="74">
        <v>248.68850925495244</v>
      </c>
      <c r="E2936" s="81">
        <v>1344263</v>
      </c>
      <c r="F2936" s="82">
        <v>1314127</v>
      </c>
      <c r="G2936" s="75">
        <v>1697.2772718879619</v>
      </c>
      <c r="H2936" s="76">
        <v>2</v>
      </c>
      <c r="I2936" s="54" t="s">
        <v>21</v>
      </c>
      <c r="J2936" s="77">
        <v>40</v>
      </c>
      <c r="K2936" s="78">
        <v>4</v>
      </c>
      <c r="L2936" s="54">
        <v>1</v>
      </c>
      <c r="M2936" s="54">
        <f>_xlfn.XLOOKUP(Survey!$F2936,sections[Start],sections[Test Section],,-1,1)</f>
        <v>8</v>
      </c>
      <c r="N2936" s="55">
        <f>_xlfn.XLOOKUP(Survey!$K2936,pipedata[ID],pipedata[WT])</f>
        <v>0.74</v>
      </c>
      <c r="O2936" s="56">
        <f>_xlfn.XLOOKUP(Survey!$K2936,pipedata[ID],pipedata[104%])</f>
        <v>2565.3333333333335</v>
      </c>
      <c r="P2936" s="57">
        <f t="shared" si="45"/>
        <v>1850</v>
      </c>
      <c r="Q2936" s="58">
        <f>_xlfn.MAXIFS(Survey!$G$2:$G$3647,Survey!$M$2:$M$3647,Survey!$M2936)-Survey!$G2936</f>
        <v>1490.432220929908</v>
      </c>
      <c r="R2936" s="59">
        <f>Survey!$P2936+(Survey!$Q2936*0.433)</f>
        <v>2495.3571516626503</v>
      </c>
    </row>
    <row r="2937" spans="1:18" x14ac:dyDescent="0.25">
      <c r="A2937" s="60" t="s">
        <v>17</v>
      </c>
      <c r="B2937" s="61" t="s">
        <v>23</v>
      </c>
      <c r="C2937" s="62" t="s">
        <v>19</v>
      </c>
      <c r="D2937" s="63">
        <v>248.69445910745958</v>
      </c>
      <c r="E2937" s="79">
        <v>1344303</v>
      </c>
      <c r="F2937" s="80">
        <v>1314167</v>
      </c>
      <c r="G2937" s="66">
        <v>1690.5339076379501</v>
      </c>
      <c r="H2937" s="67">
        <v>2</v>
      </c>
      <c r="I2937" s="68" t="s">
        <v>20</v>
      </c>
      <c r="J2937" s="69">
        <v>26</v>
      </c>
      <c r="K2937" s="70">
        <v>2</v>
      </c>
      <c r="L2937" s="68">
        <v>1</v>
      </c>
      <c r="M2937" s="68">
        <f>_xlfn.XLOOKUP(Survey!$F2937,sections[Start],sections[Test Section],,-1,1)</f>
        <v>8</v>
      </c>
      <c r="N2937" s="55">
        <f>_xlfn.XLOOKUP(Survey!$K2937,pipedata[ID],pipedata[WT])</f>
        <v>0.74</v>
      </c>
      <c r="O2937" s="56">
        <f>_xlfn.XLOOKUP(Survey!$K2937,pipedata[ID],pipedata[104%])</f>
        <v>2565.3333333333335</v>
      </c>
      <c r="P2937" s="57">
        <f t="shared" si="45"/>
        <v>1850</v>
      </c>
      <c r="Q2937" s="58">
        <f>_xlfn.MAXIFS(Survey!$G$2:$G$3647,Survey!$M$2:$M$3647,Survey!$M2937)-Survey!$G2937</f>
        <v>1497.1755851799198</v>
      </c>
      <c r="R2937" s="59">
        <f>Survey!$P2937+(Survey!$Q2937*0.433)</f>
        <v>2498.2770283829054</v>
      </c>
    </row>
    <row r="2938" spans="1:18" x14ac:dyDescent="0.25">
      <c r="A2938" s="71" t="s">
        <v>17</v>
      </c>
      <c r="B2938" s="72" t="s">
        <v>23</v>
      </c>
      <c r="C2938" s="73" t="s">
        <v>19</v>
      </c>
      <c r="D2938" s="74">
        <v>248.70240397724811</v>
      </c>
      <c r="E2938" s="81">
        <v>1344329</v>
      </c>
      <c r="F2938" s="82">
        <v>1314199</v>
      </c>
      <c r="G2938" s="75">
        <v>1685.8597180087679</v>
      </c>
      <c r="H2938" s="76">
        <v>2</v>
      </c>
      <c r="I2938" s="54" t="s">
        <v>20</v>
      </c>
      <c r="J2938" s="77">
        <v>40</v>
      </c>
      <c r="K2938" s="78">
        <v>2</v>
      </c>
      <c r="L2938" s="54">
        <v>1</v>
      </c>
      <c r="M2938" s="54">
        <f>_xlfn.XLOOKUP(Survey!$F2938,sections[Start],sections[Test Section],,-1,1)</f>
        <v>8</v>
      </c>
      <c r="N2938" s="55">
        <f>_xlfn.XLOOKUP(Survey!$K2938,pipedata[ID],pipedata[WT])</f>
        <v>0.74</v>
      </c>
      <c r="O2938" s="56">
        <f>_xlfn.XLOOKUP(Survey!$K2938,pipedata[ID],pipedata[104%])</f>
        <v>2565.3333333333335</v>
      </c>
      <c r="P2938" s="57">
        <f t="shared" si="45"/>
        <v>1850</v>
      </c>
      <c r="Q2938" s="58">
        <f>_xlfn.MAXIFS(Survey!$G$2:$G$3647,Survey!$M$2:$M$3647,Survey!$M2938)-Survey!$G2938</f>
        <v>1501.849774809102</v>
      </c>
      <c r="R2938" s="59">
        <f>Survey!$P2938+(Survey!$Q2938*0.433)</f>
        <v>2500.3009524923409</v>
      </c>
    </row>
    <row r="2939" spans="1:18" x14ac:dyDescent="0.25">
      <c r="A2939" s="60" t="s">
        <v>17</v>
      </c>
      <c r="B2939" s="61" t="s">
        <v>23</v>
      </c>
      <c r="C2939" s="62" t="s">
        <v>19</v>
      </c>
      <c r="D2939" s="63">
        <v>248.7099513222164</v>
      </c>
      <c r="E2939" s="79">
        <v>1344369</v>
      </c>
      <c r="F2939" s="80">
        <v>1314231</v>
      </c>
      <c r="G2939" s="66">
        <v>1679.8389102933863</v>
      </c>
      <c r="H2939" s="67">
        <v>2</v>
      </c>
      <c r="I2939" s="68" t="s">
        <v>20</v>
      </c>
      <c r="J2939" s="69">
        <v>40</v>
      </c>
      <c r="K2939" s="70">
        <v>2</v>
      </c>
      <c r="L2939" s="68">
        <v>1</v>
      </c>
      <c r="M2939" s="68">
        <f>_xlfn.XLOOKUP(Survey!$F2939,sections[Start],sections[Test Section],,-1,1)</f>
        <v>8</v>
      </c>
      <c r="N2939" s="55">
        <f>_xlfn.XLOOKUP(Survey!$K2939,pipedata[ID],pipedata[WT])</f>
        <v>0.74</v>
      </c>
      <c r="O2939" s="56">
        <f>_xlfn.XLOOKUP(Survey!$K2939,pipedata[ID],pipedata[104%])</f>
        <v>2565.3333333333335</v>
      </c>
      <c r="P2939" s="57">
        <f t="shared" si="45"/>
        <v>1850</v>
      </c>
      <c r="Q2939" s="58">
        <f>_xlfn.MAXIFS(Survey!$G$2:$G$3647,Survey!$M$2:$M$3647,Survey!$M2939)-Survey!$G2939</f>
        <v>1507.8705825244836</v>
      </c>
      <c r="R2939" s="59">
        <f>Survey!$P2939+(Survey!$Q2939*0.433)</f>
        <v>2502.9079622331014</v>
      </c>
    </row>
    <row r="2940" spans="1:18" x14ac:dyDescent="0.25">
      <c r="A2940" s="71" t="s">
        <v>17</v>
      </c>
      <c r="B2940" s="72" t="s">
        <v>23</v>
      </c>
      <c r="C2940" s="73" t="s">
        <v>19</v>
      </c>
      <c r="D2940" s="74">
        <v>248.71763213043667</v>
      </c>
      <c r="E2940" s="81">
        <v>1344409</v>
      </c>
      <c r="F2940" s="82">
        <v>1314263</v>
      </c>
      <c r="G2940" s="75">
        <v>1673.7894257809742</v>
      </c>
      <c r="H2940" s="76">
        <v>2</v>
      </c>
      <c r="I2940" s="54" t="s">
        <v>20</v>
      </c>
      <c r="J2940" s="77">
        <v>40</v>
      </c>
      <c r="K2940" s="78">
        <v>2</v>
      </c>
      <c r="L2940" s="54">
        <v>1</v>
      </c>
      <c r="M2940" s="54">
        <f>_xlfn.XLOOKUP(Survey!$F2940,sections[Start],sections[Test Section],,-1,1)</f>
        <v>8</v>
      </c>
      <c r="N2940" s="55">
        <f>_xlfn.XLOOKUP(Survey!$K2940,pipedata[ID],pipedata[WT])</f>
        <v>0.74</v>
      </c>
      <c r="O2940" s="56">
        <f>_xlfn.XLOOKUP(Survey!$K2940,pipedata[ID],pipedata[104%])</f>
        <v>2565.3333333333335</v>
      </c>
      <c r="P2940" s="57">
        <f t="shared" si="45"/>
        <v>1850</v>
      </c>
      <c r="Q2940" s="58">
        <f>_xlfn.MAXIFS(Survey!$G$2:$G$3647,Survey!$M$2:$M$3647,Survey!$M2940)-Survey!$G2940</f>
        <v>1513.9200670368957</v>
      </c>
      <c r="R2940" s="59">
        <f>Survey!$P2940+(Survey!$Q2940*0.433)</f>
        <v>2505.5273890269759</v>
      </c>
    </row>
    <row r="2941" spans="1:18" x14ac:dyDescent="0.25">
      <c r="A2941" s="60" t="s">
        <v>17</v>
      </c>
      <c r="B2941" s="61" t="s">
        <v>23</v>
      </c>
      <c r="C2941" s="62" t="s">
        <v>19</v>
      </c>
      <c r="D2941" s="63">
        <v>248.7260350390674</v>
      </c>
      <c r="E2941" s="79">
        <v>1344449</v>
      </c>
      <c r="F2941" s="80">
        <v>1314295</v>
      </c>
      <c r="G2941" s="66">
        <v>1667.899318410655</v>
      </c>
      <c r="H2941" s="67">
        <v>2</v>
      </c>
      <c r="I2941" s="68" t="s">
        <v>20</v>
      </c>
      <c r="J2941" s="69">
        <v>40</v>
      </c>
      <c r="K2941" s="70">
        <v>2</v>
      </c>
      <c r="L2941" s="68">
        <v>1</v>
      </c>
      <c r="M2941" s="68">
        <f>_xlfn.XLOOKUP(Survey!$F2941,sections[Start],sections[Test Section],,-1,1)</f>
        <v>8</v>
      </c>
      <c r="N2941" s="55">
        <f>_xlfn.XLOOKUP(Survey!$K2941,pipedata[ID],pipedata[WT])</f>
        <v>0.74</v>
      </c>
      <c r="O2941" s="56">
        <f>_xlfn.XLOOKUP(Survey!$K2941,pipedata[ID],pipedata[104%])</f>
        <v>2565.3333333333335</v>
      </c>
      <c r="P2941" s="57">
        <f t="shared" si="45"/>
        <v>1850</v>
      </c>
      <c r="Q2941" s="58">
        <f>_xlfn.MAXIFS(Survey!$G$2:$G$3647,Survey!$M$2:$M$3647,Survey!$M2941)-Survey!$G2941</f>
        <v>1519.8101744072148</v>
      </c>
      <c r="R2941" s="59">
        <f>Survey!$P2941+(Survey!$Q2941*0.433)</f>
        <v>2508.0778055183241</v>
      </c>
    </row>
    <row r="2942" spans="1:18" x14ac:dyDescent="0.25">
      <c r="A2942" s="71" t="s">
        <v>17</v>
      </c>
      <c r="B2942" s="72" t="s">
        <v>23</v>
      </c>
      <c r="C2942" s="73" t="s">
        <v>19</v>
      </c>
      <c r="D2942" s="74">
        <v>248.73299374687741</v>
      </c>
      <c r="E2942" s="81">
        <v>1344489</v>
      </c>
      <c r="F2942" s="82">
        <v>1314327</v>
      </c>
      <c r="G2942" s="75">
        <v>1661.3240397808111</v>
      </c>
      <c r="H2942" s="76">
        <v>2</v>
      </c>
      <c r="I2942" s="54" t="s">
        <v>20</v>
      </c>
      <c r="J2942" s="77">
        <v>40</v>
      </c>
      <c r="K2942" s="78">
        <v>2</v>
      </c>
      <c r="L2942" s="54">
        <v>1</v>
      </c>
      <c r="M2942" s="54">
        <f>_xlfn.XLOOKUP(Survey!$F2942,sections[Start],sections[Test Section],,-1,1)</f>
        <v>8</v>
      </c>
      <c r="N2942" s="55">
        <f>_xlfn.XLOOKUP(Survey!$K2942,pipedata[ID],pipedata[WT])</f>
        <v>0.74</v>
      </c>
      <c r="O2942" s="56">
        <f>_xlfn.XLOOKUP(Survey!$K2942,pipedata[ID],pipedata[104%])</f>
        <v>2565.3333333333335</v>
      </c>
      <c r="P2942" s="57">
        <f t="shared" si="45"/>
        <v>1850</v>
      </c>
      <c r="Q2942" s="58">
        <f>_xlfn.MAXIFS(Survey!$G$2:$G$3647,Survey!$M$2:$M$3647,Survey!$M2942)-Survey!$G2942</f>
        <v>1526.3854530370588</v>
      </c>
      <c r="R2942" s="59">
        <f>Survey!$P2942+(Survey!$Q2942*0.433)</f>
        <v>2510.9249011650463</v>
      </c>
    </row>
    <row r="2943" spans="1:18" x14ac:dyDescent="0.25">
      <c r="A2943" s="60" t="s">
        <v>17</v>
      </c>
      <c r="B2943" s="61" t="s">
        <v>23</v>
      </c>
      <c r="C2943" s="62" t="s">
        <v>19</v>
      </c>
      <c r="D2943" s="63">
        <v>248.7408424032341</v>
      </c>
      <c r="E2943" s="79">
        <v>1344529</v>
      </c>
      <c r="F2943" s="80">
        <v>1314359</v>
      </c>
      <c r="G2943" s="66">
        <v>1652.1825542379586</v>
      </c>
      <c r="H2943" s="67">
        <v>2</v>
      </c>
      <c r="I2943" s="68" t="s">
        <v>20</v>
      </c>
      <c r="J2943" s="69">
        <v>40</v>
      </c>
      <c r="K2943" s="70">
        <v>2</v>
      </c>
      <c r="L2943" s="68">
        <v>1</v>
      </c>
      <c r="M2943" s="68">
        <f>_xlfn.XLOOKUP(Survey!$F2943,sections[Start],sections[Test Section],,-1,1)</f>
        <v>8</v>
      </c>
      <c r="N2943" s="55">
        <f>_xlfn.XLOOKUP(Survey!$K2943,pipedata[ID],pipedata[WT])</f>
        <v>0.74</v>
      </c>
      <c r="O2943" s="56">
        <f>_xlfn.XLOOKUP(Survey!$K2943,pipedata[ID],pipedata[104%])</f>
        <v>2565.3333333333335</v>
      </c>
      <c r="P2943" s="57">
        <f t="shared" si="45"/>
        <v>1850</v>
      </c>
      <c r="Q2943" s="58">
        <f>_xlfn.MAXIFS(Survey!$G$2:$G$3647,Survey!$M$2:$M$3647,Survey!$M2943)-Survey!$G2943</f>
        <v>1535.5269385799113</v>
      </c>
      <c r="R2943" s="59">
        <f>Survey!$P2943+(Survey!$Q2943*0.433)</f>
        <v>2514.8831644051015</v>
      </c>
    </row>
    <row r="2944" spans="1:18" x14ac:dyDescent="0.25">
      <c r="A2944" s="71" t="s">
        <v>17</v>
      </c>
      <c r="B2944" s="72" t="s">
        <v>23</v>
      </c>
      <c r="C2944" s="73" t="s">
        <v>19</v>
      </c>
      <c r="D2944" s="74">
        <v>248.74742345397519</v>
      </c>
      <c r="E2944" s="81">
        <v>1344569</v>
      </c>
      <c r="F2944" s="82">
        <v>1314391</v>
      </c>
      <c r="G2944" s="75">
        <v>1642.0328761996311</v>
      </c>
      <c r="H2944" s="76">
        <v>2</v>
      </c>
      <c r="I2944" s="54" t="s">
        <v>20</v>
      </c>
      <c r="J2944" s="77">
        <v>40</v>
      </c>
      <c r="K2944" s="78">
        <v>2</v>
      </c>
      <c r="L2944" s="54">
        <v>1</v>
      </c>
      <c r="M2944" s="54">
        <f>_xlfn.XLOOKUP(Survey!$F2944,sections[Start],sections[Test Section],,-1,1)</f>
        <v>8</v>
      </c>
      <c r="N2944" s="55">
        <f>_xlfn.XLOOKUP(Survey!$K2944,pipedata[ID],pipedata[WT])</f>
        <v>0.74</v>
      </c>
      <c r="O2944" s="56">
        <f>_xlfn.XLOOKUP(Survey!$K2944,pipedata[ID],pipedata[104%])</f>
        <v>2565.3333333333335</v>
      </c>
      <c r="P2944" s="57">
        <f t="shared" si="45"/>
        <v>1850</v>
      </c>
      <c r="Q2944" s="58">
        <f>_xlfn.MAXIFS(Survey!$G$2:$G$3647,Survey!$M$2:$M$3647,Survey!$M2944)-Survey!$G2944</f>
        <v>1545.6766166182388</v>
      </c>
      <c r="R2944" s="59">
        <f>Survey!$P2944+(Survey!$Q2944*0.433)</f>
        <v>2519.2779749956972</v>
      </c>
    </row>
    <row r="2945" spans="1:18" x14ac:dyDescent="0.25">
      <c r="A2945" s="60" t="s">
        <v>17</v>
      </c>
      <c r="B2945" s="61" t="s">
        <v>23</v>
      </c>
      <c r="C2945" s="62" t="s">
        <v>19</v>
      </c>
      <c r="D2945" s="63">
        <v>248.75411596948305</v>
      </c>
      <c r="E2945" s="79">
        <v>1344609</v>
      </c>
      <c r="F2945" s="80">
        <v>1314423</v>
      </c>
      <c r="G2945" s="66">
        <v>1634.1426530221515</v>
      </c>
      <c r="H2945" s="67">
        <v>2</v>
      </c>
      <c r="I2945" s="68" t="s">
        <v>20</v>
      </c>
      <c r="J2945" s="69">
        <v>40</v>
      </c>
      <c r="K2945" s="70">
        <v>2</v>
      </c>
      <c r="L2945" s="68">
        <v>1</v>
      </c>
      <c r="M2945" s="68">
        <f>_xlfn.XLOOKUP(Survey!$F2945,sections[Start],sections[Test Section],,-1,1)</f>
        <v>8</v>
      </c>
      <c r="N2945" s="55">
        <f>_xlfn.XLOOKUP(Survey!$K2945,pipedata[ID],pipedata[WT])</f>
        <v>0.74</v>
      </c>
      <c r="O2945" s="56">
        <f>_xlfn.XLOOKUP(Survey!$K2945,pipedata[ID],pipedata[104%])</f>
        <v>2565.3333333333335</v>
      </c>
      <c r="P2945" s="57">
        <f t="shared" si="45"/>
        <v>1850</v>
      </c>
      <c r="Q2945" s="58">
        <f>_xlfn.MAXIFS(Survey!$G$2:$G$3647,Survey!$M$2:$M$3647,Survey!$M2945)-Survey!$G2945</f>
        <v>1553.5668397957184</v>
      </c>
      <c r="R2945" s="59">
        <f>Survey!$P2945+(Survey!$Q2945*0.433)</f>
        <v>2522.6944416315459</v>
      </c>
    </row>
    <row r="2946" spans="1:18" x14ac:dyDescent="0.25">
      <c r="A2946" s="71" t="s">
        <v>17</v>
      </c>
      <c r="B2946" s="72" t="s">
        <v>23</v>
      </c>
      <c r="C2946" s="73" t="s">
        <v>19</v>
      </c>
      <c r="D2946" s="74">
        <v>248.76223081814214</v>
      </c>
      <c r="E2946" s="81">
        <v>1344649</v>
      </c>
      <c r="F2946" s="82">
        <v>1314455</v>
      </c>
      <c r="G2946" s="75">
        <v>1622.5323007137201</v>
      </c>
      <c r="H2946" s="76">
        <v>2</v>
      </c>
      <c r="I2946" s="54" t="s">
        <v>20</v>
      </c>
      <c r="J2946" s="77">
        <v>40</v>
      </c>
      <c r="K2946" s="78">
        <v>2</v>
      </c>
      <c r="L2946" s="54">
        <v>1</v>
      </c>
      <c r="M2946" s="54">
        <f>_xlfn.XLOOKUP(Survey!$F2946,sections[Start],sections[Test Section],,-1,1)</f>
        <v>8</v>
      </c>
      <c r="N2946" s="55">
        <f>_xlfn.XLOOKUP(Survey!$K2946,pipedata[ID],pipedata[WT])</f>
        <v>0.74</v>
      </c>
      <c r="O2946" s="56">
        <f>_xlfn.XLOOKUP(Survey!$K2946,pipedata[ID],pipedata[104%])</f>
        <v>2565.3333333333335</v>
      </c>
      <c r="P2946" s="57">
        <f t="shared" ref="P2946:P3009" si="46">IF(L2946=1,1850,IF(L2946=2,1850,2220))</f>
        <v>1850</v>
      </c>
      <c r="Q2946" s="58">
        <f>_xlfn.MAXIFS(Survey!$G$2:$G$3647,Survey!$M$2:$M$3647,Survey!$M2946)-Survey!$G2946</f>
        <v>1565.1771921041498</v>
      </c>
      <c r="R2946" s="59">
        <f>Survey!$P2946+(Survey!$Q2946*0.433)</f>
        <v>2527.7217241810968</v>
      </c>
    </row>
    <row r="2947" spans="1:18" x14ac:dyDescent="0.25">
      <c r="A2947" s="60" t="s">
        <v>17</v>
      </c>
      <c r="B2947" s="61" t="s">
        <v>23</v>
      </c>
      <c r="C2947" s="62" t="s">
        <v>19</v>
      </c>
      <c r="D2947" s="63">
        <v>248.76960348456473</v>
      </c>
      <c r="E2947" s="79">
        <v>1344689</v>
      </c>
      <c r="F2947" s="80">
        <v>1314487</v>
      </c>
      <c r="G2947" s="66">
        <v>1615.0421387668043</v>
      </c>
      <c r="H2947" s="67">
        <v>2</v>
      </c>
      <c r="I2947" s="68" t="s">
        <v>20</v>
      </c>
      <c r="J2947" s="69">
        <v>8</v>
      </c>
      <c r="K2947" s="70">
        <v>2</v>
      </c>
      <c r="L2947" s="68">
        <v>1</v>
      </c>
      <c r="M2947" s="68">
        <f>_xlfn.XLOOKUP(Survey!$F2947,sections[Start],sections[Test Section],,-1,1)</f>
        <v>8</v>
      </c>
      <c r="N2947" s="55">
        <f>_xlfn.XLOOKUP(Survey!$K2947,pipedata[ID],pipedata[WT])</f>
        <v>0.74</v>
      </c>
      <c r="O2947" s="56">
        <f>_xlfn.XLOOKUP(Survey!$K2947,pipedata[ID],pipedata[104%])</f>
        <v>2565.3333333333335</v>
      </c>
      <c r="P2947" s="57">
        <f t="shared" si="46"/>
        <v>1850</v>
      </c>
      <c r="Q2947" s="58">
        <f>_xlfn.MAXIFS(Survey!$G$2:$G$3647,Survey!$M$2:$M$3647,Survey!$M2947)-Survey!$G2947</f>
        <v>1572.6673540510656</v>
      </c>
      <c r="R2947" s="59">
        <f>Survey!$P2947+(Survey!$Q2947*0.433)</f>
        <v>2530.9649643041112</v>
      </c>
    </row>
    <row r="2948" spans="1:18" x14ac:dyDescent="0.25">
      <c r="A2948" s="71" t="s">
        <v>17</v>
      </c>
      <c r="B2948" s="72" t="s">
        <v>23</v>
      </c>
      <c r="C2948" s="73" t="s">
        <v>19</v>
      </c>
      <c r="D2948" s="74">
        <v>248.77731045534068</v>
      </c>
      <c r="E2948" s="81">
        <v>1344697</v>
      </c>
      <c r="F2948" s="82">
        <v>1314551</v>
      </c>
      <c r="G2948" s="75">
        <v>1606.0119186897168</v>
      </c>
      <c r="H2948" s="76">
        <v>3</v>
      </c>
      <c r="I2948" s="54" t="s">
        <v>20</v>
      </c>
      <c r="J2948" s="77">
        <v>72</v>
      </c>
      <c r="K2948" s="78">
        <v>3</v>
      </c>
      <c r="L2948" s="54">
        <v>1</v>
      </c>
      <c r="M2948" s="54">
        <f>_xlfn.XLOOKUP(Survey!$F2948,sections[Start],sections[Test Section],,-1,1)</f>
        <v>8</v>
      </c>
      <c r="N2948" s="55">
        <f>_xlfn.XLOOKUP(Survey!$K2948,pipedata[ID],pipedata[WT])</f>
        <v>0.88800000000000001</v>
      </c>
      <c r="O2948" s="56">
        <f>_xlfn.XLOOKUP(Survey!$K2948,pipedata[ID],pipedata[104%])</f>
        <v>3078.4</v>
      </c>
      <c r="P2948" s="57">
        <f t="shared" si="46"/>
        <v>1850</v>
      </c>
      <c r="Q2948" s="58">
        <f>_xlfn.MAXIFS(Survey!$G$2:$G$3647,Survey!$M$2:$M$3647,Survey!$M2948)-Survey!$G2948</f>
        <v>1581.6975741281531</v>
      </c>
      <c r="R2948" s="59">
        <f>Survey!$P2948+(Survey!$Q2948*0.433)</f>
        <v>2534.87504959749</v>
      </c>
    </row>
    <row r="2949" spans="1:18" x14ac:dyDescent="0.25">
      <c r="A2949" s="60" t="s">
        <v>17</v>
      </c>
      <c r="B2949" s="61" t="s">
        <v>23</v>
      </c>
      <c r="C2949" s="62" t="s">
        <v>19</v>
      </c>
      <c r="D2949" s="63">
        <v>248.78449305969534</v>
      </c>
      <c r="E2949" s="79">
        <v>1344769</v>
      </c>
      <c r="F2949" s="80">
        <v>1314593.5</v>
      </c>
      <c r="G2949" s="66">
        <v>1595.2983599096408</v>
      </c>
      <c r="H2949" s="67">
        <v>3</v>
      </c>
      <c r="I2949" s="68" t="s">
        <v>20</v>
      </c>
      <c r="J2949" s="69">
        <v>13</v>
      </c>
      <c r="K2949" s="70">
        <v>3</v>
      </c>
      <c r="L2949" s="68">
        <v>1</v>
      </c>
      <c r="M2949" s="68">
        <f>_xlfn.XLOOKUP(Survey!$F2949,sections[Start],sections[Test Section],,-1,1)</f>
        <v>8</v>
      </c>
      <c r="N2949" s="55">
        <f>_xlfn.XLOOKUP(Survey!$K2949,pipedata[ID],pipedata[WT])</f>
        <v>0.88800000000000001</v>
      </c>
      <c r="O2949" s="56">
        <f>_xlfn.XLOOKUP(Survey!$K2949,pipedata[ID],pipedata[104%])</f>
        <v>3078.4</v>
      </c>
      <c r="P2949" s="57">
        <f t="shared" si="46"/>
        <v>1850</v>
      </c>
      <c r="Q2949" s="58">
        <f>_xlfn.MAXIFS(Survey!$G$2:$G$3647,Survey!$M$2:$M$3647,Survey!$M2949)-Survey!$G2949</f>
        <v>1592.4111329082291</v>
      </c>
      <c r="R2949" s="59">
        <f>Survey!$P2949+(Survey!$Q2949*0.433)</f>
        <v>2539.514020549263</v>
      </c>
    </row>
    <row r="2950" spans="1:18" x14ac:dyDescent="0.25">
      <c r="A2950" s="71" t="s">
        <v>17</v>
      </c>
      <c r="B2950" s="72" t="s">
        <v>23</v>
      </c>
      <c r="C2950" s="73" t="s">
        <v>19</v>
      </c>
      <c r="D2950" s="74">
        <v>248.79157455646325</v>
      </c>
      <c r="E2950" s="81">
        <v>1344782</v>
      </c>
      <c r="F2950" s="82">
        <v>1314636</v>
      </c>
      <c r="G2950" s="75">
        <v>1587.4639165256795</v>
      </c>
      <c r="H2950" s="76">
        <v>3</v>
      </c>
      <c r="I2950" s="54" t="s">
        <v>21</v>
      </c>
      <c r="J2950" s="77">
        <v>40</v>
      </c>
      <c r="K2950" s="78">
        <v>5</v>
      </c>
      <c r="L2950" s="54">
        <v>1</v>
      </c>
      <c r="M2950" s="54">
        <f>_xlfn.XLOOKUP(Survey!$F2950,sections[Start],sections[Test Section],,-1,1)</f>
        <v>8</v>
      </c>
      <c r="N2950" s="55">
        <f>_xlfn.XLOOKUP(Survey!$K2950,pipedata[ID],pipedata[WT])</f>
        <v>0.88800000000000001</v>
      </c>
      <c r="O2950" s="56">
        <f>_xlfn.XLOOKUP(Survey!$K2950,pipedata[ID],pipedata[104%])</f>
        <v>3078.4</v>
      </c>
      <c r="P2950" s="57">
        <f t="shared" si="46"/>
        <v>1850</v>
      </c>
      <c r="Q2950" s="58">
        <f>_xlfn.MAXIFS(Survey!$G$2:$G$3647,Survey!$M$2:$M$3647,Survey!$M2950)-Survey!$G2950</f>
        <v>1600.2455762921904</v>
      </c>
      <c r="R2950" s="59">
        <f>Survey!$P2950+(Survey!$Q2950*0.433)</f>
        <v>2542.9063345345185</v>
      </c>
    </row>
    <row r="2951" spans="1:18" x14ac:dyDescent="0.25">
      <c r="A2951" s="60" t="s">
        <v>17</v>
      </c>
      <c r="B2951" s="61" t="s">
        <v>23</v>
      </c>
      <c r="C2951" s="62" t="s">
        <v>19</v>
      </c>
      <c r="D2951" s="63">
        <v>248.79931389351293</v>
      </c>
      <c r="E2951" s="79">
        <v>1344822</v>
      </c>
      <c r="F2951" s="80">
        <v>1314676</v>
      </c>
      <c r="G2951" s="66">
        <v>1586.9587739968472</v>
      </c>
      <c r="H2951" s="67">
        <v>3</v>
      </c>
      <c r="I2951" s="68" t="s">
        <v>20</v>
      </c>
      <c r="J2951" s="69">
        <v>67</v>
      </c>
      <c r="K2951" s="70">
        <v>3</v>
      </c>
      <c r="L2951" s="68">
        <v>1</v>
      </c>
      <c r="M2951" s="68">
        <f>_xlfn.XLOOKUP(Survey!$F2951,sections[Start],sections[Test Section],,-1,1)</f>
        <v>8</v>
      </c>
      <c r="N2951" s="55">
        <f>_xlfn.XLOOKUP(Survey!$K2951,pipedata[ID],pipedata[WT])</f>
        <v>0.88800000000000001</v>
      </c>
      <c r="O2951" s="56">
        <f>_xlfn.XLOOKUP(Survey!$K2951,pipedata[ID],pipedata[104%])</f>
        <v>3078.4</v>
      </c>
      <c r="P2951" s="57">
        <f t="shared" si="46"/>
        <v>1850</v>
      </c>
      <c r="Q2951" s="58">
        <f>_xlfn.MAXIFS(Survey!$G$2:$G$3647,Survey!$M$2:$M$3647,Survey!$M2951)-Survey!$G2951</f>
        <v>1600.7507188210227</v>
      </c>
      <c r="R2951" s="59">
        <f>Survey!$P2951+(Survey!$Q2951*0.433)</f>
        <v>2543.1250612495028</v>
      </c>
    </row>
    <row r="2952" spans="1:18" x14ac:dyDescent="0.25">
      <c r="A2952" s="71" t="s">
        <v>17</v>
      </c>
      <c r="B2952" s="72" t="s">
        <v>23</v>
      </c>
      <c r="C2952" s="73" t="s">
        <v>19</v>
      </c>
      <c r="D2952" s="74">
        <v>248.80669162777295</v>
      </c>
      <c r="E2952" s="81">
        <v>1344889</v>
      </c>
      <c r="F2952" s="82">
        <v>1314713.6666666667</v>
      </c>
      <c r="G2952" s="75">
        <v>1588.7671009404639</v>
      </c>
      <c r="H2952" s="76">
        <v>3</v>
      </c>
      <c r="I2952" s="54" t="s">
        <v>20</v>
      </c>
      <c r="J2952" s="77">
        <v>40</v>
      </c>
      <c r="K2952" s="78">
        <v>3</v>
      </c>
      <c r="L2952" s="54">
        <v>1</v>
      </c>
      <c r="M2952" s="54">
        <f>_xlfn.XLOOKUP(Survey!$F2952,sections[Start],sections[Test Section],,-1,1)</f>
        <v>8</v>
      </c>
      <c r="N2952" s="55">
        <f>_xlfn.XLOOKUP(Survey!$K2952,pipedata[ID],pipedata[WT])</f>
        <v>0.88800000000000001</v>
      </c>
      <c r="O2952" s="56">
        <f>_xlfn.XLOOKUP(Survey!$K2952,pipedata[ID],pipedata[104%])</f>
        <v>3078.4</v>
      </c>
      <c r="P2952" s="57">
        <f t="shared" si="46"/>
        <v>1850</v>
      </c>
      <c r="Q2952" s="58">
        <f>_xlfn.MAXIFS(Survey!$G$2:$G$3647,Survey!$M$2:$M$3647,Survey!$M2952)-Survey!$G2952</f>
        <v>1598.942391877406</v>
      </c>
      <c r="R2952" s="59">
        <f>Survey!$P2952+(Survey!$Q2952*0.433)</f>
        <v>2542.3420556829169</v>
      </c>
    </row>
    <row r="2953" spans="1:18" x14ac:dyDescent="0.25">
      <c r="A2953" s="60" t="s">
        <v>17</v>
      </c>
      <c r="B2953" s="61" t="s">
        <v>23</v>
      </c>
      <c r="C2953" s="62" t="s">
        <v>19</v>
      </c>
      <c r="D2953" s="63">
        <v>248.81378126086923</v>
      </c>
      <c r="E2953" s="79">
        <v>1344929</v>
      </c>
      <c r="F2953" s="80">
        <v>1314751.3333333335</v>
      </c>
      <c r="G2953" s="66">
        <v>1590.7870420652825</v>
      </c>
      <c r="H2953" s="67">
        <v>3</v>
      </c>
      <c r="I2953" s="68" t="s">
        <v>20</v>
      </c>
      <c r="J2953" s="69">
        <v>40</v>
      </c>
      <c r="K2953" s="70">
        <v>3</v>
      </c>
      <c r="L2953" s="68">
        <v>1</v>
      </c>
      <c r="M2953" s="68">
        <f>_xlfn.XLOOKUP(Survey!$F2953,sections[Start],sections[Test Section],,-1,1)</f>
        <v>8</v>
      </c>
      <c r="N2953" s="55">
        <f>_xlfn.XLOOKUP(Survey!$K2953,pipedata[ID],pipedata[WT])</f>
        <v>0.88800000000000001</v>
      </c>
      <c r="O2953" s="56">
        <f>_xlfn.XLOOKUP(Survey!$K2953,pipedata[ID],pipedata[104%])</f>
        <v>3078.4</v>
      </c>
      <c r="P2953" s="57">
        <f t="shared" si="46"/>
        <v>1850</v>
      </c>
      <c r="Q2953" s="58">
        <f>_xlfn.MAXIFS(Survey!$G$2:$G$3647,Survey!$M$2:$M$3647,Survey!$M2953)-Survey!$G2953</f>
        <v>1596.9224507525873</v>
      </c>
      <c r="R2953" s="59">
        <f>Survey!$P2953+(Survey!$Q2953*0.433)</f>
        <v>2541.4674211758702</v>
      </c>
    </row>
    <row r="2954" spans="1:18" x14ac:dyDescent="0.25">
      <c r="A2954" s="71" t="s">
        <v>17</v>
      </c>
      <c r="B2954" s="72" t="s">
        <v>23</v>
      </c>
      <c r="C2954" s="73" t="s">
        <v>19</v>
      </c>
      <c r="D2954" s="74">
        <v>248.82226200264884</v>
      </c>
      <c r="E2954" s="81">
        <v>1344969</v>
      </c>
      <c r="F2954" s="82">
        <v>1314789.0000000002</v>
      </c>
      <c r="G2954" s="75">
        <v>1595.5208147231156</v>
      </c>
      <c r="H2954" s="76">
        <v>3</v>
      </c>
      <c r="I2954" s="54" t="s">
        <v>20</v>
      </c>
      <c r="J2954" s="77">
        <v>40</v>
      </c>
      <c r="K2954" s="78">
        <v>3</v>
      </c>
      <c r="L2954" s="54">
        <v>1</v>
      </c>
      <c r="M2954" s="54">
        <f>_xlfn.XLOOKUP(Survey!$F2954,sections[Start],sections[Test Section],,-1,1)</f>
        <v>8</v>
      </c>
      <c r="N2954" s="55">
        <f>_xlfn.XLOOKUP(Survey!$K2954,pipedata[ID],pipedata[WT])</f>
        <v>0.88800000000000001</v>
      </c>
      <c r="O2954" s="56">
        <f>_xlfn.XLOOKUP(Survey!$K2954,pipedata[ID],pipedata[104%])</f>
        <v>3078.4</v>
      </c>
      <c r="P2954" s="57">
        <f t="shared" si="46"/>
        <v>1850</v>
      </c>
      <c r="Q2954" s="58">
        <f>_xlfn.MAXIFS(Survey!$G$2:$G$3647,Survey!$M$2:$M$3647,Survey!$M2954)-Survey!$G2954</f>
        <v>1592.1886780947543</v>
      </c>
      <c r="R2954" s="59">
        <f>Survey!$P2954+(Survey!$Q2954*0.433)</f>
        <v>2539.4176976150284</v>
      </c>
    </row>
    <row r="2955" spans="1:18" x14ac:dyDescent="0.25">
      <c r="A2955" s="60" t="s">
        <v>17</v>
      </c>
      <c r="B2955" s="61" t="s">
        <v>23</v>
      </c>
      <c r="C2955" s="62" t="s">
        <v>19</v>
      </c>
      <c r="D2955" s="63">
        <v>248.8292970276772</v>
      </c>
      <c r="E2955" s="79">
        <v>1345009</v>
      </c>
      <c r="F2955" s="80">
        <v>1314826.666666667</v>
      </c>
      <c r="G2955" s="66">
        <v>1599.079440031629</v>
      </c>
      <c r="H2955" s="67">
        <v>3</v>
      </c>
      <c r="I2955" s="68" t="s">
        <v>20</v>
      </c>
      <c r="J2955" s="69">
        <v>39</v>
      </c>
      <c r="K2955" s="70">
        <v>3</v>
      </c>
      <c r="L2955" s="68">
        <v>1</v>
      </c>
      <c r="M2955" s="68">
        <f>_xlfn.XLOOKUP(Survey!$F2955,sections[Start],sections[Test Section],,-1,1)</f>
        <v>8</v>
      </c>
      <c r="N2955" s="55">
        <f>_xlfn.XLOOKUP(Survey!$K2955,pipedata[ID],pipedata[WT])</f>
        <v>0.88800000000000001</v>
      </c>
      <c r="O2955" s="56">
        <f>_xlfn.XLOOKUP(Survey!$K2955,pipedata[ID],pipedata[104%])</f>
        <v>3078.4</v>
      </c>
      <c r="P2955" s="57">
        <f t="shared" si="46"/>
        <v>1850</v>
      </c>
      <c r="Q2955" s="58">
        <f>_xlfn.MAXIFS(Survey!$G$2:$G$3647,Survey!$M$2:$M$3647,Survey!$M2955)-Survey!$G2955</f>
        <v>1588.6300527862409</v>
      </c>
      <c r="R2955" s="59">
        <f>Survey!$P2955+(Survey!$Q2955*0.433)</f>
        <v>2537.8768128564425</v>
      </c>
    </row>
    <row r="2956" spans="1:18" x14ac:dyDescent="0.25">
      <c r="A2956" s="71" t="s">
        <v>17</v>
      </c>
      <c r="B2956" s="72" t="s">
        <v>23</v>
      </c>
      <c r="C2956" s="73" t="s">
        <v>19</v>
      </c>
      <c r="D2956" s="74">
        <v>248.83753656217635</v>
      </c>
      <c r="E2956" s="81">
        <v>1345048</v>
      </c>
      <c r="F2956" s="82">
        <v>1314902</v>
      </c>
      <c r="G2956" s="75">
        <v>1604.8397361517343</v>
      </c>
      <c r="H2956" s="76">
        <v>2</v>
      </c>
      <c r="I2956" s="54" t="s">
        <v>20</v>
      </c>
      <c r="J2956" s="77">
        <v>41</v>
      </c>
      <c r="K2956" s="78">
        <v>3</v>
      </c>
      <c r="L2956" s="54">
        <v>1</v>
      </c>
      <c r="M2956" s="54">
        <f>_xlfn.XLOOKUP(Survey!$F2956,sections[Start],sections[Test Section],,-1,1)</f>
        <v>8</v>
      </c>
      <c r="N2956" s="55">
        <f>_xlfn.XLOOKUP(Survey!$K2956,pipedata[ID],pipedata[WT])</f>
        <v>0.88800000000000001</v>
      </c>
      <c r="O2956" s="56">
        <f>_xlfn.XLOOKUP(Survey!$K2956,pipedata[ID],pipedata[104%])</f>
        <v>3078.4</v>
      </c>
      <c r="P2956" s="57">
        <f t="shared" si="46"/>
        <v>1850</v>
      </c>
      <c r="Q2956" s="58">
        <f>_xlfn.MAXIFS(Survey!$G$2:$G$3647,Survey!$M$2:$M$3647,Survey!$M2956)-Survey!$G2956</f>
        <v>1582.8697566661356</v>
      </c>
      <c r="R2956" s="59">
        <f>Survey!$P2956+(Survey!$Q2956*0.433)</f>
        <v>2535.3826046364366</v>
      </c>
    </row>
    <row r="2957" spans="1:18" x14ac:dyDescent="0.25">
      <c r="A2957" s="60" t="s">
        <v>17</v>
      </c>
      <c r="B2957" s="61" t="s">
        <v>23</v>
      </c>
      <c r="C2957" s="62" t="s">
        <v>19</v>
      </c>
      <c r="D2957" s="63">
        <v>248.84382490289602</v>
      </c>
      <c r="E2957" s="79">
        <v>1345089</v>
      </c>
      <c r="F2957" s="80">
        <v>1314940</v>
      </c>
      <c r="G2957" s="66">
        <v>1604.5030192859099</v>
      </c>
      <c r="H2957" s="67">
        <v>2</v>
      </c>
      <c r="I2957" s="68" t="s">
        <v>20</v>
      </c>
      <c r="J2957" s="69">
        <v>40</v>
      </c>
      <c r="K2957" s="70">
        <v>2</v>
      </c>
      <c r="L2957" s="68">
        <v>1</v>
      </c>
      <c r="M2957" s="68">
        <f>_xlfn.XLOOKUP(Survey!$F2957,sections[Start],sections[Test Section],,-1,1)</f>
        <v>8</v>
      </c>
      <c r="N2957" s="55">
        <f>_xlfn.XLOOKUP(Survey!$K2957,pipedata[ID],pipedata[WT])</f>
        <v>0.74</v>
      </c>
      <c r="O2957" s="56">
        <f>_xlfn.XLOOKUP(Survey!$K2957,pipedata[ID],pipedata[104%])</f>
        <v>2565.3333333333335</v>
      </c>
      <c r="P2957" s="57">
        <f t="shared" si="46"/>
        <v>1850</v>
      </c>
      <c r="Q2957" s="58">
        <f>_xlfn.MAXIFS(Survey!$G$2:$G$3647,Survey!$M$2:$M$3647,Survey!$M2957)-Survey!$G2957</f>
        <v>1583.20647353196</v>
      </c>
      <c r="R2957" s="59">
        <f>Survey!$P2957+(Survey!$Q2957*0.433)</f>
        <v>2535.5284030393386</v>
      </c>
    </row>
    <row r="2958" spans="1:18" x14ac:dyDescent="0.25">
      <c r="A2958" s="71" t="s">
        <v>17</v>
      </c>
      <c r="B2958" s="72" t="s">
        <v>23</v>
      </c>
      <c r="C2958" s="73" t="s">
        <v>19</v>
      </c>
      <c r="D2958" s="74">
        <v>248.85220935718888</v>
      </c>
      <c r="E2958" s="81">
        <v>1345129</v>
      </c>
      <c r="F2958" s="82">
        <v>1314978</v>
      </c>
      <c r="G2958" s="75">
        <v>1604.339548116071</v>
      </c>
      <c r="H2958" s="76">
        <v>2</v>
      </c>
      <c r="I2958" s="54" t="s">
        <v>20</v>
      </c>
      <c r="J2958" s="77">
        <v>40</v>
      </c>
      <c r="K2958" s="78">
        <v>2</v>
      </c>
      <c r="L2958" s="54">
        <v>1</v>
      </c>
      <c r="M2958" s="54">
        <f>_xlfn.XLOOKUP(Survey!$F2958,sections[Start],sections[Test Section],,-1,1)</f>
        <v>8</v>
      </c>
      <c r="N2958" s="55">
        <f>_xlfn.XLOOKUP(Survey!$K2958,pipedata[ID],pipedata[WT])</f>
        <v>0.74</v>
      </c>
      <c r="O2958" s="56">
        <f>_xlfn.XLOOKUP(Survey!$K2958,pipedata[ID],pipedata[104%])</f>
        <v>2565.3333333333335</v>
      </c>
      <c r="P2958" s="57">
        <f t="shared" si="46"/>
        <v>1850</v>
      </c>
      <c r="Q2958" s="58">
        <f>_xlfn.MAXIFS(Survey!$G$2:$G$3647,Survey!$M$2:$M$3647,Survey!$M2958)-Survey!$G2958</f>
        <v>1583.3699447017989</v>
      </c>
      <c r="R2958" s="59">
        <f>Survey!$P2958+(Survey!$Q2958*0.433)</f>
        <v>2535.5991860558788</v>
      </c>
    </row>
    <row r="2959" spans="1:18" x14ac:dyDescent="0.25">
      <c r="A2959" s="60" t="s">
        <v>17</v>
      </c>
      <c r="B2959" s="61" t="s">
        <v>23</v>
      </c>
      <c r="C2959" s="62" t="s">
        <v>19</v>
      </c>
      <c r="D2959" s="63">
        <v>248.85924050190673</v>
      </c>
      <c r="E2959" s="79">
        <v>1345169</v>
      </c>
      <c r="F2959" s="80">
        <v>1315016</v>
      </c>
      <c r="G2959" s="66">
        <v>1606.9818963173766</v>
      </c>
      <c r="H2959" s="67">
        <v>2</v>
      </c>
      <c r="I2959" s="68" t="s">
        <v>20</v>
      </c>
      <c r="J2959" s="69">
        <v>40</v>
      </c>
      <c r="K2959" s="70">
        <v>2</v>
      </c>
      <c r="L2959" s="68">
        <v>1</v>
      </c>
      <c r="M2959" s="68">
        <f>_xlfn.XLOOKUP(Survey!$F2959,sections[Start],sections[Test Section],,-1,1)</f>
        <v>8</v>
      </c>
      <c r="N2959" s="55">
        <f>_xlfn.XLOOKUP(Survey!$K2959,pipedata[ID],pipedata[WT])</f>
        <v>0.74</v>
      </c>
      <c r="O2959" s="56">
        <f>_xlfn.XLOOKUP(Survey!$K2959,pipedata[ID],pipedata[104%])</f>
        <v>2565.3333333333335</v>
      </c>
      <c r="P2959" s="57">
        <f t="shared" si="46"/>
        <v>1850</v>
      </c>
      <c r="Q2959" s="58">
        <f>_xlfn.MAXIFS(Survey!$G$2:$G$3647,Survey!$M$2:$M$3647,Survey!$M2959)-Survey!$G2959</f>
        <v>1580.7275965004933</v>
      </c>
      <c r="R2959" s="59">
        <f>Survey!$P2959+(Survey!$Q2959*0.433)</f>
        <v>2534.4550492847138</v>
      </c>
    </row>
    <row r="2960" spans="1:18" x14ac:dyDescent="0.25">
      <c r="A2960" s="71" t="s">
        <v>17</v>
      </c>
      <c r="B2960" s="72" t="s">
        <v>23</v>
      </c>
      <c r="C2960" s="73" t="s">
        <v>19</v>
      </c>
      <c r="D2960" s="74">
        <v>248.86684416250506</v>
      </c>
      <c r="E2960" s="81">
        <v>1345209</v>
      </c>
      <c r="F2960" s="82">
        <v>1315054</v>
      </c>
      <c r="G2960" s="75">
        <v>1613.237258388725</v>
      </c>
      <c r="H2960" s="76">
        <v>2</v>
      </c>
      <c r="I2960" s="54" t="s">
        <v>20</v>
      </c>
      <c r="J2960" s="77">
        <v>40</v>
      </c>
      <c r="K2960" s="78">
        <v>2</v>
      </c>
      <c r="L2960" s="54">
        <v>1</v>
      </c>
      <c r="M2960" s="54">
        <f>_xlfn.XLOOKUP(Survey!$F2960,sections[Start],sections[Test Section],,-1,1)</f>
        <v>8</v>
      </c>
      <c r="N2960" s="55">
        <f>_xlfn.XLOOKUP(Survey!$K2960,pipedata[ID],pipedata[WT])</f>
        <v>0.74</v>
      </c>
      <c r="O2960" s="56">
        <f>_xlfn.XLOOKUP(Survey!$K2960,pipedata[ID],pipedata[104%])</f>
        <v>2565.3333333333335</v>
      </c>
      <c r="P2960" s="57">
        <f t="shared" si="46"/>
        <v>1850</v>
      </c>
      <c r="Q2960" s="58">
        <f>_xlfn.MAXIFS(Survey!$G$2:$G$3647,Survey!$M$2:$M$3647,Survey!$M2960)-Survey!$G2960</f>
        <v>1574.4722344291449</v>
      </c>
      <c r="R2960" s="59">
        <f>Survey!$P2960+(Survey!$Q2960*0.433)</f>
        <v>2531.7464775078197</v>
      </c>
    </row>
    <row r="2961" spans="1:18" x14ac:dyDescent="0.25">
      <c r="A2961" s="60" t="s">
        <v>17</v>
      </c>
      <c r="B2961" s="61" t="s">
        <v>23</v>
      </c>
      <c r="C2961" s="62" t="s">
        <v>19</v>
      </c>
      <c r="D2961" s="63">
        <v>248.87503387825313</v>
      </c>
      <c r="E2961" s="79">
        <v>1345249</v>
      </c>
      <c r="F2961" s="80">
        <v>1315092</v>
      </c>
      <c r="G2961" s="66">
        <v>1615.869546932171</v>
      </c>
      <c r="H2961" s="67">
        <v>2</v>
      </c>
      <c r="I2961" s="68" t="s">
        <v>20</v>
      </c>
      <c r="J2961" s="69">
        <v>40</v>
      </c>
      <c r="K2961" s="70">
        <v>2</v>
      </c>
      <c r="L2961" s="68">
        <v>1</v>
      </c>
      <c r="M2961" s="68">
        <f>_xlfn.XLOOKUP(Survey!$F2961,sections[Start],sections[Test Section],,-1,1)</f>
        <v>8</v>
      </c>
      <c r="N2961" s="55">
        <f>_xlfn.XLOOKUP(Survey!$K2961,pipedata[ID],pipedata[WT])</f>
        <v>0.74</v>
      </c>
      <c r="O2961" s="56">
        <f>_xlfn.XLOOKUP(Survey!$K2961,pipedata[ID],pipedata[104%])</f>
        <v>2565.3333333333335</v>
      </c>
      <c r="P2961" s="57">
        <f t="shared" si="46"/>
        <v>1850</v>
      </c>
      <c r="Q2961" s="58">
        <f>_xlfn.MAXIFS(Survey!$G$2:$G$3647,Survey!$M$2:$M$3647,Survey!$M2961)-Survey!$G2961</f>
        <v>1571.8399458856989</v>
      </c>
      <c r="R2961" s="59">
        <f>Survey!$P2961+(Survey!$Q2961*0.433)</f>
        <v>2530.6066965685077</v>
      </c>
    </row>
    <row r="2962" spans="1:18" x14ac:dyDescent="0.25">
      <c r="A2962" s="71" t="s">
        <v>17</v>
      </c>
      <c r="B2962" s="72" t="s">
        <v>23</v>
      </c>
      <c r="C2962" s="73" t="s">
        <v>19</v>
      </c>
      <c r="D2962" s="74">
        <v>248.88114846008776</v>
      </c>
      <c r="E2962" s="81">
        <v>1345289</v>
      </c>
      <c r="F2962" s="82">
        <v>1315130</v>
      </c>
      <c r="G2962" s="75">
        <v>1619.2851503098607</v>
      </c>
      <c r="H2962" s="76">
        <v>2</v>
      </c>
      <c r="I2962" s="54" t="s">
        <v>20</v>
      </c>
      <c r="J2962" s="77">
        <v>40</v>
      </c>
      <c r="K2962" s="78">
        <v>2</v>
      </c>
      <c r="L2962" s="54">
        <v>1</v>
      </c>
      <c r="M2962" s="54">
        <f>_xlfn.XLOOKUP(Survey!$F2962,sections[Start],sections[Test Section],,-1,1)</f>
        <v>8</v>
      </c>
      <c r="N2962" s="55">
        <f>_xlfn.XLOOKUP(Survey!$K2962,pipedata[ID],pipedata[WT])</f>
        <v>0.74</v>
      </c>
      <c r="O2962" s="56">
        <f>_xlfn.XLOOKUP(Survey!$K2962,pipedata[ID],pipedata[104%])</f>
        <v>2565.3333333333335</v>
      </c>
      <c r="P2962" s="57">
        <f t="shared" si="46"/>
        <v>1850</v>
      </c>
      <c r="Q2962" s="58">
        <f>_xlfn.MAXIFS(Survey!$G$2:$G$3647,Survey!$M$2:$M$3647,Survey!$M2962)-Survey!$G2962</f>
        <v>1568.4243425080092</v>
      </c>
      <c r="R2962" s="59">
        <f>Survey!$P2962+(Survey!$Q2962*0.433)</f>
        <v>2529.127740305968</v>
      </c>
    </row>
    <row r="2963" spans="1:18" x14ac:dyDescent="0.25">
      <c r="A2963" s="60" t="s">
        <v>17</v>
      </c>
      <c r="B2963" s="61" t="s">
        <v>23</v>
      </c>
      <c r="C2963" s="62" t="s">
        <v>19</v>
      </c>
      <c r="D2963" s="63">
        <v>248.88964548937122</v>
      </c>
      <c r="E2963" s="79">
        <v>1345329</v>
      </c>
      <c r="F2963" s="80">
        <v>1315168</v>
      </c>
      <c r="G2963" s="66">
        <v>1625.0463865199088</v>
      </c>
      <c r="H2963" s="67">
        <v>2</v>
      </c>
      <c r="I2963" s="68" t="s">
        <v>20</v>
      </c>
      <c r="J2963" s="69">
        <v>40</v>
      </c>
      <c r="K2963" s="70">
        <v>2</v>
      </c>
      <c r="L2963" s="68">
        <v>1</v>
      </c>
      <c r="M2963" s="68">
        <f>_xlfn.XLOOKUP(Survey!$F2963,sections[Start],sections[Test Section],,-1,1)</f>
        <v>8</v>
      </c>
      <c r="N2963" s="55">
        <f>_xlfn.XLOOKUP(Survey!$K2963,pipedata[ID],pipedata[WT])</f>
        <v>0.74</v>
      </c>
      <c r="O2963" s="56">
        <f>_xlfn.XLOOKUP(Survey!$K2963,pipedata[ID],pipedata[104%])</f>
        <v>2565.3333333333335</v>
      </c>
      <c r="P2963" s="57">
        <f t="shared" si="46"/>
        <v>1850</v>
      </c>
      <c r="Q2963" s="58">
        <f>_xlfn.MAXIFS(Survey!$G$2:$G$3647,Survey!$M$2:$M$3647,Survey!$M2963)-Survey!$G2963</f>
        <v>1562.6631062979611</v>
      </c>
      <c r="R2963" s="59">
        <f>Survey!$P2963+(Survey!$Q2963*0.433)</f>
        <v>2526.6331250270173</v>
      </c>
    </row>
    <row r="2964" spans="1:18" x14ac:dyDescent="0.25">
      <c r="A2964" s="71" t="s">
        <v>17</v>
      </c>
      <c r="B2964" s="72" t="s">
        <v>23</v>
      </c>
      <c r="C2964" s="73" t="s">
        <v>19</v>
      </c>
      <c r="D2964" s="74">
        <v>248.89745401164697</v>
      </c>
      <c r="E2964" s="81">
        <v>1345369</v>
      </c>
      <c r="F2964" s="82">
        <v>1315206</v>
      </c>
      <c r="G2964" s="75">
        <v>1628.3784004379008</v>
      </c>
      <c r="H2964" s="76">
        <v>2</v>
      </c>
      <c r="I2964" s="54" t="s">
        <v>20</v>
      </c>
      <c r="J2964" s="77">
        <v>40</v>
      </c>
      <c r="K2964" s="78">
        <v>2</v>
      </c>
      <c r="L2964" s="54">
        <v>1</v>
      </c>
      <c r="M2964" s="54">
        <f>_xlfn.XLOOKUP(Survey!$F2964,sections[Start],sections[Test Section],,-1,1)</f>
        <v>8</v>
      </c>
      <c r="N2964" s="55">
        <f>_xlfn.XLOOKUP(Survey!$K2964,pipedata[ID],pipedata[WT])</f>
        <v>0.74</v>
      </c>
      <c r="O2964" s="56">
        <f>_xlfn.XLOOKUP(Survey!$K2964,pipedata[ID],pipedata[104%])</f>
        <v>2565.3333333333335</v>
      </c>
      <c r="P2964" s="57">
        <f t="shared" si="46"/>
        <v>1850</v>
      </c>
      <c r="Q2964" s="58">
        <f>_xlfn.MAXIFS(Survey!$G$2:$G$3647,Survey!$M$2:$M$3647,Survey!$M2964)-Survey!$G2964</f>
        <v>1559.331092379969</v>
      </c>
      <c r="R2964" s="59">
        <f>Survey!$P2964+(Survey!$Q2964*0.433)</f>
        <v>2525.1903630005268</v>
      </c>
    </row>
    <row r="2965" spans="1:18" x14ac:dyDescent="0.25">
      <c r="A2965" s="60" t="s">
        <v>17</v>
      </c>
      <c r="B2965" s="61" t="s">
        <v>23</v>
      </c>
      <c r="C2965" s="62" t="s">
        <v>19</v>
      </c>
      <c r="D2965" s="63">
        <v>248.90415616796813</v>
      </c>
      <c r="E2965" s="79">
        <v>1345409</v>
      </c>
      <c r="F2965" s="80">
        <v>1315244</v>
      </c>
      <c r="G2965" s="66">
        <v>1634.6404204962603</v>
      </c>
      <c r="H2965" s="67">
        <v>2</v>
      </c>
      <c r="I2965" s="68" t="s">
        <v>20</v>
      </c>
      <c r="J2965" s="69">
        <v>40</v>
      </c>
      <c r="K2965" s="70">
        <v>2</v>
      </c>
      <c r="L2965" s="68">
        <v>1</v>
      </c>
      <c r="M2965" s="68">
        <f>_xlfn.XLOOKUP(Survey!$F2965,sections[Start],sections[Test Section],,-1,1)</f>
        <v>8</v>
      </c>
      <c r="N2965" s="55">
        <f>_xlfn.XLOOKUP(Survey!$K2965,pipedata[ID],pipedata[WT])</f>
        <v>0.74</v>
      </c>
      <c r="O2965" s="56">
        <f>_xlfn.XLOOKUP(Survey!$K2965,pipedata[ID],pipedata[104%])</f>
        <v>2565.3333333333335</v>
      </c>
      <c r="P2965" s="57">
        <f t="shared" si="46"/>
        <v>1850</v>
      </c>
      <c r="Q2965" s="58">
        <f>_xlfn.MAXIFS(Survey!$G$2:$G$3647,Survey!$M$2:$M$3647,Survey!$M2965)-Survey!$G2965</f>
        <v>1553.0690723216096</v>
      </c>
      <c r="R2965" s="59">
        <f>Survey!$P2965+(Survey!$Q2965*0.433)</f>
        <v>2522.4789083152568</v>
      </c>
    </row>
    <row r="2966" spans="1:18" x14ac:dyDescent="0.25">
      <c r="A2966" s="71" t="s">
        <v>17</v>
      </c>
      <c r="B2966" s="72" t="s">
        <v>23</v>
      </c>
      <c r="C2966" s="73" t="s">
        <v>19</v>
      </c>
      <c r="D2966" s="74">
        <v>248.91172136926122</v>
      </c>
      <c r="E2966" s="81">
        <v>1345449</v>
      </c>
      <c r="F2966" s="82">
        <v>1315282</v>
      </c>
      <c r="G2966" s="75">
        <v>1639.5743019849917</v>
      </c>
      <c r="H2966" s="76">
        <v>2</v>
      </c>
      <c r="I2966" s="54" t="s">
        <v>20</v>
      </c>
      <c r="J2966" s="77">
        <v>40</v>
      </c>
      <c r="K2966" s="78">
        <v>2</v>
      </c>
      <c r="L2966" s="54">
        <v>1</v>
      </c>
      <c r="M2966" s="54">
        <f>_xlfn.XLOOKUP(Survey!$F2966,sections[Start],sections[Test Section],,-1,1)</f>
        <v>8</v>
      </c>
      <c r="N2966" s="55">
        <f>_xlfn.XLOOKUP(Survey!$K2966,pipedata[ID],pipedata[WT])</f>
        <v>0.74</v>
      </c>
      <c r="O2966" s="56">
        <f>_xlfn.XLOOKUP(Survey!$K2966,pipedata[ID],pipedata[104%])</f>
        <v>2565.3333333333335</v>
      </c>
      <c r="P2966" s="57">
        <f t="shared" si="46"/>
        <v>1850</v>
      </c>
      <c r="Q2966" s="58">
        <f>_xlfn.MAXIFS(Survey!$G$2:$G$3647,Survey!$M$2:$M$3647,Survey!$M2966)-Survey!$G2966</f>
        <v>1548.1351908328782</v>
      </c>
      <c r="R2966" s="59">
        <f>Survey!$P2966+(Survey!$Q2966*0.433)</f>
        <v>2520.3425376306363</v>
      </c>
    </row>
    <row r="2967" spans="1:18" x14ac:dyDescent="0.25">
      <c r="A2967" s="60" t="s">
        <v>17</v>
      </c>
      <c r="B2967" s="61" t="s">
        <v>23</v>
      </c>
      <c r="C2967" s="62" t="s">
        <v>19</v>
      </c>
      <c r="D2967" s="63">
        <v>248.9200996688003</v>
      </c>
      <c r="E2967" s="79">
        <v>1345489</v>
      </c>
      <c r="F2967" s="80">
        <v>1315320</v>
      </c>
      <c r="G2967" s="66">
        <v>1644.8110609771613</v>
      </c>
      <c r="H2967" s="67">
        <v>2</v>
      </c>
      <c r="I2967" s="68" t="s">
        <v>20</v>
      </c>
      <c r="J2967" s="69">
        <v>40</v>
      </c>
      <c r="K2967" s="70">
        <v>2</v>
      </c>
      <c r="L2967" s="68">
        <v>1</v>
      </c>
      <c r="M2967" s="68">
        <f>_xlfn.XLOOKUP(Survey!$F2967,sections[Start],sections[Test Section],,-1,1)</f>
        <v>8</v>
      </c>
      <c r="N2967" s="55">
        <f>_xlfn.XLOOKUP(Survey!$K2967,pipedata[ID],pipedata[WT])</f>
        <v>0.74</v>
      </c>
      <c r="O2967" s="56">
        <f>_xlfn.XLOOKUP(Survey!$K2967,pipedata[ID],pipedata[104%])</f>
        <v>2565.3333333333335</v>
      </c>
      <c r="P2967" s="57">
        <f t="shared" si="46"/>
        <v>1850</v>
      </c>
      <c r="Q2967" s="58">
        <f>_xlfn.MAXIFS(Survey!$G$2:$G$3647,Survey!$M$2:$M$3647,Survey!$M2967)-Survey!$G2967</f>
        <v>1542.8984318407086</v>
      </c>
      <c r="R2967" s="59">
        <f>Survey!$P2967+(Survey!$Q2967*0.433)</f>
        <v>2518.0750209870266</v>
      </c>
    </row>
    <row r="2968" spans="1:18" x14ac:dyDescent="0.25">
      <c r="A2968" s="71" t="s">
        <v>17</v>
      </c>
      <c r="B2968" s="72" t="s">
        <v>23</v>
      </c>
      <c r="C2968" s="73" t="s">
        <v>19</v>
      </c>
      <c r="D2968" s="74">
        <v>248.92706839975065</v>
      </c>
      <c r="E2968" s="81">
        <v>1345529</v>
      </c>
      <c r="F2968" s="82">
        <v>1315358</v>
      </c>
      <c r="G2968" s="75">
        <v>1651.1467743948474</v>
      </c>
      <c r="H2968" s="76">
        <v>2</v>
      </c>
      <c r="I2968" s="54" t="s">
        <v>20</v>
      </c>
      <c r="J2968" s="77">
        <v>40</v>
      </c>
      <c r="K2968" s="78">
        <v>2</v>
      </c>
      <c r="L2968" s="54">
        <v>1</v>
      </c>
      <c r="M2968" s="54">
        <f>_xlfn.XLOOKUP(Survey!$F2968,sections[Start],sections[Test Section],,-1,1)</f>
        <v>8</v>
      </c>
      <c r="N2968" s="55">
        <f>_xlfn.XLOOKUP(Survey!$K2968,pipedata[ID],pipedata[WT])</f>
        <v>0.74</v>
      </c>
      <c r="O2968" s="56">
        <f>_xlfn.XLOOKUP(Survey!$K2968,pipedata[ID],pipedata[104%])</f>
        <v>2565.3333333333335</v>
      </c>
      <c r="P2968" s="57">
        <f t="shared" si="46"/>
        <v>1850</v>
      </c>
      <c r="Q2968" s="58">
        <f>_xlfn.MAXIFS(Survey!$G$2:$G$3647,Survey!$M$2:$M$3647,Survey!$M2968)-Survey!$G2968</f>
        <v>1536.5627184230225</v>
      </c>
      <c r="R2968" s="59">
        <f>Survey!$P2968+(Survey!$Q2968*0.433)</f>
        <v>2515.3316570771685</v>
      </c>
    </row>
    <row r="2969" spans="1:18" x14ac:dyDescent="0.25">
      <c r="A2969" s="60" t="s">
        <v>17</v>
      </c>
      <c r="B2969" s="61" t="s">
        <v>23</v>
      </c>
      <c r="C2969" s="62" t="s">
        <v>19</v>
      </c>
      <c r="D2969" s="63">
        <v>248.93406909900108</v>
      </c>
      <c r="E2969" s="79">
        <v>1345569</v>
      </c>
      <c r="F2969" s="80">
        <v>1315396</v>
      </c>
      <c r="G2969" s="66">
        <v>1655.3948463642892</v>
      </c>
      <c r="H2969" s="67">
        <v>2</v>
      </c>
      <c r="I2969" s="68" t="s">
        <v>20</v>
      </c>
      <c r="J2969" s="69">
        <v>40</v>
      </c>
      <c r="K2969" s="70">
        <v>2</v>
      </c>
      <c r="L2969" s="68">
        <v>1</v>
      </c>
      <c r="M2969" s="68">
        <f>_xlfn.XLOOKUP(Survey!$F2969,sections[Start],sections[Test Section],,-1,1)</f>
        <v>8</v>
      </c>
      <c r="N2969" s="55">
        <f>_xlfn.XLOOKUP(Survey!$K2969,pipedata[ID],pipedata[WT])</f>
        <v>0.74</v>
      </c>
      <c r="O2969" s="56">
        <f>_xlfn.XLOOKUP(Survey!$K2969,pipedata[ID],pipedata[104%])</f>
        <v>2565.3333333333335</v>
      </c>
      <c r="P2969" s="57">
        <f t="shared" si="46"/>
        <v>1850</v>
      </c>
      <c r="Q2969" s="58">
        <f>_xlfn.MAXIFS(Survey!$G$2:$G$3647,Survey!$M$2:$M$3647,Survey!$M2969)-Survey!$G2969</f>
        <v>1532.3146464535807</v>
      </c>
      <c r="R2969" s="59">
        <f>Survey!$P2969+(Survey!$Q2969*0.433)</f>
        <v>2513.4922419144004</v>
      </c>
    </row>
    <row r="2970" spans="1:18" x14ac:dyDescent="0.25">
      <c r="A2970" s="71" t="s">
        <v>17</v>
      </c>
      <c r="B2970" s="72" t="s">
        <v>23</v>
      </c>
      <c r="C2970" s="73" t="s">
        <v>19</v>
      </c>
      <c r="D2970" s="74">
        <v>248.94271283522988</v>
      </c>
      <c r="E2970" s="81">
        <v>1345609</v>
      </c>
      <c r="F2970" s="82">
        <v>1315434</v>
      </c>
      <c r="G2970" s="75">
        <v>1659.8529529909811</v>
      </c>
      <c r="H2970" s="76">
        <v>2</v>
      </c>
      <c r="I2970" s="54" t="s">
        <v>20</v>
      </c>
      <c r="J2970" s="77">
        <v>40</v>
      </c>
      <c r="K2970" s="78">
        <v>2</v>
      </c>
      <c r="L2970" s="54">
        <v>1</v>
      </c>
      <c r="M2970" s="54">
        <f>_xlfn.XLOOKUP(Survey!$F2970,sections[Start],sections[Test Section],,-1,1)</f>
        <v>8</v>
      </c>
      <c r="N2970" s="55">
        <f>_xlfn.XLOOKUP(Survey!$K2970,pipedata[ID],pipedata[WT])</f>
        <v>0.74</v>
      </c>
      <c r="O2970" s="56">
        <f>_xlfn.XLOOKUP(Survey!$K2970,pipedata[ID],pipedata[104%])</f>
        <v>2565.3333333333335</v>
      </c>
      <c r="P2970" s="57">
        <f t="shared" si="46"/>
        <v>1850</v>
      </c>
      <c r="Q2970" s="58">
        <f>_xlfn.MAXIFS(Survey!$G$2:$G$3647,Survey!$M$2:$M$3647,Survey!$M2970)-Survey!$G2970</f>
        <v>1527.8565398268888</v>
      </c>
      <c r="R2970" s="59">
        <f>Survey!$P2970+(Survey!$Q2970*0.433)</f>
        <v>2511.5618817450427</v>
      </c>
    </row>
    <row r="2971" spans="1:18" x14ac:dyDescent="0.25">
      <c r="A2971" s="60" t="s">
        <v>17</v>
      </c>
      <c r="B2971" s="61" t="s">
        <v>23</v>
      </c>
      <c r="C2971" s="62" t="s">
        <v>19</v>
      </c>
      <c r="D2971" s="63">
        <v>248.95017823974931</v>
      </c>
      <c r="E2971" s="79">
        <v>1345649</v>
      </c>
      <c r="F2971" s="80">
        <v>1315472</v>
      </c>
      <c r="G2971" s="66">
        <v>1662.3171013730671</v>
      </c>
      <c r="H2971" s="67">
        <v>2</v>
      </c>
      <c r="I2971" s="68" t="s">
        <v>20</v>
      </c>
      <c r="J2971" s="69">
        <v>40</v>
      </c>
      <c r="K2971" s="70">
        <v>2</v>
      </c>
      <c r="L2971" s="68">
        <v>1</v>
      </c>
      <c r="M2971" s="68">
        <f>_xlfn.XLOOKUP(Survey!$F2971,sections[Start],sections[Test Section],,-1,1)</f>
        <v>8</v>
      </c>
      <c r="N2971" s="55">
        <f>_xlfn.XLOOKUP(Survey!$K2971,pipedata[ID],pipedata[WT])</f>
        <v>0.74</v>
      </c>
      <c r="O2971" s="56">
        <f>_xlfn.XLOOKUP(Survey!$K2971,pipedata[ID],pipedata[104%])</f>
        <v>2565.3333333333335</v>
      </c>
      <c r="P2971" s="57">
        <f t="shared" si="46"/>
        <v>1850</v>
      </c>
      <c r="Q2971" s="58">
        <f>_xlfn.MAXIFS(Survey!$G$2:$G$3647,Survey!$M$2:$M$3647,Survey!$M2971)-Survey!$G2971</f>
        <v>1525.3923914448028</v>
      </c>
      <c r="R2971" s="59">
        <f>Survey!$P2971+(Survey!$Q2971*0.433)</f>
        <v>2510.4949054955996</v>
      </c>
    </row>
    <row r="2972" spans="1:18" x14ac:dyDescent="0.25">
      <c r="A2972" s="71" t="s">
        <v>17</v>
      </c>
      <c r="B2972" s="72" t="s">
        <v>23</v>
      </c>
      <c r="C2972" s="73" t="s">
        <v>19</v>
      </c>
      <c r="D2972" s="74">
        <v>248.9570048802662</v>
      </c>
      <c r="E2972" s="81">
        <v>1345689</v>
      </c>
      <c r="F2972" s="82">
        <v>1315510</v>
      </c>
      <c r="G2972" s="75">
        <v>1664.4888204910367</v>
      </c>
      <c r="H2972" s="76">
        <v>2</v>
      </c>
      <c r="I2972" s="54" t="s">
        <v>20</v>
      </c>
      <c r="J2972" s="77">
        <v>40</v>
      </c>
      <c r="K2972" s="78">
        <v>2</v>
      </c>
      <c r="L2972" s="54">
        <v>1</v>
      </c>
      <c r="M2972" s="54">
        <f>_xlfn.XLOOKUP(Survey!$F2972,sections[Start],sections[Test Section],,-1,1)</f>
        <v>8</v>
      </c>
      <c r="N2972" s="55">
        <f>_xlfn.XLOOKUP(Survey!$K2972,pipedata[ID],pipedata[WT])</f>
        <v>0.74</v>
      </c>
      <c r="O2972" s="56">
        <f>_xlfn.XLOOKUP(Survey!$K2972,pipedata[ID],pipedata[104%])</f>
        <v>2565.3333333333335</v>
      </c>
      <c r="P2972" s="57">
        <f t="shared" si="46"/>
        <v>1850</v>
      </c>
      <c r="Q2972" s="58">
        <f>_xlfn.MAXIFS(Survey!$G$2:$G$3647,Survey!$M$2:$M$3647,Survey!$M2972)-Survey!$G2972</f>
        <v>1523.2206723268332</v>
      </c>
      <c r="R2972" s="59">
        <f>Survey!$P2972+(Survey!$Q2972*0.433)</f>
        <v>2509.5545511175187</v>
      </c>
    </row>
    <row r="2973" spans="1:18" x14ac:dyDescent="0.25">
      <c r="A2973" s="60" t="s">
        <v>17</v>
      </c>
      <c r="B2973" s="61" t="s">
        <v>23</v>
      </c>
      <c r="C2973" s="62" t="s">
        <v>19</v>
      </c>
      <c r="D2973" s="63">
        <v>248.96457254026305</v>
      </c>
      <c r="E2973" s="79">
        <v>1345729</v>
      </c>
      <c r="F2973" s="80">
        <v>1315548</v>
      </c>
      <c r="G2973" s="66">
        <v>1666.0460906085632</v>
      </c>
      <c r="H2973" s="67">
        <v>2</v>
      </c>
      <c r="I2973" s="68" t="s">
        <v>20</v>
      </c>
      <c r="J2973" s="69">
        <v>40</v>
      </c>
      <c r="K2973" s="70">
        <v>2</v>
      </c>
      <c r="L2973" s="68">
        <v>1</v>
      </c>
      <c r="M2973" s="68">
        <f>_xlfn.XLOOKUP(Survey!$F2973,sections[Start],sections[Test Section],,-1,1)</f>
        <v>8</v>
      </c>
      <c r="N2973" s="55">
        <f>_xlfn.XLOOKUP(Survey!$K2973,pipedata[ID],pipedata[WT])</f>
        <v>0.74</v>
      </c>
      <c r="O2973" s="56">
        <f>_xlfn.XLOOKUP(Survey!$K2973,pipedata[ID],pipedata[104%])</f>
        <v>2565.3333333333335</v>
      </c>
      <c r="P2973" s="57">
        <f t="shared" si="46"/>
        <v>1850</v>
      </c>
      <c r="Q2973" s="58">
        <f>_xlfn.MAXIFS(Survey!$G$2:$G$3647,Survey!$M$2:$M$3647,Survey!$M2973)-Survey!$G2973</f>
        <v>1521.6634022093067</v>
      </c>
      <c r="R2973" s="59">
        <f>Survey!$P2973+(Survey!$Q2973*0.433)</f>
        <v>2508.8802531566298</v>
      </c>
    </row>
    <row r="2974" spans="1:18" x14ac:dyDescent="0.25">
      <c r="A2974" s="71" t="s">
        <v>17</v>
      </c>
      <c r="B2974" s="72" t="s">
        <v>23</v>
      </c>
      <c r="C2974" s="73" t="s">
        <v>19</v>
      </c>
      <c r="D2974" s="74">
        <v>248.9723904197995</v>
      </c>
      <c r="E2974" s="81">
        <v>1345769</v>
      </c>
      <c r="F2974" s="82">
        <v>1315586</v>
      </c>
      <c r="G2974" s="75">
        <v>1668.1365767100035</v>
      </c>
      <c r="H2974" s="76">
        <v>2</v>
      </c>
      <c r="I2974" s="54" t="s">
        <v>20</v>
      </c>
      <c r="J2974" s="77">
        <v>40</v>
      </c>
      <c r="K2974" s="78">
        <v>2</v>
      </c>
      <c r="L2974" s="54">
        <v>1</v>
      </c>
      <c r="M2974" s="54">
        <f>_xlfn.XLOOKUP(Survey!$F2974,sections[Start],sections[Test Section],,-1,1)</f>
        <v>8</v>
      </c>
      <c r="N2974" s="55">
        <f>_xlfn.XLOOKUP(Survey!$K2974,pipedata[ID],pipedata[WT])</f>
        <v>0.74</v>
      </c>
      <c r="O2974" s="56">
        <f>_xlfn.XLOOKUP(Survey!$K2974,pipedata[ID],pipedata[104%])</f>
        <v>2565.3333333333335</v>
      </c>
      <c r="P2974" s="57">
        <f t="shared" si="46"/>
        <v>1850</v>
      </c>
      <c r="Q2974" s="58">
        <f>_xlfn.MAXIFS(Survey!$G$2:$G$3647,Survey!$M$2:$M$3647,Survey!$M2974)-Survey!$G2974</f>
        <v>1519.5729161078664</v>
      </c>
      <c r="R2974" s="59">
        <f>Survey!$P2974+(Survey!$Q2974*0.433)</f>
        <v>2507.9750726747061</v>
      </c>
    </row>
    <row r="2975" spans="1:18" x14ac:dyDescent="0.25">
      <c r="A2975" s="60" t="s">
        <v>17</v>
      </c>
      <c r="B2975" s="61" t="s">
        <v>23</v>
      </c>
      <c r="C2975" s="62" t="s">
        <v>19</v>
      </c>
      <c r="D2975" s="63">
        <v>248.97915883098477</v>
      </c>
      <c r="E2975" s="79">
        <v>1345809</v>
      </c>
      <c r="F2975" s="80">
        <v>1315624</v>
      </c>
      <c r="G2975" s="66">
        <v>1669.7260764227769</v>
      </c>
      <c r="H2975" s="67">
        <v>2</v>
      </c>
      <c r="I2975" s="68" t="s">
        <v>20</v>
      </c>
      <c r="J2975" s="69">
        <v>40</v>
      </c>
      <c r="K2975" s="70">
        <v>2</v>
      </c>
      <c r="L2975" s="68">
        <v>1</v>
      </c>
      <c r="M2975" s="68">
        <f>_xlfn.XLOOKUP(Survey!$F2975,sections[Start],sections[Test Section],,-1,1)</f>
        <v>8</v>
      </c>
      <c r="N2975" s="55">
        <f>_xlfn.XLOOKUP(Survey!$K2975,pipedata[ID],pipedata[WT])</f>
        <v>0.74</v>
      </c>
      <c r="O2975" s="56">
        <f>_xlfn.XLOOKUP(Survey!$K2975,pipedata[ID],pipedata[104%])</f>
        <v>2565.3333333333335</v>
      </c>
      <c r="P2975" s="57">
        <f t="shared" si="46"/>
        <v>1850</v>
      </c>
      <c r="Q2975" s="58">
        <f>_xlfn.MAXIFS(Survey!$G$2:$G$3647,Survey!$M$2:$M$3647,Survey!$M2975)-Survey!$G2975</f>
        <v>1517.9834163950929</v>
      </c>
      <c r="R2975" s="59">
        <f>Survey!$P2975+(Survey!$Q2975*0.433)</f>
        <v>2507.2868192990754</v>
      </c>
    </row>
    <row r="2976" spans="1:18" x14ac:dyDescent="0.25">
      <c r="A2976" s="71" t="s">
        <v>17</v>
      </c>
      <c r="B2976" s="72" t="s">
        <v>23</v>
      </c>
      <c r="C2976" s="73" t="s">
        <v>19</v>
      </c>
      <c r="D2976" s="74">
        <v>248.98817275365886</v>
      </c>
      <c r="E2976" s="81">
        <v>1345849</v>
      </c>
      <c r="F2976" s="82">
        <v>1315662</v>
      </c>
      <c r="G2976" s="75">
        <v>1670.2946860807576</v>
      </c>
      <c r="H2976" s="76">
        <v>2</v>
      </c>
      <c r="I2976" s="54" t="s">
        <v>20</v>
      </c>
      <c r="J2976" s="77">
        <v>7</v>
      </c>
      <c r="K2976" s="78">
        <v>2</v>
      </c>
      <c r="L2976" s="54">
        <v>1</v>
      </c>
      <c r="M2976" s="54">
        <f>_xlfn.XLOOKUP(Survey!$F2976,sections[Start],sections[Test Section],,-1,1)</f>
        <v>8</v>
      </c>
      <c r="N2976" s="55">
        <f>_xlfn.XLOOKUP(Survey!$K2976,pipedata[ID],pipedata[WT])</f>
        <v>0.74</v>
      </c>
      <c r="O2976" s="56">
        <f>_xlfn.XLOOKUP(Survey!$K2976,pipedata[ID],pipedata[104%])</f>
        <v>2565.3333333333335</v>
      </c>
      <c r="P2976" s="57">
        <f t="shared" si="46"/>
        <v>1850</v>
      </c>
      <c r="Q2976" s="58">
        <f>_xlfn.MAXIFS(Survey!$G$2:$G$3647,Survey!$M$2:$M$3647,Survey!$M2976)-Survey!$G2976</f>
        <v>1517.4148067371123</v>
      </c>
      <c r="R2976" s="59">
        <f>Survey!$P2976+(Survey!$Q2976*0.433)</f>
        <v>2507.0406113171694</v>
      </c>
    </row>
    <row r="2977" spans="1:18" x14ac:dyDescent="0.25">
      <c r="A2977" s="60" t="s">
        <v>17</v>
      </c>
      <c r="B2977" s="61" t="s">
        <v>23</v>
      </c>
      <c r="C2977" s="62" t="s">
        <v>19</v>
      </c>
      <c r="D2977" s="63">
        <v>248.9955185414475</v>
      </c>
      <c r="E2977" s="79">
        <v>1345856</v>
      </c>
      <c r="F2977" s="80">
        <v>1315700</v>
      </c>
      <c r="G2977" s="66">
        <v>1669.3830485878141</v>
      </c>
      <c r="H2977" s="67">
        <v>2</v>
      </c>
      <c r="I2977" s="68" t="s">
        <v>21</v>
      </c>
      <c r="J2977" s="69">
        <v>40</v>
      </c>
      <c r="K2977" s="70">
        <v>4</v>
      </c>
      <c r="L2977" s="68">
        <v>1</v>
      </c>
      <c r="M2977" s="68">
        <f>_xlfn.XLOOKUP(Survey!$F2977,sections[Start],sections[Test Section],,-1,1)</f>
        <v>8</v>
      </c>
      <c r="N2977" s="55">
        <f>_xlfn.XLOOKUP(Survey!$K2977,pipedata[ID],pipedata[WT])</f>
        <v>0.74</v>
      </c>
      <c r="O2977" s="56">
        <f>_xlfn.XLOOKUP(Survey!$K2977,pipedata[ID],pipedata[104%])</f>
        <v>2565.3333333333335</v>
      </c>
      <c r="P2977" s="57">
        <f t="shared" si="46"/>
        <v>1850</v>
      </c>
      <c r="Q2977" s="58">
        <f>_xlfn.MAXIFS(Survey!$G$2:$G$3647,Survey!$M$2:$M$3647,Survey!$M2977)-Survey!$G2977</f>
        <v>1518.3264442300558</v>
      </c>
      <c r="R2977" s="59">
        <f>Survey!$P2977+(Survey!$Q2977*0.433)</f>
        <v>2507.435350351614</v>
      </c>
    </row>
    <row r="2978" spans="1:18" x14ac:dyDescent="0.25">
      <c r="A2978" s="71" t="s">
        <v>17</v>
      </c>
      <c r="B2978" s="72" t="s">
        <v>23</v>
      </c>
      <c r="C2978" s="73" t="s">
        <v>19</v>
      </c>
      <c r="D2978" s="74">
        <v>249.00299321486597</v>
      </c>
      <c r="E2978" s="81">
        <v>1345896</v>
      </c>
      <c r="F2978" s="82">
        <v>1315740</v>
      </c>
      <c r="G2978" s="75">
        <v>1665.9665003631767</v>
      </c>
      <c r="H2978" s="76">
        <v>2</v>
      </c>
      <c r="I2978" s="54" t="s">
        <v>20</v>
      </c>
      <c r="J2978" s="77">
        <v>73</v>
      </c>
      <c r="K2978" s="78">
        <v>2</v>
      </c>
      <c r="L2978" s="54">
        <v>1</v>
      </c>
      <c r="M2978" s="54">
        <f>_xlfn.XLOOKUP(Survey!$F2978,sections[Start],sections[Test Section],,-1,1)</f>
        <v>8</v>
      </c>
      <c r="N2978" s="55">
        <f>_xlfn.XLOOKUP(Survey!$K2978,pipedata[ID],pipedata[WT])</f>
        <v>0.74</v>
      </c>
      <c r="O2978" s="56">
        <f>_xlfn.XLOOKUP(Survey!$K2978,pipedata[ID],pipedata[104%])</f>
        <v>2565.3333333333335</v>
      </c>
      <c r="P2978" s="57">
        <f t="shared" si="46"/>
        <v>1850</v>
      </c>
      <c r="Q2978" s="58">
        <f>_xlfn.MAXIFS(Survey!$G$2:$G$3647,Survey!$M$2:$M$3647,Survey!$M2978)-Survey!$G2978</f>
        <v>1521.7429924546932</v>
      </c>
      <c r="R2978" s="59">
        <f>Survey!$P2978+(Survey!$Q2978*0.433)</f>
        <v>2508.9147157328821</v>
      </c>
    </row>
    <row r="2979" spans="1:18" x14ac:dyDescent="0.25">
      <c r="A2979" s="60" t="s">
        <v>17</v>
      </c>
      <c r="B2979" s="61" t="s">
        <v>23</v>
      </c>
      <c r="C2979" s="62" t="s">
        <v>19</v>
      </c>
      <c r="D2979" s="63">
        <v>249.00972978814187</v>
      </c>
      <c r="E2979" s="79">
        <v>1345969</v>
      </c>
      <c r="F2979" s="80">
        <v>1315778.8518518519</v>
      </c>
      <c r="G2979" s="66">
        <v>1676.5584332258989</v>
      </c>
      <c r="H2979" s="67">
        <v>2</v>
      </c>
      <c r="I2979" s="68" t="s">
        <v>20</v>
      </c>
      <c r="J2979" s="69">
        <v>40</v>
      </c>
      <c r="K2979" s="70">
        <v>2</v>
      </c>
      <c r="L2979" s="68">
        <v>1</v>
      </c>
      <c r="M2979" s="68">
        <f>_xlfn.XLOOKUP(Survey!$F2979,sections[Start],sections[Test Section],,-1,1)</f>
        <v>8</v>
      </c>
      <c r="N2979" s="55">
        <f>_xlfn.XLOOKUP(Survey!$K2979,pipedata[ID],pipedata[WT])</f>
        <v>0.74</v>
      </c>
      <c r="O2979" s="56">
        <f>_xlfn.XLOOKUP(Survey!$K2979,pipedata[ID],pipedata[104%])</f>
        <v>2565.3333333333335</v>
      </c>
      <c r="P2979" s="57">
        <f t="shared" si="46"/>
        <v>1850</v>
      </c>
      <c r="Q2979" s="58">
        <f>_xlfn.MAXIFS(Survey!$G$2:$G$3647,Survey!$M$2:$M$3647,Survey!$M2979)-Survey!$G2979</f>
        <v>1511.151059591971</v>
      </c>
      <c r="R2979" s="59">
        <f>Survey!$P2979+(Survey!$Q2979*0.433)</f>
        <v>2504.3284088033233</v>
      </c>
    </row>
    <row r="2980" spans="1:18" x14ac:dyDescent="0.25">
      <c r="A2980" s="71" t="s">
        <v>17</v>
      </c>
      <c r="B2980" s="72" t="s">
        <v>23</v>
      </c>
      <c r="C2980" s="73" t="s">
        <v>19</v>
      </c>
      <c r="D2980" s="74">
        <v>249.01781367607279</v>
      </c>
      <c r="E2980" s="81">
        <v>1346009</v>
      </c>
      <c r="F2980" s="82">
        <v>1315817.7037037038</v>
      </c>
      <c r="G2980" s="75">
        <v>1678.6776711154969</v>
      </c>
      <c r="H2980" s="76">
        <v>2</v>
      </c>
      <c r="I2980" s="54" t="s">
        <v>20</v>
      </c>
      <c r="J2980" s="77">
        <v>40</v>
      </c>
      <c r="K2980" s="78">
        <v>2</v>
      </c>
      <c r="L2980" s="54">
        <v>1</v>
      </c>
      <c r="M2980" s="54">
        <f>_xlfn.XLOOKUP(Survey!$F2980,sections[Start],sections[Test Section],,-1,1)</f>
        <v>8</v>
      </c>
      <c r="N2980" s="55">
        <f>_xlfn.XLOOKUP(Survey!$K2980,pipedata[ID],pipedata[WT])</f>
        <v>0.74</v>
      </c>
      <c r="O2980" s="56">
        <f>_xlfn.XLOOKUP(Survey!$K2980,pipedata[ID],pipedata[104%])</f>
        <v>2565.3333333333335</v>
      </c>
      <c r="P2980" s="57">
        <f t="shared" si="46"/>
        <v>1850</v>
      </c>
      <c r="Q2980" s="58">
        <f>_xlfn.MAXIFS(Survey!$G$2:$G$3647,Survey!$M$2:$M$3647,Survey!$M2980)-Survey!$G2980</f>
        <v>1509.031821702373</v>
      </c>
      <c r="R2980" s="59">
        <f>Survey!$P2980+(Survey!$Q2980*0.433)</f>
        <v>2503.4107787971275</v>
      </c>
    </row>
    <row r="2981" spans="1:18" x14ac:dyDescent="0.25">
      <c r="A2981" s="60" t="s">
        <v>17</v>
      </c>
      <c r="B2981" s="61" t="s">
        <v>23</v>
      </c>
      <c r="C2981" s="62" t="s">
        <v>19</v>
      </c>
      <c r="D2981" s="63">
        <v>249.02354864800529</v>
      </c>
      <c r="E2981" s="79">
        <v>1346049</v>
      </c>
      <c r="F2981" s="80">
        <v>1315856.5555555557</v>
      </c>
      <c r="G2981" s="66">
        <v>1679.0109349041059</v>
      </c>
      <c r="H2981" s="67">
        <v>2</v>
      </c>
      <c r="I2981" s="68" t="s">
        <v>20</v>
      </c>
      <c r="J2981" s="69">
        <v>40</v>
      </c>
      <c r="K2981" s="70">
        <v>2</v>
      </c>
      <c r="L2981" s="68">
        <v>1</v>
      </c>
      <c r="M2981" s="68">
        <f>_xlfn.XLOOKUP(Survey!$F2981,sections[Start],sections[Test Section],,-1,1)</f>
        <v>8</v>
      </c>
      <c r="N2981" s="55">
        <f>_xlfn.XLOOKUP(Survey!$K2981,pipedata[ID],pipedata[WT])</f>
        <v>0.74</v>
      </c>
      <c r="O2981" s="56">
        <f>_xlfn.XLOOKUP(Survey!$K2981,pipedata[ID],pipedata[104%])</f>
        <v>2565.3333333333335</v>
      </c>
      <c r="P2981" s="57">
        <f t="shared" si="46"/>
        <v>1850</v>
      </c>
      <c r="Q2981" s="58">
        <f>_xlfn.MAXIFS(Survey!$G$2:$G$3647,Survey!$M$2:$M$3647,Survey!$M2981)-Survey!$G2981</f>
        <v>1508.698557913764</v>
      </c>
      <c r="R2981" s="59">
        <f>Survey!$P2981+(Survey!$Q2981*0.433)</f>
        <v>2503.26647557666</v>
      </c>
    </row>
    <row r="2982" spans="1:18" x14ac:dyDescent="0.25">
      <c r="A2982" s="71" t="s">
        <v>17</v>
      </c>
      <c r="B2982" s="72" t="s">
        <v>23</v>
      </c>
      <c r="C2982" s="73" t="s">
        <v>19</v>
      </c>
      <c r="D2982" s="74">
        <v>249.03263413727981</v>
      </c>
      <c r="E2982" s="81">
        <v>1346089</v>
      </c>
      <c r="F2982" s="82">
        <v>1315895.4074074076</v>
      </c>
      <c r="G2982" s="75">
        <v>1680.1894627414094</v>
      </c>
      <c r="H2982" s="76">
        <v>2</v>
      </c>
      <c r="I2982" s="54" t="s">
        <v>20</v>
      </c>
      <c r="J2982" s="77">
        <v>40</v>
      </c>
      <c r="K2982" s="78">
        <v>2</v>
      </c>
      <c r="L2982" s="54">
        <v>1</v>
      </c>
      <c r="M2982" s="54">
        <f>_xlfn.XLOOKUP(Survey!$F2982,sections[Start],sections[Test Section],,-1,1)</f>
        <v>8</v>
      </c>
      <c r="N2982" s="55">
        <f>_xlfn.XLOOKUP(Survey!$K2982,pipedata[ID],pipedata[WT])</f>
        <v>0.74</v>
      </c>
      <c r="O2982" s="56">
        <f>_xlfn.XLOOKUP(Survey!$K2982,pipedata[ID],pipedata[104%])</f>
        <v>2565.3333333333335</v>
      </c>
      <c r="P2982" s="57">
        <f t="shared" si="46"/>
        <v>1850</v>
      </c>
      <c r="Q2982" s="58">
        <f>_xlfn.MAXIFS(Survey!$G$2:$G$3647,Survey!$M$2:$M$3647,Survey!$M2982)-Survey!$G2982</f>
        <v>1507.5200300764604</v>
      </c>
      <c r="R2982" s="59">
        <f>Survey!$P2982+(Survey!$Q2982*0.433)</f>
        <v>2502.7561730231073</v>
      </c>
    </row>
    <row r="2983" spans="1:18" x14ac:dyDescent="0.25">
      <c r="A2983" s="60" t="s">
        <v>17</v>
      </c>
      <c r="B2983" s="61" t="s">
        <v>23</v>
      </c>
      <c r="C2983" s="62" t="s">
        <v>19</v>
      </c>
      <c r="D2983" s="63">
        <v>249.03996501196502</v>
      </c>
      <c r="E2983" s="79">
        <v>1346129</v>
      </c>
      <c r="F2983" s="80">
        <v>1315934.2592592596</v>
      </c>
      <c r="G2983" s="66">
        <v>1685.179913265202</v>
      </c>
      <c r="H2983" s="67">
        <v>2</v>
      </c>
      <c r="I2983" s="68" t="s">
        <v>20</v>
      </c>
      <c r="J2983" s="69">
        <v>40</v>
      </c>
      <c r="K2983" s="70">
        <v>2</v>
      </c>
      <c r="L2983" s="68">
        <v>1</v>
      </c>
      <c r="M2983" s="68">
        <f>_xlfn.XLOOKUP(Survey!$F2983,sections[Start],sections[Test Section],,-1,1)</f>
        <v>8</v>
      </c>
      <c r="N2983" s="55">
        <f>_xlfn.XLOOKUP(Survey!$K2983,pipedata[ID],pipedata[WT])</f>
        <v>0.74</v>
      </c>
      <c r="O2983" s="56">
        <f>_xlfn.XLOOKUP(Survey!$K2983,pipedata[ID],pipedata[104%])</f>
        <v>2565.3333333333335</v>
      </c>
      <c r="P2983" s="57">
        <f t="shared" si="46"/>
        <v>1850</v>
      </c>
      <c r="Q2983" s="58">
        <f>_xlfn.MAXIFS(Survey!$G$2:$G$3647,Survey!$M$2:$M$3647,Survey!$M2983)-Survey!$G2983</f>
        <v>1502.5295795526679</v>
      </c>
      <c r="R2983" s="59">
        <f>Survey!$P2983+(Survey!$Q2983*0.433)</f>
        <v>2500.5953079463052</v>
      </c>
    </row>
    <row r="2984" spans="1:18" x14ac:dyDescent="0.25">
      <c r="A2984" s="71" t="s">
        <v>17</v>
      </c>
      <c r="B2984" s="72" t="s">
        <v>23</v>
      </c>
      <c r="C2984" s="73" t="s">
        <v>19</v>
      </c>
      <c r="D2984" s="74">
        <v>249.04650994486809</v>
      </c>
      <c r="E2984" s="81">
        <v>1346169</v>
      </c>
      <c r="F2984" s="82">
        <v>1315973.1111111115</v>
      </c>
      <c r="G2984" s="75">
        <v>1696.6660048417982</v>
      </c>
      <c r="H2984" s="76">
        <v>2</v>
      </c>
      <c r="I2984" s="54" t="s">
        <v>20</v>
      </c>
      <c r="J2984" s="77">
        <v>40</v>
      </c>
      <c r="K2984" s="78">
        <v>2</v>
      </c>
      <c r="L2984" s="54">
        <v>1</v>
      </c>
      <c r="M2984" s="54">
        <f>_xlfn.XLOOKUP(Survey!$F2984,sections[Start],sections[Test Section],,-1,1)</f>
        <v>8</v>
      </c>
      <c r="N2984" s="55">
        <f>_xlfn.XLOOKUP(Survey!$K2984,pipedata[ID],pipedata[WT])</f>
        <v>0.74</v>
      </c>
      <c r="O2984" s="56">
        <f>_xlfn.XLOOKUP(Survey!$K2984,pipedata[ID],pipedata[104%])</f>
        <v>2565.3333333333335</v>
      </c>
      <c r="P2984" s="57">
        <f t="shared" si="46"/>
        <v>1850</v>
      </c>
      <c r="Q2984" s="58">
        <f>_xlfn.MAXIFS(Survey!$G$2:$G$3647,Survey!$M$2:$M$3647,Survey!$M2984)-Survey!$G2984</f>
        <v>1491.0434879760717</v>
      </c>
      <c r="R2984" s="59">
        <f>Survey!$P2984+(Survey!$Q2984*0.433)</f>
        <v>2495.6218302936391</v>
      </c>
    </row>
    <row r="2985" spans="1:18" x14ac:dyDescent="0.25">
      <c r="A2985" s="60" t="s">
        <v>17</v>
      </c>
      <c r="B2985" s="61" t="s">
        <v>23</v>
      </c>
      <c r="C2985" s="62" t="s">
        <v>19</v>
      </c>
      <c r="D2985" s="63">
        <v>249.05489248078618</v>
      </c>
      <c r="E2985" s="79">
        <v>1346209</v>
      </c>
      <c r="F2985" s="80">
        <v>1316011.9629629634</v>
      </c>
      <c r="G2985" s="66">
        <v>1708.4425771972635</v>
      </c>
      <c r="H2985" s="67">
        <v>2</v>
      </c>
      <c r="I2985" s="68" t="s">
        <v>20</v>
      </c>
      <c r="J2985" s="69">
        <v>40</v>
      </c>
      <c r="K2985" s="70">
        <v>2</v>
      </c>
      <c r="L2985" s="68">
        <v>1</v>
      </c>
      <c r="M2985" s="68">
        <f>_xlfn.XLOOKUP(Survey!$F2985,sections[Start],sections[Test Section],,-1,1)</f>
        <v>8</v>
      </c>
      <c r="N2985" s="55">
        <f>_xlfn.XLOOKUP(Survey!$K2985,pipedata[ID],pipedata[WT])</f>
        <v>0.74</v>
      </c>
      <c r="O2985" s="56">
        <f>_xlfn.XLOOKUP(Survey!$K2985,pipedata[ID],pipedata[104%])</f>
        <v>2565.3333333333335</v>
      </c>
      <c r="P2985" s="57">
        <f t="shared" si="46"/>
        <v>1850</v>
      </c>
      <c r="Q2985" s="58">
        <f>_xlfn.MAXIFS(Survey!$G$2:$G$3647,Survey!$M$2:$M$3647,Survey!$M2985)-Survey!$G2985</f>
        <v>1479.2669156206064</v>
      </c>
      <c r="R2985" s="59">
        <f>Survey!$P2985+(Survey!$Q2985*0.433)</f>
        <v>2490.5225744637228</v>
      </c>
    </row>
    <row r="2986" spans="1:18" x14ac:dyDescent="0.25">
      <c r="A2986" s="71" t="s">
        <v>17</v>
      </c>
      <c r="B2986" s="72" t="s">
        <v>23</v>
      </c>
      <c r="C2986" s="73" t="s">
        <v>19</v>
      </c>
      <c r="D2986" s="74">
        <v>249.06187792738456</v>
      </c>
      <c r="E2986" s="81">
        <v>1346249</v>
      </c>
      <c r="F2986" s="82">
        <v>1316050.8148148153</v>
      </c>
      <c r="G2986" s="75">
        <v>1719.081502467677</v>
      </c>
      <c r="H2986" s="76">
        <v>2</v>
      </c>
      <c r="I2986" s="54" t="s">
        <v>20</v>
      </c>
      <c r="J2986" s="77">
        <v>40</v>
      </c>
      <c r="K2986" s="78">
        <v>2</v>
      </c>
      <c r="L2986" s="54">
        <v>1</v>
      </c>
      <c r="M2986" s="54">
        <f>_xlfn.XLOOKUP(Survey!$F2986,sections[Start],sections[Test Section],,-1,1)</f>
        <v>8</v>
      </c>
      <c r="N2986" s="55">
        <f>_xlfn.XLOOKUP(Survey!$K2986,pipedata[ID],pipedata[WT])</f>
        <v>0.74</v>
      </c>
      <c r="O2986" s="56">
        <f>_xlfn.XLOOKUP(Survey!$K2986,pipedata[ID],pipedata[104%])</f>
        <v>2565.3333333333335</v>
      </c>
      <c r="P2986" s="57">
        <f t="shared" si="46"/>
        <v>1850</v>
      </c>
      <c r="Q2986" s="58">
        <f>_xlfn.MAXIFS(Survey!$G$2:$G$3647,Survey!$M$2:$M$3647,Survey!$M2986)-Survey!$G2986</f>
        <v>1468.6279903501929</v>
      </c>
      <c r="R2986" s="59">
        <f>Survey!$P2986+(Survey!$Q2986*0.433)</f>
        <v>2485.9159198216335</v>
      </c>
    </row>
    <row r="2987" spans="1:18" x14ac:dyDescent="0.25">
      <c r="A2987" s="60" t="s">
        <v>17</v>
      </c>
      <c r="B2987" s="61" t="s">
        <v>23</v>
      </c>
      <c r="C2987" s="62" t="s">
        <v>19</v>
      </c>
      <c r="D2987" s="63">
        <v>249.06944324048078</v>
      </c>
      <c r="E2987" s="79">
        <v>1346289</v>
      </c>
      <c r="F2987" s="80">
        <v>1316089.6666666672</v>
      </c>
      <c r="G2987" s="66">
        <v>1727.8250018891952</v>
      </c>
      <c r="H2987" s="67">
        <v>2</v>
      </c>
      <c r="I2987" s="68" t="s">
        <v>20</v>
      </c>
      <c r="J2987" s="69">
        <v>40</v>
      </c>
      <c r="K2987" s="70">
        <v>2</v>
      </c>
      <c r="L2987" s="68">
        <v>1</v>
      </c>
      <c r="M2987" s="68">
        <f>_xlfn.XLOOKUP(Survey!$F2987,sections[Start],sections[Test Section],,-1,1)</f>
        <v>8</v>
      </c>
      <c r="N2987" s="55">
        <f>_xlfn.XLOOKUP(Survey!$K2987,pipedata[ID],pipedata[WT])</f>
        <v>0.74</v>
      </c>
      <c r="O2987" s="56">
        <f>_xlfn.XLOOKUP(Survey!$K2987,pipedata[ID],pipedata[104%])</f>
        <v>2565.3333333333335</v>
      </c>
      <c r="P2987" s="57">
        <f t="shared" si="46"/>
        <v>1850</v>
      </c>
      <c r="Q2987" s="58">
        <f>_xlfn.MAXIFS(Survey!$G$2:$G$3647,Survey!$M$2:$M$3647,Survey!$M2987)-Survey!$G2987</f>
        <v>1459.8844909286747</v>
      </c>
      <c r="R2987" s="59">
        <f>Survey!$P2987+(Survey!$Q2987*0.433)</f>
        <v>2482.129984572116</v>
      </c>
    </row>
    <row r="2988" spans="1:18" x14ac:dyDescent="0.25">
      <c r="A2988" s="71" t="s">
        <v>17</v>
      </c>
      <c r="B2988" s="72" t="s">
        <v>23</v>
      </c>
      <c r="C2988" s="73" t="s">
        <v>19</v>
      </c>
      <c r="D2988" s="74">
        <v>249.07590554790664</v>
      </c>
      <c r="E2988" s="81">
        <v>1346329</v>
      </c>
      <c r="F2988" s="82">
        <v>1316128.5185185191</v>
      </c>
      <c r="G2988" s="75">
        <v>1739.0606610946936</v>
      </c>
      <c r="H2988" s="76">
        <v>2</v>
      </c>
      <c r="I2988" s="54" t="s">
        <v>20</v>
      </c>
      <c r="J2988" s="77">
        <v>40</v>
      </c>
      <c r="K2988" s="78">
        <v>2</v>
      </c>
      <c r="L2988" s="54">
        <v>1</v>
      </c>
      <c r="M2988" s="54">
        <f>_xlfn.XLOOKUP(Survey!$F2988,sections[Start],sections[Test Section],,-1,1)</f>
        <v>8</v>
      </c>
      <c r="N2988" s="55">
        <f>_xlfn.XLOOKUP(Survey!$K2988,pipedata[ID],pipedata[WT])</f>
        <v>0.74</v>
      </c>
      <c r="O2988" s="56">
        <f>_xlfn.XLOOKUP(Survey!$K2988,pipedata[ID],pipedata[104%])</f>
        <v>2565.3333333333335</v>
      </c>
      <c r="P2988" s="57">
        <f t="shared" si="46"/>
        <v>1850</v>
      </c>
      <c r="Q2988" s="58">
        <f>_xlfn.MAXIFS(Survey!$G$2:$G$3647,Survey!$M$2:$M$3647,Survey!$M2988)-Survey!$G2988</f>
        <v>1448.6488317231763</v>
      </c>
      <c r="R2988" s="59">
        <f>Survey!$P2988+(Survey!$Q2988*0.433)</f>
        <v>2477.2649441361355</v>
      </c>
    </row>
    <row r="2989" spans="1:18" x14ac:dyDescent="0.25">
      <c r="A2989" s="60" t="s">
        <v>17</v>
      </c>
      <c r="B2989" s="61" t="s">
        <v>23</v>
      </c>
      <c r="C2989" s="62" t="s">
        <v>19</v>
      </c>
      <c r="D2989" s="63">
        <v>249.08452195780768</v>
      </c>
      <c r="E2989" s="79">
        <v>1346369</v>
      </c>
      <c r="F2989" s="80">
        <v>1316167.370370371</v>
      </c>
      <c r="G2989" s="66">
        <v>1744.6588280862773</v>
      </c>
      <c r="H2989" s="67">
        <v>2</v>
      </c>
      <c r="I2989" s="68" t="s">
        <v>20</v>
      </c>
      <c r="J2989" s="69">
        <v>40</v>
      </c>
      <c r="K2989" s="70">
        <v>2</v>
      </c>
      <c r="L2989" s="68">
        <v>1</v>
      </c>
      <c r="M2989" s="68">
        <f>_xlfn.XLOOKUP(Survey!$F2989,sections[Start],sections[Test Section],,-1,1)</f>
        <v>8</v>
      </c>
      <c r="N2989" s="55">
        <f>_xlfn.XLOOKUP(Survey!$K2989,pipedata[ID],pipedata[WT])</f>
        <v>0.74</v>
      </c>
      <c r="O2989" s="56">
        <f>_xlfn.XLOOKUP(Survey!$K2989,pipedata[ID],pipedata[104%])</f>
        <v>2565.3333333333335</v>
      </c>
      <c r="P2989" s="57">
        <f t="shared" si="46"/>
        <v>1850</v>
      </c>
      <c r="Q2989" s="58">
        <f>_xlfn.MAXIFS(Survey!$G$2:$G$3647,Survey!$M$2:$M$3647,Survey!$M2989)-Survey!$G2989</f>
        <v>1443.0506647315926</v>
      </c>
      <c r="R2989" s="59">
        <f>Survey!$P2989+(Survey!$Q2989*0.433)</f>
        <v>2474.8409378287797</v>
      </c>
    </row>
    <row r="2990" spans="1:18" x14ac:dyDescent="0.25">
      <c r="A2990" s="71" t="s">
        <v>17</v>
      </c>
      <c r="B2990" s="72" t="s">
        <v>23</v>
      </c>
      <c r="C2990" s="73" t="s">
        <v>19</v>
      </c>
      <c r="D2990" s="74">
        <v>249.0916459583419</v>
      </c>
      <c r="E2990" s="81">
        <v>1346409</v>
      </c>
      <c r="F2990" s="82">
        <v>1316206.2222222229</v>
      </c>
      <c r="G2990" s="75">
        <v>1746.5150370712945</v>
      </c>
      <c r="H2990" s="76">
        <v>2</v>
      </c>
      <c r="I2990" s="54" t="s">
        <v>20</v>
      </c>
      <c r="J2990" s="77">
        <v>40</v>
      </c>
      <c r="K2990" s="78">
        <v>2</v>
      </c>
      <c r="L2990" s="54">
        <v>1</v>
      </c>
      <c r="M2990" s="54">
        <f>_xlfn.XLOOKUP(Survey!$F2990,sections[Start],sections[Test Section],,-1,1)</f>
        <v>8</v>
      </c>
      <c r="N2990" s="55">
        <f>_xlfn.XLOOKUP(Survey!$K2990,pipedata[ID],pipedata[WT])</f>
        <v>0.74</v>
      </c>
      <c r="O2990" s="56">
        <f>_xlfn.XLOOKUP(Survey!$K2990,pipedata[ID],pipedata[104%])</f>
        <v>2565.3333333333335</v>
      </c>
      <c r="P2990" s="57">
        <f t="shared" si="46"/>
        <v>1850</v>
      </c>
      <c r="Q2990" s="58">
        <f>_xlfn.MAXIFS(Survey!$G$2:$G$3647,Survey!$M$2:$M$3647,Survey!$M2990)-Survey!$G2990</f>
        <v>1441.1944557465754</v>
      </c>
      <c r="R2990" s="59">
        <f>Survey!$P2990+(Survey!$Q2990*0.433)</f>
        <v>2474.0371993382669</v>
      </c>
    </row>
    <row r="2991" spans="1:18" x14ac:dyDescent="0.25">
      <c r="A2991" s="60" t="s">
        <v>17</v>
      </c>
      <c r="B2991" s="61" t="s">
        <v>23</v>
      </c>
      <c r="C2991" s="62" t="s">
        <v>19</v>
      </c>
      <c r="D2991" s="63">
        <v>249.09960517168975</v>
      </c>
      <c r="E2991" s="79">
        <v>1346449</v>
      </c>
      <c r="F2991" s="80">
        <v>1316245.0740740749</v>
      </c>
      <c r="G2991" s="66">
        <v>1744.7049832470993</v>
      </c>
      <c r="H2991" s="67">
        <v>2</v>
      </c>
      <c r="I2991" s="68" t="s">
        <v>20</v>
      </c>
      <c r="J2991" s="69">
        <v>40</v>
      </c>
      <c r="K2991" s="70">
        <v>2</v>
      </c>
      <c r="L2991" s="68">
        <v>1</v>
      </c>
      <c r="M2991" s="68">
        <f>_xlfn.XLOOKUP(Survey!$F2991,sections[Start],sections[Test Section],,-1,1)</f>
        <v>8</v>
      </c>
      <c r="N2991" s="55">
        <f>_xlfn.XLOOKUP(Survey!$K2991,pipedata[ID],pipedata[WT])</f>
        <v>0.74</v>
      </c>
      <c r="O2991" s="56">
        <f>_xlfn.XLOOKUP(Survey!$K2991,pipedata[ID],pipedata[104%])</f>
        <v>2565.3333333333335</v>
      </c>
      <c r="P2991" s="57">
        <f t="shared" si="46"/>
        <v>1850</v>
      </c>
      <c r="Q2991" s="58">
        <f>_xlfn.MAXIFS(Survey!$G$2:$G$3647,Survey!$M$2:$M$3647,Survey!$M2991)-Survey!$G2991</f>
        <v>1443.0045095707706</v>
      </c>
      <c r="R2991" s="59">
        <f>Survey!$P2991+(Survey!$Q2991*0.433)</f>
        <v>2474.8209526441437</v>
      </c>
    </row>
    <row r="2992" spans="1:18" x14ac:dyDescent="0.25">
      <c r="A2992" s="71" t="s">
        <v>17</v>
      </c>
      <c r="B2992" s="72" t="s">
        <v>23</v>
      </c>
      <c r="C2992" s="73" t="s">
        <v>19</v>
      </c>
      <c r="D2992" s="74">
        <v>249.10658478561345</v>
      </c>
      <c r="E2992" s="81">
        <v>1346489</v>
      </c>
      <c r="F2992" s="82">
        <v>1316283.9259259268</v>
      </c>
      <c r="G2992" s="75">
        <v>1741.3868056665603</v>
      </c>
      <c r="H2992" s="76">
        <v>2</v>
      </c>
      <c r="I2992" s="54" t="s">
        <v>20</v>
      </c>
      <c r="J2992" s="77">
        <v>40</v>
      </c>
      <c r="K2992" s="78">
        <v>2</v>
      </c>
      <c r="L2992" s="54">
        <v>1</v>
      </c>
      <c r="M2992" s="54">
        <f>_xlfn.XLOOKUP(Survey!$F2992,sections[Start],sections[Test Section],,-1,1)</f>
        <v>8</v>
      </c>
      <c r="N2992" s="55">
        <f>_xlfn.XLOOKUP(Survey!$K2992,pipedata[ID],pipedata[WT])</f>
        <v>0.74</v>
      </c>
      <c r="O2992" s="56">
        <f>_xlfn.XLOOKUP(Survey!$K2992,pipedata[ID],pipedata[104%])</f>
        <v>2565.3333333333335</v>
      </c>
      <c r="P2992" s="57">
        <f t="shared" si="46"/>
        <v>1850</v>
      </c>
      <c r="Q2992" s="58">
        <f>_xlfn.MAXIFS(Survey!$G$2:$G$3647,Survey!$M$2:$M$3647,Survey!$M2992)-Survey!$G2992</f>
        <v>1446.3226871513095</v>
      </c>
      <c r="R2992" s="59">
        <f>Survey!$P2992+(Survey!$Q2992*0.433)</f>
        <v>2476.257723536517</v>
      </c>
    </row>
    <row r="2993" spans="1:18" x14ac:dyDescent="0.25">
      <c r="A2993" s="60" t="s">
        <v>17</v>
      </c>
      <c r="B2993" s="61" t="s">
        <v>23</v>
      </c>
      <c r="C2993" s="62" t="s">
        <v>19</v>
      </c>
      <c r="D2993" s="63">
        <v>249.11326950820839</v>
      </c>
      <c r="E2993" s="79">
        <v>1346529</v>
      </c>
      <c r="F2993" s="80">
        <v>1316322.7777777787</v>
      </c>
      <c r="G2993" s="66">
        <v>1737.103640014951</v>
      </c>
      <c r="H2993" s="67">
        <v>2</v>
      </c>
      <c r="I2993" s="68" t="s">
        <v>20</v>
      </c>
      <c r="J2993" s="69">
        <v>40</v>
      </c>
      <c r="K2993" s="70">
        <v>2</v>
      </c>
      <c r="L2993" s="68">
        <v>1</v>
      </c>
      <c r="M2993" s="68">
        <f>_xlfn.XLOOKUP(Survey!$F2993,sections[Start],sections[Test Section],,-1,1)</f>
        <v>8</v>
      </c>
      <c r="N2993" s="55">
        <f>_xlfn.XLOOKUP(Survey!$K2993,pipedata[ID],pipedata[WT])</f>
        <v>0.74</v>
      </c>
      <c r="O2993" s="56">
        <f>_xlfn.XLOOKUP(Survey!$K2993,pipedata[ID],pipedata[104%])</f>
        <v>2565.3333333333335</v>
      </c>
      <c r="P2993" s="57">
        <f t="shared" si="46"/>
        <v>1850</v>
      </c>
      <c r="Q2993" s="58">
        <f>_xlfn.MAXIFS(Survey!$G$2:$G$3647,Survey!$M$2:$M$3647,Survey!$M2993)-Survey!$G2993</f>
        <v>1450.6058528029189</v>
      </c>
      <c r="R2993" s="59">
        <f>Survey!$P2993+(Survey!$Q2993*0.433)</f>
        <v>2478.1123342636638</v>
      </c>
    </row>
    <row r="2994" spans="1:18" x14ac:dyDescent="0.25">
      <c r="A2994" s="71" t="s">
        <v>17</v>
      </c>
      <c r="B2994" s="72" t="s">
        <v>23</v>
      </c>
      <c r="C2994" s="73" t="s">
        <v>19</v>
      </c>
      <c r="D2994" s="74">
        <v>249.12167244747332</v>
      </c>
      <c r="E2994" s="81">
        <v>1346569</v>
      </c>
      <c r="F2994" s="82">
        <v>1316361.6296296306</v>
      </c>
      <c r="G2994" s="75">
        <v>1732.9259956653127</v>
      </c>
      <c r="H2994" s="76">
        <v>2</v>
      </c>
      <c r="I2994" s="54" t="s">
        <v>20</v>
      </c>
      <c r="J2994" s="77">
        <v>40</v>
      </c>
      <c r="K2994" s="78">
        <v>2</v>
      </c>
      <c r="L2994" s="54">
        <v>1</v>
      </c>
      <c r="M2994" s="54">
        <f>_xlfn.XLOOKUP(Survey!$F2994,sections[Start],sections[Test Section],,-1,1)</f>
        <v>8</v>
      </c>
      <c r="N2994" s="55">
        <f>_xlfn.XLOOKUP(Survey!$K2994,pipedata[ID],pipedata[WT])</f>
        <v>0.74</v>
      </c>
      <c r="O2994" s="56">
        <f>_xlfn.XLOOKUP(Survey!$K2994,pipedata[ID],pipedata[104%])</f>
        <v>2565.3333333333335</v>
      </c>
      <c r="P2994" s="57">
        <f t="shared" si="46"/>
        <v>1850</v>
      </c>
      <c r="Q2994" s="58">
        <f>_xlfn.MAXIFS(Survey!$G$2:$G$3647,Survey!$M$2:$M$3647,Survey!$M2994)-Survey!$G2994</f>
        <v>1454.7834971525572</v>
      </c>
      <c r="R2994" s="59">
        <f>Survey!$P2994+(Survey!$Q2994*0.433)</f>
        <v>2479.9212542670575</v>
      </c>
    </row>
    <row r="2995" spans="1:18" x14ac:dyDescent="0.25">
      <c r="A2995" s="60" t="s">
        <v>17</v>
      </c>
      <c r="B2995" s="61" t="s">
        <v>23</v>
      </c>
      <c r="C2995" s="62" t="s">
        <v>19</v>
      </c>
      <c r="D2995" s="63">
        <v>249.12853489026713</v>
      </c>
      <c r="E2995" s="79">
        <v>1346609</v>
      </c>
      <c r="F2995" s="80">
        <v>1316400.4814814825</v>
      </c>
      <c r="G2995" s="66">
        <v>1729.066033685212</v>
      </c>
      <c r="H2995" s="67">
        <v>2</v>
      </c>
      <c r="I2995" s="68" t="s">
        <v>20</v>
      </c>
      <c r="J2995" s="69">
        <v>40</v>
      </c>
      <c r="K2995" s="70">
        <v>2</v>
      </c>
      <c r="L2995" s="68">
        <v>1</v>
      </c>
      <c r="M2995" s="68">
        <f>_xlfn.XLOOKUP(Survey!$F2995,sections[Start],sections[Test Section],,-1,1)</f>
        <v>8</v>
      </c>
      <c r="N2995" s="55">
        <f>_xlfn.XLOOKUP(Survey!$K2995,pipedata[ID],pipedata[WT])</f>
        <v>0.74</v>
      </c>
      <c r="O2995" s="56">
        <f>_xlfn.XLOOKUP(Survey!$K2995,pipedata[ID],pipedata[104%])</f>
        <v>2565.3333333333335</v>
      </c>
      <c r="P2995" s="57">
        <f t="shared" si="46"/>
        <v>1850</v>
      </c>
      <c r="Q2995" s="58">
        <f>_xlfn.MAXIFS(Survey!$G$2:$G$3647,Survey!$M$2:$M$3647,Survey!$M2995)-Survey!$G2995</f>
        <v>1458.6434591326579</v>
      </c>
      <c r="R2995" s="59">
        <f>Survey!$P2995+(Survey!$Q2995*0.433)</f>
        <v>2481.592617804441</v>
      </c>
    </row>
    <row r="2996" spans="1:18" x14ac:dyDescent="0.25">
      <c r="A2996" s="71" t="s">
        <v>17</v>
      </c>
      <c r="B2996" s="72" t="s">
        <v>23</v>
      </c>
      <c r="C2996" s="73" t="s">
        <v>19</v>
      </c>
      <c r="D2996" s="74">
        <v>249.13696734822614</v>
      </c>
      <c r="E2996" s="81">
        <v>1346649</v>
      </c>
      <c r="F2996" s="82">
        <v>1316439.3333333344</v>
      </c>
      <c r="G2996" s="75">
        <v>1724.7869463092795</v>
      </c>
      <c r="H2996" s="76">
        <v>2</v>
      </c>
      <c r="I2996" s="54" t="s">
        <v>20</v>
      </c>
      <c r="J2996" s="77">
        <v>40</v>
      </c>
      <c r="K2996" s="78">
        <v>2</v>
      </c>
      <c r="L2996" s="54">
        <v>1</v>
      </c>
      <c r="M2996" s="54">
        <f>_xlfn.XLOOKUP(Survey!$F2996,sections[Start],sections[Test Section],,-1,1)</f>
        <v>8</v>
      </c>
      <c r="N2996" s="55">
        <f>_xlfn.XLOOKUP(Survey!$K2996,pipedata[ID],pipedata[WT])</f>
        <v>0.74</v>
      </c>
      <c r="O2996" s="56">
        <f>_xlfn.XLOOKUP(Survey!$K2996,pipedata[ID],pipedata[104%])</f>
        <v>2565.3333333333335</v>
      </c>
      <c r="P2996" s="57">
        <f t="shared" si="46"/>
        <v>1850</v>
      </c>
      <c r="Q2996" s="58">
        <f>_xlfn.MAXIFS(Survey!$G$2:$G$3647,Survey!$M$2:$M$3647,Survey!$M2996)-Survey!$G2996</f>
        <v>1462.9225465085904</v>
      </c>
      <c r="R2996" s="59">
        <f>Survey!$P2996+(Survey!$Q2996*0.433)</f>
        <v>2483.4454626382194</v>
      </c>
    </row>
    <row r="2997" spans="1:18" x14ac:dyDescent="0.25">
      <c r="A2997" s="60" t="s">
        <v>17</v>
      </c>
      <c r="B2997" s="61" t="s">
        <v>23</v>
      </c>
      <c r="C2997" s="62" t="s">
        <v>19</v>
      </c>
      <c r="D2997" s="63">
        <v>249.14380027232576</v>
      </c>
      <c r="E2997" s="79">
        <v>1346689</v>
      </c>
      <c r="F2997" s="80">
        <v>1316478.1851851863</v>
      </c>
      <c r="G2997" s="66">
        <v>1720.6854207436024</v>
      </c>
      <c r="H2997" s="67">
        <v>2</v>
      </c>
      <c r="I2997" s="68" t="s">
        <v>20</v>
      </c>
      <c r="J2997" s="69">
        <v>40</v>
      </c>
      <c r="K2997" s="70">
        <v>2</v>
      </c>
      <c r="L2997" s="68">
        <v>1</v>
      </c>
      <c r="M2997" s="68">
        <f>_xlfn.XLOOKUP(Survey!$F2997,sections[Start],sections[Test Section],,-1,1)</f>
        <v>8</v>
      </c>
      <c r="N2997" s="55">
        <f>_xlfn.XLOOKUP(Survey!$K2997,pipedata[ID],pipedata[WT])</f>
        <v>0.74</v>
      </c>
      <c r="O2997" s="56">
        <f>_xlfn.XLOOKUP(Survey!$K2997,pipedata[ID],pipedata[104%])</f>
        <v>2565.3333333333335</v>
      </c>
      <c r="P2997" s="57">
        <f t="shared" si="46"/>
        <v>1850</v>
      </c>
      <c r="Q2997" s="58">
        <f>_xlfn.MAXIFS(Survey!$G$2:$G$3647,Survey!$M$2:$M$3647,Survey!$M2997)-Survey!$G2997</f>
        <v>1467.0240720742675</v>
      </c>
      <c r="R2997" s="59">
        <f>Survey!$P2997+(Survey!$Q2997*0.433)</f>
        <v>2485.2214232081578</v>
      </c>
    </row>
    <row r="2998" spans="1:18" x14ac:dyDescent="0.25">
      <c r="A2998" s="71" t="s">
        <v>17</v>
      </c>
      <c r="B2998" s="72" t="s">
        <v>23</v>
      </c>
      <c r="C2998" s="73" t="s">
        <v>19</v>
      </c>
      <c r="D2998" s="74">
        <v>249.15226224897933</v>
      </c>
      <c r="E2998" s="81">
        <v>1346729</v>
      </c>
      <c r="F2998" s="82">
        <v>1316517.0370370382</v>
      </c>
      <c r="G2998" s="75">
        <v>1716.3882693634314</v>
      </c>
      <c r="H2998" s="76">
        <v>2</v>
      </c>
      <c r="I2998" s="54" t="s">
        <v>20</v>
      </c>
      <c r="J2998" s="77">
        <v>40</v>
      </c>
      <c r="K2998" s="78">
        <v>2</v>
      </c>
      <c r="L2998" s="54">
        <v>1</v>
      </c>
      <c r="M2998" s="54">
        <f>_xlfn.XLOOKUP(Survey!$F2998,sections[Start],sections[Test Section],,-1,1)</f>
        <v>8</v>
      </c>
      <c r="N2998" s="55">
        <f>_xlfn.XLOOKUP(Survey!$K2998,pipedata[ID],pipedata[WT])</f>
        <v>0.74</v>
      </c>
      <c r="O2998" s="56">
        <f>_xlfn.XLOOKUP(Survey!$K2998,pipedata[ID],pipedata[104%])</f>
        <v>2565.3333333333335</v>
      </c>
      <c r="P2998" s="57">
        <f t="shared" si="46"/>
        <v>1850</v>
      </c>
      <c r="Q2998" s="58">
        <f>_xlfn.MAXIFS(Survey!$G$2:$G$3647,Survey!$M$2:$M$3647,Survey!$M2998)-Survey!$G2998</f>
        <v>1471.3212234544385</v>
      </c>
      <c r="R2998" s="59">
        <f>Survey!$P2998+(Survey!$Q2998*0.433)</f>
        <v>2487.0820897557719</v>
      </c>
    </row>
    <row r="2999" spans="1:18" x14ac:dyDescent="0.25">
      <c r="A2999" s="60" t="s">
        <v>17</v>
      </c>
      <c r="B2999" s="61" t="s">
        <v>23</v>
      </c>
      <c r="C2999" s="62" t="s">
        <v>19</v>
      </c>
      <c r="D2999" s="63">
        <v>249.15906565438434</v>
      </c>
      <c r="E2999" s="79">
        <v>1346769</v>
      </c>
      <c r="F2999" s="80">
        <v>1316555.8888888902</v>
      </c>
      <c r="G2999" s="66">
        <v>1713.0189956836284</v>
      </c>
      <c r="H2999" s="67">
        <v>2</v>
      </c>
      <c r="I2999" s="68" t="s">
        <v>20</v>
      </c>
      <c r="J2999" s="69">
        <v>40</v>
      </c>
      <c r="K2999" s="70">
        <v>2</v>
      </c>
      <c r="L2999" s="68">
        <v>1</v>
      </c>
      <c r="M2999" s="68">
        <f>_xlfn.XLOOKUP(Survey!$F2999,sections[Start],sections[Test Section],,-1,1)</f>
        <v>8</v>
      </c>
      <c r="N2999" s="55">
        <f>_xlfn.XLOOKUP(Survey!$K2999,pipedata[ID],pipedata[WT])</f>
        <v>0.74</v>
      </c>
      <c r="O2999" s="56">
        <f>_xlfn.XLOOKUP(Survey!$K2999,pipedata[ID],pipedata[104%])</f>
        <v>2565.3333333333335</v>
      </c>
      <c r="P2999" s="57">
        <f t="shared" si="46"/>
        <v>1850</v>
      </c>
      <c r="Q2999" s="58">
        <f>_xlfn.MAXIFS(Survey!$G$2:$G$3647,Survey!$M$2:$M$3647,Survey!$M2999)-Survey!$G2999</f>
        <v>1474.6904971342415</v>
      </c>
      <c r="R2999" s="59">
        <f>Survey!$P2999+(Survey!$Q2999*0.433)</f>
        <v>2488.5409852591265</v>
      </c>
    </row>
    <row r="3000" spans="1:18" x14ac:dyDescent="0.25">
      <c r="A3000" s="71" t="s">
        <v>17</v>
      </c>
      <c r="B3000" s="72" t="s">
        <v>23</v>
      </c>
      <c r="C3000" s="73" t="s">
        <v>19</v>
      </c>
      <c r="D3000" s="74">
        <v>249.16755714973246</v>
      </c>
      <c r="E3000" s="81">
        <v>1346809</v>
      </c>
      <c r="F3000" s="82">
        <v>1316594.7407407421</v>
      </c>
      <c r="G3000" s="75">
        <v>1708.8308518374074</v>
      </c>
      <c r="H3000" s="76">
        <v>2</v>
      </c>
      <c r="I3000" s="54" t="s">
        <v>20</v>
      </c>
      <c r="J3000" s="77">
        <v>40</v>
      </c>
      <c r="K3000" s="78">
        <v>2</v>
      </c>
      <c r="L3000" s="54">
        <v>1</v>
      </c>
      <c r="M3000" s="54">
        <f>_xlfn.XLOOKUP(Survey!$F3000,sections[Start],sections[Test Section],,-1,1)</f>
        <v>8</v>
      </c>
      <c r="N3000" s="55">
        <f>_xlfn.XLOOKUP(Survey!$K3000,pipedata[ID],pipedata[WT])</f>
        <v>0.74</v>
      </c>
      <c r="O3000" s="56">
        <f>_xlfn.XLOOKUP(Survey!$K3000,pipedata[ID],pipedata[104%])</f>
        <v>2565.3333333333335</v>
      </c>
      <c r="P3000" s="57">
        <f t="shared" si="46"/>
        <v>1850</v>
      </c>
      <c r="Q3000" s="58">
        <f>_xlfn.MAXIFS(Survey!$G$2:$G$3647,Survey!$M$2:$M$3647,Survey!$M3000)-Survey!$G3000</f>
        <v>1478.8786409804625</v>
      </c>
      <c r="R3000" s="59">
        <f>Survey!$P3000+(Survey!$Q3000*0.433)</f>
        <v>2490.3544515445401</v>
      </c>
    </row>
    <row r="3001" spans="1:18" x14ac:dyDescent="0.25">
      <c r="A3001" s="60" t="s">
        <v>17</v>
      </c>
      <c r="B3001" s="61" t="s">
        <v>23</v>
      </c>
      <c r="C3001" s="62" t="s">
        <v>19</v>
      </c>
      <c r="D3001" s="63">
        <v>249.17454903135743</v>
      </c>
      <c r="E3001" s="79">
        <v>1346849</v>
      </c>
      <c r="F3001" s="80">
        <v>1316633.592592594</v>
      </c>
      <c r="G3001" s="66">
        <v>1705.8601332690969</v>
      </c>
      <c r="H3001" s="67">
        <v>2</v>
      </c>
      <c r="I3001" s="68" t="s">
        <v>20</v>
      </c>
      <c r="J3001" s="69">
        <v>40</v>
      </c>
      <c r="K3001" s="70">
        <v>2</v>
      </c>
      <c r="L3001" s="68">
        <v>1</v>
      </c>
      <c r="M3001" s="68">
        <f>_xlfn.XLOOKUP(Survey!$F3001,sections[Start],sections[Test Section],,-1,1)</f>
        <v>8</v>
      </c>
      <c r="N3001" s="55">
        <f>_xlfn.XLOOKUP(Survey!$K3001,pipedata[ID],pipedata[WT])</f>
        <v>0.74</v>
      </c>
      <c r="O3001" s="56">
        <f>_xlfn.XLOOKUP(Survey!$K3001,pipedata[ID],pipedata[104%])</f>
        <v>2565.3333333333335</v>
      </c>
      <c r="P3001" s="57">
        <f t="shared" si="46"/>
        <v>1850</v>
      </c>
      <c r="Q3001" s="58">
        <f>_xlfn.MAXIFS(Survey!$G$2:$G$3647,Survey!$M$2:$M$3647,Survey!$M3001)-Survey!$G3001</f>
        <v>1481.849359548773</v>
      </c>
      <c r="R3001" s="59">
        <f>Survey!$P3001+(Survey!$Q3001*0.433)</f>
        <v>2491.6407726846187</v>
      </c>
    </row>
    <row r="3002" spans="1:18" x14ac:dyDescent="0.25">
      <c r="A3002" s="71" t="s">
        <v>17</v>
      </c>
      <c r="B3002" s="72" t="s">
        <v>23</v>
      </c>
      <c r="C3002" s="73" t="s">
        <v>19</v>
      </c>
      <c r="D3002" s="74">
        <v>249.18196372747246</v>
      </c>
      <c r="E3002" s="81">
        <v>1346889</v>
      </c>
      <c r="F3002" s="82">
        <v>1316672.4444444459</v>
      </c>
      <c r="G3002" s="75">
        <v>1702.4761697628053</v>
      </c>
      <c r="H3002" s="76">
        <v>2</v>
      </c>
      <c r="I3002" s="54" t="s">
        <v>20</v>
      </c>
      <c r="J3002" s="77">
        <v>40</v>
      </c>
      <c r="K3002" s="78">
        <v>2</v>
      </c>
      <c r="L3002" s="54">
        <v>1</v>
      </c>
      <c r="M3002" s="54">
        <f>_xlfn.XLOOKUP(Survey!$F3002,sections[Start],sections[Test Section],,-1,1)</f>
        <v>8</v>
      </c>
      <c r="N3002" s="55">
        <f>_xlfn.XLOOKUP(Survey!$K3002,pipedata[ID],pipedata[WT])</f>
        <v>0.74</v>
      </c>
      <c r="O3002" s="56">
        <f>_xlfn.XLOOKUP(Survey!$K3002,pipedata[ID],pipedata[104%])</f>
        <v>2565.3333333333335</v>
      </c>
      <c r="P3002" s="57">
        <f t="shared" si="46"/>
        <v>1850</v>
      </c>
      <c r="Q3002" s="58">
        <f>_xlfn.MAXIFS(Survey!$G$2:$G$3647,Survey!$M$2:$M$3647,Survey!$M3002)-Survey!$G3002</f>
        <v>1485.2333230550646</v>
      </c>
      <c r="R3002" s="59">
        <f>Survey!$P3002+(Survey!$Q3002*0.433)</f>
        <v>2493.106028882843</v>
      </c>
    </row>
    <row r="3003" spans="1:18" x14ac:dyDescent="0.25">
      <c r="A3003" s="60" t="s">
        <v>17</v>
      </c>
      <c r="B3003" s="61" t="s">
        <v>23</v>
      </c>
      <c r="C3003" s="62" t="s">
        <v>19</v>
      </c>
      <c r="D3003" s="63">
        <v>249.1900842560288</v>
      </c>
      <c r="E3003" s="79">
        <v>1346929</v>
      </c>
      <c r="F3003" s="80">
        <v>1316711.2962962978</v>
      </c>
      <c r="G3003" s="66">
        <v>1698.3249350283481</v>
      </c>
      <c r="H3003" s="67">
        <v>2</v>
      </c>
      <c r="I3003" s="68" t="s">
        <v>20</v>
      </c>
      <c r="J3003" s="69">
        <v>40</v>
      </c>
      <c r="K3003" s="70">
        <v>2</v>
      </c>
      <c r="L3003" s="68">
        <v>1</v>
      </c>
      <c r="M3003" s="68">
        <f>_xlfn.XLOOKUP(Survey!$F3003,sections[Start],sections[Test Section],,-1,1)</f>
        <v>8</v>
      </c>
      <c r="N3003" s="55">
        <f>_xlfn.XLOOKUP(Survey!$K3003,pipedata[ID],pipedata[WT])</f>
        <v>0.74</v>
      </c>
      <c r="O3003" s="56">
        <f>_xlfn.XLOOKUP(Survey!$K3003,pipedata[ID],pipedata[104%])</f>
        <v>2565.3333333333335</v>
      </c>
      <c r="P3003" s="57">
        <f t="shared" si="46"/>
        <v>1850</v>
      </c>
      <c r="Q3003" s="58">
        <f>_xlfn.MAXIFS(Survey!$G$2:$G$3647,Survey!$M$2:$M$3647,Survey!$M3003)-Survey!$G3003</f>
        <v>1489.3845577895218</v>
      </c>
      <c r="R3003" s="59">
        <f>Survey!$P3003+(Survey!$Q3003*0.433)</f>
        <v>2494.9035135228628</v>
      </c>
    </row>
    <row r="3004" spans="1:18" x14ac:dyDescent="0.25">
      <c r="A3004" s="71" t="s">
        <v>17</v>
      </c>
      <c r="B3004" s="72" t="s">
        <v>23</v>
      </c>
      <c r="C3004" s="73" t="s">
        <v>19</v>
      </c>
      <c r="D3004" s="74">
        <v>249.19722910953092</v>
      </c>
      <c r="E3004" s="81">
        <v>1346969</v>
      </c>
      <c r="F3004" s="82">
        <v>1316750.1481481497</v>
      </c>
      <c r="G3004" s="75">
        <v>1695.0221636756789</v>
      </c>
      <c r="H3004" s="76">
        <v>2</v>
      </c>
      <c r="I3004" s="54" t="s">
        <v>20</v>
      </c>
      <c r="J3004" s="77">
        <v>40</v>
      </c>
      <c r="K3004" s="78">
        <v>2</v>
      </c>
      <c r="L3004" s="54">
        <v>1</v>
      </c>
      <c r="M3004" s="54">
        <f>_xlfn.XLOOKUP(Survey!$F3004,sections[Start],sections[Test Section],,-1,1)</f>
        <v>8</v>
      </c>
      <c r="N3004" s="55">
        <f>_xlfn.XLOOKUP(Survey!$K3004,pipedata[ID],pipedata[WT])</f>
        <v>0.74</v>
      </c>
      <c r="O3004" s="56">
        <f>_xlfn.XLOOKUP(Survey!$K3004,pipedata[ID],pipedata[104%])</f>
        <v>2565.3333333333335</v>
      </c>
      <c r="P3004" s="57">
        <f t="shared" si="46"/>
        <v>1850</v>
      </c>
      <c r="Q3004" s="58">
        <f>_xlfn.MAXIFS(Survey!$G$2:$G$3647,Survey!$M$2:$M$3647,Survey!$M3004)-Survey!$G3004</f>
        <v>1492.6873291421909</v>
      </c>
      <c r="R3004" s="59">
        <f>Survey!$P3004+(Survey!$Q3004*0.433)</f>
        <v>2496.3336135185687</v>
      </c>
    </row>
    <row r="3005" spans="1:18" x14ac:dyDescent="0.25">
      <c r="A3005" s="60" t="s">
        <v>17</v>
      </c>
      <c r="B3005" s="61" t="s">
        <v>23</v>
      </c>
      <c r="C3005" s="62" t="s">
        <v>19</v>
      </c>
      <c r="D3005" s="63">
        <v>249.20486180056028</v>
      </c>
      <c r="E3005" s="79">
        <v>1347009</v>
      </c>
      <c r="F3005" s="80">
        <v>1316789.0000000016</v>
      </c>
      <c r="G3005" s="66">
        <v>1691.6625461791532</v>
      </c>
      <c r="H3005" s="67">
        <v>2</v>
      </c>
      <c r="I3005" s="68" t="s">
        <v>20</v>
      </c>
      <c r="J3005" s="69">
        <v>40</v>
      </c>
      <c r="K3005" s="70">
        <v>2</v>
      </c>
      <c r="L3005" s="68">
        <v>1</v>
      </c>
      <c r="M3005" s="68">
        <f>_xlfn.XLOOKUP(Survey!$F3005,sections[Start],sections[Test Section],,-1,1)</f>
        <v>8</v>
      </c>
      <c r="N3005" s="55">
        <f>_xlfn.XLOOKUP(Survey!$K3005,pipedata[ID],pipedata[WT])</f>
        <v>0.74</v>
      </c>
      <c r="O3005" s="56">
        <f>_xlfn.XLOOKUP(Survey!$K3005,pipedata[ID],pipedata[104%])</f>
        <v>2565.3333333333335</v>
      </c>
      <c r="P3005" s="57">
        <f t="shared" si="46"/>
        <v>1850</v>
      </c>
      <c r="Q3005" s="58">
        <f>_xlfn.MAXIFS(Survey!$G$2:$G$3647,Survey!$M$2:$M$3647,Survey!$M3005)-Survey!$G3005</f>
        <v>1496.0469466387167</v>
      </c>
      <c r="R3005" s="59">
        <f>Survey!$P3005+(Survey!$Q3005*0.433)</f>
        <v>2497.7883278945642</v>
      </c>
    </row>
    <row r="3006" spans="1:18" x14ac:dyDescent="0.25">
      <c r="A3006" s="71" t="s">
        <v>17</v>
      </c>
      <c r="B3006" s="72" t="s">
        <v>23</v>
      </c>
      <c r="C3006" s="73" t="s">
        <v>19</v>
      </c>
      <c r="D3006" s="74">
        <v>249.21249449158958</v>
      </c>
      <c r="E3006" s="81">
        <v>1347049</v>
      </c>
      <c r="F3006" s="82">
        <v>1316827.8518518535</v>
      </c>
      <c r="G3006" s="75">
        <v>1689.0368676721348</v>
      </c>
      <c r="H3006" s="76">
        <v>2</v>
      </c>
      <c r="I3006" s="54" t="s">
        <v>20</v>
      </c>
      <c r="J3006" s="77">
        <v>40</v>
      </c>
      <c r="K3006" s="78">
        <v>2</v>
      </c>
      <c r="L3006" s="54">
        <v>1</v>
      </c>
      <c r="M3006" s="54">
        <f>_xlfn.XLOOKUP(Survey!$F3006,sections[Start],sections[Test Section],,-1,1)</f>
        <v>8</v>
      </c>
      <c r="N3006" s="55">
        <f>_xlfn.XLOOKUP(Survey!$K3006,pipedata[ID],pipedata[WT])</f>
        <v>0.74</v>
      </c>
      <c r="O3006" s="56">
        <f>_xlfn.XLOOKUP(Survey!$K3006,pipedata[ID],pipedata[104%])</f>
        <v>2565.3333333333335</v>
      </c>
      <c r="P3006" s="57">
        <f t="shared" si="46"/>
        <v>1850</v>
      </c>
      <c r="Q3006" s="58">
        <f>_xlfn.MAXIFS(Survey!$G$2:$G$3647,Survey!$M$2:$M$3647,Survey!$M3006)-Survey!$G3006</f>
        <v>1498.6726251457351</v>
      </c>
      <c r="R3006" s="59">
        <f>Survey!$P3006+(Survey!$Q3006*0.433)</f>
        <v>2498.9252466881035</v>
      </c>
    </row>
    <row r="3007" spans="1:18" x14ac:dyDescent="0.25">
      <c r="A3007" s="60" t="s">
        <v>17</v>
      </c>
      <c r="B3007" s="61" t="s">
        <v>23</v>
      </c>
      <c r="C3007" s="62" t="s">
        <v>19</v>
      </c>
      <c r="D3007" s="63">
        <v>249.22023958566081</v>
      </c>
      <c r="E3007" s="79">
        <v>1347089</v>
      </c>
      <c r="F3007" s="80">
        <v>1316866.7037037055</v>
      </c>
      <c r="G3007" s="66">
        <v>1685.1145295777599</v>
      </c>
      <c r="H3007" s="67">
        <v>2</v>
      </c>
      <c r="I3007" s="68" t="s">
        <v>20</v>
      </c>
      <c r="J3007" s="69">
        <v>40</v>
      </c>
      <c r="K3007" s="70">
        <v>2</v>
      </c>
      <c r="L3007" s="68">
        <v>1</v>
      </c>
      <c r="M3007" s="68">
        <f>_xlfn.XLOOKUP(Survey!$F3007,sections[Start],sections[Test Section],,-1,1)</f>
        <v>8</v>
      </c>
      <c r="N3007" s="55">
        <f>_xlfn.XLOOKUP(Survey!$K3007,pipedata[ID],pipedata[WT])</f>
        <v>0.74</v>
      </c>
      <c r="O3007" s="56">
        <f>_xlfn.XLOOKUP(Survey!$K3007,pipedata[ID],pipedata[104%])</f>
        <v>2565.3333333333335</v>
      </c>
      <c r="P3007" s="57">
        <f t="shared" si="46"/>
        <v>1850</v>
      </c>
      <c r="Q3007" s="58">
        <f>_xlfn.MAXIFS(Survey!$G$2:$G$3647,Survey!$M$2:$M$3647,Survey!$M3007)-Survey!$G3007</f>
        <v>1502.59496324011</v>
      </c>
      <c r="R3007" s="59">
        <f>Survey!$P3007+(Survey!$Q3007*0.433)</f>
        <v>2500.6236190829677</v>
      </c>
    </row>
    <row r="3008" spans="1:18" x14ac:dyDescent="0.25">
      <c r="A3008" s="71" t="s">
        <v>17</v>
      </c>
      <c r="B3008" s="72" t="s">
        <v>23</v>
      </c>
      <c r="C3008" s="73" t="s">
        <v>19</v>
      </c>
      <c r="D3008" s="74">
        <v>249.22775987364813</v>
      </c>
      <c r="E3008" s="81">
        <v>1347129</v>
      </c>
      <c r="F3008" s="82">
        <v>1316905.5555555574</v>
      </c>
      <c r="G3008" s="75">
        <v>1681.6720637774915</v>
      </c>
      <c r="H3008" s="76">
        <v>2</v>
      </c>
      <c r="I3008" s="54" t="s">
        <v>20</v>
      </c>
      <c r="J3008" s="77">
        <v>40</v>
      </c>
      <c r="K3008" s="78">
        <v>2</v>
      </c>
      <c r="L3008" s="54">
        <v>1</v>
      </c>
      <c r="M3008" s="54">
        <f>_xlfn.XLOOKUP(Survey!$F3008,sections[Start],sections[Test Section],,-1,1)</f>
        <v>8</v>
      </c>
      <c r="N3008" s="55">
        <f>_xlfn.XLOOKUP(Survey!$K3008,pipedata[ID],pipedata[WT])</f>
        <v>0.74</v>
      </c>
      <c r="O3008" s="56">
        <f>_xlfn.XLOOKUP(Survey!$K3008,pipedata[ID],pipedata[104%])</f>
        <v>2565.3333333333335</v>
      </c>
      <c r="P3008" s="57">
        <f t="shared" si="46"/>
        <v>1850</v>
      </c>
      <c r="Q3008" s="58">
        <f>_xlfn.MAXIFS(Survey!$G$2:$G$3647,Survey!$M$2:$M$3647,Survey!$M3008)-Survey!$G3008</f>
        <v>1506.0374290403784</v>
      </c>
      <c r="R3008" s="59">
        <f>Survey!$P3008+(Survey!$Q3008*0.433)</f>
        <v>2502.114206774484</v>
      </c>
    </row>
    <row r="3009" spans="1:18" x14ac:dyDescent="0.25">
      <c r="A3009" s="60" t="s">
        <v>17</v>
      </c>
      <c r="B3009" s="61" t="s">
        <v>23</v>
      </c>
      <c r="C3009" s="62" t="s">
        <v>19</v>
      </c>
      <c r="D3009" s="63">
        <v>249.2353925646774</v>
      </c>
      <c r="E3009" s="79">
        <v>1347169</v>
      </c>
      <c r="F3009" s="80">
        <v>1316944.4074074093</v>
      </c>
      <c r="G3009" s="66">
        <v>1677.7079579816368</v>
      </c>
      <c r="H3009" s="67">
        <v>2</v>
      </c>
      <c r="I3009" s="68" t="s">
        <v>20</v>
      </c>
      <c r="J3009" s="69">
        <v>40</v>
      </c>
      <c r="K3009" s="70">
        <v>2</v>
      </c>
      <c r="L3009" s="68">
        <v>1</v>
      </c>
      <c r="M3009" s="68">
        <f>_xlfn.XLOOKUP(Survey!$F3009,sections[Start],sections[Test Section],,-1,1)</f>
        <v>8</v>
      </c>
      <c r="N3009" s="55">
        <f>_xlfn.XLOOKUP(Survey!$K3009,pipedata[ID],pipedata[WT])</f>
        <v>0.74</v>
      </c>
      <c r="O3009" s="56">
        <f>_xlfn.XLOOKUP(Survey!$K3009,pipedata[ID],pipedata[104%])</f>
        <v>2565.3333333333335</v>
      </c>
      <c r="P3009" s="57">
        <f t="shared" si="46"/>
        <v>1850</v>
      </c>
      <c r="Q3009" s="58">
        <f>_xlfn.MAXIFS(Survey!$G$2:$G$3647,Survey!$M$2:$M$3647,Survey!$M3009)-Survey!$G3009</f>
        <v>1510.0015348362331</v>
      </c>
      <c r="R3009" s="59">
        <f>Survey!$P3009+(Survey!$Q3009*0.433)</f>
        <v>2503.8306645840889</v>
      </c>
    </row>
    <row r="3010" spans="1:18" x14ac:dyDescent="0.25">
      <c r="A3010" s="71" t="s">
        <v>17</v>
      </c>
      <c r="B3010" s="72" t="s">
        <v>23</v>
      </c>
      <c r="C3010" s="73" t="s">
        <v>19</v>
      </c>
      <c r="D3010" s="74">
        <v>249.2430252557067</v>
      </c>
      <c r="E3010" s="81">
        <v>1347209</v>
      </c>
      <c r="F3010" s="82">
        <v>1316983.2592592612</v>
      </c>
      <c r="G3010" s="75">
        <v>1674.2937091877163</v>
      </c>
      <c r="H3010" s="76">
        <v>2</v>
      </c>
      <c r="I3010" s="54" t="s">
        <v>20</v>
      </c>
      <c r="J3010" s="77">
        <v>40</v>
      </c>
      <c r="K3010" s="78">
        <v>2</v>
      </c>
      <c r="L3010" s="54">
        <v>1</v>
      </c>
      <c r="M3010" s="54">
        <f>_xlfn.XLOOKUP(Survey!$F3010,sections[Start],sections[Test Section],,-1,1)</f>
        <v>8</v>
      </c>
      <c r="N3010" s="55">
        <f>_xlfn.XLOOKUP(Survey!$K3010,pipedata[ID],pipedata[WT])</f>
        <v>0.74</v>
      </c>
      <c r="O3010" s="56">
        <f>_xlfn.XLOOKUP(Survey!$K3010,pipedata[ID],pipedata[104%])</f>
        <v>2565.3333333333335</v>
      </c>
      <c r="P3010" s="57">
        <f t="shared" ref="P3010:P3073" si="47">IF(L3010=1,1850,IF(L3010=2,1850,2220))</f>
        <v>1850</v>
      </c>
      <c r="Q3010" s="58">
        <f>_xlfn.MAXIFS(Survey!$G$2:$G$3647,Survey!$M$2:$M$3647,Survey!$M3010)-Survey!$G3010</f>
        <v>1513.4157836301536</v>
      </c>
      <c r="R3010" s="59">
        <f>Survey!$P3010+(Survey!$Q3010*0.433)</f>
        <v>2505.3090343118565</v>
      </c>
    </row>
    <row r="3011" spans="1:18" x14ac:dyDescent="0.25">
      <c r="A3011" s="60" t="s">
        <v>17</v>
      </c>
      <c r="B3011" s="61" t="s">
        <v>23</v>
      </c>
      <c r="C3011" s="62" t="s">
        <v>19</v>
      </c>
      <c r="D3011" s="63">
        <v>249.24912995374999</v>
      </c>
      <c r="E3011" s="79">
        <v>1347249</v>
      </c>
      <c r="F3011" s="80">
        <v>1317022.1111111131</v>
      </c>
      <c r="G3011" s="66">
        <v>1670.4797924387476</v>
      </c>
      <c r="H3011" s="67">
        <v>2</v>
      </c>
      <c r="I3011" s="68" t="s">
        <v>20</v>
      </c>
      <c r="J3011" s="69">
        <v>40</v>
      </c>
      <c r="K3011" s="70">
        <v>2</v>
      </c>
      <c r="L3011" s="68">
        <v>1</v>
      </c>
      <c r="M3011" s="68">
        <f>_xlfn.XLOOKUP(Survey!$F3011,sections[Start],sections[Test Section],,-1,1)</f>
        <v>8</v>
      </c>
      <c r="N3011" s="55">
        <f>_xlfn.XLOOKUP(Survey!$K3011,pipedata[ID],pipedata[WT])</f>
        <v>0.74</v>
      </c>
      <c r="O3011" s="56">
        <f>_xlfn.XLOOKUP(Survey!$K3011,pipedata[ID],pipedata[104%])</f>
        <v>2565.3333333333335</v>
      </c>
      <c r="P3011" s="57">
        <f t="shared" si="47"/>
        <v>1850</v>
      </c>
      <c r="Q3011" s="58">
        <f>_xlfn.MAXIFS(Survey!$G$2:$G$3647,Survey!$M$2:$M$3647,Survey!$M3011)-Survey!$G3011</f>
        <v>1517.2297003791223</v>
      </c>
      <c r="R3011" s="59">
        <f>Survey!$P3011+(Survey!$Q3011*0.433)</f>
        <v>2506.9604602641598</v>
      </c>
    </row>
    <row r="3012" spans="1:18" x14ac:dyDescent="0.25">
      <c r="A3012" s="71" t="s">
        <v>17</v>
      </c>
      <c r="B3012" s="72" t="s">
        <v>23</v>
      </c>
      <c r="C3012" s="73" t="s">
        <v>19</v>
      </c>
      <c r="D3012" s="74">
        <v>249.25762712083525</v>
      </c>
      <c r="E3012" s="81">
        <v>1347289</v>
      </c>
      <c r="F3012" s="82">
        <v>1317060.962962965</v>
      </c>
      <c r="G3012" s="75">
        <v>1666.4104389569945</v>
      </c>
      <c r="H3012" s="76">
        <v>2</v>
      </c>
      <c r="I3012" s="54" t="s">
        <v>20</v>
      </c>
      <c r="J3012" s="77">
        <v>40</v>
      </c>
      <c r="K3012" s="78">
        <v>2</v>
      </c>
      <c r="L3012" s="54">
        <v>1</v>
      </c>
      <c r="M3012" s="54">
        <f>_xlfn.XLOOKUP(Survey!$F3012,sections[Start],sections[Test Section],,-1,1)</f>
        <v>8</v>
      </c>
      <c r="N3012" s="55">
        <f>_xlfn.XLOOKUP(Survey!$K3012,pipedata[ID],pipedata[WT])</f>
        <v>0.74</v>
      </c>
      <c r="O3012" s="56">
        <f>_xlfn.XLOOKUP(Survey!$K3012,pipedata[ID],pipedata[104%])</f>
        <v>2565.3333333333335</v>
      </c>
      <c r="P3012" s="57">
        <f t="shared" si="47"/>
        <v>1850</v>
      </c>
      <c r="Q3012" s="58">
        <f>_xlfn.MAXIFS(Survey!$G$2:$G$3647,Survey!$M$2:$M$3647,Survey!$M3012)-Survey!$G3012</f>
        <v>1521.2990538608753</v>
      </c>
      <c r="R3012" s="59">
        <f>Survey!$P3012+(Survey!$Q3012*0.433)</f>
        <v>2508.7224903217589</v>
      </c>
    </row>
    <row r="3013" spans="1:18" x14ac:dyDescent="0.25">
      <c r="A3013" s="60" t="s">
        <v>17</v>
      </c>
      <c r="B3013" s="61" t="s">
        <v>23</v>
      </c>
      <c r="C3013" s="62" t="s">
        <v>19</v>
      </c>
      <c r="D3013" s="63">
        <v>249.26442485450374</v>
      </c>
      <c r="E3013" s="79">
        <v>1347329</v>
      </c>
      <c r="F3013" s="80">
        <v>1317099.8148148169</v>
      </c>
      <c r="G3013" s="66">
        <v>1662.9696890263035</v>
      </c>
      <c r="H3013" s="67">
        <v>2</v>
      </c>
      <c r="I3013" s="68" t="s">
        <v>20</v>
      </c>
      <c r="J3013" s="69">
        <v>40</v>
      </c>
      <c r="K3013" s="70">
        <v>2</v>
      </c>
      <c r="L3013" s="68">
        <v>1</v>
      </c>
      <c r="M3013" s="68">
        <f>_xlfn.XLOOKUP(Survey!$F3013,sections[Start],sections[Test Section],,-1,1)</f>
        <v>8</v>
      </c>
      <c r="N3013" s="55">
        <f>_xlfn.XLOOKUP(Survey!$K3013,pipedata[ID],pipedata[WT])</f>
        <v>0.74</v>
      </c>
      <c r="O3013" s="56">
        <f>_xlfn.XLOOKUP(Survey!$K3013,pipedata[ID],pipedata[104%])</f>
        <v>2565.3333333333335</v>
      </c>
      <c r="P3013" s="57">
        <f t="shared" si="47"/>
        <v>1850</v>
      </c>
      <c r="Q3013" s="58">
        <f>_xlfn.MAXIFS(Survey!$G$2:$G$3647,Survey!$M$2:$M$3647,Survey!$M3013)-Survey!$G3013</f>
        <v>1524.7398037915664</v>
      </c>
      <c r="R3013" s="59">
        <f>Survey!$P3013+(Survey!$Q3013*0.433)</f>
        <v>2510.2123350417482</v>
      </c>
    </row>
    <row r="3014" spans="1:18" x14ac:dyDescent="0.25">
      <c r="A3014" s="71" t="s">
        <v>17</v>
      </c>
      <c r="B3014" s="72" t="s">
        <v>23</v>
      </c>
      <c r="C3014" s="73" t="s">
        <v>19</v>
      </c>
      <c r="D3014" s="74">
        <v>249.27292202158881</v>
      </c>
      <c r="E3014" s="81">
        <v>1347369</v>
      </c>
      <c r="F3014" s="82">
        <v>1317138.6666666688</v>
      </c>
      <c r="G3014" s="75">
        <v>1659.610994102193</v>
      </c>
      <c r="H3014" s="76">
        <v>2</v>
      </c>
      <c r="I3014" s="54" t="s">
        <v>20</v>
      </c>
      <c r="J3014" s="77">
        <v>40</v>
      </c>
      <c r="K3014" s="78">
        <v>2</v>
      </c>
      <c r="L3014" s="54">
        <v>1</v>
      </c>
      <c r="M3014" s="54">
        <f>_xlfn.XLOOKUP(Survey!$F3014,sections[Start],sections[Test Section],,-1,1)</f>
        <v>8</v>
      </c>
      <c r="N3014" s="55">
        <f>_xlfn.XLOOKUP(Survey!$K3014,pipedata[ID],pipedata[WT])</f>
        <v>0.74</v>
      </c>
      <c r="O3014" s="56">
        <f>_xlfn.XLOOKUP(Survey!$K3014,pipedata[ID],pipedata[104%])</f>
        <v>2565.3333333333335</v>
      </c>
      <c r="P3014" s="57">
        <f t="shared" si="47"/>
        <v>1850</v>
      </c>
      <c r="Q3014" s="58">
        <f>_xlfn.MAXIFS(Survey!$G$2:$G$3647,Survey!$M$2:$M$3647,Survey!$M3014)-Survey!$G3014</f>
        <v>1528.0984987156769</v>
      </c>
      <c r="R3014" s="59">
        <f>Survey!$P3014+(Survey!$Q3014*0.433)</f>
        <v>2511.6666499438879</v>
      </c>
    </row>
    <row r="3015" spans="1:18" x14ac:dyDescent="0.25">
      <c r="A3015" s="60" t="s">
        <v>17</v>
      </c>
      <c r="B3015" s="61" t="s">
        <v>23</v>
      </c>
      <c r="C3015" s="62" t="s">
        <v>19</v>
      </c>
      <c r="D3015" s="63">
        <v>249.27971975525676</v>
      </c>
      <c r="E3015" s="64">
        <v>1347409</v>
      </c>
      <c r="F3015" s="65">
        <v>1317177.5185185208</v>
      </c>
      <c r="G3015" s="66">
        <v>1655.5529055046845</v>
      </c>
      <c r="H3015" s="67">
        <v>2</v>
      </c>
      <c r="I3015" s="68" t="s">
        <v>20</v>
      </c>
      <c r="J3015" s="69">
        <v>40</v>
      </c>
      <c r="K3015" s="70">
        <v>2</v>
      </c>
      <c r="L3015" s="68">
        <v>1</v>
      </c>
      <c r="M3015" s="68">
        <f>_xlfn.XLOOKUP(Survey!$F3015,sections[Start],sections[Test Section],,-1,1)</f>
        <v>8</v>
      </c>
      <c r="N3015" s="55">
        <f>_xlfn.XLOOKUP(Survey!$K3015,pipedata[ID],pipedata[WT])</f>
        <v>0.74</v>
      </c>
      <c r="O3015" s="56">
        <f>_xlfn.XLOOKUP(Survey!$K3015,pipedata[ID],pipedata[104%])</f>
        <v>2565.3333333333335</v>
      </c>
      <c r="P3015" s="57">
        <f t="shared" si="47"/>
        <v>1850</v>
      </c>
      <c r="Q3015" s="58">
        <f>_xlfn.MAXIFS(Survey!$G$2:$G$3647,Survey!$M$2:$M$3647,Survey!$M3015)-Survey!$G3015</f>
        <v>1532.1565873131854</v>
      </c>
      <c r="R3015" s="59">
        <f>Survey!$P3015+(Survey!$Q3015*0.433)</f>
        <v>2513.4238023066091</v>
      </c>
    </row>
    <row r="3016" spans="1:18" x14ac:dyDescent="0.25">
      <c r="A3016" s="71" t="s">
        <v>17</v>
      </c>
      <c r="B3016" s="72" t="s">
        <v>23</v>
      </c>
      <c r="C3016" s="73" t="s">
        <v>19</v>
      </c>
      <c r="D3016" s="74">
        <v>249.2874197989716</v>
      </c>
      <c r="E3016" s="64">
        <v>1347449</v>
      </c>
      <c r="F3016" s="65">
        <v>1317216.3703703727</v>
      </c>
      <c r="G3016" s="75">
        <v>1652.6106194202557</v>
      </c>
      <c r="H3016" s="76">
        <v>2</v>
      </c>
      <c r="I3016" s="54" t="s">
        <v>20</v>
      </c>
      <c r="J3016" s="77">
        <v>40</v>
      </c>
      <c r="K3016" s="78">
        <v>2</v>
      </c>
      <c r="L3016" s="54">
        <v>1</v>
      </c>
      <c r="M3016" s="54">
        <f>_xlfn.XLOOKUP(Survey!$F3016,sections[Start],sections[Test Section],,-1,1)</f>
        <v>8</v>
      </c>
      <c r="N3016" s="55">
        <f>_xlfn.XLOOKUP(Survey!$K3016,pipedata[ID],pipedata[WT])</f>
        <v>0.74</v>
      </c>
      <c r="O3016" s="56">
        <f>_xlfn.XLOOKUP(Survey!$K3016,pipedata[ID],pipedata[104%])</f>
        <v>2565.3333333333335</v>
      </c>
      <c r="P3016" s="57">
        <f t="shared" si="47"/>
        <v>1850</v>
      </c>
      <c r="Q3016" s="58">
        <f>_xlfn.MAXIFS(Survey!$G$2:$G$3647,Survey!$M$2:$M$3647,Survey!$M3016)-Survey!$G3016</f>
        <v>1535.0988733976142</v>
      </c>
      <c r="R3016" s="59">
        <f>Survey!$P3016+(Survey!$Q3016*0.433)</f>
        <v>2514.6978121811671</v>
      </c>
    </row>
    <row r="3017" spans="1:18" x14ac:dyDescent="0.25">
      <c r="A3017" s="60" t="s">
        <v>17</v>
      </c>
      <c r="B3017" s="61" t="s">
        <v>23</v>
      </c>
      <c r="C3017" s="62" t="s">
        <v>19</v>
      </c>
      <c r="D3017" s="63">
        <v>249.29501465600995</v>
      </c>
      <c r="E3017" s="79">
        <v>1347489</v>
      </c>
      <c r="F3017" s="80">
        <v>1317255.2222222246</v>
      </c>
      <c r="G3017" s="66">
        <v>1649.3513416848632</v>
      </c>
      <c r="H3017" s="67">
        <v>2</v>
      </c>
      <c r="I3017" s="68" t="s">
        <v>20</v>
      </c>
      <c r="J3017" s="69">
        <v>40</v>
      </c>
      <c r="K3017" s="70">
        <v>2</v>
      </c>
      <c r="L3017" s="68">
        <v>1</v>
      </c>
      <c r="M3017" s="68">
        <f>_xlfn.XLOOKUP(Survey!$F3017,sections[Start],sections[Test Section],,-1,1)</f>
        <v>8</v>
      </c>
      <c r="N3017" s="55">
        <f>_xlfn.XLOOKUP(Survey!$K3017,pipedata[ID],pipedata[WT])</f>
        <v>0.74</v>
      </c>
      <c r="O3017" s="56">
        <f>_xlfn.XLOOKUP(Survey!$K3017,pipedata[ID],pipedata[104%])</f>
        <v>2565.3333333333335</v>
      </c>
      <c r="P3017" s="57">
        <f t="shared" si="47"/>
        <v>1850</v>
      </c>
      <c r="Q3017" s="58">
        <f>_xlfn.MAXIFS(Survey!$G$2:$G$3647,Survey!$M$2:$M$3647,Survey!$M3017)-Survey!$G3017</f>
        <v>1538.3581511330067</v>
      </c>
      <c r="R3017" s="59">
        <f>Survey!$P3017+(Survey!$Q3017*0.433)</f>
        <v>2516.1090794405918</v>
      </c>
    </row>
    <row r="3018" spans="1:18" x14ac:dyDescent="0.25">
      <c r="A3018" s="71" t="s">
        <v>17</v>
      </c>
      <c r="B3018" s="72" t="s">
        <v>23</v>
      </c>
      <c r="C3018" s="73" t="s">
        <v>19</v>
      </c>
      <c r="D3018" s="74">
        <v>249.30217861118399</v>
      </c>
      <c r="E3018" s="81">
        <v>1347529</v>
      </c>
      <c r="F3018" s="82">
        <v>1317294.0740740765</v>
      </c>
      <c r="G3018" s="75">
        <v>1645.8250842810396</v>
      </c>
      <c r="H3018" s="76">
        <v>2</v>
      </c>
      <c r="I3018" s="54" t="s">
        <v>20</v>
      </c>
      <c r="J3018" s="77">
        <v>40</v>
      </c>
      <c r="K3018" s="78">
        <v>2</v>
      </c>
      <c r="L3018" s="54">
        <v>1</v>
      </c>
      <c r="M3018" s="54">
        <f>_xlfn.XLOOKUP(Survey!$F3018,sections[Start],sections[Test Section],,-1,1)</f>
        <v>8</v>
      </c>
      <c r="N3018" s="55">
        <f>_xlfn.XLOOKUP(Survey!$K3018,pipedata[ID],pipedata[WT])</f>
        <v>0.74</v>
      </c>
      <c r="O3018" s="56">
        <f>_xlfn.XLOOKUP(Survey!$K3018,pipedata[ID],pipedata[104%])</f>
        <v>2565.3333333333335</v>
      </c>
      <c r="P3018" s="57">
        <f t="shared" si="47"/>
        <v>1850</v>
      </c>
      <c r="Q3018" s="58">
        <f>_xlfn.MAXIFS(Survey!$G$2:$G$3647,Survey!$M$2:$M$3647,Survey!$M3018)-Survey!$G3018</f>
        <v>1541.8844085368303</v>
      </c>
      <c r="R3018" s="59">
        <f>Survey!$P3018+(Survey!$Q3018*0.433)</f>
        <v>2517.6359488964476</v>
      </c>
    </row>
    <row r="3019" spans="1:18" x14ac:dyDescent="0.25">
      <c r="A3019" s="60" t="s">
        <v>17</v>
      </c>
      <c r="B3019" s="61" t="s">
        <v>23</v>
      </c>
      <c r="C3019" s="62" t="s">
        <v>19</v>
      </c>
      <c r="D3019" s="63">
        <v>249.31030955676323</v>
      </c>
      <c r="E3019" s="79">
        <v>1347569</v>
      </c>
      <c r="F3019" s="80">
        <v>1317332.9259259284</v>
      </c>
      <c r="G3019" s="66">
        <v>1643.1097004987487</v>
      </c>
      <c r="H3019" s="67">
        <v>2</v>
      </c>
      <c r="I3019" s="68" t="s">
        <v>20</v>
      </c>
      <c r="J3019" s="69">
        <v>40</v>
      </c>
      <c r="K3019" s="70">
        <v>2</v>
      </c>
      <c r="L3019" s="68">
        <v>1</v>
      </c>
      <c r="M3019" s="68">
        <f>_xlfn.XLOOKUP(Survey!$F3019,sections[Start],sections[Test Section],,-1,1)</f>
        <v>8</v>
      </c>
      <c r="N3019" s="55">
        <f>_xlfn.XLOOKUP(Survey!$K3019,pipedata[ID],pipedata[WT])</f>
        <v>0.74</v>
      </c>
      <c r="O3019" s="56">
        <f>_xlfn.XLOOKUP(Survey!$K3019,pipedata[ID],pipedata[104%])</f>
        <v>2565.3333333333335</v>
      </c>
      <c r="P3019" s="57">
        <f t="shared" si="47"/>
        <v>1850</v>
      </c>
      <c r="Q3019" s="58">
        <f>_xlfn.MAXIFS(Survey!$G$2:$G$3647,Survey!$M$2:$M$3647,Survey!$M3019)-Survey!$G3019</f>
        <v>1544.5997923191212</v>
      </c>
      <c r="R3019" s="59">
        <f>Survey!$P3019+(Survey!$Q3019*0.433)</f>
        <v>2518.8117100741792</v>
      </c>
    </row>
    <row r="3020" spans="1:18" x14ac:dyDescent="0.25">
      <c r="A3020" s="71" t="s">
        <v>17</v>
      </c>
      <c r="B3020" s="72" t="s">
        <v>23</v>
      </c>
      <c r="C3020" s="73" t="s">
        <v>19</v>
      </c>
      <c r="D3020" s="74">
        <v>249.31744399324251</v>
      </c>
      <c r="E3020" s="81">
        <v>1347609</v>
      </c>
      <c r="F3020" s="82">
        <v>1317371.7777777803</v>
      </c>
      <c r="G3020" s="75">
        <v>1640.6384959923419</v>
      </c>
      <c r="H3020" s="76">
        <v>2</v>
      </c>
      <c r="I3020" s="54" t="s">
        <v>20</v>
      </c>
      <c r="J3020" s="77">
        <v>40</v>
      </c>
      <c r="K3020" s="78">
        <v>2</v>
      </c>
      <c r="L3020" s="54">
        <v>1</v>
      </c>
      <c r="M3020" s="54">
        <f>_xlfn.XLOOKUP(Survey!$F3020,sections[Start],sections[Test Section],,-1,1)</f>
        <v>8</v>
      </c>
      <c r="N3020" s="55">
        <f>_xlfn.XLOOKUP(Survey!$K3020,pipedata[ID],pipedata[WT])</f>
        <v>0.74</v>
      </c>
      <c r="O3020" s="56">
        <f>_xlfn.XLOOKUP(Survey!$K3020,pipedata[ID],pipedata[104%])</f>
        <v>2565.3333333333335</v>
      </c>
      <c r="P3020" s="57">
        <f t="shared" si="47"/>
        <v>1850</v>
      </c>
      <c r="Q3020" s="58">
        <f>_xlfn.MAXIFS(Survey!$G$2:$G$3647,Survey!$M$2:$M$3647,Survey!$M3020)-Survey!$G3020</f>
        <v>1547.070996825528</v>
      </c>
      <c r="R3020" s="59">
        <f>Survey!$P3020+(Survey!$Q3020*0.433)</f>
        <v>2519.8817416254537</v>
      </c>
    </row>
    <row r="3021" spans="1:18" x14ac:dyDescent="0.25">
      <c r="A3021" s="60" t="s">
        <v>17</v>
      </c>
      <c r="B3021" s="61" t="s">
        <v>23</v>
      </c>
      <c r="C3021" s="62" t="s">
        <v>19</v>
      </c>
      <c r="D3021" s="63">
        <v>249.32560445751676</v>
      </c>
      <c r="E3021" s="79">
        <v>1347649</v>
      </c>
      <c r="F3021" s="80">
        <v>1317410.6296296322</v>
      </c>
      <c r="G3021" s="66">
        <v>1637.4700641809095</v>
      </c>
      <c r="H3021" s="67">
        <v>2</v>
      </c>
      <c r="I3021" s="68" t="s">
        <v>20</v>
      </c>
      <c r="J3021" s="69">
        <v>40</v>
      </c>
      <c r="K3021" s="70">
        <v>2</v>
      </c>
      <c r="L3021" s="68">
        <v>1</v>
      </c>
      <c r="M3021" s="68">
        <f>_xlfn.XLOOKUP(Survey!$F3021,sections[Start],sections[Test Section],,-1,1)</f>
        <v>8</v>
      </c>
      <c r="N3021" s="55">
        <f>_xlfn.XLOOKUP(Survey!$K3021,pipedata[ID],pipedata[WT])</f>
        <v>0.74</v>
      </c>
      <c r="O3021" s="56">
        <f>_xlfn.XLOOKUP(Survey!$K3021,pipedata[ID],pipedata[104%])</f>
        <v>2565.3333333333335</v>
      </c>
      <c r="P3021" s="57">
        <f t="shared" si="47"/>
        <v>1850</v>
      </c>
      <c r="Q3021" s="58">
        <f>_xlfn.MAXIFS(Survey!$G$2:$G$3647,Survey!$M$2:$M$3647,Survey!$M3021)-Survey!$G3021</f>
        <v>1550.2394286369604</v>
      </c>
      <c r="R3021" s="59">
        <f>Survey!$P3021+(Survey!$Q3021*0.433)</f>
        <v>2521.2536725998038</v>
      </c>
    </row>
    <row r="3022" spans="1:18" x14ac:dyDescent="0.25">
      <c r="A3022" s="71" t="s">
        <v>17</v>
      </c>
      <c r="B3022" s="72" t="s">
        <v>23</v>
      </c>
      <c r="C3022" s="73" t="s">
        <v>19</v>
      </c>
      <c r="D3022" s="74">
        <v>249.33270937530099</v>
      </c>
      <c r="E3022" s="81">
        <v>1347689</v>
      </c>
      <c r="F3022" s="82">
        <v>1317449.4814814841</v>
      </c>
      <c r="G3022" s="75">
        <v>1634.5355364474569</v>
      </c>
      <c r="H3022" s="76">
        <v>2</v>
      </c>
      <c r="I3022" s="54" t="s">
        <v>20</v>
      </c>
      <c r="J3022" s="77">
        <v>40</v>
      </c>
      <c r="K3022" s="78">
        <v>2</v>
      </c>
      <c r="L3022" s="54">
        <v>1</v>
      </c>
      <c r="M3022" s="54">
        <f>_xlfn.XLOOKUP(Survey!$F3022,sections[Start],sections[Test Section],,-1,1)</f>
        <v>8</v>
      </c>
      <c r="N3022" s="55">
        <f>_xlfn.XLOOKUP(Survey!$K3022,pipedata[ID],pipedata[WT])</f>
        <v>0.74</v>
      </c>
      <c r="O3022" s="56">
        <f>_xlfn.XLOOKUP(Survey!$K3022,pipedata[ID],pipedata[104%])</f>
        <v>2565.3333333333335</v>
      </c>
      <c r="P3022" s="57">
        <f t="shared" si="47"/>
        <v>1850</v>
      </c>
      <c r="Q3022" s="58">
        <f>_xlfn.MAXIFS(Survey!$G$2:$G$3647,Survey!$M$2:$M$3647,Survey!$M3022)-Survey!$G3022</f>
        <v>1553.173956370413</v>
      </c>
      <c r="R3022" s="59">
        <f>Survey!$P3022+(Survey!$Q3022*0.433)</f>
        <v>2522.5243231083887</v>
      </c>
    </row>
    <row r="3023" spans="1:18" x14ac:dyDescent="0.25">
      <c r="A3023" s="60" t="s">
        <v>17</v>
      </c>
      <c r="B3023" s="61" t="s">
        <v>23</v>
      </c>
      <c r="C3023" s="62" t="s">
        <v>19</v>
      </c>
      <c r="D3023" s="63">
        <v>249.34089935826964</v>
      </c>
      <c r="E3023" s="79">
        <v>1347729</v>
      </c>
      <c r="F3023" s="80">
        <v>1317488.333333336</v>
      </c>
      <c r="G3023" s="66">
        <v>1631.4019243217633</v>
      </c>
      <c r="H3023" s="67">
        <v>2</v>
      </c>
      <c r="I3023" s="68" t="s">
        <v>20</v>
      </c>
      <c r="J3023" s="69">
        <v>40</v>
      </c>
      <c r="K3023" s="70">
        <v>2</v>
      </c>
      <c r="L3023" s="68">
        <v>1</v>
      </c>
      <c r="M3023" s="68">
        <f>_xlfn.XLOOKUP(Survey!$F3023,sections[Start],sections[Test Section],,-1,1)</f>
        <v>8</v>
      </c>
      <c r="N3023" s="55">
        <f>_xlfn.XLOOKUP(Survey!$K3023,pipedata[ID],pipedata[WT])</f>
        <v>0.74</v>
      </c>
      <c r="O3023" s="56">
        <f>_xlfn.XLOOKUP(Survey!$K3023,pipedata[ID],pipedata[104%])</f>
        <v>2565.3333333333335</v>
      </c>
      <c r="P3023" s="57">
        <f t="shared" si="47"/>
        <v>1850</v>
      </c>
      <c r="Q3023" s="58">
        <f>_xlfn.MAXIFS(Survey!$G$2:$G$3647,Survey!$M$2:$M$3647,Survey!$M3023)-Survey!$G3023</f>
        <v>1556.3075684961066</v>
      </c>
      <c r="R3023" s="59">
        <f>Survey!$P3023+(Survey!$Q3023*0.433)</f>
        <v>2523.8811771588144</v>
      </c>
    </row>
    <row r="3024" spans="1:18" x14ac:dyDescent="0.25">
      <c r="A3024" s="71" t="s">
        <v>17</v>
      </c>
      <c r="B3024" s="72" t="s">
        <v>23</v>
      </c>
      <c r="C3024" s="73" t="s">
        <v>19</v>
      </c>
      <c r="D3024" s="74">
        <v>249.34797475735982</v>
      </c>
      <c r="E3024" s="81">
        <v>1347769</v>
      </c>
      <c r="F3024" s="82">
        <v>1317527.185185188</v>
      </c>
      <c r="G3024" s="75">
        <v>1627.3652106987429</v>
      </c>
      <c r="H3024" s="76">
        <v>2</v>
      </c>
      <c r="I3024" s="54" t="s">
        <v>20</v>
      </c>
      <c r="J3024" s="77">
        <v>40</v>
      </c>
      <c r="K3024" s="78">
        <v>2</v>
      </c>
      <c r="L3024" s="54">
        <v>1</v>
      </c>
      <c r="M3024" s="54">
        <f>_xlfn.XLOOKUP(Survey!$F3024,sections[Start],sections[Test Section],,-1,1)</f>
        <v>8</v>
      </c>
      <c r="N3024" s="55">
        <f>_xlfn.XLOOKUP(Survey!$K3024,pipedata[ID],pipedata[WT])</f>
        <v>0.74</v>
      </c>
      <c r="O3024" s="56">
        <f>_xlfn.XLOOKUP(Survey!$K3024,pipedata[ID],pipedata[104%])</f>
        <v>2565.3333333333335</v>
      </c>
      <c r="P3024" s="57">
        <f t="shared" si="47"/>
        <v>1850</v>
      </c>
      <c r="Q3024" s="58">
        <f>_xlfn.MAXIFS(Survey!$G$2:$G$3647,Survey!$M$2:$M$3647,Survey!$M3024)-Survey!$G3024</f>
        <v>1560.344282119127</v>
      </c>
      <c r="R3024" s="59">
        <f>Survey!$P3024+(Survey!$Q3024*0.433)</f>
        <v>2525.6290741575822</v>
      </c>
    </row>
    <row r="3025" spans="1:18" x14ac:dyDescent="0.25">
      <c r="A3025" s="60" t="s">
        <v>17</v>
      </c>
      <c r="B3025" s="61" t="s">
        <v>23</v>
      </c>
      <c r="C3025" s="62" t="s">
        <v>19</v>
      </c>
      <c r="D3025" s="63">
        <v>249.35602082403918</v>
      </c>
      <c r="E3025" s="79">
        <v>1347809</v>
      </c>
      <c r="F3025" s="80">
        <v>1317566.0370370399</v>
      </c>
      <c r="G3025" s="66">
        <v>1623.8636016372498</v>
      </c>
      <c r="H3025" s="67">
        <v>2</v>
      </c>
      <c r="I3025" s="68" t="s">
        <v>20</v>
      </c>
      <c r="J3025" s="69">
        <v>40</v>
      </c>
      <c r="K3025" s="70">
        <v>2</v>
      </c>
      <c r="L3025" s="68">
        <v>1</v>
      </c>
      <c r="M3025" s="68">
        <f>_xlfn.XLOOKUP(Survey!$F3025,sections[Start],sections[Test Section],,-1,1)</f>
        <v>8</v>
      </c>
      <c r="N3025" s="55">
        <f>_xlfn.XLOOKUP(Survey!$K3025,pipedata[ID],pipedata[WT])</f>
        <v>0.74</v>
      </c>
      <c r="O3025" s="56">
        <f>_xlfn.XLOOKUP(Survey!$K3025,pipedata[ID],pipedata[104%])</f>
        <v>2565.3333333333335</v>
      </c>
      <c r="P3025" s="57">
        <f t="shared" si="47"/>
        <v>1850</v>
      </c>
      <c r="Q3025" s="58">
        <f>_xlfn.MAXIFS(Survey!$G$2:$G$3647,Survey!$M$2:$M$3647,Survey!$M3025)-Survey!$G3025</f>
        <v>1563.8458911806201</v>
      </c>
      <c r="R3025" s="59">
        <f>Survey!$P3025+(Survey!$Q3025*0.433)</f>
        <v>2527.1452708812085</v>
      </c>
    </row>
    <row r="3026" spans="1:18" x14ac:dyDescent="0.25">
      <c r="A3026" s="71" t="s">
        <v>17</v>
      </c>
      <c r="B3026" s="72" t="s">
        <v>23</v>
      </c>
      <c r="C3026" s="73" t="s">
        <v>19</v>
      </c>
      <c r="D3026" s="74">
        <v>249.36354168630109</v>
      </c>
      <c r="E3026" s="81">
        <v>1347849</v>
      </c>
      <c r="F3026" s="82">
        <v>1317604.8888888918</v>
      </c>
      <c r="G3026" s="75">
        <v>1620.8383052693057</v>
      </c>
      <c r="H3026" s="76">
        <v>2</v>
      </c>
      <c r="I3026" s="54" t="s">
        <v>20</v>
      </c>
      <c r="J3026" s="77">
        <v>40</v>
      </c>
      <c r="K3026" s="78">
        <v>2</v>
      </c>
      <c r="L3026" s="54">
        <v>1</v>
      </c>
      <c r="M3026" s="54">
        <f>_xlfn.XLOOKUP(Survey!$F3026,sections[Start],sections[Test Section],,-1,1)</f>
        <v>8</v>
      </c>
      <c r="N3026" s="55">
        <f>_xlfn.XLOOKUP(Survey!$K3026,pipedata[ID],pipedata[WT])</f>
        <v>0.74</v>
      </c>
      <c r="O3026" s="56">
        <f>_xlfn.XLOOKUP(Survey!$K3026,pipedata[ID],pipedata[104%])</f>
        <v>2565.3333333333335</v>
      </c>
      <c r="P3026" s="57">
        <f t="shared" si="47"/>
        <v>1850</v>
      </c>
      <c r="Q3026" s="58">
        <f>_xlfn.MAXIFS(Survey!$G$2:$G$3647,Survey!$M$2:$M$3647,Survey!$M3026)-Survey!$G3026</f>
        <v>1566.8711875485642</v>
      </c>
      <c r="R3026" s="59">
        <f>Survey!$P3026+(Survey!$Q3026*0.433)</f>
        <v>2528.4552242085283</v>
      </c>
    </row>
    <row r="3027" spans="1:18" x14ac:dyDescent="0.25">
      <c r="A3027" s="60" t="s">
        <v>17</v>
      </c>
      <c r="B3027" s="61" t="s">
        <v>23</v>
      </c>
      <c r="C3027" s="62" t="s">
        <v>19</v>
      </c>
      <c r="D3027" s="63">
        <v>249.37102968971391</v>
      </c>
      <c r="E3027" s="79">
        <v>1347889</v>
      </c>
      <c r="F3027" s="80">
        <v>1317643.7407407437</v>
      </c>
      <c r="G3027" s="66">
        <v>1618.2531077403737</v>
      </c>
      <c r="H3027" s="67">
        <v>2</v>
      </c>
      <c r="I3027" s="68" t="s">
        <v>20</v>
      </c>
      <c r="J3027" s="69">
        <v>40</v>
      </c>
      <c r="K3027" s="70">
        <v>2</v>
      </c>
      <c r="L3027" s="68">
        <v>1</v>
      </c>
      <c r="M3027" s="68">
        <f>_xlfn.XLOOKUP(Survey!$F3027,sections[Start],sections[Test Section],,-1,1)</f>
        <v>8</v>
      </c>
      <c r="N3027" s="55">
        <f>_xlfn.XLOOKUP(Survey!$K3027,pipedata[ID],pipedata[WT])</f>
        <v>0.74</v>
      </c>
      <c r="O3027" s="56">
        <f>_xlfn.XLOOKUP(Survey!$K3027,pipedata[ID],pipedata[104%])</f>
        <v>2565.3333333333335</v>
      </c>
      <c r="P3027" s="57">
        <f t="shared" si="47"/>
        <v>1850</v>
      </c>
      <c r="Q3027" s="58">
        <f>_xlfn.MAXIFS(Survey!$G$2:$G$3647,Survey!$M$2:$M$3647,Survey!$M3027)-Survey!$G3027</f>
        <v>1569.4563850774962</v>
      </c>
      <c r="R3027" s="59">
        <f>Survey!$P3027+(Survey!$Q3027*0.433)</f>
        <v>2529.5746147385557</v>
      </c>
    </row>
    <row r="3028" spans="1:18" x14ac:dyDescent="0.25">
      <c r="A3028" s="71" t="s">
        <v>17</v>
      </c>
      <c r="B3028" s="72" t="s">
        <v>23</v>
      </c>
      <c r="C3028" s="73" t="s">
        <v>19</v>
      </c>
      <c r="D3028" s="74">
        <v>249.37728368410916</v>
      </c>
      <c r="E3028" s="81">
        <v>1347929</v>
      </c>
      <c r="F3028" s="82">
        <v>1317682.5925925956</v>
      </c>
      <c r="G3028" s="75">
        <v>1615.5425252485998</v>
      </c>
      <c r="H3028" s="76">
        <v>2</v>
      </c>
      <c r="I3028" s="54" t="s">
        <v>20</v>
      </c>
      <c r="J3028" s="77">
        <v>40</v>
      </c>
      <c r="K3028" s="78">
        <v>2</v>
      </c>
      <c r="L3028" s="54">
        <v>1</v>
      </c>
      <c r="M3028" s="54">
        <f>_xlfn.XLOOKUP(Survey!$F3028,sections[Start],sections[Test Section],,-1,1)</f>
        <v>8</v>
      </c>
      <c r="N3028" s="55">
        <f>_xlfn.XLOOKUP(Survey!$K3028,pipedata[ID],pipedata[WT])</f>
        <v>0.74</v>
      </c>
      <c r="O3028" s="56">
        <f>_xlfn.XLOOKUP(Survey!$K3028,pipedata[ID],pipedata[104%])</f>
        <v>2565.3333333333335</v>
      </c>
      <c r="P3028" s="57">
        <f t="shared" si="47"/>
        <v>1850</v>
      </c>
      <c r="Q3028" s="58">
        <f>_xlfn.MAXIFS(Survey!$G$2:$G$3647,Survey!$M$2:$M$3647,Survey!$M3028)-Survey!$G3028</f>
        <v>1572.1669675692701</v>
      </c>
      <c r="R3028" s="59">
        <f>Survey!$P3028+(Survey!$Q3028*0.433)</f>
        <v>2530.7482969574939</v>
      </c>
    </row>
    <row r="3029" spans="1:18" x14ac:dyDescent="0.25">
      <c r="A3029" s="60" t="s">
        <v>17</v>
      </c>
      <c r="B3029" s="61" t="s">
        <v>23</v>
      </c>
      <c r="C3029" s="62" t="s">
        <v>19</v>
      </c>
      <c r="D3029" s="63">
        <v>249.38525725663581</v>
      </c>
      <c r="E3029" s="79">
        <v>1347969</v>
      </c>
      <c r="F3029" s="80">
        <v>1317721.4444444475</v>
      </c>
      <c r="G3029" s="66">
        <v>1612.8634187115804</v>
      </c>
      <c r="H3029" s="67">
        <v>2</v>
      </c>
      <c r="I3029" s="68" t="s">
        <v>20</v>
      </c>
      <c r="J3029" s="69">
        <v>40</v>
      </c>
      <c r="K3029" s="70">
        <v>2</v>
      </c>
      <c r="L3029" s="68">
        <v>1</v>
      </c>
      <c r="M3029" s="68">
        <f>_xlfn.XLOOKUP(Survey!$F3029,sections[Start],sections[Test Section],,-1,1)</f>
        <v>8</v>
      </c>
      <c r="N3029" s="55">
        <f>_xlfn.XLOOKUP(Survey!$K3029,pipedata[ID],pipedata[WT])</f>
        <v>0.74</v>
      </c>
      <c r="O3029" s="56">
        <f>_xlfn.XLOOKUP(Survey!$K3029,pipedata[ID],pipedata[104%])</f>
        <v>2565.3333333333335</v>
      </c>
      <c r="P3029" s="57">
        <f t="shared" si="47"/>
        <v>1850</v>
      </c>
      <c r="Q3029" s="58">
        <f>_xlfn.MAXIFS(Survey!$G$2:$G$3647,Survey!$M$2:$M$3647,Survey!$M3029)-Survey!$G3029</f>
        <v>1574.8460741062895</v>
      </c>
      <c r="R3029" s="59">
        <f>Survey!$P3029+(Survey!$Q3029*0.433)</f>
        <v>2531.9083500880233</v>
      </c>
    </row>
    <row r="3030" spans="1:18" x14ac:dyDescent="0.25">
      <c r="A3030" s="71" t="s">
        <v>17</v>
      </c>
      <c r="B3030" s="72" t="s">
        <v>23</v>
      </c>
      <c r="C3030" s="73" t="s">
        <v>19</v>
      </c>
      <c r="D3030" s="74">
        <v>249.39323082916155</v>
      </c>
      <c r="E3030" s="81">
        <v>1348009</v>
      </c>
      <c r="F3030" s="82">
        <v>1317760.2962962994</v>
      </c>
      <c r="G3030" s="75">
        <v>1610.1978079034689</v>
      </c>
      <c r="H3030" s="76">
        <v>2</v>
      </c>
      <c r="I3030" s="54" t="s">
        <v>20</v>
      </c>
      <c r="J3030" s="77">
        <v>6</v>
      </c>
      <c r="K3030" s="78">
        <v>2</v>
      </c>
      <c r="L3030" s="54">
        <v>1</v>
      </c>
      <c r="M3030" s="54">
        <f>_xlfn.XLOOKUP(Survey!$F3030,sections[Start],sections[Test Section],,-1,1)</f>
        <v>8</v>
      </c>
      <c r="N3030" s="55">
        <f>_xlfn.XLOOKUP(Survey!$K3030,pipedata[ID],pipedata[WT])</f>
        <v>0.74</v>
      </c>
      <c r="O3030" s="56">
        <f>_xlfn.XLOOKUP(Survey!$K3030,pipedata[ID],pipedata[104%])</f>
        <v>2565.3333333333335</v>
      </c>
      <c r="P3030" s="57">
        <f t="shared" si="47"/>
        <v>1850</v>
      </c>
      <c r="Q3030" s="58">
        <f>_xlfn.MAXIFS(Survey!$G$2:$G$3647,Survey!$M$2:$M$3647,Survey!$M3030)-Survey!$G3030</f>
        <v>1577.511684914401</v>
      </c>
      <c r="R3030" s="59">
        <f>Survey!$P3030+(Survey!$Q3030*0.433)</f>
        <v>2533.0625595679358</v>
      </c>
    </row>
    <row r="3031" spans="1:18" x14ac:dyDescent="0.25">
      <c r="A3031" s="60" t="s">
        <v>17</v>
      </c>
      <c r="B3031" s="61" t="s">
        <v>23</v>
      </c>
      <c r="C3031" s="62" t="s">
        <v>19</v>
      </c>
      <c r="D3031" s="63">
        <v>249.40120440168778</v>
      </c>
      <c r="E3031" s="79">
        <v>1348015</v>
      </c>
      <c r="F3031" s="80">
        <v>1317838</v>
      </c>
      <c r="G3031" s="66">
        <v>1605.4418776630121</v>
      </c>
      <c r="H3031" s="67">
        <v>3</v>
      </c>
      <c r="I3031" s="68" t="s">
        <v>20</v>
      </c>
      <c r="J3031" s="69">
        <v>74</v>
      </c>
      <c r="K3031" s="70">
        <v>3</v>
      </c>
      <c r="L3031" s="68">
        <v>1</v>
      </c>
      <c r="M3031" s="68">
        <f>_xlfn.XLOOKUP(Survey!$F3031,sections[Start],sections[Test Section],,-1,1)</f>
        <v>8</v>
      </c>
      <c r="N3031" s="55">
        <f>_xlfn.XLOOKUP(Survey!$K3031,pipedata[ID],pipedata[WT])</f>
        <v>0.88800000000000001</v>
      </c>
      <c r="O3031" s="56">
        <f>_xlfn.XLOOKUP(Survey!$K3031,pipedata[ID],pipedata[104%])</f>
        <v>3078.4</v>
      </c>
      <c r="P3031" s="57">
        <f t="shared" si="47"/>
        <v>1850</v>
      </c>
      <c r="Q3031" s="58">
        <f>_xlfn.MAXIFS(Survey!$G$2:$G$3647,Survey!$M$2:$M$3647,Survey!$M3031)-Survey!$G3031</f>
        <v>1582.2676151548578</v>
      </c>
      <c r="R3031" s="59">
        <f>Survey!$P3031+(Survey!$Q3031*0.433)</f>
        <v>2535.1218773620535</v>
      </c>
    </row>
    <row r="3032" spans="1:18" x14ac:dyDescent="0.25">
      <c r="A3032" s="71" t="s">
        <v>17</v>
      </c>
      <c r="B3032" s="72" t="s">
        <v>23</v>
      </c>
      <c r="C3032" s="73" t="s">
        <v>19</v>
      </c>
      <c r="D3032" s="74">
        <v>249.40858537671193</v>
      </c>
      <c r="E3032" s="81">
        <v>1348089</v>
      </c>
      <c r="F3032" s="82">
        <v>1317877.6304347827</v>
      </c>
      <c r="G3032" s="75">
        <v>1603.2569652045077</v>
      </c>
      <c r="H3032" s="76">
        <v>3</v>
      </c>
      <c r="I3032" s="54" t="s">
        <v>20</v>
      </c>
      <c r="J3032" s="77">
        <v>40</v>
      </c>
      <c r="K3032" s="78">
        <v>3</v>
      </c>
      <c r="L3032" s="54">
        <v>1</v>
      </c>
      <c r="M3032" s="54">
        <f>_xlfn.XLOOKUP(Survey!$F3032,sections[Start],sections[Test Section],,-1,1)</f>
        <v>8</v>
      </c>
      <c r="N3032" s="55">
        <f>_xlfn.XLOOKUP(Survey!$K3032,pipedata[ID],pipedata[WT])</f>
        <v>0.88800000000000001</v>
      </c>
      <c r="O3032" s="56">
        <f>_xlfn.XLOOKUP(Survey!$K3032,pipedata[ID],pipedata[104%])</f>
        <v>3078.4</v>
      </c>
      <c r="P3032" s="57">
        <f t="shared" si="47"/>
        <v>1850</v>
      </c>
      <c r="Q3032" s="58">
        <f>_xlfn.MAXIFS(Survey!$G$2:$G$3647,Survey!$M$2:$M$3647,Survey!$M3032)-Survey!$G3032</f>
        <v>1584.4525276133622</v>
      </c>
      <c r="R3032" s="59">
        <f>Survey!$P3032+(Survey!$Q3032*0.433)</f>
        <v>2536.0679444565858</v>
      </c>
    </row>
    <row r="3033" spans="1:18" x14ac:dyDescent="0.25">
      <c r="A3033" s="60" t="s">
        <v>17</v>
      </c>
      <c r="B3033" s="61" t="s">
        <v>23</v>
      </c>
      <c r="C3033" s="62" t="s">
        <v>19</v>
      </c>
      <c r="D3033" s="63">
        <v>249.41641906200067</v>
      </c>
      <c r="E3033" s="79">
        <v>1348129</v>
      </c>
      <c r="F3033" s="80">
        <v>1317917.2608695654</v>
      </c>
      <c r="G3033" s="66">
        <v>1600.2934187115852</v>
      </c>
      <c r="H3033" s="67">
        <v>3</v>
      </c>
      <c r="I3033" s="68" t="s">
        <v>20</v>
      </c>
      <c r="J3033" s="69">
        <v>40</v>
      </c>
      <c r="K3033" s="70">
        <v>3</v>
      </c>
      <c r="L3033" s="68">
        <v>1</v>
      </c>
      <c r="M3033" s="68">
        <f>_xlfn.XLOOKUP(Survey!$F3033,sections[Start],sections[Test Section],,-1,1)</f>
        <v>8</v>
      </c>
      <c r="N3033" s="55">
        <f>_xlfn.XLOOKUP(Survey!$K3033,pipedata[ID],pipedata[WT])</f>
        <v>0.88800000000000001</v>
      </c>
      <c r="O3033" s="56">
        <f>_xlfn.XLOOKUP(Survey!$K3033,pipedata[ID],pipedata[104%])</f>
        <v>3078.4</v>
      </c>
      <c r="P3033" s="57">
        <f t="shared" si="47"/>
        <v>1850</v>
      </c>
      <c r="Q3033" s="58">
        <f>_xlfn.MAXIFS(Survey!$G$2:$G$3647,Survey!$M$2:$M$3647,Survey!$M3033)-Survey!$G3033</f>
        <v>1587.4160741062847</v>
      </c>
      <c r="R3033" s="59">
        <f>Survey!$P3033+(Survey!$Q3033*0.433)</f>
        <v>2537.3511600880211</v>
      </c>
    </row>
    <row r="3034" spans="1:18" x14ac:dyDescent="0.25">
      <c r="A3034" s="71" t="s">
        <v>17</v>
      </c>
      <c r="B3034" s="72" t="s">
        <v>23</v>
      </c>
      <c r="C3034" s="73" t="s">
        <v>19</v>
      </c>
      <c r="D3034" s="74">
        <v>249.42425274728956</v>
      </c>
      <c r="E3034" s="81">
        <v>1348169</v>
      </c>
      <c r="F3034" s="82">
        <v>1317956.8913043481</v>
      </c>
      <c r="G3034" s="75">
        <v>1598.0330751933063</v>
      </c>
      <c r="H3034" s="76">
        <v>3</v>
      </c>
      <c r="I3034" s="54" t="s">
        <v>20</v>
      </c>
      <c r="J3034" s="77">
        <v>40</v>
      </c>
      <c r="K3034" s="78">
        <v>3</v>
      </c>
      <c r="L3034" s="54">
        <v>1</v>
      </c>
      <c r="M3034" s="54">
        <f>_xlfn.XLOOKUP(Survey!$F3034,sections[Start],sections[Test Section],,-1,1)</f>
        <v>8</v>
      </c>
      <c r="N3034" s="55">
        <f>_xlfn.XLOOKUP(Survey!$K3034,pipedata[ID],pipedata[WT])</f>
        <v>0.88800000000000001</v>
      </c>
      <c r="O3034" s="56">
        <f>_xlfn.XLOOKUP(Survey!$K3034,pipedata[ID],pipedata[104%])</f>
        <v>3078.4</v>
      </c>
      <c r="P3034" s="57">
        <f t="shared" si="47"/>
        <v>1850</v>
      </c>
      <c r="Q3034" s="58">
        <f>_xlfn.MAXIFS(Survey!$G$2:$G$3647,Survey!$M$2:$M$3647,Survey!$M3034)-Survey!$G3034</f>
        <v>1589.6764176245636</v>
      </c>
      <c r="R3034" s="59">
        <f>Survey!$P3034+(Survey!$Q3034*0.433)</f>
        <v>2538.3298888314362</v>
      </c>
    </row>
    <row r="3035" spans="1:18" x14ac:dyDescent="0.25">
      <c r="A3035" s="60" t="s">
        <v>17</v>
      </c>
      <c r="B3035" s="61" t="s">
        <v>23</v>
      </c>
      <c r="C3035" s="62" t="s">
        <v>19</v>
      </c>
      <c r="D3035" s="63">
        <v>249.43044083428398</v>
      </c>
      <c r="E3035" s="79">
        <v>1348209</v>
      </c>
      <c r="F3035" s="80">
        <v>1317996.5217391308</v>
      </c>
      <c r="G3035" s="66">
        <v>1595.166997751362</v>
      </c>
      <c r="H3035" s="67">
        <v>3</v>
      </c>
      <c r="I3035" s="68" t="s">
        <v>20</v>
      </c>
      <c r="J3035" s="69">
        <v>40</v>
      </c>
      <c r="K3035" s="70">
        <v>3</v>
      </c>
      <c r="L3035" s="68">
        <v>1</v>
      </c>
      <c r="M3035" s="68">
        <f>_xlfn.XLOOKUP(Survey!$F3035,sections[Start],sections[Test Section],,-1,1)</f>
        <v>8</v>
      </c>
      <c r="N3035" s="55">
        <f>_xlfn.XLOOKUP(Survey!$K3035,pipedata[ID],pipedata[WT])</f>
        <v>0.88800000000000001</v>
      </c>
      <c r="O3035" s="56">
        <f>_xlfn.XLOOKUP(Survey!$K3035,pipedata[ID],pipedata[104%])</f>
        <v>3078.4</v>
      </c>
      <c r="P3035" s="57">
        <f t="shared" si="47"/>
        <v>1850</v>
      </c>
      <c r="Q3035" s="58">
        <f>_xlfn.MAXIFS(Survey!$G$2:$G$3647,Survey!$M$2:$M$3647,Survey!$M3035)-Survey!$G3035</f>
        <v>1592.5424950665079</v>
      </c>
      <c r="R3035" s="59">
        <f>Survey!$P3035+(Survey!$Q3035*0.433)</f>
        <v>2539.570900363798</v>
      </c>
    </row>
    <row r="3036" spans="1:18" x14ac:dyDescent="0.25">
      <c r="A3036" s="71" t="s">
        <v>17</v>
      </c>
      <c r="B3036" s="72" t="s">
        <v>23</v>
      </c>
      <c r="C3036" s="73" t="s">
        <v>19</v>
      </c>
      <c r="D3036" s="74">
        <v>249.43841440681024</v>
      </c>
      <c r="E3036" s="81">
        <v>1348249</v>
      </c>
      <c r="F3036" s="82">
        <v>1318036.1521739135</v>
      </c>
      <c r="G3036" s="75">
        <v>1592.3466352376108</v>
      </c>
      <c r="H3036" s="76">
        <v>3</v>
      </c>
      <c r="I3036" s="54" t="s">
        <v>20</v>
      </c>
      <c r="J3036" s="77">
        <v>40</v>
      </c>
      <c r="K3036" s="78">
        <v>3</v>
      </c>
      <c r="L3036" s="54">
        <v>1</v>
      </c>
      <c r="M3036" s="54">
        <f>_xlfn.XLOOKUP(Survey!$F3036,sections[Start],sections[Test Section],,-1,1)</f>
        <v>8</v>
      </c>
      <c r="N3036" s="55">
        <f>_xlfn.XLOOKUP(Survey!$K3036,pipedata[ID],pipedata[WT])</f>
        <v>0.88800000000000001</v>
      </c>
      <c r="O3036" s="56">
        <f>_xlfn.XLOOKUP(Survey!$K3036,pipedata[ID],pipedata[104%])</f>
        <v>3078.4</v>
      </c>
      <c r="P3036" s="57">
        <f t="shared" si="47"/>
        <v>1850</v>
      </c>
      <c r="Q3036" s="58">
        <f>_xlfn.MAXIFS(Survey!$G$2:$G$3647,Survey!$M$2:$M$3647,Survey!$M3036)-Survey!$G3036</f>
        <v>1595.3628575802591</v>
      </c>
      <c r="R3036" s="59">
        <f>Survey!$P3036+(Survey!$Q3036*0.433)</f>
        <v>2540.792117332252</v>
      </c>
    </row>
    <row r="3037" spans="1:18" x14ac:dyDescent="0.25">
      <c r="A3037" s="60" t="s">
        <v>17</v>
      </c>
      <c r="B3037" s="61" t="s">
        <v>23</v>
      </c>
      <c r="C3037" s="62" t="s">
        <v>19</v>
      </c>
      <c r="D3037" s="63">
        <v>249.44593776248897</v>
      </c>
      <c r="E3037" s="79">
        <v>1348289</v>
      </c>
      <c r="F3037" s="80">
        <v>1318075.7826086963</v>
      </c>
      <c r="G3037" s="66">
        <v>1589.2775439040574</v>
      </c>
      <c r="H3037" s="67">
        <v>3</v>
      </c>
      <c r="I3037" s="68" t="s">
        <v>20</v>
      </c>
      <c r="J3037" s="69">
        <v>40</v>
      </c>
      <c r="K3037" s="70">
        <v>3</v>
      </c>
      <c r="L3037" s="68">
        <v>1</v>
      </c>
      <c r="M3037" s="68">
        <f>_xlfn.XLOOKUP(Survey!$F3037,sections[Start],sections[Test Section],,-1,1)</f>
        <v>8</v>
      </c>
      <c r="N3037" s="55">
        <f>_xlfn.XLOOKUP(Survey!$K3037,pipedata[ID],pipedata[WT])</f>
        <v>0.88800000000000001</v>
      </c>
      <c r="O3037" s="56">
        <f>_xlfn.XLOOKUP(Survey!$K3037,pipedata[ID],pipedata[104%])</f>
        <v>3078.4</v>
      </c>
      <c r="P3037" s="57">
        <f t="shared" si="47"/>
        <v>1850</v>
      </c>
      <c r="Q3037" s="58">
        <f>_xlfn.MAXIFS(Survey!$G$2:$G$3647,Survey!$M$2:$M$3647,Survey!$M3037)-Survey!$G3037</f>
        <v>1598.4319489138124</v>
      </c>
      <c r="R3037" s="59">
        <f>Survey!$P3037+(Survey!$Q3037*0.433)</f>
        <v>2542.1210338796809</v>
      </c>
    </row>
    <row r="3038" spans="1:18" x14ac:dyDescent="0.25">
      <c r="A3038" s="71" t="s">
        <v>17</v>
      </c>
      <c r="B3038" s="72" t="s">
        <v>23</v>
      </c>
      <c r="C3038" s="73" t="s">
        <v>19</v>
      </c>
      <c r="D3038" s="74">
        <v>249.4540914693718</v>
      </c>
      <c r="E3038" s="81">
        <v>1348329</v>
      </c>
      <c r="F3038" s="82">
        <v>1318115.413043479</v>
      </c>
      <c r="G3038" s="75">
        <v>1585.7925519020855</v>
      </c>
      <c r="H3038" s="76">
        <v>3</v>
      </c>
      <c r="I3038" s="54" t="s">
        <v>20</v>
      </c>
      <c r="J3038" s="77">
        <v>40</v>
      </c>
      <c r="K3038" s="78">
        <v>3</v>
      </c>
      <c r="L3038" s="54">
        <v>1</v>
      </c>
      <c r="M3038" s="54">
        <f>_xlfn.XLOOKUP(Survey!$F3038,sections[Start],sections[Test Section],,-1,1)</f>
        <v>8</v>
      </c>
      <c r="N3038" s="55">
        <f>_xlfn.XLOOKUP(Survey!$K3038,pipedata[ID],pipedata[WT])</f>
        <v>0.88800000000000001</v>
      </c>
      <c r="O3038" s="56">
        <f>_xlfn.XLOOKUP(Survey!$K3038,pipedata[ID],pipedata[104%])</f>
        <v>3078.4</v>
      </c>
      <c r="P3038" s="57">
        <f t="shared" si="47"/>
        <v>1850</v>
      </c>
      <c r="Q3038" s="58">
        <f>_xlfn.MAXIFS(Survey!$G$2:$G$3647,Survey!$M$2:$M$3647,Survey!$M3038)-Survey!$G3038</f>
        <v>1601.9169409157844</v>
      </c>
      <c r="R3038" s="59">
        <f>Survey!$P3038+(Survey!$Q3038*0.433)</f>
        <v>2543.6300354165346</v>
      </c>
    </row>
    <row r="3039" spans="1:18" x14ac:dyDescent="0.25">
      <c r="A3039" s="60" t="s">
        <v>17</v>
      </c>
      <c r="B3039" s="61" t="s">
        <v>23</v>
      </c>
      <c r="C3039" s="62" t="s">
        <v>19</v>
      </c>
      <c r="D3039" s="63">
        <v>249.46104944345325</v>
      </c>
      <c r="E3039" s="79">
        <v>1348369</v>
      </c>
      <c r="F3039" s="80">
        <v>1318155.0434782617</v>
      </c>
      <c r="G3039" s="66">
        <v>1582.8989624521907</v>
      </c>
      <c r="H3039" s="67">
        <v>3</v>
      </c>
      <c r="I3039" s="68" t="s">
        <v>20</v>
      </c>
      <c r="J3039" s="69">
        <v>40</v>
      </c>
      <c r="K3039" s="70">
        <v>3</v>
      </c>
      <c r="L3039" s="68">
        <v>1</v>
      </c>
      <c r="M3039" s="68">
        <f>_xlfn.XLOOKUP(Survey!$F3039,sections[Start],sections[Test Section],,-1,1)</f>
        <v>8</v>
      </c>
      <c r="N3039" s="55">
        <f>_xlfn.XLOOKUP(Survey!$K3039,pipedata[ID],pipedata[WT])</f>
        <v>0.88800000000000001</v>
      </c>
      <c r="O3039" s="56">
        <f>_xlfn.XLOOKUP(Survey!$K3039,pipedata[ID],pipedata[104%])</f>
        <v>3078.4</v>
      </c>
      <c r="P3039" s="57">
        <f t="shared" si="47"/>
        <v>1850</v>
      </c>
      <c r="Q3039" s="58">
        <f>_xlfn.MAXIFS(Survey!$G$2:$G$3647,Survey!$M$2:$M$3647,Survey!$M3039)-Survey!$G3039</f>
        <v>1604.8105303656791</v>
      </c>
      <c r="R3039" s="59">
        <f>Survey!$P3039+(Survey!$Q3039*0.433)</f>
        <v>2544.8829596483392</v>
      </c>
    </row>
    <row r="3040" spans="1:18" x14ac:dyDescent="0.25">
      <c r="A3040" s="71" t="s">
        <v>17</v>
      </c>
      <c r="B3040" s="72" t="s">
        <v>23</v>
      </c>
      <c r="C3040" s="73" t="s">
        <v>19</v>
      </c>
      <c r="D3040" s="74">
        <v>249.46917560897475</v>
      </c>
      <c r="E3040" s="81">
        <v>1348409</v>
      </c>
      <c r="F3040" s="82">
        <v>1318194.6739130444</v>
      </c>
      <c r="G3040" s="75">
        <v>1579.4182873749137</v>
      </c>
      <c r="H3040" s="76">
        <v>3</v>
      </c>
      <c r="I3040" s="54" t="s">
        <v>20</v>
      </c>
      <c r="J3040" s="77">
        <v>40</v>
      </c>
      <c r="K3040" s="78">
        <v>3</v>
      </c>
      <c r="L3040" s="54">
        <v>1</v>
      </c>
      <c r="M3040" s="54">
        <f>_xlfn.XLOOKUP(Survey!$F3040,sections[Start],sections[Test Section],,-1,1)</f>
        <v>8</v>
      </c>
      <c r="N3040" s="55">
        <f>_xlfn.XLOOKUP(Survey!$K3040,pipedata[ID],pipedata[WT])</f>
        <v>0.88800000000000001</v>
      </c>
      <c r="O3040" s="56">
        <f>_xlfn.XLOOKUP(Survey!$K3040,pipedata[ID],pipedata[104%])</f>
        <v>3078.4</v>
      </c>
      <c r="P3040" s="57">
        <f t="shared" si="47"/>
        <v>1850</v>
      </c>
      <c r="Q3040" s="58">
        <f>_xlfn.MAXIFS(Survey!$G$2:$G$3647,Survey!$M$2:$M$3647,Survey!$M3040)-Survey!$G3040</f>
        <v>1608.2912054429562</v>
      </c>
      <c r="R3040" s="59">
        <f>Survey!$P3040+(Survey!$Q3040*0.433)</f>
        <v>2546.3900919568</v>
      </c>
    </row>
    <row r="3041" spans="1:18" x14ac:dyDescent="0.25">
      <c r="A3041" s="60" t="s">
        <v>17</v>
      </c>
      <c r="B3041" s="61" t="s">
        <v>23</v>
      </c>
      <c r="C3041" s="62" t="s">
        <v>19</v>
      </c>
      <c r="D3041" s="63">
        <v>249.4765141632993</v>
      </c>
      <c r="E3041" s="79">
        <v>1348449</v>
      </c>
      <c r="F3041" s="80">
        <v>1318234.3043478271</v>
      </c>
      <c r="G3041" s="66">
        <v>1575.2513260091737</v>
      </c>
      <c r="H3041" s="67">
        <v>3</v>
      </c>
      <c r="I3041" s="68" t="s">
        <v>20</v>
      </c>
      <c r="J3041" s="69">
        <v>40</v>
      </c>
      <c r="K3041" s="70">
        <v>3</v>
      </c>
      <c r="L3041" s="68">
        <v>1</v>
      </c>
      <c r="M3041" s="68">
        <f>_xlfn.XLOOKUP(Survey!$F3041,sections[Start],sections[Test Section],,-1,1)</f>
        <v>8</v>
      </c>
      <c r="N3041" s="55">
        <f>_xlfn.XLOOKUP(Survey!$K3041,pipedata[ID],pipedata[WT])</f>
        <v>0.88800000000000001</v>
      </c>
      <c r="O3041" s="56">
        <f>_xlfn.XLOOKUP(Survey!$K3041,pipedata[ID],pipedata[104%])</f>
        <v>3078.4</v>
      </c>
      <c r="P3041" s="57">
        <f t="shared" si="47"/>
        <v>1850</v>
      </c>
      <c r="Q3041" s="58">
        <f>_xlfn.MAXIFS(Survey!$G$2:$G$3647,Survey!$M$2:$M$3647,Survey!$M3041)-Survey!$G3041</f>
        <v>1612.4581668086962</v>
      </c>
      <c r="R3041" s="59">
        <f>Survey!$P3041+(Survey!$Q3041*0.433)</f>
        <v>2548.1943862281655</v>
      </c>
    </row>
    <row r="3042" spans="1:18" x14ac:dyDescent="0.25">
      <c r="A3042" s="71" t="s">
        <v>17</v>
      </c>
      <c r="B3042" s="72" t="s">
        <v>23</v>
      </c>
      <c r="C3042" s="73" t="s">
        <v>19</v>
      </c>
      <c r="D3042" s="74">
        <v>249.48466787018202</v>
      </c>
      <c r="E3042" s="81">
        <v>1348489</v>
      </c>
      <c r="F3042" s="82">
        <v>1318273.9347826098</v>
      </c>
      <c r="G3042" s="75">
        <v>1571.7888974202908</v>
      </c>
      <c r="H3042" s="76">
        <v>3</v>
      </c>
      <c r="I3042" s="54" t="s">
        <v>20</v>
      </c>
      <c r="J3042" s="77">
        <v>40</v>
      </c>
      <c r="K3042" s="78">
        <v>3</v>
      </c>
      <c r="L3042" s="54">
        <v>1</v>
      </c>
      <c r="M3042" s="54">
        <f>_xlfn.XLOOKUP(Survey!$F3042,sections[Start],sections[Test Section],,-1,1)</f>
        <v>8</v>
      </c>
      <c r="N3042" s="55">
        <f>_xlfn.XLOOKUP(Survey!$K3042,pipedata[ID],pipedata[WT])</f>
        <v>0.88800000000000001</v>
      </c>
      <c r="O3042" s="56">
        <f>_xlfn.XLOOKUP(Survey!$K3042,pipedata[ID],pipedata[104%])</f>
        <v>3078.4</v>
      </c>
      <c r="P3042" s="57">
        <f t="shared" si="47"/>
        <v>1850</v>
      </c>
      <c r="Q3042" s="58">
        <f>_xlfn.MAXIFS(Survey!$G$2:$G$3647,Survey!$M$2:$M$3647,Survey!$M3042)-Survey!$G3042</f>
        <v>1615.9205953975791</v>
      </c>
      <c r="R3042" s="59">
        <f>Survey!$P3042+(Survey!$Q3042*0.433)</f>
        <v>2549.6936178071519</v>
      </c>
    </row>
    <row r="3043" spans="1:18" x14ac:dyDescent="0.25">
      <c r="A3043" s="60" t="s">
        <v>17</v>
      </c>
      <c r="B3043" s="61" t="s">
        <v>23</v>
      </c>
      <c r="C3043" s="62" t="s">
        <v>19</v>
      </c>
      <c r="D3043" s="63">
        <v>249.49152392292802</v>
      </c>
      <c r="E3043" s="79">
        <v>1348529</v>
      </c>
      <c r="F3043" s="80">
        <v>1318313.5652173925</v>
      </c>
      <c r="G3043" s="66">
        <v>1567.894189972789</v>
      </c>
      <c r="H3043" s="67">
        <v>3</v>
      </c>
      <c r="I3043" s="68" t="s">
        <v>20</v>
      </c>
      <c r="J3043" s="69">
        <v>40</v>
      </c>
      <c r="K3043" s="70">
        <v>3</v>
      </c>
      <c r="L3043" s="68">
        <v>1</v>
      </c>
      <c r="M3043" s="68">
        <f>_xlfn.XLOOKUP(Survey!$F3043,sections[Start],sections[Test Section],,-1,1)</f>
        <v>8</v>
      </c>
      <c r="N3043" s="55">
        <f>_xlfn.XLOOKUP(Survey!$K3043,pipedata[ID],pipedata[WT])</f>
        <v>0.88800000000000001</v>
      </c>
      <c r="O3043" s="56">
        <f>_xlfn.XLOOKUP(Survey!$K3043,pipedata[ID],pipedata[104%])</f>
        <v>3078.4</v>
      </c>
      <c r="P3043" s="57">
        <f t="shared" si="47"/>
        <v>1850</v>
      </c>
      <c r="Q3043" s="58">
        <f>_xlfn.MAXIFS(Survey!$G$2:$G$3647,Survey!$M$2:$M$3647,Survey!$M3043)-Survey!$G3043</f>
        <v>1619.8153028450809</v>
      </c>
      <c r="R3043" s="59">
        <f>Survey!$P3043+(Survey!$Q3043*0.433)</f>
        <v>2551.3800261319202</v>
      </c>
    </row>
    <row r="3044" spans="1:18" x14ac:dyDescent="0.25">
      <c r="A3044" s="71" t="s">
        <v>17</v>
      </c>
      <c r="B3044" s="72" t="s">
        <v>23</v>
      </c>
      <c r="C3044" s="73" t="s">
        <v>19</v>
      </c>
      <c r="D3044" s="74">
        <v>249.49893685722671</v>
      </c>
      <c r="E3044" s="81">
        <v>1348569</v>
      </c>
      <c r="F3044" s="82">
        <v>1318353.1956521752</v>
      </c>
      <c r="G3044" s="75">
        <v>1564.1096644495537</v>
      </c>
      <c r="H3044" s="76">
        <v>3</v>
      </c>
      <c r="I3044" s="54" t="s">
        <v>20</v>
      </c>
      <c r="J3044" s="77">
        <v>40</v>
      </c>
      <c r="K3044" s="78">
        <v>3</v>
      </c>
      <c r="L3044" s="54">
        <v>1</v>
      </c>
      <c r="M3044" s="54">
        <f>_xlfn.XLOOKUP(Survey!$F3044,sections[Start],sections[Test Section],,-1,1)</f>
        <v>8</v>
      </c>
      <c r="N3044" s="55">
        <f>_xlfn.XLOOKUP(Survey!$K3044,pipedata[ID],pipedata[WT])</f>
        <v>0.88800000000000001</v>
      </c>
      <c r="O3044" s="56">
        <f>_xlfn.XLOOKUP(Survey!$K3044,pipedata[ID],pipedata[104%])</f>
        <v>3078.4</v>
      </c>
      <c r="P3044" s="57">
        <f t="shared" si="47"/>
        <v>1850</v>
      </c>
      <c r="Q3044" s="58">
        <f>_xlfn.MAXIFS(Survey!$G$2:$G$3647,Survey!$M$2:$M$3647,Survey!$M3044)-Survey!$G3044</f>
        <v>1623.5998283683161</v>
      </c>
      <c r="R3044" s="59">
        <f>Survey!$P3044+(Survey!$Q3044*0.433)</f>
        <v>2553.0187256834806</v>
      </c>
    </row>
    <row r="3045" spans="1:18" x14ac:dyDescent="0.25">
      <c r="A3045" s="60" t="s">
        <v>17</v>
      </c>
      <c r="B3045" s="61" t="s">
        <v>23</v>
      </c>
      <c r="C3045" s="62" t="s">
        <v>19</v>
      </c>
      <c r="D3045" s="63">
        <v>249.50709056410943</v>
      </c>
      <c r="E3045" s="79">
        <v>1348609</v>
      </c>
      <c r="F3045" s="80">
        <v>1318392.8260869579</v>
      </c>
      <c r="G3045" s="66">
        <v>1561.413374694692</v>
      </c>
      <c r="H3045" s="67">
        <v>3</v>
      </c>
      <c r="I3045" s="68" t="s">
        <v>20</v>
      </c>
      <c r="J3045" s="69">
        <v>40</v>
      </c>
      <c r="K3045" s="70">
        <v>3</v>
      </c>
      <c r="L3045" s="68">
        <v>1</v>
      </c>
      <c r="M3045" s="68">
        <f>_xlfn.XLOOKUP(Survey!$F3045,sections[Start],sections[Test Section],,-1,1)</f>
        <v>8</v>
      </c>
      <c r="N3045" s="55">
        <f>_xlfn.XLOOKUP(Survey!$K3045,pipedata[ID],pipedata[WT])</f>
        <v>0.88800000000000001</v>
      </c>
      <c r="O3045" s="56">
        <f>_xlfn.XLOOKUP(Survey!$K3045,pipedata[ID],pipedata[104%])</f>
        <v>3078.4</v>
      </c>
      <c r="P3045" s="57">
        <f t="shared" si="47"/>
        <v>1850</v>
      </c>
      <c r="Q3045" s="58">
        <f>_xlfn.MAXIFS(Survey!$G$2:$G$3647,Survey!$M$2:$M$3647,Survey!$M3045)-Survey!$G3045</f>
        <v>1626.2961181231778</v>
      </c>
      <c r="R3045" s="59">
        <f>Survey!$P3045+(Survey!$Q3045*0.433)</f>
        <v>2554.186219147336</v>
      </c>
    </row>
    <row r="3046" spans="1:18" x14ac:dyDescent="0.25">
      <c r="A3046" s="71" t="s">
        <v>17</v>
      </c>
      <c r="B3046" s="72" t="s">
        <v>23</v>
      </c>
      <c r="C3046" s="73" t="s">
        <v>19</v>
      </c>
      <c r="D3046" s="74">
        <v>249.51320584427157</v>
      </c>
      <c r="E3046" s="81">
        <v>1348649</v>
      </c>
      <c r="F3046" s="82">
        <v>1318432.4565217406</v>
      </c>
      <c r="G3046" s="75">
        <v>1557.2412995421646</v>
      </c>
      <c r="H3046" s="76">
        <v>3</v>
      </c>
      <c r="I3046" s="54" t="s">
        <v>20</v>
      </c>
      <c r="J3046" s="77">
        <v>40</v>
      </c>
      <c r="K3046" s="78">
        <v>3</v>
      </c>
      <c r="L3046" s="54">
        <v>1</v>
      </c>
      <c r="M3046" s="54">
        <f>_xlfn.XLOOKUP(Survey!$F3046,sections[Start],sections[Test Section],,-1,1)</f>
        <v>8</v>
      </c>
      <c r="N3046" s="55">
        <f>_xlfn.XLOOKUP(Survey!$K3046,pipedata[ID],pipedata[WT])</f>
        <v>0.88800000000000001</v>
      </c>
      <c r="O3046" s="56">
        <f>_xlfn.XLOOKUP(Survey!$K3046,pipedata[ID],pipedata[104%])</f>
        <v>3078.4</v>
      </c>
      <c r="P3046" s="57">
        <f t="shared" si="47"/>
        <v>1850</v>
      </c>
      <c r="Q3046" s="58">
        <f>_xlfn.MAXIFS(Survey!$G$2:$G$3647,Survey!$M$2:$M$3647,Survey!$M3046)-Survey!$G3046</f>
        <v>1630.4681932757053</v>
      </c>
      <c r="R3046" s="59">
        <f>Survey!$P3046+(Survey!$Q3046*0.433)</f>
        <v>2555.9927276883805</v>
      </c>
    </row>
    <row r="3047" spans="1:18" x14ac:dyDescent="0.25">
      <c r="A3047" s="60" t="s">
        <v>17</v>
      </c>
      <c r="B3047" s="61" t="s">
        <v>23</v>
      </c>
      <c r="C3047" s="62" t="s">
        <v>19</v>
      </c>
      <c r="D3047" s="63">
        <v>249.52199840240215</v>
      </c>
      <c r="E3047" s="79">
        <v>1348689</v>
      </c>
      <c r="F3047" s="80">
        <v>1318472.0869565234</v>
      </c>
      <c r="G3047" s="66">
        <v>1554.0754541511533</v>
      </c>
      <c r="H3047" s="67">
        <v>3</v>
      </c>
      <c r="I3047" s="68" t="s">
        <v>20</v>
      </c>
      <c r="J3047" s="69">
        <v>40</v>
      </c>
      <c r="K3047" s="70">
        <v>3</v>
      </c>
      <c r="L3047" s="68">
        <v>1</v>
      </c>
      <c r="M3047" s="68">
        <f>_xlfn.XLOOKUP(Survey!$F3047,sections[Start],sections[Test Section],,-1,1)</f>
        <v>8</v>
      </c>
      <c r="N3047" s="55">
        <f>_xlfn.XLOOKUP(Survey!$K3047,pipedata[ID],pipedata[WT])</f>
        <v>0.88800000000000001</v>
      </c>
      <c r="O3047" s="56">
        <f>_xlfn.XLOOKUP(Survey!$K3047,pipedata[ID],pipedata[104%])</f>
        <v>3078.4</v>
      </c>
      <c r="P3047" s="57">
        <f t="shared" si="47"/>
        <v>1850</v>
      </c>
      <c r="Q3047" s="58">
        <f>_xlfn.MAXIFS(Survey!$G$2:$G$3647,Survey!$M$2:$M$3647,Survey!$M3047)-Survey!$G3047</f>
        <v>1633.6340386667166</v>
      </c>
      <c r="R3047" s="59">
        <f>Survey!$P3047+(Survey!$Q3047*0.433)</f>
        <v>2557.3635387426884</v>
      </c>
    </row>
    <row r="3048" spans="1:18" x14ac:dyDescent="0.25">
      <c r="A3048" s="71" t="s">
        <v>17</v>
      </c>
      <c r="B3048" s="72" t="s">
        <v>23</v>
      </c>
      <c r="C3048" s="73" t="s">
        <v>19</v>
      </c>
      <c r="D3048" s="74">
        <v>249.52951325803707</v>
      </c>
      <c r="E3048" s="81">
        <v>1348729</v>
      </c>
      <c r="F3048" s="82">
        <v>1318511.7173913061</v>
      </c>
      <c r="G3048" s="75">
        <v>1552.1676644950808</v>
      </c>
      <c r="H3048" s="76">
        <v>3</v>
      </c>
      <c r="I3048" s="54" t="s">
        <v>20</v>
      </c>
      <c r="J3048" s="77">
        <v>40</v>
      </c>
      <c r="K3048" s="78">
        <v>3</v>
      </c>
      <c r="L3048" s="54">
        <v>1</v>
      </c>
      <c r="M3048" s="54">
        <f>_xlfn.XLOOKUP(Survey!$F3048,sections[Start],sections[Test Section],,-1,1)</f>
        <v>8</v>
      </c>
      <c r="N3048" s="55">
        <f>_xlfn.XLOOKUP(Survey!$K3048,pipedata[ID],pipedata[WT])</f>
        <v>0.88800000000000001</v>
      </c>
      <c r="O3048" s="56">
        <f>_xlfn.XLOOKUP(Survey!$K3048,pipedata[ID],pipedata[104%])</f>
        <v>3078.4</v>
      </c>
      <c r="P3048" s="57">
        <f t="shared" si="47"/>
        <v>1850</v>
      </c>
      <c r="Q3048" s="58">
        <f>_xlfn.MAXIFS(Survey!$G$2:$G$3647,Survey!$M$2:$M$3647,Survey!$M3048)-Survey!$G3048</f>
        <v>1635.5418283227891</v>
      </c>
      <c r="R3048" s="59">
        <f>Survey!$P3048+(Survey!$Q3048*0.433)</f>
        <v>2558.1896116637677</v>
      </c>
    </row>
    <row r="3049" spans="1:18" x14ac:dyDescent="0.25">
      <c r="A3049" s="60" t="s">
        <v>17</v>
      </c>
      <c r="B3049" s="61" t="s">
        <v>23</v>
      </c>
      <c r="C3049" s="62" t="s">
        <v>19</v>
      </c>
      <c r="D3049" s="63">
        <v>249.53740033700399</v>
      </c>
      <c r="E3049" s="79">
        <v>1348769</v>
      </c>
      <c r="F3049" s="80">
        <v>1318551.3478260888</v>
      </c>
      <c r="G3049" s="66">
        <v>1549.5357072119555</v>
      </c>
      <c r="H3049" s="67">
        <v>3</v>
      </c>
      <c r="I3049" s="68" t="s">
        <v>20</v>
      </c>
      <c r="J3049" s="69">
        <v>40</v>
      </c>
      <c r="K3049" s="70">
        <v>3</v>
      </c>
      <c r="L3049" s="68">
        <v>1</v>
      </c>
      <c r="M3049" s="68">
        <f>_xlfn.XLOOKUP(Survey!$F3049,sections[Start],sections[Test Section],,-1,1)</f>
        <v>8</v>
      </c>
      <c r="N3049" s="55">
        <f>_xlfn.XLOOKUP(Survey!$K3049,pipedata[ID],pipedata[WT])</f>
        <v>0.88800000000000001</v>
      </c>
      <c r="O3049" s="56">
        <f>_xlfn.XLOOKUP(Survey!$K3049,pipedata[ID],pipedata[104%])</f>
        <v>3078.4</v>
      </c>
      <c r="P3049" s="57">
        <f t="shared" si="47"/>
        <v>1850</v>
      </c>
      <c r="Q3049" s="58">
        <f>_xlfn.MAXIFS(Survey!$G$2:$G$3647,Survey!$M$2:$M$3647,Survey!$M3049)-Survey!$G3049</f>
        <v>1638.1737856059144</v>
      </c>
      <c r="R3049" s="59">
        <f>Survey!$P3049+(Survey!$Q3049*0.433)</f>
        <v>2559.329249167361</v>
      </c>
    </row>
    <row r="3050" spans="1:18" x14ac:dyDescent="0.25">
      <c r="A3050" s="71" t="s">
        <v>17</v>
      </c>
      <c r="B3050" s="72" t="s">
        <v>23</v>
      </c>
      <c r="C3050" s="73" t="s">
        <v>19</v>
      </c>
      <c r="D3050" s="74">
        <v>249.54428581991704</v>
      </c>
      <c r="E3050" s="81">
        <v>1348809</v>
      </c>
      <c r="F3050" s="82">
        <v>1318590.9782608715</v>
      </c>
      <c r="G3050" s="75">
        <v>1545.1179157628983</v>
      </c>
      <c r="H3050" s="76">
        <v>3</v>
      </c>
      <c r="I3050" s="54" t="s">
        <v>20</v>
      </c>
      <c r="J3050" s="77">
        <v>40</v>
      </c>
      <c r="K3050" s="78">
        <v>3</v>
      </c>
      <c r="L3050" s="54">
        <v>1</v>
      </c>
      <c r="M3050" s="54">
        <f>_xlfn.XLOOKUP(Survey!$F3050,sections[Start],sections[Test Section],,-1,1)</f>
        <v>8</v>
      </c>
      <c r="N3050" s="55">
        <f>_xlfn.XLOOKUP(Survey!$K3050,pipedata[ID],pipedata[WT])</f>
        <v>0.88800000000000001</v>
      </c>
      <c r="O3050" s="56">
        <f>_xlfn.XLOOKUP(Survey!$K3050,pipedata[ID],pipedata[104%])</f>
        <v>3078.4</v>
      </c>
      <c r="P3050" s="57">
        <f t="shared" si="47"/>
        <v>1850</v>
      </c>
      <c r="Q3050" s="58">
        <f>_xlfn.MAXIFS(Survey!$G$2:$G$3647,Survey!$M$2:$M$3647,Survey!$M3050)-Survey!$G3050</f>
        <v>1642.5915770549716</v>
      </c>
      <c r="R3050" s="59">
        <f>Survey!$P3050+(Survey!$Q3050*0.433)</f>
        <v>2561.2421528648028</v>
      </c>
    </row>
    <row r="3051" spans="1:18" x14ac:dyDescent="0.25">
      <c r="A3051" s="60" t="s">
        <v>17</v>
      </c>
      <c r="B3051" s="61" t="s">
        <v>23</v>
      </c>
      <c r="C3051" s="62" t="s">
        <v>19</v>
      </c>
      <c r="D3051" s="63">
        <v>249.55147121208785</v>
      </c>
      <c r="E3051" s="79">
        <v>1348849</v>
      </c>
      <c r="F3051" s="80">
        <v>1318630.6086956542</v>
      </c>
      <c r="G3051" s="66">
        <v>1535.3804398322943</v>
      </c>
      <c r="H3051" s="67">
        <v>3</v>
      </c>
      <c r="I3051" s="68" t="s">
        <v>20</v>
      </c>
      <c r="J3051" s="69">
        <v>40</v>
      </c>
      <c r="K3051" s="70">
        <v>3</v>
      </c>
      <c r="L3051" s="68">
        <v>1</v>
      </c>
      <c r="M3051" s="68">
        <f>_xlfn.XLOOKUP(Survey!$F3051,sections[Start],sections[Test Section],,-1,1)</f>
        <v>8</v>
      </c>
      <c r="N3051" s="55">
        <f>_xlfn.XLOOKUP(Survey!$K3051,pipedata[ID],pipedata[WT])</f>
        <v>0.88800000000000001</v>
      </c>
      <c r="O3051" s="56">
        <f>_xlfn.XLOOKUP(Survey!$K3051,pipedata[ID],pipedata[104%])</f>
        <v>3078.4</v>
      </c>
      <c r="P3051" s="57">
        <f t="shared" si="47"/>
        <v>1850</v>
      </c>
      <c r="Q3051" s="58">
        <f>_xlfn.MAXIFS(Survey!$G$2:$G$3647,Survey!$M$2:$M$3647,Survey!$M3051)-Survey!$G3051</f>
        <v>1652.3290529855756</v>
      </c>
      <c r="R3051" s="59">
        <f>Survey!$P3051+(Survey!$Q3051*0.433)</f>
        <v>2565.4584799427544</v>
      </c>
    </row>
    <row r="3052" spans="1:18" x14ac:dyDescent="0.25">
      <c r="A3052" s="71" t="s">
        <v>17</v>
      </c>
      <c r="B3052" s="72" t="s">
        <v>23</v>
      </c>
      <c r="C3052" s="73" t="s">
        <v>19</v>
      </c>
      <c r="D3052" s="74">
        <v>249.5586566042592</v>
      </c>
      <c r="E3052" s="81">
        <v>1348889</v>
      </c>
      <c r="F3052" s="82">
        <v>1318670.2391304369</v>
      </c>
      <c r="G3052" s="75">
        <v>1516.1786932815014</v>
      </c>
      <c r="H3052" s="76">
        <v>3</v>
      </c>
      <c r="I3052" s="54" t="s">
        <v>20</v>
      </c>
      <c r="J3052" s="77">
        <v>40</v>
      </c>
      <c r="K3052" s="78">
        <v>3</v>
      </c>
      <c r="L3052" s="54">
        <v>1</v>
      </c>
      <c r="M3052" s="54">
        <f>_xlfn.XLOOKUP(Survey!$F3052,sections[Start],sections[Test Section],,-1,1)</f>
        <v>8</v>
      </c>
      <c r="N3052" s="55">
        <f>_xlfn.XLOOKUP(Survey!$K3052,pipedata[ID],pipedata[WT])</f>
        <v>0.88800000000000001</v>
      </c>
      <c r="O3052" s="56">
        <f>_xlfn.XLOOKUP(Survey!$K3052,pipedata[ID],pipedata[104%])</f>
        <v>3078.4</v>
      </c>
      <c r="P3052" s="57">
        <f t="shared" si="47"/>
        <v>1850</v>
      </c>
      <c r="Q3052" s="58">
        <f>_xlfn.MAXIFS(Survey!$G$2:$G$3647,Survey!$M$2:$M$3647,Survey!$M3052)-Survey!$G3052</f>
        <v>1671.5307995363685</v>
      </c>
      <c r="R3052" s="59">
        <f>Survey!$P3052+(Survey!$Q3052*0.433)</f>
        <v>2573.7728361992476</v>
      </c>
    </row>
    <row r="3053" spans="1:18" x14ac:dyDescent="0.25">
      <c r="A3053" s="60" t="s">
        <v>17</v>
      </c>
      <c r="B3053" s="61" t="s">
        <v>23</v>
      </c>
      <c r="C3053" s="62" t="s">
        <v>19</v>
      </c>
      <c r="D3053" s="63">
        <v>249.56441208905497</v>
      </c>
      <c r="E3053" s="79">
        <v>1348929</v>
      </c>
      <c r="F3053" s="80">
        <v>1318709.8695652196</v>
      </c>
      <c r="G3053" s="66">
        <v>1494.0746287433205</v>
      </c>
      <c r="H3053" s="67">
        <v>3</v>
      </c>
      <c r="I3053" s="68" t="s">
        <v>20</v>
      </c>
      <c r="J3053" s="69">
        <v>40</v>
      </c>
      <c r="K3053" s="70">
        <v>3</v>
      </c>
      <c r="L3053" s="68">
        <v>1</v>
      </c>
      <c r="M3053" s="68">
        <f>_xlfn.XLOOKUP(Survey!$F3053,sections[Start],sections[Test Section],,-1,1)</f>
        <v>8</v>
      </c>
      <c r="N3053" s="55">
        <f>_xlfn.XLOOKUP(Survey!$K3053,pipedata[ID],pipedata[WT])</f>
        <v>0.88800000000000001</v>
      </c>
      <c r="O3053" s="56">
        <f>_xlfn.XLOOKUP(Survey!$K3053,pipedata[ID],pipedata[104%])</f>
        <v>3078.4</v>
      </c>
      <c r="P3053" s="57">
        <f t="shared" si="47"/>
        <v>1850</v>
      </c>
      <c r="Q3053" s="58">
        <f>_xlfn.MAXIFS(Survey!$G$2:$G$3647,Survey!$M$2:$M$3647,Survey!$M3053)-Survey!$G3053</f>
        <v>1693.6348640745493</v>
      </c>
      <c r="R3053" s="59">
        <f>Survey!$P3053+(Survey!$Q3053*0.433)</f>
        <v>2583.3438961442798</v>
      </c>
    </row>
    <row r="3054" spans="1:18" x14ac:dyDescent="0.25">
      <c r="A3054" s="71" t="s">
        <v>17</v>
      </c>
      <c r="B3054" s="72" t="s">
        <v>23</v>
      </c>
      <c r="C3054" s="73" t="s">
        <v>19</v>
      </c>
      <c r="D3054" s="74">
        <v>249.57212973249804</v>
      </c>
      <c r="E3054" s="81">
        <v>1348969</v>
      </c>
      <c r="F3054" s="82">
        <v>1318749.5000000023</v>
      </c>
      <c r="G3054" s="75">
        <v>1475.2212781109661</v>
      </c>
      <c r="H3054" s="76">
        <v>3</v>
      </c>
      <c r="I3054" s="54" t="s">
        <v>20</v>
      </c>
      <c r="J3054" s="77">
        <v>40</v>
      </c>
      <c r="K3054" s="78">
        <v>3</v>
      </c>
      <c r="L3054" s="54">
        <v>1</v>
      </c>
      <c r="M3054" s="54">
        <f>_xlfn.XLOOKUP(Survey!$F3054,sections[Start],sections[Test Section],,-1,1)</f>
        <v>8</v>
      </c>
      <c r="N3054" s="55">
        <f>_xlfn.XLOOKUP(Survey!$K3054,pipedata[ID],pipedata[WT])</f>
        <v>0.88800000000000001</v>
      </c>
      <c r="O3054" s="56">
        <f>_xlfn.XLOOKUP(Survey!$K3054,pipedata[ID],pipedata[104%])</f>
        <v>3078.4</v>
      </c>
      <c r="P3054" s="57">
        <f t="shared" si="47"/>
        <v>1850</v>
      </c>
      <c r="Q3054" s="58">
        <f>_xlfn.MAXIFS(Survey!$G$2:$G$3647,Survey!$M$2:$M$3647,Survey!$M3054)-Survey!$G3054</f>
        <v>1712.4882147069038</v>
      </c>
      <c r="R3054" s="59">
        <f>Survey!$P3054+(Survey!$Q3054*0.433)</f>
        <v>2591.5073969680893</v>
      </c>
    </row>
    <row r="3055" spans="1:18" x14ac:dyDescent="0.25">
      <c r="A3055" s="60" t="s">
        <v>17</v>
      </c>
      <c r="B3055" s="61" t="s">
        <v>23</v>
      </c>
      <c r="C3055" s="62" t="s">
        <v>19</v>
      </c>
      <c r="D3055" s="63">
        <v>249.57833355592959</v>
      </c>
      <c r="E3055" s="79">
        <v>1349009</v>
      </c>
      <c r="F3055" s="80">
        <v>1318789.130434785</v>
      </c>
      <c r="G3055" s="66">
        <v>1458.6428729226589</v>
      </c>
      <c r="H3055" s="67">
        <v>3</v>
      </c>
      <c r="I3055" s="68" t="s">
        <v>20</v>
      </c>
      <c r="J3055" s="69">
        <v>40</v>
      </c>
      <c r="K3055" s="70">
        <v>3</v>
      </c>
      <c r="L3055" s="68">
        <v>1</v>
      </c>
      <c r="M3055" s="68">
        <f>_xlfn.XLOOKUP(Survey!$F3055,sections[Start],sections[Test Section],,-1,1)</f>
        <v>8</v>
      </c>
      <c r="N3055" s="55">
        <f>_xlfn.XLOOKUP(Survey!$K3055,pipedata[ID],pipedata[WT])</f>
        <v>0.88800000000000001</v>
      </c>
      <c r="O3055" s="56">
        <f>_xlfn.XLOOKUP(Survey!$K3055,pipedata[ID],pipedata[104%])</f>
        <v>3078.4</v>
      </c>
      <c r="P3055" s="57">
        <f t="shared" si="47"/>
        <v>1850</v>
      </c>
      <c r="Q3055" s="58">
        <f>_xlfn.MAXIFS(Survey!$G$2:$G$3647,Survey!$M$2:$M$3647,Survey!$M3055)-Survey!$G3055</f>
        <v>1729.066619895211</v>
      </c>
      <c r="R3055" s="59">
        <f>Survey!$P3055+(Survey!$Q3055*0.433)</f>
        <v>2598.6858464146262</v>
      </c>
    </row>
    <row r="3056" spans="1:18" x14ac:dyDescent="0.25">
      <c r="A3056" s="71" t="s">
        <v>17</v>
      </c>
      <c r="B3056" s="72" t="s">
        <v>23</v>
      </c>
      <c r="C3056" s="73" t="s">
        <v>19</v>
      </c>
      <c r="D3056" s="74">
        <v>249.58563560852343</v>
      </c>
      <c r="E3056" s="81">
        <v>1349049</v>
      </c>
      <c r="F3056" s="82">
        <v>1318828.7608695677</v>
      </c>
      <c r="G3056" s="75">
        <v>1450.6118195421386</v>
      </c>
      <c r="H3056" s="76">
        <v>3</v>
      </c>
      <c r="I3056" s="54" t="s">
        <v>20</v>
      </c>
      <c r="J3056" s="77">
        <v>40</v>
      </c>
      <c r="K3056" s="78">
        <v>3</v>
      </c>
      <c r="L3056" s="54">
        <v>1</v>
      </c>
      <c r="M3056" s="54">
        <f>_xlfn.XLOOKUP(Survey!$F3056,sections[Start],sections[Test Section],,-1,1)</f>
        <v>8</v>
      </c>
      <c r="N3056" s="55">
        <f>_xlfn.XLOOKUP(Survey!$K3056,pipedata[ID],pipedata[WT])</f>
        <v>0.88800000000000001</v>
      </c>
      <c r="O3056" s="56">
        <f>_xlfn.XLOOKUP(Survey!$K3056,pipedata[ID],pipedata[104%])</f>
        <v>3078.4</v>
      </c>
      <c r="P3056" s="57">
        <f t="shared" si="47"/>
        <v>1850</v>
      </c>
      <c r="Q3056" s="58">
        <f>_xlfn.MAXIFS(Survey!$G$2:$G$3647,Survey!$M$2:$M$3647,Survey!$M3056)-Survey!$G3056</f>
        <v>1737.0976732757313</v>
      </c>
      <c r="R3056" s="59">
        <f>Survey!$P3056+(Survey!$Q3056*0.433)</f>
        <v>2602.1632925283916</v>
      </c>
    </row>
    <row r="3057" spans="1:18" x14ac:dyDescent="0.25">
      <c r="A3057" s="60" t="s">
        <v>17</v>
      </c>
      <c r="B3057" s="61" t="s">
        <v>23</v>
      </c>
      <c r="C3057" s="62" t="s">
        <v>19</v>
      </c>
      <c r="D3057" s="63">
        <v>249.59335325196651</v>
      </c>
      <c r="E3057" s="79">
        <v>1349089</v>
      </c>
      <c r="F3057" s="80">
        <v>1318868.3913043505</v>
      </c>
      <c r="G3057" s="66">
        <v>1446.1219261106382</v>
      </c>
      <c r="H3057" s="67">
        <v>3</v>
      </c>
      <c r="I3057" s="68" t="s">
        <v>20</v>
      </c>
      <c r="J3057" s="69">
        <v>40</v>
      </c>
      <c r="K3057" s="70">
        <v>3</v>
      </c>
      <c r="L3057" s="68">
        <v>1</v>
      </c>
      <c r="M3057" s="68">
        <f>_xlfn.XLOOKUP(Survey!$F3057,sections[Start],sections[Test Section],,-1,1)</f>
        <v>8</v>
      </c>
      <c r="N3057" s="55">
        <f>_xlfn.XLOOKUP(Survey!$K3057,pipedata[ID],pipedata[WT])</f>
        <v>0.88800000000000001</v>
      </c>
      <c r="O3057" s="56">
        <f>_xlfn.XLOOKUP(Survey!$K3057,pipedata[ID],pipedata[104%])</f>
        <v>3078.4</v>
      </c>
      <c r="P3057" s="57">
        <f t="shared" si="47"/>
        <v>1850</v>
      </c>
      <c r="Q3057" s="58">
        <f>_xlfn.MAXIFS(Survey!$G$2:$G$3647,Survey!$M$2:$M$3647,Survey!$M3057)-Survey!$G3057</f>
        <v>1741.5875667072316</v>
      </c>
      <c r="R3057" s="59">
        <f>Survey!$P3057+(Survey!$Q3057*0.433)</f>
        <v>2604.1074163842313</v>
      </c>
    </row>
    <row r="3058" spans="1:18" x14ac:dyDescent="0.25">
      <c r="A3058" s="71" t="s">
        <v>17</v>
      </c>
      <c r="B3058" s="72" t="s">
        <v>23</v>
      </c>
      <c r="C3058" s="73" t="s">
        <v>19</v>
      </c>
      <c r="D3058" s="74">
        <v>249.60002175608074</v>
      </c>
      <c r="E3058" s="81">
        <v>1349129</v>
      </c>
      <c r="F3058" s="82">
        <v>1318908.0217391332</v>
      </c>
      <c r="G3058" s="75">
        <v>1443.7526155247315</v>
      </c>
      <c r="H3058" s="76">
        <v>3</v>
      </c>
      <c r="I3058" s="54" t="s">
        <v>20</v>
      </c>
      <c r="J3058" s="77">
        <v>40</v>
      </c>
      <c r="K3058" s="78">
        <v>3</v>
      </c>
      <c r="L3058" s="54">
        <v>1</v>
      </c>
      <c r="M3058" s="54">
        <f>_xlfn.XLOOKUP(Survey!$F3058,sections[Start],sections[Test Section],,-1,1)</f>
        <v>8</v>
      </c>
      <c r="N3058" s="55">
        <f>_xlfn.XLOOKUP(Survey!$K3058,pipedata[ID],pipedata[WT])</f>
        <v>0.88800000000000001</v>
      </c>
      <c r="O3058" s="56">
        <f>_xlfn.XLOOKUP(Survey!$K3058,pipedata[ID],pipedata[104%])</f>
        <v>3078.4</v>
      </c>
      <c r="P3058" s="57">
        <f t="shared" si="47"/>
        <v>1850</v>
      </c>
      <c r="Q3058" s="58">
        <f>_xlfn.MAXIFS(Survey!$G$2:$G$3647,Survey!$M$2:$M$3647,Survey!$M3058)-Survey!$G3058</f>
        <v>1743.9568772931384</v>
      </c>
      <c r="R3058" s="59">
        <f>Survey!$P3058+(Survey!$Q3058*0.433)</f>
        <v>2605.133327867929</v>
      </c>
    </row>
    <row r="3059" spans="1:18" x14ac:dyDescent="0.25">
      <c r="A3059" s="60" t="s">
        <v>17</v>
      </c>
      <c r="B3059" s="61" t="s">
        <v>23</v>
      </c>
      <c r="C3059" s="62" t="s">
        <v>19</v>
      </c>
      <c r="D3059" s="63">
        <v>249.60937049949814</v>
      </c>
      <c r="E3059" s="79">
        <v>1349169</v>
      </c>
      <c r="F3059" s="80">
        <v>1318947.6521739159</v>
      </c>
      <c r="G3059" s="66">
        <v>1442.2878975837912</v>
      </c>
      <c r="H3059" s="67">
        <v>3</v>
      </c>
      <c r="I3059" s="68" t="s">
        <v>20</v>
      </c>
      <c r="J3059" s="69">
        <v>40</v>
      </c>
      <c r="K3059" s="70">
        <v>3</v>
      </c>
      <c r="L3059" s="68">
        <v>1</v>
      </c>
      <c r="M3059" s="68">
        <f>_xlfn.XLOOKUP(Survey!$F3059,sections[Start],sections[Test Section],,-1,1)</f>
        <v>8</v>
      </c>
      <c r="N3059" s="55">
        <f>_xlfn.XLOOKUP(Survey!$K3059,pipedata[ID],pipedata[WT])</f>
        <v>0.88800000000000001</v>
      </c>
      <c r="O3059" s="56">
        <f>_xlfn.XLOOKUP(Survey!$K3059,pipedata[ID],pipedata[104%])</f>
        <v>3078.4</v>
      </c>
      <c r="P3059" s="57">
        <f t="shared" si="47"/>
        <v>1850</v>
      </c>
      <c r="Q3059" s="58">
        <f>_xlfn.MAXIFS(Survey!$G$2:$G$3647,Survey!$M$2:$M$3647,Survey!$M3059)-Survey!$G3059</f>
        <v>1745.4215952340787</v>
      </c>
      <c r="R3059" s="59">
        <f>Survey!$P3059+(Survey!$Q3059*0.433)</f>
        <v>2605.767550736356</v>
      </c>
    </row>
    <row r="3060" spans="1:18" x14ac:dyDescent="0.25">
      <c r="A3060" s="71" t="s">
        <v>17</v>
      </c>
      <c r="B3060" s="72" t="s">
        <v>23</v>
      </c>
      <c r="C3060" s="73" t="s">
        <v>19</v>
      </c>
      <c r="D3060" s="74">
        <v>249.61638205706112</v>
      </c>
      <c r="E3060" s="81">
        <v>1349209</v>
      </c>
      <c r="F3060" s="82">
        <v>1318987.2826086986</v>
      </c>
      <c r="G3060" s="75">
        <v>1441.1812820824143</v>
      </c>
      <c r="H3060" s="76">
        <v>3</v>
      </c>
      <c r="I3060" s="54" t="s">
        <v>20</v>
      </c>
      <c r="J3060" s="77">
        <v>40</v>
      </c>
      <c r="K3060" s="78">
        <v>3</v>
      </c>
      <c r="L3060" s="54">
        <v>1</v>
      </c>
      <c r="M3060" s="54">
        <f>_xlfn.XLOOKUP(Survey!$F3060,sections[Start],sections[Test Section],,-1,1)</f>
        <v>8</v>
      </c>
      <c r="N3060" s="55">
        <f>_xlfn.XLOOKUP(Survey!$K3060,pipedata[ID],pipedata[WT])</f>
        <v>0.88800000000000001</v>
      </c>
      <c r="O3060" s="56">
        <f>_xlfn.XLOOKUP(Survey!$K3060,pipedata[ID],pipedata[104%])</f>
        <v>3078.4</v>
      </c>
      <c r="P3060" s="57">
        <f t="shared" si="47"/>
        <v>1850</v>
      </c>
      <c r="Q3060" s="58">
        <f>_xlfn.MAXIFS(Survey!$G$2:$G$3647,Survey!$M$2:$M$3647,Survey!$M3060)-Survey!$G3060</f>
        <v>1746.5282107354556</v>
      </c>
      <c r="R3060" s="59">
        <f>Survey!$P3060+(Survey!$Q3060*0.433)</f>
        <v>2606.2467152484523</v>
      </c>
    </row>
    <row r="3061" spans="1:18" x14ac:dyDescent="0.25">
      <c r="A3061" s="60" t="s">
        <v>17</v>
      </c>
      <c r="B3061" s="61" t="s">
        <v>23</v>
      </c>
      <c r="C3061" s="62" t="s">
        <v>19</v>
      </c>
      <c r="D3061" s="63">
        <v>249.62339361462418</v>
      </c>
      <c r="E3061" s="79">
        <v>1349249</v>
      </c>
      <c r="F3061" s="80">
        <v>1319026.9130434813</v>
      </c>
      <c r="G3061" s="66">
        <v>1440.6460282665491</v>
      </c>
      <c r="H3061" s="67">
        <v>3</v>
      </c>
      <c r="I3061" s="68" t="s">
        <v>20</v>
      </c>
      <c r="J3061" s="69">
        <v>40</v>
      </c>
      <c r="K3061" s="70">
        <v>3</v>
      </c>
      <c r="L3061" s="68">
        <v>1</v>
      </c>
      <c r="M3061" s="68">
        <f>_xlfn.XLOOKUP(Survey!$F3061,sections[Start],sections[Test Section],,-1,1)</f>
        <v>8</v>
      </c>
      <c r="N3061" s="55">
        <f>_xlfn.XLOOKUP(Survey!$K3061,pipedata[ID],pipedata[WT])</f>
        <v>0.88800000000000001</v>
      </c>
      <c r="O3061" s="56">
        <f>_xlfn.XLOOKUP(Survey!$K3061,pipedata[ID],pipedata[104%])</f>
        <v>3078.4</v>
      </c>
      <c r="P3061" s="57">
        <f t="shared" si="47"/>
        <v>1850</v>
      </c>
      <c r="Q3061" s="58">
        <f>_xlfn.MAXIFS(Survey!$G$2:$G$3647,Survey!$M$2:$M$3647,Survey!$M3061)-Survey!$G3061</f>
        <v>1747.0634645513207</v>
      </c>
      <c r="R3061" s="59">
        <f>Survey!$P3061+(Survey!$Q3061*0.433)</f>
        <v>2606.4784801507221</v>
      </c>
    </row>
    <row r="3062" spans="1:18" x14ac:dyDescent="0.25">
      <c r="A3062" s="71" t="s">
        <v>17</v>
      </c>
      <c r="B3062" s="72" t="s">
        <v>23</v>
      </c>
      <c r="C3062" s="73" t="s">
        <v>19</v>
      </c>
      <c r="D3062" s="74">
        <v>249.63138314483055</v>
      </c>
      <c r="E3062" s="81">
        <v>1349289</v>
      </c>
      <c r="F3062" s="82">
        <v>1319066.543478264</v>
      </c>
      <c r="G3062" s="75">
        <v>1440.1575174829736</v>
      </c>
      <c r="H3062" s="76">
        <v>3</v>
      </c>
      <c r="I3062" s="54" t="s">
        <v>20</v>
      </c>
      <c r="J3062" s="77">
        <v>40</v>
      </c>
      <c r="K3062" s="78">
        <v>3</v>
      </c>
      <c r="L3062" s="54">
        <v>1</v>
      </c>
      <c r="M3062" s="54">
        <f>_xlfn.XLOOKUP(Survey!$F3062,sections[Start],sections[Test Section],,-1,1)</f>
        <v>8</v>
      </c>
      <c r="N3062" s="55">
        <f>_xlfn.XLOOKUP(Survey!$K3062,pipedata[ID],pipedata[WT])</f>
        <v>0.88800000000000001</v>
      </c>
      <c r="O3062" s="56">
        <f>_xlfn.XLOOKUP(Survey!$K3062,pipedata[ID],pipedata[104%])</f>
        <v>3078.4</v>
      </c>
      <c r="P3062" s="57">
        <f t="shared" si="47"/>
        <v>1850</v>
      </c>
      <c r="Q3062" s="58">
        <f>_xlfn.MAXIFS(Survey!$G$2:$G$3647,Survey!$M$2:$M$3647,Survey!$M3062)-Survey!$G3062</f>
        <v>1747.5519753348963</v>
      </c>
      <c r="R3062" s="59">
        <f>Survey!$P3062+(Survey!$Q3062*0.433)</f>
        <v>2606.6900053200102</v>
      </c>
    </row>
    <row r="3063" spans="1:18" x14ac:dyDescent="0.25">
      <c r="A3063" s="60" t="s">
        <v>17</v>
      </c>
      <c r="B3063" s="61" t="s">
        <v>23</v>
      </c>
      <c r="C3063" s="62" t="s">
        <v>19</v>
      </c>
      <c r="D3063" s="63">
        <v>249.63784770144898</v>
      </c>
      <c r="E3063" s="79">
        <v>1349329</v>
      </c>
      <c r="F3063" s="80">
        <v>1319106.1739130467</v>
      </c>
      <c r="G3063" s="66">
        <v>1437.6082052877173</v>
      </c>
      <c r="H3063" s="67">
        <v>3</v>
      </c>
      <c r="I3063" s="68" t="s">
        <v>20</v>
      </c>
      <c r="J3063" s="69">
        <v>40</v>
      </c>
      <c r="K3063" s="70">
        <v>3</v>
      </c>
      <c r="L3063" s="68">
        <v>1</v>
      </c>
      <c r="M3063" s="68">
        <f>_xlfn.XLOOKUP(Survey!$F3063,sections[Start],sections[Test Section],,-1,1)</f>
        <v>8</v>
      </c>
      <c r="N3063" s="55">
        <f>_xlfn.XLOOKUP(Survey!$K3063,pipedata[ID],pipedata[WT])</f>
        <v>0.88800000000000001</v>
      </c>
      <c r="O3063" s="56">
        <f>_xlfn.XLOOKUP(Survey!$K3063,pipedata[ID],pipedata[104%])</f>
        <v>3078.4</v>
      </c>
      <c r="P3063" s="57">
        <f t="shared" si="47"/>
        <v>1850</v>
      </c>
      <c r="Q3063" s="58">
        <f>_xlfn.MAXIFS(Survey!$G$2:$G$3647,Survey!$M$2:$M$3647,Survey!$M3063)-Survey!$G3063</f>
        <v>1750.1012875301526</v>
      </c>
      <c r="R3063" s="59">
        <f>Survey!$P3063+(Survey!$Q3063*0.433)</f>
        <v>2607.793857500556</v>
      </c>
    </row>
    <row r="3064" spans="1:18" x14ac:dyDescent="0.25">
      <c r="A3064" s="71" t="s">
        <v>17</v>
      </c>
      <c r="B3064" s="72" t="s">
        <v>23</v>
      </c>
      <c r="C3064" s="73" t="s">
        <v>19</v>
      </c>
      <c r="D3064" s="74">
        <v>249.64676547316762</v>
      </c>
      <c r="E3064" s="81">
        <v>1349369</v>
      </c>
      <c r="F3064" s="82">
        <v>1319145.8043478294</v>
      </c>
      <c r="G3064" s="75">
        <v>1436.8631281778926</v>
      </c>
      <c r="H3064" s="76">
        <v>3</v>
      </c>
      <c r="I3064" s="54" t="s">
        <v>20</v>
      </c>
      <c r="J3064" s="77">
        <v>40</v>
      </c>
      <c r="K3064" s="78">
        <v>3</v>
      </c>
      <c r="L3064" s="54">
        <v>1</v>
      </c>
      <c r="M3064" s="54">
        <f>_xlfn.XLOOKUP(Survey!$F3064,sections[Start],sections[Test Section],,-1,1)</f>
        <v>8</v>
      </c>
      <c r="N3064" s="55">
        <f>_xlfn.XLOOKUP(Survey!$K3064,pipedata[ID],pipedata[WT])</f>
        <v>0.88800000000000001</v>
      </c>
      <c r="O3064" s="56">
        <f>_xlfn.XLOOKUP(Survey!$K3064,pipedata[ID],pipedata[104%])</f>
        <v>3078.4</v>
      </c>
      <c r="P3064" s="57">
        <f t="shared" si="47"/>
        <v>1850</v>
      </c>
      <c r="Q3064" s="58">
        <f>_xlfn.MAXIFS(Survey!$G$2:$G$3647,Survey!$M$2:$M$3647,Survey!$M3064)-Survey!$G3064</f>
        <v>1750.8463646399773</v>
      </c>
      <c r="R3064" s="59">
        <f>Survey!$P3064+(Survey!$Q3064*0.433)</f>
        <v>2608.11647588911</v>
      </c>
    </row>
    <row r="3065" spans="1:18" x14ac:dyDescent="0.25">
      <c r="A3065" s="60" t="s">
        <v>17</v>
      </c>
      <c r="B3065" s="61" t="s">
        <v>23</v>
      </c>
      <c r="C3065" s="62" t="s">
        <v>19</v>
      </c>
      <c r="D3065" s="63">
        <v>249.65400909299515</v>
      </c>
      <c r="E3065" s="79">
        <v>1349409</v>
      </c>
      <c r="F3065" s="80">
        <v>1319185.4347826121</v>
      </c>
      <c r="G3065" s="66">
        <v>1435.9001417363436</v>
      </c>
      <c r="H3065" s="67">
        <v>3</v>
      </c>
      <c r="I3065" s="68" t="s">
        <v>20</v>
      </c>
      <c r="J3065" s="69">
        <v>40</v>
      </c>
      <c r="K3065" s="70">
        <v>3</v>
      </c>
      <c r="L3065" s="68">
        <v>1</v>
      </c>
      <c r="M3065" s="68">
        <f>_xlfn.XLOOKUP(Survey!$F3065,sections[Start],sections[Test Section],,-1,1)</f>
        <v>8</v>
      </c>
      <c r="N3065" s="55">
        <f>_xlfn.XLOOKUP(Survey!$K3065,pipedata[ID],pipedata[WT])</f>
        <v>0.88800000000000001</v>
      </c>
      <c r="O3065" s="56">
        <f>_xlfn.XLOOKUP(Survey!$K3065,pipedata[ID],pipedata[104%])</f>
        <v>3078.4</v>
      </c>
      <c r="P3065" s="57">
        <f t="shared" si="47"/>
        <v>1850</v>
      </c>
      <c r="Q3065" s="58">
        <f>_xlfn.MAXIFS(Survey!$G$2:$G$3647,Survey!$M$2:$M$3647,Survey!$M3065)-Survey!$G3065</f>
        <v>1751.8093510815263</v>
      </c>
      <c r="R3065" s="59">
        <f>Survey!$P3065+(Survey!$Q3065*0.433)</f>
        <v>2608.5334490183009</v>
      </c>
    </row>
    <row r="3066" spans="1:18" x14ac:dyDescent="0.25">
      <c r="A3066" s="71" t="s">
        <v>17</v>
      </c>
      <c r="B3066" s="72" t="s">
        <v>23</v>
      </c>
      <c r="C3066" s="73" t="s">
        <v>19</v>
      </c>
      <c r="D3066" s="74">
        <v>249.66161092818066</v>
      </c>
      <c r="E3066" s="81">
        <v>1349449</v>
      </c>
      <c r="F3066" s="82">
        <v>1319225.0652173948</v>
      </c>
      <c r="G3066" s="75">
        <v>1435.7224074776555</v>
      </c>
      <c r="H3066" s="76">
        <v>3</v>
      </c>
      <c r="I3066" s="54" t="s">
        <v>20</v>
      </c>
      <c r="J3066" s="77">
        <v>40</v>
      </c>
      <c r="K3066" s="78">
        <v>3</v>
      </c>
      <c r="L3066" s="54">
        <v>1</v>
      </c>
      <c r="M3066" s="54">
        <f>_xlfn.XLOOKUP(Survey!$F3066,sections[Start],sections[Test Section],,-1,1)</f>
        <v>8</v>
      </c>
      <c r="N3066" s="55">
        <f>_xlfn.XLOOKUP(Survey!$K3066,pipedata[ID],pipedata[WT])</f>
        <v>0.88800000000000001</v>
      </c>
      <c r="O3066" s="56">
        <f>_xlfn.XLOOKUP(Survey!$K3066,pipedata[ID],pipedata[104%])</f>
        <v>3078.4</v>
      </c>
      <c r="P3066" s="57">
        <f t="shared" si="47"/>
        <v>1850</v>
      </c>
      <c r="Q3066" s="58">
        <f>_xlfn.MAXIFS(Survey!$G$2:$G$3647,Survey!$M$2:$M$3647,Survey!$M3066)-Survey!$G3066</f>
        <v>1751.9870853402144</v>
      </c>
      <c r="R3066" s="59">
        <f>Survey!$P3066+(Survey!$Q3066*0.433)</f>
        <v>2608.6104079523129</v>
      </c>
    </row>
    <row r="3067" spans="1:18" x14ac:dyDescent="0.25">
      <c r="A3067" s="60" t="s">
        <v>17</v>
      </c>
      <c r="B3067" s="61" t="s">
        <v>23</v>
      </c>
      <c r="C3067" s="62" t="s">
        <v>19</v>
      </c>
      <c r="D3067" s="63">
        <v>249.6678001458564</v>
      </c>
      <c r="E3067" s="79">
        <v>1349489</v>
      </c>
      <c r="F3067" s="80">
        <v>1319264.6956521776</v>
      </c>
      <c r="G3067" s="66">
        <v>1435.4873333372252</v>
      </c>
      <c r="H3067" s="67">
        <v>3</v>
      </c>
      <c r="I3067" s="68" t="s">
        <v>20</v>
      </c>
      <c r="J3067" s="69">
        <v>40</v>
      </c>
      <c r="K3067" s="70">
        <v>3</v>
      </c>
      <c r="L3067" s="68">
        <v>1</v>
      </c>
      <c r="M3067" s="68">
        <f>_xlfn.XLOOKUP(Survey!$F3067,sections[Start],sections[Test Section],,-1,1)</f>
        <v>8</v>
      </c>
      <c r="N3067" s="55">
        <f>_xlfn.XLOOKUP(Survey!$K3067,pipedata[ID],pipedata[WT])</f>
        <v>0.88800000000000001</v>
      </c>
      <c r="O3067" s="56">
        <f>_xlfn.XLOOKUP(Survey!$K3067,pipedata[ID],pipedata[104%])</f>
        <v>3078.4</v>
      </c>
      <c r="P3067" s="57">
        <f t="shared" si="47"/>
        <v>1850</v>
      </c>
      <c r="Q3067" s="58">
        <f>_xlfn.MAXIFS(Survey!$G$2:$G$3647,Survey!$M$2:$M$3647,Survey!$M3067)-Survey!$G3067</f>
        <v>1752.2221594806447</v>
      </c>
      <c r="R3067" s="59">
        <f>Survey!$P3067+(Survey!$Q3067*0.433)</f>
        <v>2608.7121950551191</v>
      </c>
    </row>
    <row r="3068" spans="1:18" x14ac:dyDescent="0.25">
      <c r="A3068" s="71" t="s">
        <v>17</v>
      </c>
      <c r="B3068" s="72" t="s">
        <v>23</v>
      </c>
      <c r="C3068" s="73" t="s">
        <v>19</v>
      </c>
      <c r="D3068" s="74">
        <v>249.67714888927372</v>
      </c>
      <c r="E3068" s="81">
        <v>1349529</v>
      </c>
      <c r="F3068" s="82">
        <v>1319304.3260869603</v>
      </c>
      <c r="G3068" s="75">
        <v>1435.1580001517693</v>
      </c>
      <c r="H3068" s="76">
        <v>3</v>
      </c>
      <c r="I3068" s="54" t="s">
        <v>20</v>
      </c>
      <c r="J3068" s="77">
        <v>40</v>
      </c>
      <c r="K3068" s="78">
        <v>3</v>
      </c>
      <c r="L3068" s="54">
        <v>1</v>
      </c>
      <c r="M3068" s="54">
        <f>_xlfn.XLOOKUP(Survey!$F3068,sections[Start],sections[Test Section],,-1,1)</f>
        <v>8</v>
      </c>
      <c r="N3068" s="55">
        <f>_xlfn.XLOOKUP(Survey!$K3068,pipedata[ID],pipedata[WT])</f>
        <v>0.88800000000000001</v>
      </c>
      <c r="O3068" s="56">
        <f>_xlfn.XLOOKUP(Survey!$K3068,pipedata[ID],pipedata[104%])</f>
        <v>3078.4</v>
      </c>
      <c r="P3068" s="57">
        <f t="shared" si="47"/>
        <v>1850</v>
      </c>
      <c r="Q3068" s="58">
        <f>_xlfn.MAXIFS(Survey!$G$2:$G$3647,Survey!$M$2:$M$3647,Survey!$M3068)-Survey!$G3068</f>
        <v>1752.5514926661006</v>
      </c>
      <c r="R3068" s="59">
        <f>Survey!$P3068+(Survey!$Q3068*0.433)</f>
        <v>2608.8547963244214</v>
      </c>
    </row>
    <row r="3069" spans="1:18" x14ac:dyDescent="0.25">
      <c r="A3069" s="60" t="s">
        <v>17</v>
      </c>
      <c r="B3069" s="61" t="s">
        <v>23</v>
      </c>
      <c r="C3069" s="62" t="s">
        <v>19</v>
      </c>
      <c r="D3069" s="63">
        <v>249.68416044683656</v>
      </c>
      <c r="E3069" s="79">
        <v>1349569</v>
      </c>
      <c r="F3069" s="80">
        <v>1319343.956521743</v>
      </c>
      <c r="G3069" s="66">
        <v>1434.6439485116457</v>
      </c>
      <c r="H3069" s="67">
        <v>3</v>
      </c>
      <c r="I3069" s="68" t="s">
        <v>20</v>
      </c>
      <c r="J3069" s="69">
        <v>40</v>
      </c>
      <c r="K3069" s="70">
        <v>3</v>
      </c>
      <c r="L3069" s="68">
        <v>1</v>
      </c>
      <c r="M3069" s="68">
        <f>_xlfn.XLOOKUP(Survey!$F3069,sections[Start],sections[Test Section],,-1,1)</f>
        <v>8</v>
      </c>
      <c r="N3069" s="55">
        <f>_xlfn.XLOOKUP(Survey!$K3069,pipedata[ID],pipedata[WT])</f>
        <v>0.88800000000000001</v>
      </c>
      <c r="O3069" s="56">
        <f>_xlfn.XLOOKUP(Survey!$K3069,pipedata[ID],pipedata[104%])</f>
        <v>3078.4</v>
      </c>
      <c r="P3069" s="57">
        <f t="shared" si="47"/>
        <v>1850</v>
      </c>
      <c r="Q3069" s="58">
        <f>_xlfn.MAXIFS(Survey!$G$2:$G$3647,Survey!$M$2:$M$3647,Survey!$M3069)-Survey!$G3069</f>
        <v>1753.0655443062242</v>
      </c>
      <c r="R3069" s="59">
        <f>Survey!$P3069+(Survey!$Q3069*0.433)</f>
        <v>2609.077380684595</v>
      </c>
    </row>
    <row r="3070" spans="1:18" x14ac:dyDescent="0.25">
      <c r="A3070" s="71" t="s">
        <v>17</v>
      </c>
      <c r="B3070" s="72" t="s">
        <v>23</v>
      </c>
      <c r="C3070" s="73" t="s">
        <v>19</v>
      </c>
      <c r="D3070" s="74">
        <v>249.69117200439968</v>
      </c>
      <c r="E3070" s="81">
        <v>1349609</v>
      </c>
      <c r="F3070" s="82">
        <v>1319383.5869565257</v>
      </c>
      <c r="G3070" s="75">
        <v>1435.1950256449179</v>
      </c>
      <c r="H3070" s="76">
        <v>3</v>
      </c>
      <c r="I3070" s="54" t="s">
        <v>20</v>
      </c>
      <c r="J3070" s="77">
        <v>40</v>
      </c>
      <c r="K3070" s="78">
        <v>3</v>
      </c>
      <c r="L3070" s="54">
        <v>1</v>
      </c>
      <c r="M3070" s="54">
        <f>_xlfn.XLOOKUP(Survey!$F3070,sections[Start],sections[Test Section],,-1,1)</f>
        <v>8</v>
      </c>
      <c r="N3070" s="55">
        <f>_xlfn.XLOOKUP(Survey!$K3070,pipedata[ID],pipedata[WT])</f>
        <v>0.88800000000000001</v>
      </c>
      <c r="O3070" s="56">
        <f>_xlfn.XLOOKUP(Survey!$K3070,pipedata[ID],pipedata[104%])</f>
        <v>3078.4</v>
      </c>
      <c r="P3070" s="57">
        <f t="shared" si="47"/>
        <v>1850</v>
      </c>
      <c r="Q3070" s="58">
        <f>_xlfn.MAXIFS(Survey!$G$2:$G$3647,Survey!$M$2:$M$3647,Survey!$M3070)-Survey!$G3070</f>
        <v>1752.514467172952</v>
      </c>
      <c r="R3070" s="59">
        <f>Survey!$P3070+(Survey!$Q3070*0.433)</f>
        <v>2608.8387642858879</v>
      </c>
    </row>
    <row r="3071" spans="1:18" x14ac:dyDescent="0.25">
      <c r="A3071" s="60" t="s">
        <v>17</v>
      </c>
      <c r="B3071" s="61" t="s">
        <v>23</v>
      </c>
      <c r="C3071" s="62" t="s">
        <v>19</v>
      </c>
      <c r="D3071" s="63">
        <v>249.69926098932405</v>
      </c>
      <c r="E3071" s="79">
        <v>1349649</v>
      </c>
      <c r="F3071" s="80">
        <v>1319423.2173913084</v>
      </c>
      <c r="G3071" s="66">
        <v>1434.2646807864533</v>
      </c>
      <c r="H3071" s="67">
        <v>3</v>
      </c>
      <c r="I3071" s="68" t="s">
        <v>20</v>
      </c>
      <c r="J3071" s="69">
        <v>40</v>
      </c>
      <c r="K3071" s="70">
        <v>3</v>
      </c>
      <c r="L3071" s="68">
        <v>1</v>
      </c>
      <c r="M3071" s="68">
        <f>_xlfn.XLOOKUP(Survey!$F3071,sections[Start],sections[Test Section],,-1,1)</f>
        <v>8</v>
      </c>
      <c r="N3071" s="55">
        <f>_xlfn.XLOOKUP(Survey!$K3071,pipedata[ID],pipedata[WT])</f>
        <v>0.88800000000000001</v>
      </c>
      <c r="O3071" s="56">
        <f>_xlfn.XLOOKUP(Survey!$K3071,pipedata[ID],pipedata[104%])</f>
        <v>3078.4</v>
      </c>
      <c r="P3071" s="57">
        <f t="shared" si="47"/>
        <v>1850</v>
      </c>
      <c r="Q3071" s="58">
        <f>_xlfn.MAXIFS(Survey!$G$2:$G$3647,Survey!$M$2:$M$3647,Survey!$M3071)-Survey!$G3071</f>
        <v>1753.4448120314166</v>
      </c>
      <c r="R3071" s="59">
        <f>Survey!$P3071+(Survey!$Q3071*0.433)</f>
        <v>2609.2416036096033</v>
      </c>
    </row>
    <row r="3072" spans="1:18" x14ac:dyDescent="0.25">
      <c r="A3072" s="71" t="s">
        <v>17</v>
      </c>
      <c r="B3072" s="72" t="s">
        <v>23</v>
      </c>
      <c r="C3072" s="73" t="s">
        <v>19</v>
      </c>
      <c r="D3072" s="74">
        <v>249.70753230537997</v>
      </c>
      <c r="E3072" s="81">
        <v>1349689</v>
      </c>
      <c r="F3072" s="82">
        <v>1319462.8478260911</v>
      </c>
      <c r="G3072" s="75">
        <v>1434.6155897396968</v>
      </c>
      <c r="H3072" s="76">
        <v>3</v>
      </c>
      <c r="I3072" s="54" t="s">
        <v>20</v>
      </c>
      <c r="J3072" s="77">
        <v>40</v>
      </c>
      <c r="K3072" s="78">
        <v>3</v>
      </c>
      <c r="L3072" s="54">
        <v>1</v>
      </c>
      <c r="M3072" s="54">
        <f>_xlfn.XLOOKUP(Survey!$F3072,sections[Start],sections[Test Section],,-1,1)</f>
        <v>8</v>
      </c>
      <c r="N3072" s="55">
        <f>_xlfn.XLOOKUP(Survey!$K3072,pipedata[ID],pipedata[WT])</f>
        <v>0.88800000000000001</v>
      </c>
      <c r="O3072" s="56">
        <f>_xlfn.XLOOKUP(Survey!$K3072,pipedata[ID],pipedata[104%])</f>
        <v>3078.4</v>
      </c>
      <c r="P3072" s="57">
        <f t="shared" si="47"/>
        <v>1850</v>
      </c>
      <c r="Q3072" s="58">
        <f>_xlfn.MAXIFS(Survey!$G$2:$G$3647,Survey!$M$2:$M$3647,Survey!$M3072)-Survey!$G3072</f>
        <v>1753.0939030781731</v>
      </c>
      <c r="R3072" s="59">
        <f>Survey!$P3072+(Survey!$Q3072*0.433)</f>
        <v>2609.0896600328488</v>
      </c>
    </row>
    <row r="3073" spans="1:18" x14ac:dyDescent="0.25">
      <c r="A3073" s="60" t="s">
        <v>17</v>
      </c>
      <c r="B3073" s="61" t="s">
        <v>23</v>
      </c>
      <c r="C3073" s="62" t="s">
        <v>19</v>
      </c>
      <c r="D3073" s="63">
        <v>249.71542238087017</v>
      </c>
      <c r="E3073" s="79">
        <v>1349729</v>
      </c>
      <c r="F3073" s="80">
        <v>1319502.4782608738</v>
      </c>
      <c r="G3073" s="66">
        <v>1433.9368749525411</v>
      </c>
      <c r="H3073" s="67">
        <v>3</v>
      </c>
      <c r="I3073" s="68" t="s">
        <v>20</v>
      </c>
      <c r="J3073" s="69">
        <v>40</v>
      </c>
      <c r="K3073" s="70">
        <v>3</v>
      </c>
      <c r="L3073" s="68">
        <v>1</v>
      </c>
      <c r="M3073" s="68">
        <f>_xlfn.XLOOKUP(Survey!$F3073,sections[Start],sections[Test Section],,-1,1)</f>
        <v>8</v>
      </c>
      <c r="N3073" s="55">
        <f>_xlfn.XLOOKUP(Survey!$K3073,pipedata[ID],pipedata[WT])</f>
        <v>0.88800000000000001</v>
      </c>
      <c r="O3073" s="56">
        <f>_xlfn.XLOOKUP(Survey!$K3073,pipedata[ID],pipedata[104%])</f>
        <v>3078.4</v>
      </c>
      <c r="P3073" s="57">
        <f t="shared" si="47"/>
        <v>1850</v>
      </c>
      <c r="Q3073" s="58">
        <f>_xlfn.MAXIFS(Survey!$G$2:$G$3647,Survey!$M$2:$M$3647,Survey!$M3073)-Survey!$G3073</f>
        <v>1753.7726178653288</v>
      </c>
      <c r="R3073" s="59">
        <f>Survey!$P3073+(Survey!$Q3073*0.433)</f>
        <v>2609.3835435356873</v>
      </c>
    </row>
    <row r="3074" spans="1:18" x14ac:dyDescent="0.25">
      <c r="A3074" s="71" t="s">
        <v>17</v>
      </c>
      <c r="B3074" s="72" t="s">
        <v>23</v>
      </c>
      <c r="C3074" s="73" t="s">
        <v>19</v>
      </c>
      <c r="D3074" s="74">
        <v>249.72188693748836</v>
      </c>
      <c r="E3074" s="81">
        <v>1349769</v>
      </c>
      <c r="F3074" s="82">
        <v>1319542.1086956565</v>
      </c>
      <c r="G3074" s="75">
        <v>1433.8088650920708</v>
      </c>
      <c r="H3074" s="76">
        <v>3</v>
      </c>
      <c r="I3074" s="54" t="s">
        <v>20</v>
      </c>
      <c r="J3074" s="77">
        <v>40</v>
      </c>
      <c r="K3074" s="78">
        <v>3</v>
      </c>
      <c r="L3074" s="54">
        <v>1</v>
      </c>
      <c r="M3074" s="54">
        <f>_xlfn.XLOOKUP(Survey!$F3074,sections[Start],sections[Test Section],,-1,1)</f>
        <v>8</v>
      </c>
      <c r="N3074" s="55">
        <f>_xlfn.XLOOKUP(Survey!$K3074,pipedata[ID],pipedata[WT])</f>
        <v>0.88800000000000001</v>
      </c>
      <c r="O3074" s="56">
        <f>_xlfn.XLOOKUP(Survey!$K3074,pipedata[ID],pipedata[104%])</f>
        <v>3078.4</v>
      </c>
      <c r="P3074" s="57">
        <f t="shared" ref="P3074:P3137" si="48">IF(L3074=1,1850,IF(L3074=2,1850,2220))</f>
        <v>1850</v>
      </c>
      <c r="Q3074" s="58">
        <f>_xlfn.MAXIFS(Survey!$G$2:$G$3647,Survey!$M$2:$M$3647,Survey!$M3074)-Survey!$G3074</f>
        <v>1753.900627725799</v>
      </c>
      <c r="R3074" s="59">
        <f>Survey!$P3074+(Survey!$Q3074*0.433)</f>
        <v>2609.4389718052707</v>
      </c>
    </row>
    <row r="3075" spans="1:18" x14ac:dyDescent="0.25">
      <c r="A3075" s="60" t="s">
        <v>17</v>
      </c>
      <c r="B3075" s="61" t="s">
        <v>23</v>
      </c>
      <c r="C3075" s="62" t="s">
        <v>19</v>
      </c>
      <c r="D3075" s="63">
        <v>249.72962688897772</v>
      </c>
      <c r="E3075" s="79">
        <v>1349809</v>
      </c>
      <c r="F3075" s="80">
        <v>1319581.7391304392</v>
      </c>
      <c r="G3075" s="66">
        <v>1433.4896591553586</v>
      </c>
      <c r="H3075" s="67">
        <v>3</v>
      </c>
      <c r="I3075" s="68" t="s">
        <v>20</v>
      </c>
      <c r="J3075" s="69">
        <v>40</v>
      </c>
      <c r="K3075" s="70">
        <v>3</v>
      </c>
      <c r="L3075" s="68">
        <v>1</v>
      </c>
      <c r="M3075" s="68">
        <f>_xlfn.XLOOKUP(Survey!$F3075,sections[Start],sections[Test Section],,-1,1)</f>
        <v>8</v>
      </c>
      <c r="N3075" s="55">
        <f>_xlfn.XLOOKUP(Survey!$K3075,pipedata[ID],pipedata[WT])</f>
        <v>0.88800000000000001</v>
      </c>
      <c r="O3075" s="56">
        <f>_xlfn.XLOOKUP(Survey!$K3075,pipedata[ID],pipedata[104%])</f>
        <v>3078.4</v>
      </c>
      <c r="P3075" s="57">
        <f t="shared" si="48"/>
        <v>1850</v>
      </c>
      <c r="Q3075" s="58">
        <f>_xlfn.MAXIFS(Survey!$G$2:$G$3647,Survey!$M$2:$M$3647,Survey!$M3075)-Survey!$G3075</f>
        <v>1754.2198336625113</v>
      </c>
      <c r="R3075" s="59">
        <f>Survey!$P3075+(Survey!$Q3075*0.433)</f>
        <v>2609.5771879758672</v>
      </c>
    </row>
    <row r="3076" spans="1:18" x14ac:dyDescent="0.25">
      <c r="A3076" s="71" t="s">
        <v>17</v>
      </c>
      <c r="B3076" s="72" t="s">
        <v>23</v>
      </c>
      <c r="C3076" s="73" t="s">
        <v>19</v>
      </c>
      <c r="D3076" s="74">
        <v>249.73747793164807</v>
      </c>
      <c r="E3076" s="81">
        <v>1349849</v>
      </c>
      <c r="F3076" s="82">
        <v>1319621.3695652219</v>
      </c>
      <c r="G3076" s="75">
        <v>1432.9109500617105</v>
      </c>
      <c r="H3076" s="76">
        <v>3</v>
      </c>
      <c r="I3076" s="54" t="s">
        <v>20</v>
      </c>
      <c r="J3076" s="77">
        <v>6</v>
      </c>
      <c r="K3076" s="78">
        <v>3</v>
      </c>
      <c r="L3076" s="54">
        <v>1</v>
      </c>
      <c r="M3076" s="54">
        <f>_xlfn.XLOOKUP(Survey!$F3076,sections[Start],sections[Test Section],,-1,1)</f>
        <v>8</v>
      </c>
      <c r="N3076" s="55">
        <f>_xlfn.XLOOKUP(Survey!$K3076,pipedata[ID],pipedata[WT])</f>
        <v>0.88800000000000001</v>
      </c>
      <c r="O3076" s="56">
        <f>_xlfn.XLOOKUP(Survey!$K3076,pipedata[ID],pipedata[104%])</f>
        <v>3078.4</v>
      </c>
      <c r="P3076" s="57">
        <f t="shared" si="48"/>
        <v>1850</v>
      </c>
      <c r="Q3076" s="58">
        <f>_xlfn.MAXIFS(Survey!$G$2:$G$3647,Survey!$M$2:$M$3647,Survey!$M3076)-Survey!$G3076</f>
        <v>1754.7985427561593</v>
      </c>
      <c r="R3076" s="59">
        <f>Survey!$P3076+(Survey!$Q3076*0.433)</f>
        <v>2609.8277690134169</v>
      </c>
    </row>
    <row r="3077" spans="1:18" x14ac:dyDescent="0.25">
      <c r="A3077" s="60" t="s">
        <v>17</v>
      </c>
      <c r="B3077" s="61" t="s">
        <v>23</v>
      </c>
      <c r="C3077" s="62" t="s">
        <v>19</v>
      </c>
      <c r="D3077" s="63">
        <v>249.74517775493001</v>
      </c>
      <c r="E3077" s="79">
        <v>1349855</v>
      </c>
      <c r="F3077" s="80">
        <v>1319661</v>
      </c>
      <c r="G3077" s="66">
        <v>1433.7684093357047</v>
      </c>
      <c r="H3077" s="67">
        <v>3</v>
      </c>
      <c r="I3077" s="68" t="s">
        <v>21</v>
      </c>
      <c r="J3077" s="69">
        <v>74</v>
      </c>
      <c r="K3077" s="70">
        <v>5</v>
      </c>
      <c r="L3077" s="68">
        <v>1</v>
      </c>
      <c r="M3077" s="68">
        <f>_xlfn.XLOOKUP(Survey!$F3077,sections[Start],sections[Test Section],,-1,1)</f>
        <v>9</v>
      </c>
      <c r="N3077" s="55">
        <f>_xlfn.XLOOKUP(Survey!$K3077,pipedata[ID],pipedata[WT])</f>
        <v>0.88800000000000001</v>
      </c>
      <c r="O3077" s="56">
        <f>_xlfn.XLOOKUP(Survey!$K3077,pipedata[ID],pipedata[104%])</f>
        <v>3078.4</v>
      </c>
      <c r="P3077" s="57">
        <f t="shared" si="48"/>
        <v>1850</v>
      </c>
      <c r="Q3077" s="58">
        <f>_xlfn.MAXIFS(Survey!$G$2:$G$3647,Survey!$M$2:$M$3647,Survey!$M3077)-Survey!$G3077</f>
        <v>632.57173696971677</v>
      </c>
      <c r="R3077" s="59">
        <f>Survey!$P3077+(Survey!$Q3077*0.433)</f>
        <v>2123.9035621078874</v>
      </c>
    </row>
    <row r="3078" spans="1:18" x14ac:dyDescent="0.25">
      <c r="A3078" s="71" t="s">
        <v>17</v>
      </c>
      <c r="B3078" s="72" t="s">
        <v>23</v>
      </c>
      <c r="C3078" s="73" t="s">
        <v>19</v>
      </c>
      <c r="D3078" s="74">
        <v>249.75287757821232</v>
      </c>
      <c r="E3078" s="81">
        <v>1349929</v>
      </c>
      <c r="F3078" s="82">
        <v>1319700</v>
      </c>
      <c r="G3078" s="75">
        <v>1433.0200046944021</v>
      </c>
      <c r="H3078" s="76">
        <v>3</v>
      </c>
      <c r="I3078" s="54" t="s">
        <v>21</v>
      </c>
      <c r="J3078" s="77">
        <v>40</v>
      </c>
      <c r="K3078" s="78">
        <v>5</v>
      </c>
      <c r="L3078" s="54">
        <v>1</v>
      </c>
      <c r="M3078" s="54">
        <f>_xlfn.XLOOKUP(Survey!$F3078,sections[Start],sections[Test Section],,-1,1)</f>
        <v>9</v>
      </c>
      <c r="N3078" s="55">
        <f>_xlfn.XLOOKUP(Survey!$K3078,pipedata[ID],pipedata[WT])</f>
        <v>0.88800000000000001</v>
      </c>
      <c r="O3078" s="56">
        <f>_xlfn.XLOOKUP(Survey!$K3078,pipedata[ID],pipedata[104%])</f>
        <v>3078.4</v>
      </c>
      <c r="P3078" s="57">
        <f t="shared" si="48"/>
        <v>1850</v>
      </c>
      <c r="Q3078" s="58">
        <f>_xlfn.MAXIFS(Survey!$G$2:$G$3647,Survey!$M$2:$M$3647,Survey!$M3078)-Survey!$G3078</f>
        <v>633.32014161101938</v>
      </c>
      <c r="R3078" s="59">
        <f>Survey!$P3078+(Survey!$Q3078*0.433)</f>
        <v>2124.2276213175714</v>
      </c>
    </row>
    <row r="3079" spans="1:18" x14ac:dyDescent="0.25">
      <c r="A3079" s="60" t="s">
        <v>17</v>
      </c>
      <c r="B3079" s="61" t="s">
        <v>23</v>
      </c>
      <c r="C3079" s="62" t="s">
        <v>19</v>
      </c>
      <c r="D3079" s="63">
        <v>249.75829969336272</v>
      </c>
      <c r="E3079" s="79">
        <v>1349969</v>
      </c>
      <c r="F3079" s="80">
        <v>1319739</v>
      </c>
      <c r="G3079" s="66">
        <v>1447.2711725086399</v>
      </c>
      <c r="H3079" s="67">
        <v>3</v>
      </c>
      <c r="I3079" s="68" t="s">
        <v>21</v>
      </c>
      <c r="J3079" s="69">
        <v>6</v>
      </c>
      <c r="K3079" s="70">
        <v>5</v>
      </c>
      <c r="L3079" s="68">
        <v>1</v>
      </c>
      <c r="M3079" s="68">
        <f>_xlfn.XLOOKUP(Survey!$F3079,sections[Start],sections[Test Section],,-1,1)</f>
        <v>9</v>
      </c>
      <c r="N3079" s="55">
        <f>_xlfn.XLOOKUP(Survey!$K3079,pipedata[ID],pipedata[WT])</f>
        <v>0.88800000000000001</v>
      </c>
      <c r="O3079" s="56">
        <f>_xlfn.XLOOKUP(Survey!$K3079,pipedata[ID],pipedata[104%])</f>
        <v>3078.4</v>
      </c>
      <c r="P3079" s="57">
        <f t="shared" si="48"/>
        <v>1850</v>
      </c>
      <c r="Q3079" s="58">
        <f>_xlfn.MAXIFS(Survey!$G$2:$G$3647,Survey!$M$2:$M$3647,Survey!$M3079)-Survey!$G3079</f>
        <v>619.06897379678162</v>
      </c>
      <c r="R3079" s="59">
        <f>Survey!$P3079+(Survey!$Q3079*0.433)</f>
        <v>2118.0568656540063</v>
      </c>
    </row>
    <row r="3080" spans="1:18" x14ac:dyDescent="0.25">
      <c r="A3080" s="71" t="s">
        <v>17</v>
      </c>
      <c r="B3080" s="72" t="s">
        <v>23</v>
      </c>
      <c r="C3080" s="73" t="s">
        <v>19</v>
      </c>
      <c r="D3080" s="74">
        <v>249.7663845078103</v>
      </c>
      <c r="E3080" s="81">
        <v>1349975</v>
      </c>
      <c r="F3080" s="82">
        <v>1319778</v>
      </c>
      <c r="G3080" s="75">
        <v>1457.2544091189056</v>
      </c>
      <c r="H3080" s="76">
        <v>3</v>
      </c>
      <c r="I3080" s="54" t="s">
        <v>20</v>
      </c>
      <c r="J3080" s="77">
        <v>18</v>
      </c>
      <c r="K3080" s="78">
        <v>3</v>
      </c>
      <c r="L3080" s="54">
        <v>1</v>
      </c>
      <c r="M3080" s="54">
        <f>_xlfn.XLOOKUP(Survey!$F3080,sections[Start],sections[Test Section],,-1,1)</f>
        <v>9</v>
      </c>
      <c r="N3080" s="55">
        <f>_xlfn.XLOOKUP(Survey!$K3080,pipedata[ID],pipedata[WT])</f>
        <v>0.88800000000000001</v>
      </c>
      <c r="O3080" s="56">
        <f>_xlfn.XLOOKUP(Survey!$K3080,pipedata[ID],pipedata[104%])</f>
        <v>3078.4</v>
      </c>
      <c r="P3080" s="57">
        <f t="shared" si="48"/>
        <v>1850</v>
      </c>
      <c r="Q3080" s="58">
        <f>_xlfn.MAXIFS(Survey!$G$2:$G$3647,Survey!$M$2:$M$3647,Survey!$M3080)-Survey!$G3080</f>
        <v>609.08573718651587</v>
      </c>
      <c r="R3080" s="59">
        <f>Survey!$P3080+(Survey!$Q3080*0.433)</f>
        <v>2113.7341242017615</v>
      </c>
    </row>
    <row r="3081" spans="1:18" x14ac:dyDescent="0.25">
      <c r="A3081" s="60" t="s">
        <v>17</v>
      </c>
      <c r="B3081" s="61" t="s">
        <v>23</v>
      </c>
      <c r="C3081" s="62" t="s">
        <v>19</v>
      </c>
      <c r="D3081" s="63">
        <v>249.77366559257737</v>
      </c>
      <c r="E3081" s="79">
        <v>1349993</v>
      </c>
      <c r="F3081" s="80">
        <v>1319796</v>
      </c>
      <c r="G3081" s="66">
        <v>1466.8743543667642</v>
      </c>
      <c r="H3081" s="67">
        <v>8</v>
      </c>
      <c r="I3081" s="68" t="s">
        <v>20</v>
      </c>
      <c r="J3081" s="69">
        <v>5</v>
      </c>
      <c r="K3081" s="70">
        <v>8</v>
      </c>
      <c r="L3081" s="68">
        <v>1</v>
      </c>
      <c r="M3081" s="68">
        <f>_xlfn.XLOOKUP(Survey!$F3081,sections[Start],sections[Test Section],,-1,1)</f>
        <v>9</v>
      </c>
      <c r="N3081" s="55">
        <f>_xlfn.XLOOKUP(Survey!$K3081,pipedata[ID],pipedata[WT])</f>
        <v>0</v>
      </c>
      <c r="O3081" s="56">
        <f>_xlfn.XLOOKUP(Survey!$K3081,pipedata[ID],pipedata[104%])</f>
        <v>2308.8000000000002</v>
      </c>
      <c r="P3081" s="57">
        <f t="shared" si="48"/>
        <v>1850</v>
      </c>
      <c r="Q3081" s="58">
        <f>_xlfn.MAXIFS(Survey!$G$2:$G$3647,Survey!$M$2:$M$3647,Survey!$M3081)-Survey!$G3081</f>
        <v>599.46579193865728</v>
      </c>
      <c r="R3081" s="59">
        <f>Survey!$P3081+(Survey!$Q3081*0.433)</f>
        <v>2109.5686879094387</v>
      </c>
    </row>
    <row r="3082" spans="1:18" x14ac:dyDescent="0.25">
      <c r="A3082" s="71" t="s">
        <v>17</v>
      </c>
      <c r="B3082" s="72" t="s">
        <v>23</v>
      </c>
      <c r="C3082" s="73" t="s">
        <v>19</v>
      </c>
      <c r="D3082" s="74">
        <v>249.78013080669197</v>
      </c>
      <c r="E3082" s="81">
        <v>1349998</v>
      </c>
      <c r="F3082" s="82">
        <v>1319801</v>
      </c>
      <c r="G3082" s="75">
        <v>1468.1983833208951</v>
      </c>
      <c r="H3082" s="76">
        <v>3</v>
      </c>
      <c r="I3082" s="54" t="s">
        <v>20</v>
      </c>
      <c r="J3082" s="77">
        <v>131</v>
      </c>
      <c r="K3082" s="78">
        <v>3</v>
      </c>
      <c r="L3082" s="54">
        <v>1</v>
      </c>
      <c r="M3082" s="54">
        <f>_xlfn.XLOOKUP(Survey!$F3082,sections[Start],sections[Test Section],,-1,1)</f>
        <v>9</v>
      </c>
      <c r="N3082" s="55">
        <f>_xlfn.XLOOKUP(Survey!$K3082,pipedata[ID],pipedata[WT])</f>
        <v>0.88800000000000001</v>
      </c>
      <c r="O3082" s="56">
        <f>_xlfn.XLOOKUP(Survey!$K3082,pipedata[ID],pipedata[104%])</f>
        <v>3078.4</v>
      </c>
      <c r="P3082" s="57">
        <f t="shared" si="48"/>
        <v>1850</v>
      </c>
      <c r="Q3082" s="58">
        <f>_xlfn.MAXIFS(Survey!$G$2:$G$3647,Survey!$M$2:$M$3647,Survey!$M3082)-Survey!$G3082</f>
        <v>598.14176298452639</v>
      </c>
      <c r="R3082" s="59">
        <f>Survey!$P3082+(Survey!$Q3082*0.433)</f>
        <v>2108.9953833722998</v>
      </c>
    </row>
    <row r="3083" spans="1:18" x14ac:dyDescent="0.25">
      <c r="A3083" s="60" t="s">
        <v>17</v>
      </c>
      <c r="B3083" s="61" t="s">
        <v>23</v>
      </c>
      <c r="C3083" s="62" t="s">
        <v>19</v>
      </c>
      <c r="D3083" s="63">
        <v>249.78755084639931</v>
      </c>
      <c r="E3083" s="79">
        <v>1350129</v>
      </c>
      <c r="F3083" s="80">
        <v>1319843.4444444445</v>
      </c>
      <c r="G3083" s="66">
        <v>1484.0029606434944</v>
      </c>
      <c r="H3083" s="67">
        <v>3</v>
      </c>
      <c r="I3083" s="68" t="s">
        <v>20</v>
      </c>
      <c r="J3083" s="69">
        <v>40</v>
      </c>
      <c r="K3083" s="70">
        <v>3</v>
      </c>
      <c r="L3083" s="68">
        <v>1</v>
      </c>
      <c r="M3083" s="68">
        <f>_xlfn.XLOOKUP(Survey!$F3083,sections[Start],sections[Test Section],,-1,1)</f>
        <v>9</v>
      </c>
      <c r="N3083" s="55">
        <f>_xlfn.XLOOKUP(Survey!$K3083,pipedata[ID],pipedata[WT])</f>
        <v>0.88800000000000001</v>
      </c>
      <c r="O3083" s="56">
        <f>_xlfn.XLOOKUP(Survey!$K3083,pipedata[ID],pipedata[104%])</f>
        <v>3078.4</v>
      </c>
      <c r="P3083" s="57">
        <f t="shared" si="48"/>
        <v>1850</v>
      </c>
      <c r="Q3083" s="58">
        <f>_xlfn.MAXIFS(Survey!$G$2:$G$3647,Survey!$M$2:$M$3647,Survey!$M3083)-Survey!$G3083</f>
        <v>582.33718566192715</v>
      </c>
      <c r="R3083" s="59">
        <f>Survey!$P3083+(Survey!$Q3083*0.433)</f>
        <v>2102.1520013916142</v>
      </c>
    </row>
    <row r="3084" spans="1:18" x14ac:dyDescent="0.25">
      <c r="A3084" s="71" t="s">
        <v>17</v>
      </c>
      <c r="B3084" s="72" t="s">
        <v>23</v>
      </c>
      <c r="C3084" s="73" t="s">
        <v>19</v>
      </c>
      <c r="D3084" s="74">
        <v>249.79497088610634</v>
      </c>
      <c r="E3084" s="81">
        <v>1350169</v>
      </c>
      <c r="F3084" s="82">
        <v>1319885.888888889</v>
      </c>
      <c r="G3084" s="75">
        <v>1500.4200947423392</v>
      </c>
      <c r="H3084" s="76">
        <v>3</v>
      </c>
      <c r="I3084" s="54" t="s">
        <v>20</v>
      </c>
      <c r="J3084" s="77">
        <v>40</v>
      </c>
      <c r="K3084" s="78">
        <v>3</v>
      </c>
      <c r="L3084" s="54">
        <v>1</v>
      </c>
      <c r="M3084" s="54">
        <f>_xlfn.XLOOKUP(Survey!$F3084,sections[Start],sections[Test Section],,-1,1)</f>
        <v>9</v>
      </c>
      <c r="N3084" s="55">
        <f>_xlfn.XLOOKUP(Survey!$K3084,pipedata[ID],pipedata[WT])</f>
        <v>0.88800000000000001</v>
      </c>
      <c r="O3084" s="56">
        <f>_xlfn.XLOOKUP(Survey!$K3084,pipedata[ID],pipedata[104%])</f>
        <v>3078.4</v>
      </c>
      <c r="P3084" s="57">
        <f t="shared" si="48"/>
        <v>1850</v>
      </c>
      <c r="Q3084" s="58">
        <f>_xlfn.MAXIFS(Survey!$G$2:$G$3647,Survey!$M$2:$M$3647,Survey!$M3084)-Survey!$G3084</f>
        <v>565.92005156308232</v>
      </c>
      <c r="R3084" s="59">
        <f>Survey!$P3084+(Survey!$Q3084*0.433)</f>
        <v>2095.0433823268145</v>
      </c>
    </row>
    <row r="3085" spans="1:18" x14ac:dyDescent="0.25">
      <c r="A3085" s="60" t="s">
        <v>17</v>
      </c>
      <c r="B3085" s="61" t="s">
        <v>23</v>
      </c>
      <c r="C3085" s="62" t="s">
        <v>19</v>
      </c>
      <c r="D3085" s="63">
        <v>249.8021890733242</v>
      </c>
      <c r="E3085" s="79">
        <v>1350209</v>
      </c>
      <c r="F3085" s="80">
        <v>1319928.3333333335</v>
      </c>
      <c r="G3085" s="66">
        <v>1517.1143086915808</v>
      </c>
      <c r="H3085" s="67">
        <v>3</v>
      </c>
      <c r="I3085" s="68" t="s">
        <v>20</v>
      </c>
      <c r="J3085" s="69">
        <v>40</v>
      </c>
      <c r="K3085" s="70">
        <v>3</v>
      </c>
      <c r="L3085" s="68">
        <v>1</v>
      </c>
      <c r="M3085" s="68">
        <f>_xlfn.XLOOKUP(Survey!$F3085,sections[Start],sections[Test Section],,-1,1)</f>
        <v>9</v>
      </c>
      <c r="N3085" s="55">
        <f>_xlfn.XLOOKUP(Survey!$K3085,pipedata[ID],pipedata[WT])</f>
        <v>0.88800000000000001</v>
      </c>
      <c r="O3085" s="56">
        <f>_xlfn.XLOOKUP(Survey!$K3085,pipedata[ID],pipedata[104%])</f>
        <v>3078.4</v>
      </c>
      <c r="P3085" s="57">
        <f t="shared" si="48"/>
        <v>1850</v>
      </c>
      <c r="Q3085" s="58">
        <f>_xlfn.MAXIFS(Survey!$G$2:$G$3647,Survey!$M$2:$M$3647,Survey!$M3085)-Survey!$G3085</f>
        <v>549.22583761384067</v>
      </c>
      <c r="R3085" s="59">
        <f>Survey!$P3085+(Survey!$Q3085*0.433)</f>
        <v>2087.8147876867929</v>
      </c>
    </row>
    <row r="3086" spans="1:18" x14ac:dyDescent="0.25">
      <c r="A3086" s="71" t="s">
        <v>17</v>
      </c>
      <c r="B3086" s="72" t="s">
        <v>23</v>
      </c>
      <c r="C3086" s="73" t="s">
        <v>19</v>
      </c>
      <c r="D3086" s="74">
        <v>249.80795595559357</v>
      </c>
      <c r="E3086" s="81">
        <v>1350249</v>
      </c>
      <c r="F3086" s="82">
        <v>1319970.777777778</v>
      </c>
      <c r="G3086" s="75">
        <v>1532.9348630078789</v>
      </c>
      <c r="H3086" s="76">
        <v>3</v>
      </c>
      <c r="I3086" s="54" t="s">
        <v>20</v>
      </c>
      <c r="J3086" s="77">
        <v>40</v>
      </c>
      <c r="K3086" s="78">
        <v>3</v>
      </c>
      <c r="L3086" s="54">
        <v>1</v>
      </c>
      <c r="M3086" s="54">
        <f>_xlfn.XLOOKUP(Survey!$F3086,sections[Start],sections[Test Section],,-1,1)</f>
        <v>9</v>
      </c>
      <c r="N3086" s="55">
        <f>_xlfn.XLOOKUP(Survey!$K3086,pipedata[ID],pipedata[WT])</f>
        <v>0.88800000000000001</v>
      </c>
      <c r="O3086" s="56">
        <f>_xlfn.XLOOKUP(Survey!$K3086,pipedata[ID],pipedata[104%])</f>
        <v>3078.4</v>
      </c>
      <c r="P3086" s="57">
        <f t="shared" si="48"/>
        <v>1850</v>
      </c>
      <c r="Q3086" s="58">
        <f>_xlfn.MAXIFS(Survey!$G$2:$G$3647,Survey!$M$2:$M$3647,Survey!$M3086)-Survey!$G3086</f>
        <v>533.40528329754261</v>
      </c>
      <c r="R3086" s="59">
        <f>Survey!$P3086+(Survey!$Q3086*0.433)</f>
        <v>2080.9644876678358</v>
      </c>
    </row>
    <row r="3087" spans="1:18" x14ac:dyDescent="0.25">
      <c r="A3087" s="60" t="s">
        <v>17</v>
      </c>
      <c r="B3087" s="61" t="s">
        <v>23</v>
      </c>
      <c r="C3087" s="62" t="s">
        <v>19</v>
      </c>
      <c r="D3087" s="63">
        <v>249.81544963245264</v>
      </c>
      <c r="E3087" s="79">
        <v>1350289</v>
      </c>
      <c r="F3087" s="80">
        <v>1320013.2222222225</v>
      </c>
      <c r="G3087" s="66">
        <v>1553.7800981756507</v>
      </c>
      <c r="H3087" s="67">
        <v>3</v>
      </c>
      <c r="I3087" s="68" t="s">
        <v>20</v>
      </c>
      <c r="J3087" s="69">
        <v>40</v>
      </c>
      <c r="K3087" s="70">
        <v>3</v>
      </c>
      <c r="L3087" s="68">
        <v>1</v>
      </c>
      <c r="M3087" s="68">
        <f>_xlfn.XLOOKUP(Survey!$F3087,sections[Start],sections[Test Section],,-1,1)</f>
        <v>9</v>
      </c>
      <c r="N3087" s="55">
        <f>_xlfn.XLOOKUP(Survey!$K3087,pipedata[ID],pipedata[WT])</f>
        <v>0.88800000000000001</v>
      </c>
      <c r="O3087" s="56">
        <f>_xlfn.XLOOKUP(Survey!$K3087,pipedata[ID],pipedata[104%])</f>
        <v>3078.4</v>
      </c>
      <c r="P3087" s="57">
        <f t="shared" si="48"/>
        <v>1850</v>
      </c>
      <c r="Q3087" s="58">
        <f>_xlfn.MAXIFS(Survey!$G$2:$G$3647,Survey!$M$2:$M$3647,Survey!$M3087)-Survey!$G3087</f>
        <v>512.56004812977085</v>
      </c>
      <c r="R3087" s="59">
        <f>Survey!$P3087+(Survey!$Q3087*0.433)</f>
        <v>2071.938500840191</v>
      </c>
    </row>
    <row r="3088" spans="1:18" x14ac:dyDescent="0.25">
      <c r="A3088" s="71" t="s">
        <v>17</v>
      </c>
      <c r="B3088" s="72" t="s">
        <v>23</v>
      </c>
      <c r="C3088" s="73" t="s">
        <v>19</v>
      </c>
      <c r="D3088" s="74">
        <v>249.82302709481189</v>
      </c>
      <c r="E3088" s="81">
        <v>1350329</v>
      </c>
      <c r="F3088" s="82">
        <v>1320055.666666667</v>
      </c>
      <c r="G3088" s="75">
        <v>1569.9670558070316</v>
      </c>
      <c r="H3088" s="76">
        <v>3</v>
      </c>
      <c r="I3088" s="54" t="s">
        <v>20</v>
      </c>
      <c r="J3088" s="77">
        <v>40</v>
      </c>
      <c r="K3088" s="78">
        <v>3</v>
      </c>
      <c r="L3088" s="54">
        <v>1</v>
      </c>
      <c r="M3088" s="54">
        <f>_xlfn.XLOOKUP(Survey!$F3088,sections[Start],sections[Test Section],,-1,1)</f>
        <v>9</v>
      </c>
      <c r="N3088" s="55">
        <f>_xlfn.XLOOKUP(Survey!$K3088,pipedata[ID],pipedata[WT])</f>
        <v>0.88800000000000001</v>
      </c>
      <c r="O3088" s="56">
        <f>_xlfn.XLOOKUP(Survey!$K3088,pipedata[ID],pipedata[104%])</f>
        <v>3078.4</v>
      </c>
      <c r="P3088" s="57">
        <f t="shared" si="48"/>
        <v>1850</v>
      </c>
      <c r="Q3088" s="58">
        <f>_xlfn.MAXIFS(Survey!$G$2:$G$3647,Survey!$M$2:$M$3647,Survey!$M3088)-Survey!$G3088</f>
        <v>496.37309049838996</v>
      </c>
      <c r="R3088" s="59">
        <f>Survey!$P3088+(Survey!$Q3088*0.433)</f>
        <v>2064.929548185803</v>
      </c>
    </row>
    <row r="3089" spans="1:18" x14ac:dyDescent="0.25">
      <c r="A3089" s="60" t="s">
        <v>17</v>
      </c>
      <c r="B3089" s="61" t="s">
        <v>23</v>
      </c>
      <c r="C3089" s="62" t="s">
        <v>19</v>
      </c>
      <c r="D3089" s="63">
        <v>249.83021607471517</v>
      </c>
      <c r="E3089" s="79">
        <v>1350369</v>
      </c>
      <c r="F3089" s="80">
        <v>1320098.1111111115</v>
      </c>
      <c r="G3089" s="66">
        <v>1585.8087980298494</v>
      </c>
      <c r="H3089" s="67">
        <v>3</v>
      </c>
      <c r="I3089" s="68" t="s">
        <v>20</v>
      </c>
      <c r="J3089" s="69">
        <v>11</v>
      </c>
      <c r="K3089" s="70">
        <v>3</v>
      </c>
      <c r="L3089" s="68">
        <v>1</v>
      </c>
      <c r="M3089" s="68">
        <f>_xlfn.XLOOKUP(Survey!$F3089,sections[Start],sections[Test Section],,-1,1)</f>
        <v>9</v>
      </c>
      <c r="N3089" s="55">
        <f>_xlfn.XLOOKUP(Survey!$K3089,pipedata[ID],pipedata[WT])</f>
        <v>0.88800000000000001</v>
      </c>
      <c r="O3089" s="56">
        <f>_xlfn.XLOOKUP(Survey!$K3089,pipedata[ID],pipedata[104%])</f>
        <v>3078.4</v>
      </c>
      <c r="P3089" s="57">
        <f t="shared" si="48"/>
        <v>1850</v>
      </c>
      <c r="Q3089" s="58">
        <f>_xlfn.MAXIFS(Survey!$G$2:$G$3647,Survey!$M$2:$M$3647,Survey!$M3089)-Survey!$G3089</f>
        <v>480.5313482755721</v>
      </c>
      <c r="R3089" s="59">
        <f>Survey!$P3089+(Survey!$Q3089*0.433)</f>
        <v>2058.0700738033229</v>
      </c>
    </row>
    <row r="3090" spans="1:18" x14ac:dyDescent="0.25">
      <c r="A3090" s="71" t="s">
        <v>17</v>
      </c>
      <c r="B3090" s="72" t="s">
        <v>23</v>
      </c>
      <c r="C3090" s="73" t="s">
        <v>19</v>
      </c>
      <c r="D3090" s="74">
        <v>249.83628765394045</v>
      </c>
      <c r="E3090" s="81">
        <v>1350380</v>
      </c>
      <c r="F3090" s="82">
        <v>1320183</v>
      </c>
      <c r="G3090" s="75">
        <v>1624.0092619642485</v>
      </c>
      <c r="H3090" s="76">
        <v>2</v>
      </c>
      <c r="I3090" s="54" t="s">
        <v>20</v>
      </c>
      <c r="J3090" s="77">
        <v>69</v>
      </c>
      <c r="K3090" s="78">
        <v>2</v>
      </c>
      <c r="L3090" s="54">
        <v>1</v>
      </c>
      <c r="M3090" s="54">
        <f>_xlfn.XLOOKUP(Survey!$F3090,sections[Start],sections[Test Section],,-1,1)</f>
        <v>9</v>
      </c>
      <c r="N3090" s="55">
        <f>_xlfn.XLOOKUP(Survey!$K3090,pipedata[ID],pipedata[WT])</f>
        <v>0.74</v>
      </c>
      <c r="O3090" s="56">
        <f>_xlfn.XLOOKUP(Survey!$K3090,pipedata[ID],pipedata[104%])</f>
        <v>2565.3333333333335</v>
      </c>
      <c r="P3090" s="57">
        <f t="shared" si="48"/>
        <v>1850</v>
      </c>
      <c r="Q3090" s="58">
        <f>_xlfn.MAXIFS(Survey!$G$2:$G$3647,Survey!$M$2:$M$3647,Survey!$M3090)-Survey!$G3090</f>
        <v>442.33088434117303</v>
      </c>
      <c r="R3090" s="59">
        <f>Survey!$P3090+(Survey!$Q3090*0.433)</f>
        <v>2041.5292729197279</v>
      </c>
    </row>
    <row r="3091" spans="1:18" x14ac:dyDescent="0.25">
      <c r="A3091" s="60" t="s">
        <v>17</v>
      </c>
      <c r="B3091" s="61" t="s">
        <v>23</v>
      </c>
      <c r="C3091" s="62" t="s">
        <v>19</v>
      </c>
      <c r="D3091" s="63">
        <v>249.84386511629964</v>
      </c>
      <c r="E3091" s="79">
        <v>1350449</v>
      </c>
      <c r="F3091" s="80">
        <v>1320221.6350364964</v>
      </c>
      <c r="G3091" s="66">
        <v>1638.0394757009956</v>
      </c>
      <c r="H3091" s="67">
        <v>2</v>
      </c>
      <c r="I3091" s="68" t="s">
        <v>20</v>
      </c>
      <c r="J3091" s="69">
        <v>40</v>
      </c>
      <c r="K3091" s="70">
        <v>2</v>
      </c>
      <c r="L3091" s="68">
        <v>1</v>
      </c>
      <c r="M3091" s="68">
        <f>_xlfn.XLOOKUP(Survey!$F3091,sections[Start],sections[Test Section],,-1,1)</f>
        <v>9</v>
      </c>
      <c r="N3091" s="55">
        <f>_xlfn.XLOOKUP(Survey!$K3091,pipedata[ID],pipedata[WT])</f>
        <v>0.74</v>
      </c>
      <c r="O3091" s="56">
        <f>_xlfn.XLOOKUP(Survey!$K3091,pipedata[ID],pipedata[104%])</f>
        <v>2565.3333333333335</v>
      </c>
      <c r="P3091" s="57">
        <f t="shared" si="48"/>
        <v>1850</v>
      </c>
      <c r="Q3091" s="58">
        <f>_xlfn.MAXIFS(Survey!$G$2:$G$3647,Survey!$M$2:$M$3647,Survey!$M3091)-Survey!$G3091</f>
        <v>428.30067060442593</v>
      </c>
      <c r="R3091" s="59">
        <f>Survey!$P3091+(Survey!$Q3091*0.433)</f>
        <v>2035.4541903717163</v>
      </c>
    </row>
    <row r="3092" spans="1:18" x14ac:dyDescent="0.25">
      <c r="A3092" s="71" t="s">
        <v>17</v>
      </c>
      <c r="B3092" s="72" t="s">
        <v>23</v>
      </c>
      <c r="C3092" s="73" t="s">
        <v>19</v>
      </c>
      <c r="D3092" s="74">
        <v>249.85062118390954</v>
      </c>
      <c r="E3092" s="81">
        <v>1350489</v>
      </c>
      <c r="F3092" s="82">
        <v>1320260.2700729929</v>
      </c>
      <c r="G3092" s="75">
        <v>1651.0244010778251</v>
      </c>
      <c r="H3092" s="76">
        <v>2</v>
      </c>
      <c r="I3092" s="54" t="s">
        <v>20</v>
      </c>
      <c r="J3092" s="77">
        <v>40</v>
      </c>
      <c r="K3092" s="78">
        <v>2</v>
      </c>
      <c r="L3092" s="54">
        <v>1</v>
      </c>
      <c r="M3092" s="54">
        <f>_xlfn.XLOOKUP(Survey!$F3092,sections[Start],sections[Test Section],,-1,1)</f>
        <v>9</v>
      </c>
      <c r="N3092" s="55">
        <f>_xlfn.XLOOKUP(Survey!$K3092,pipedata[ID],pipedata[WT])</f>
        <v>0.74</v>
      </c>
      <c r="O3092" s="56">
        <f>_xlfn.XLOOKUP(Survey!$K3092,pipedata[ID],pipedata[104%])</f>
        <v>2565.3333333333335</v>
      </c>
      <c r="P3092" s="57">
        <f t="shared" si="48"/>
        <v>1850</v>
      </c>
      <c r="Q3092" s="58">
        <f>_xlfn.MAXIFS(Survey!$G$2:$G$3647,Survey!$M$2:$M$3647,Survey!$M3092)-Survey!$G3092</f>
        <v>415.31574522759638</v>
      </c>
      <c r="R3092" s="59">
        <f>Survey!$P3092+(Survey!$Q3092*0.433)</f>
        <v>2029.8317176835492</v>
      </c>
    </row>
    <row r="3093" spans="1:18" x14ac:dyDescent="0.25">
      <c r="A3093" s="60" t="s">
        <v>17</v>
      </c>
      <c r="B3093" s="61" t="s">
        <v>23</v>
      </c>
      <c r="C3093" s="62" t="s">
        <v>19</v>
      </c>
      <c r="D3093" s="63">
        <v>249.85804122361671</v>
      </c>
      <c r="E3093" s="79">
        <v>1350529</v>
      </c>
      <c r="F3093" s="80">
        <v>1320298.9051094893</v>
      </c>
      <c r="G3093" s="66">
        <v>1662.6525165822613</v>
      </c>
      <c r="H3093" s="67">
        <v>2</v>
      </c>
      <c r="I3093" s="68" t="s">
        <v>20</v>
      </c>
      <c r="J3093" s="69">
        <v>40</v>
      </c>
      <c r="K3093" s="70">
        <v>2</v>
      </c>
      <c r="L3093" s="68">
        <v>1</v>
      </c>
      <c r="M3093" s="68">
        <f>_xlfn.XLOOKUP(Survey!$F3093,sections[Start],sections[Test Section],,-1,1)</f>
        <v>9</v>
      </c>
      <c r="N3093" s="55">
        <f>_xlfn.XLOOKUP(Survey!$K3093,pipedata[ID],pipedata[WT])</f>
        <v>0.74</v>
      </c>
      <c r="O3093" s="56">
        <f>_xlfn.XLOOKUP(Survey!$K3093,pipedata[ID],pipedata[104%])</f>
        <v>2565.3333333333335</v>
      </c>
      <c r="P3093" s="57">
        <f t="shared" si="48"/>
        <v>1850</v>
      </c>
      <c r="Q3093" s="58">
        <f>_xlfn.MAXIFS(Survey!$G$2:$G$3647,Survey!$M$2:$M$3647,Survey!$M3093)-Survey!$G3093</f>
        <v>403.68762972316017</v>
      </c>
      <c r="R3093" s="59">
        <f>Survey!$P3093+(Survey!$Q3093*0.433)</f>
        <v>2024.7967436701283</v>
      </c>
    </row>
    <row r="3094" spans="1:18" x14ac:dyDescent="0.25">
      <c r="A3094" s="71" t="s">
        <v>17</v>
      </c>
      <c r="B3094" s="72" t="s">
        <v>23</v>
      </c>
      <c r="C3094" s="73" t="s">
        <v>19</v>
      </c>
      <c r="D3094" s="74">
        <v>249.86546126332368</v>
      </c>
      <c r="E3094" s="81">
        <v>1350569</v>
      </c>
      <c r="F3094" s="82">
        <v>1320337.5401459858</v>
      </c>
      <c r="G3094" s="75">
        <v>1675.1339832874405</v>
      </c>
      <c r="H3094" s="76">
        <v>2</v>
      </c>
      <c r="I3094" s="54" t="s">
        <v>20</v>
      </c>
      <c r="J3094" s="77">
        <v>40</v>
      </c>
      <c r="K3094" s="78">
        <v>2</v>
      </c>
      <c r="L3094" s="54">
        <v>1</v>
      </c>
      <c r="M3094" s="54">
        <f>_xlfn.XLOOKUP(Survey!$F3094,sections[Start],sections[Test Section],,-1,1)</f>
        <v>9</v>
      </c>
      <c r="N3094" s="55">
        <f>_xlfn.XLOOKUP(Survey!$K3094,pipedata[ID],pipedata[WT])</f>
        <v>0.74</v>
      </c>
      <c r="O3094" s="56">
        <f>_xlfn.XLOOKUP(Survey!$K3094,pipedata[ID],pipedata[104%])</f>
        <v>2565.3333333333335</v>
      </c>
      <c r="P3094" s="57">
        <f t="shared" si="48"/>
        <v>1850</v>
      </c>
      <c r="Q3094" s="58">
        <f>_xlfn.MAXIFS(Survey!$G$2:$G$3647,Survey!$M$2:$M$3647,Survey!$M3094)-Survey!$G3094</f>
        <v>391.206163017981</v>
      </c>
      <c r="R3094" s="59">
        <f>Survey!$P3094+(Survey!$Q3094*0.433)</f>
        <v>2019.3922685867858</v>
      </c>
    </row>
    <row r="3095" spans="1:18" x14ac:dyDescent="0.25">
      <c r="A3095" s="60" t="s">
        <v>17</v>
      </c>
      <c r="B3095" s="61" t="s">
        <v>23</v>
      </c>
      <c r="C3095" s="62" t="s">
        <v>19</v>
      </c>
      <c r="D3095" s="63">
        <v>249.87288130303068</v>
      </c>
      <c r="E3095" s="79">
        <v>1350609</v>
      </c>
      <c r="F3095" s="80">
        <v>1320376.1751824822</v>
      </c>
      <c r="G3095" s="66">
        <v>1686.1156789443544</v>
      </c>
      <c r="H3095" s="67">
        <v>2</v>
      </c>
      <c r="I3095" s="68" t="s">
        <v>20</v>
      </c>
      <c r="J3095" s="69">
        <v>40</v>
      </c>
      <c r="K3095" s="70">
        <v>2</v>
      </c>
      <c r="L3095" s="68">
        <v>1</v>
      </c>
      <c r="M3095" s="68">
        <f>_xlfn.XLOOKUP(Survey!$F3095,sections[Start],sections[Test Section],,-1,1)</f>
        <v>9</v>
      </c>
      <c r="N3095" s="55">
        <f>_xlfn.XLOOKUP(Survey!$K3095,pipedata[ID],pipedata[WT])</f>
        <v>0.74</v>
      </c>
      <c r="O3095" s="56">
        <f>_xlfn.XLOOKUP(Survey!$K3095,pipedata[ID],pipedata[104%])</f>
        <v>2565.3333333333335</v>
      </c>
      <c r="P3095" s="57">
        <f t="shared" si="48"/>
        <v>1850</v>
      </c>
      <c r="Q3095" s="58">
        <f>_xlfn.MAXIFS(Survey!$G$2:$G$3647,Survey!$M$2:$M$3647,Survey!$M3095)-Survey!$G3095</f>
        <v>380.22446736106713</v>
      </c>
      <c r="R3095" s="59">
        <f>Survey!$P3095+(Survey!$Q3095*0.433)</f>
        <v>2014.6371943673421</v>
      </c>
    </row>
    <row r="3096" spans="1:18" x14ac:dyDescent="0.25">
      <c r="A3096" s="71" t="s">
        <v>17</v>
      </c>
      <c r="B3096" s="72" t="s">
        <v>23</v>
      </c>
      <c r="C3096" s="73" t="s">
        <v>19</v>
      </c>
      <c r="D3096" s="74">
        <v>249.88030134273765</v>
      </c>
      <c r="E3096" s="81">
        <v>1350649</v>
      </c>
      <c r="F3096" s="82">
        <v>1320414.8102189787</v>
      </c>
      <c r="G3096" s="75">
        <v>1693.7616415336829</v>
      </c>
      <c r="H3096" s="76">
        <v>2</v>
      </c>
      <c r="I3096" s="54" t="s">
        <v>20</v>
      </c>
      <c r="J3096" s="77">
        <v>40</v>
      </c>
      <c r="K3096" s="78">
        <v>2</v>
      </c>
      <c r="L3096" s="54">
        <v>1</v>
      </c>
      <c r="M3096" s="54">
        <f>_xlfn.XLOOKUP(Survey!$F3096,sections[Start],sections[Test Section],,-1,1)</f>
        <v>9</v>
      </c>
      <c r="N3096" s="55">
        <f>_xlfn.XLOOKUP(Survey!$K3096,pipedata[ID],pipedata[WT])</f>
        <v>0.74</v>
      </c>
      <c r="O3096" s="56">
        <f>_xlfn.XLOOKUP(Survey!$K3096,pipedata[ID],pipedata[104%])</f>
        <v>2565.3333333333335</v>
      </c>
      <c r="P3096" s="57">
        <f t="shared" si="48"/>
        <v>1850</v>
      </c>
      <c r="Q3096" s="58">
        <f>_xlfn.MAXIFS(Survey!$G$2:$G$3647,Survey!$M$2:$M$3647,Survey!$M3096)-Survey!$G3096</f>
        <v>372.57850477173861</v>
      </c>
      <c r="R3096" s="59">
        <f>Survey!$P3096+(Survey!$Q3096*0.433)</f>
        <v>2011.3264925661629</v>
      </c>
    </row>
    <row r="3097" spans="1:18" x14ac:dyDescent="0.25">
      <c r="A3097" s="60" t="s">
        <v>17</v>
      </c>
      <c r="B3097" s="61" t="s">
        <v>23</v>
      </c>
      <c r="C3097" s="62" t="s">
        <v>19</v>
      </c>
      <c r="D3097" s="63">
        <v>249.88772138244465</v>
      </c>
      <c r="E3097" s="79">
        <v>1350689</v>
      </c>
      <c r="F3097" s="80">
        <v>1320453.4452554751</v>
      </c>
      <c r="G3097" s="66">
        <v>1700.6872922540665</v>
      </c>
      <c r="H3097" s="67">
        <v>2</v>
      </c>
      <c r="I3097" s="68" t="s">
        <v>20</v>
      </c>
      <c r="J3097" s="69">
        <v>40</v>
      </c>
      <c r="K3097" s="70">
        <v>2</v>
      </c>
      <c r="L3097" s="68">
        <v>1</v>
      </c>
      <c r="M3097" s="68">
        <f>_xlfn.XLOOKUP(Survey!$F3097,sections[Start],sections[Test Section],,-1,1)</f>
        <v>9</v>
      </c>
      <c r="N3097" s="55">
        <f>_xlfn.XLOOKUP(Survey!$K3097,pipedata[ID],pipedata[WT])</f>
        <v>0.74</v>
      </c>
      <c r="O3097" s="56">
        <f>_xlfn.XLOOKUP(Survey!$K3097,pipedata[ID],pipedata[104%])</f>
        <v>2565.3333333333335</v>
      </c>
      <c r="P3097" s="57">
        <f t="shared" si="48"/>
        <v>1850</v>
      </c>
      <c r="Q3097" s="58">
        <f>_xlfn.MAXIFS(Survey!$G$2:$G$3647,Survey!$M$2:$M$3647,Survey!$M3097)-Survey!$G3097</f>
        <v>365.65285405135501</v>
      </c>
      <c r="R3097" s="59">
        <f>Survey!$P3097+(Survey!$Q3097*0.433)</f>
        <v>2008.3276858042368</v>
      </c>
    </row>
    <row r="3098" spans="1:18" x14ac:dyDescent="0.25">
      <c r="A3098" s="71" t="s">
        <v>17</v>
      </c>
      <c r="B3098" s="72" t="s">
        <v>23</v>
      </c>
      <c r="C3098" s="73" t="s">
        <v>19</v>
      </c>
      <c r="D3098" s="74">
        <v>249.8951414221518</v>
      </c>
      <c r="E3098" s="81">
        <v>1350729</v>
      </c>
      <c r="F3098" s="82">
        <v>1320492.0802919716</v>
      </c>
      <c r="G3098" s="75">
        <v>1707.8279055969479</v>
      </c>
      <c r="H3098" s="76">
        <v>2</v>
      </c>
      <c r="I3098" s="54" t="s">
        <v>20</v>
      </c>
      <c r="J3098" s="77">
        <v>40</v>
      </c>
      <c r="K3098" s="78">
        <v>2</v>
      </c>
      <c r="L3098" s="54">
        <v>1</v>
      </c>
      <c r="M3098" s="54">
        <f>_xlfn.XLOOKUP(Survey!$F3098,sections[Start],sections[Test Section],,-1,1)</f>
        <v>9</v>
      </c>
      <c r="N3098" s="55">
        <f>_xlfn.XLOOKUP(Survey!$K3098,pipedata[ID],pipedata[WT])</f>
        <v>0.74</v>
      </c>
      <c r="O3098" s="56">
        <f>_xlfn.XLOOKUP(Survey!$K3098,pipedata[ID],pipedata[104%])</f>
        <v>2565.3333333333335</v>
      </c>
      <c r="P3098" s="57">
        <f t="shared" si="48"/>
        <v>1850</v>
      </c>
      <c r="Q3098" s="58">
        <f>_xlfn.MAXIFS(Survey!$G$2:$G$3647,Survey!$M$2:$M$3647,Survey!$M3098)-Survey!$G3098</f>
        <v>358.51224070847366</v>
      </c>
      <c r="R3098" s="59">
        <f>Survey!$P3098+(Survey!$Q3098*0.433)</f>
        <v>2005.235800226769</v>
      </c>
    </row>
    <row r="3099" spans="1:18" x14ac:dyDescent="0.25">
      <c r="A3099" s="60" t="s">
        <v>17</v>
      </c>
      <c r="B3099" s="61" t="s">
        <v>23</v>
      </c>
      <c r="C3099" s="62" t="s">
        <v>19</v>
      </c>
      <c r="D3099" s="63">
        <v>249.90259044958259</v>
      </c>
      <c r="E3099" s="79">
        <v>1350769</v>
      </c>
      <c r="F3099" s="80">
        <v>1320530.715328468</v>
      </c>
      <c r="G3099" s="66">
        <v>1715.8934667002502</v>
      </c>
      <c r="H3099" s="67">
        <v>2</v>
      </c>
      <c r="I3099" s="68" t="s">
        <v>20</v>
      </c>
      <c r="J3099" s="69">
        <v>40</v>
      </c>
      <c r="K3099" s="70">
        <v>2</v>
      </c>
      <c r="L3099" s="68">
        <v>1</v>
      </c>
      <c r="M3099" s="68">
        <f>_xlfn.XLOOKUP(Survey!$F3099,sections[Start],sections[Test Section],,-1,1)</f>
        <v>9</v>
      </c>
      <c r="N3099" s="55">
        <f>_xlfn.XLOOKUP(Survey!$K3099,pipedata[ID],pipedata[WT])</f>
        <v>0.74</v>
      </c>
      <c r="O3099" s="56">
        <f>_xlfn.XLOOKUP(Survey!$K3099,pipedata[ID],pipedata[104%])</f>
        <v>2565.3333333333335</v>
      </c>
      <c r="P3099" s="57">
        <f t="shared" si="48"/>
        <v>1850</v>
      </c>
      <c r="Q3099" s="58">
        <f>_xlfn.MAXIFS(Survey!$G$2:$G$3647,Survey!$M$2:$M$3647,Survey!$M3099)-Survey!$G3099</f>
        <v>350.44667960517131</v>
      </c>
      <c r="R3099" s="59">
        <f>Survey!$P3099+(Survey!$Q3099*0.433)</f>
        <v>2001.7434122690393</v>
      </c>
    </row>
    <row r="3100" spans="1:18" x14ac:dyDescent="0.25">
      <c r="A3100" s="71" t="s">
        <v>17</v>
      </c>
      <c r="B3100" s="72" t="s">
        <v>23</v>
      </c>
      <c r="C3100" s="73" t="s">
        <v>19</v>
      </c>
      <c r="D3100" s="74">
        <v>249.90998150156582</v>
      </c>
      <c r="E3100" s="81">
        <v>1350809</v>
      </c>
      <c r="F3100" s="82">
        <v>1320569.3503649645</v>
      </c>
      <c r="G3100" s="75">
        <v>1723.9899035356045</v>
      </c>
      <c r="H3100" s="76">
        <v>2</v>
      </c>
      <c r="I3100" s="54" t="s">
        <v>20</v>
      </c>
      <c r="J3100" s="77">
        <v>40</v>
      </c>
      <c r="K3100" s="78">
        <v>2</v>
      </c>
      <c r="L3100" s="54">
        <v>1</v>
      </c>
      <c r="M3100" s="54">
        <f>_xlfn.XLOOKUP(Survey!$F3100,sections[Start],sections[Test Section],,-1,1)</f>
        <v>9</v>
      </c>
      <c r="N3100" s="55">
        <f>_xlfn.XLOOKUP(Survey!$K3100,pipedata[ID],pipedata[WT])</f>
        <v>0.74</v>
      </c>
      <c r="O3100" s="56">
        <f>_xlfn.XLOOKUP(Survey!$K3100,pipedata[ID],pipedata[104%])</f>
        <v>2565.3333333333335</v>
      </c>
      <c r="P3100" s="57">
        <f t="shared" si="48"/>
        <v>1850</v>
      </c>
      <c r="Q3100" s="58">
        <f>_xlfn.MAXIFS(Survey!$G$2:$G$3647,Survey!$M$2:$M$3647,Survey!$M3100)-Survey!$G3100</f>
        <v>342.35024276981699</v>
      </c>
      <c r="R3100" s="59">
        <f>Survey!$P3100+(Survey!$Q3100*0.433)</f>
        <v>1998.2376551193308</v>
      </c>
    </row>
    <row r="3101" spans="1:18" x14ac:dyDescent="0.25">
      <c r="A3101" s="60" t="s">
        <v>17</v>
      </c>
      <c r="B3101" s="61" t="s">
        <v>23</v>
      </c>
      <c r="C3101" s="62" t="s">
        <v>19</v>
      </c>
      <c r="D3101" s="63">
        <v>249.91740154127297</v>
      </c>
      <c r="E3101" s="79">
        <v>1350849</v>
      </c>
      <c r="F3101" s="80">
        <v>1320607.9854014609</v>
      </c>
      <c r="G3101" s="66">
        <v>1734.8432622484249</v>
      </c>
      <c r="H3101" s="67">
        <v>2</v>
      </c>
      <c r="I3101" s="68" t="s">
        <v>20</v>
      </c>
      <c r="J3101" s="69">
        <v>40</v>
      </c>
      <c r="K3101" s="70">
        <v>2</v>
      </c>
      <c r="L3101" s="68">
        <v>1</v>
      </c>
      <c r="M3101" s="68">
        <f>_xlfn.XLOOKUP(Survey!$F3101,sections[Start],sections[Test Section],,-1,1)</f>
        <v>9</v>
      </c>
      <c r="N3101" s="55">
        <f>_xlfn.XLOOKUP(Survey!$K3101,pipedata[ID],pipedata[WT])</f>
        <v>0.74</v>
      </c>
      <c r="O3101" s="56">
        <f>_xlfn.XLOOKUP(Survey!$K3101,pipedata[ID],pipedata[104%])</f>
        <v>2565.3333333333335</v>
      </c>
      <c r="P3101" s="57">
        <f t="shared" si="48"/>
        <v>1850</v>
      </c>
      <c r="Q3101" s="58">
        <f>_xlfn.MAXIFS(Survey!$G$2:$G$3647,Survey!$M$2:$M$3647,Survey!$M3101)-Survey!$G3101</f>
        <v>331.49688405699658</v>
      </c>
      <c r="R3101" s="59">
        <f>Survey!$P3101+(Survey!$Q3101*0.433)</f>
        <v>1993.5381507966795</v>
      </c>
    </row>
    <row r="3102" spans="1:18" x14ac:dyDescent="0.25">
      <c r="A3102" s="71" t="s">
        <v>17</v>
      </c>
      <c r="B3102" s="72" t="s">
        <v>23</v>
      </c>
      <c r="C3102" s="73" t="s">
        <v>19</v>
      </c>
      <c r="D3102" s="74">
        <v>249.92391039514311</v>
      </c>
      <c r="E3102" s="81">
        <v>1350889</v>
      </c>
      <c r="F3102" s="82">
        <v>1320646.6204379573</v>
      </c>
      <c r="G3102" s="75">
        <v>1744.6094578212796</v>
      </c>
      <c r="H3102" s="76">
        <v>2</v>
      </c>
      <c r="I3102" s="54" t="s">
        <v>20</v>
      </c>
      <c r="J3102" s="77">
        <v>40</v>
      </c>
      <c r="K3102" s="78">
        <v>2</v>
      </c>
      <c r="L3102" s="54">
        <v>1</v>
      </c>
      <c r="M3102" s="54">
        <f>_xlfn.XLOOKUP(Survey!$F3102,sections[Start],sections[Test Section],,-1,1)</f>
        <v>9</v>
      </c>
      <c r="N3102" s="55">
        <f>_xlfn.XLOOKUP(Survey!$K3102,pipedata[ID],pipedata[WT])</f>
        <v>0.74</v>
      </c>
      <c r="O3102" s="56">
        <f>_xlfn.XLOOKUP(Survey!$K3102,pipedata[ID],pipedata[104%])</f>
        <v>2565.3333333333335</v>
      </c>
      <c r="P3102" s="57">
        <f t="shared" si="48"/>
        <v>1850</v>
      </c>
      <c r="Q3102" s="58">
        <f>_xlfn.MAXIFS(Survey!$G$2:$G$3647,Survey!$M$2:$M$3647,Survey!$M3102)-Survey!$G3102</f>
        <v>321.73068848414187</v>
      </c>
      <c r="R3102" s="59">
        <f>Survey!$P3102+(Survey!$Q3102*0.433)</f>
        <v>1989.3093881136333</v>
      </c>
    </row>
    <row r="3103" spans="1:18" x14ac:dyDescent="0.25">
      <c r="A3103" s="60" t="s">
        <v>17</v>
      </c>
      <c r="B3103" s="61" t="s">
        <v>23</v>
      </c>
      <c r="C3103" s="62" t="s">
        <v>19</v>
      </c>
      <c r="D3103" s="63">
        <v>249.93100593342916</v>
      </c>
      <c r="E3103" s="79">
        <v>1350929</v>
      </c>
      <c r="F3103" s="80">
        <v>1320685.2554744538</v>
      </c>
      <c r="G3103" s="66">
        <v>1755.0513068450941</v>
      </c>
      <c r="H3103" s="67">
        <v>2</v>
      </c>
      <c r="I3103" s="68" t="s">
        <v>20</v>
      </c>
      <c r="J3103" s="69">
        <v>40</v>
      </c>
      <c r="K3103" s="70">
        <v>2</v>
      </c>
      <c r="L3103" s="68">
        <v>1</v>
      </c>
      <c r="M3103" s="68">
        <f>_xlfn.XLOOKUP(Survey!$F3103,sections[Start],sections[Test Section],,-1,1)</f>
        <v>9</v>
      </c>
      <c r="N3103" s="55">
        <f>_xlfn.XLOOKUP(Survey!$K3103,pipedata[ID],pipedata[WT])</f>
        <v>0.74</v>
      </c>
      <c r="O3103" s="56">
        <f>_xlfn.XLOOKUP(Survey!$K3103,pipedata[ID],pipedata[104%])</f>
        <v>2565.3333333333335</v>
      </c>
      <c r="P3103" s="57">
        <f t="shared" si="48"/>
        <v>1850</v>
      </c>
      <c r="Q3103" s="58">
        <f>_xlfn.MAXIFS(Survey!$G$2:$G$3647,Survey!$M$2:$M$3647,Survey!$M3103)-Survey!$G3103</f>
        <v>311.28883946032738</v>
      </c>
      <c r="R3103" s="59">
        <f>Survey!$P3103+(Survey!$Q3103*0.433)</f>
        <v>1984.7880674863218</v>
      </c>
    </row>
    <row r="3104" spans="1:18" x14ac:dyDescent="0.25">
      <c r="A3104" s="71" t="s">
        <v>17</v>
      </c>
      <c r="B3104" s="72" t="s">
        <v>23</v>
      </c>
      <c r="C3104" s="73" t="s">
        <v>19</v>
      </c>
      <c r="D3104" s="74">
        <v>249.93928849977743</v>
      </c>
      <c r="E3104" s="81">
        <v>1350969</v>
      </c>
      <c r="F3104" s="82">
        <v>1320723.8905109502</v>
      </c>
      <c r="G3104" s="75">
        <v>1768.3708772661164</v>
      </c>
      <c r="H3104" s="76">
        <v>2</v>
      </c>
      <c r="I3104" s="54" t="s">
        <v>20</v>
      </c>
      <c r="J3104" s="77">
        <v>40</v>
      </c>
      <c r="K3104" s="78">
        <v>2</v>
      </c>
      <c r="L3104" s="54">
        <v>1</v>
      </c>
      <c r="M3104" s="54">
        <f>_xlfn.XLOOKUP(Survey!$F3104,sections[Start],sections[Test Section],,-1,1)</f>
        <v>9</v>
      </c>
      <c r="N3104" s="55">
        <f>_xlfn.XLOOKUP(Survey!$K3104,pipedata[ID],pipedata[WT])</f>
        <v>0.74</v>
      </c>
      <c r="O3104" s="56">
        <f>_xlfn.XLOOKUP(Survey!$K3104,pipedata[ID],pipedata[104%])</f>
        <v>2565.3333333333335</v>
      </c>
      <c r="P3104" s="57">
        <f t="shared" si="48"/>
        <v>1850</v>
      </c>
      <c r="Q3104" s="58">
        <f>_xlfn.MAXIFS(Survey!$G$2:$G$3647,Survey!$M$2:$M$3647,Survey!$M3104)-Survey!$G3104</f>
        <v>297.96926903930512</v>
      </c>
      <c r="R3104" s="59">
        <f>Survey!$P3104+(Survey!$Q3104*0.433)</f>
        <v>1979.020693494019</v>
      </c>
    </row>
    <row r="3105" spans="1:18" x14ac:dyDescent="0.25">
      <c r="A3105" s="60" t="s">
        <v>17</v>
      </c>
      <c r="B3105" s="61" t="s">
        <v>23</v>
      </c>
      <c r="C3105" s="62" t="s">
        <v>19</v>
      </c>
      <c r="D3105" s="63">
        <v>249.94558840004365</v>
      </c>
      <c r="E3105" s="79">
        <v>1351009</v>
      </c>
      <c r="F3105" s="80">
        <v>1320762.5255474467</v>
      </c>
      <c r="G3105" s="66">
        <v>1780.4629936344406</v>
      </c>
      <c r="H3105" s="67">
        <v>2</v>
      </c>
      <c r="I3105" s="68" t="s">
        <v>20</v>
      </c>
      <c r="J3105" s="69">
        <v>40</v>
      </c>
      <c r="K3105" s="70">
        <v>2</v>
      </c>
      <c r="L3105" s="68">
        <v>1</v>
      </c>
      <c r="M3105" s="68">
        <f>_xlfn.XLOOKUP(Survey!$F3105,sections[Start],sections[Test Section],,-1,1)</f>
        <v>9</v>
      </c>
      <c r="N3105" s="55">
        <f>_xlfn.XLOOKUP(Survey!$K3105,pipedata[ID],pipedata[WT])</f>
        <v>0.74</v>
      </c>
      <c r="O3105" s="56">
        <f>_xlfn.XLOOKUP(Survey!$K3105,pipedata[ID],pipedata[104%])</f>
        <v>2565.3333333333335</v>
      </c>
      <c r="P3105" s="57">
        <f t="shared" si="48"/>
        <v>1850</v>
      </c>
      <c r="Q3105" s="58">
        <f>_xlfn.MAXIFS(Survey!$G$2:$G$3647,Survey!$M$2:$M$3647,Survey!$M3105)-Survey!$G3105</f>
        <v>285.87715267098088</v>
      </c>
      <c r="R3105" s="59">
        <f>Survey!$P3105+(Survey!$Q3105*0.433)</f>
        <v>1973.7848071065348</v>
      </c>
    </row>
    <row r="3106" spans="1:18" x14ac:dyDescent="0.25">
      <c r="A3106" s="71" t="s">
        <v>17</v>
      </c>
      <c r="B3106" s="72" t="s">
        <v>23</v>
      </c>
      <c r="C3106" s="73" t="s">
        <v>19</v>
      </c>
      <c r="D3106" s="74">
        <v>249.95257478625908</v>
      </c>
      <c r="E3106" s="81">
        <v>1351049</v>
      </c>
      <c r="F3106" s="82">
        <v>1320801.1605839431</v>
      </c>
      <c r="G3106" s="75">
        <v>1792.797927173061</v>
      </c>
      <c r="H3106" s="76">
        <v>2</v>
      </c>
      <c r="I3106" s="54" t="s">
        <v>20</v>
      </c>
      <c r="J3106" s="77">
        <v>40</v>
      </c>
      <c r="K3106" s="78">
        <v>2</v>
      </c>
      <c r="L3106" s="54">
        <v>1</v>
      </c>
      <c r="M3106" s="54">
        <f>_xlfn.XLOOKUP(Survey!$F3106,sections[Start],sections[Test Section],,-1,1)</f>
        <v>9</v>
      </c>
      <c r="N3106" s="55">
        <f>_xlfn.XLOOKUP(Survey!$K3106,pipedata[ID],pipedata[WT])</f>
        <v>0.74</v>
      </c>
      <c r="O3106" s="56">
        <f>_xlfn.XLOOKUP(Survey!$K3106,pipedata[ID],pipedata[104%])</f>
        <v>2565.3333333333335</v>
      </c>
      <c r="P3106" s="57">
        <f t="shared" si="48"/>
        <v>1850</v>
      </c>
      <c r="Q3106" s="58">
        <f>_xlfn.MAXIFS(Survey!$G$2:$G$3647,Survey!$M$2:$M$3647,Survey!$M3106)-Survey!$G3106</f>
        <v>273.54221913236051</v>
      </c>
      <c r="R3106" s="59">
        <f>Survey!$P3106+(Survey!$Q3106*0.433)</f>
        <v>1968.4437808843122</v>
      </c>
    </row>
    <row r="3107" spans="1:18" x14ac:dyDescent="0.25">
      <c r="A3107" s="60" t="s">
        <v>17</v>
      </c>
      <c r="B3107" s="61" t="s">
        <v>23</v>
      </c>
      <c r="C3107" s="62" t="s">
        <v>19</v>
      </c>
      <c r="D3107" s="63">
        <v>249.96063539282534</v>
      </c>
      <c r="E3107" s="79">
        <v>1351089</v>
      </c>
      <c r="F3107" s="80">
        <v>1320839.7956204396</v>
      </c>
      <c r="G3107" s="66">
        <v>1802.717748906985</v>
      </c>
      <c r="H3107" s="67">
        <v>2</v>
      </c>
      <c r="I3107" s="68" t="s">
        <v>20</v>
      </c>
      <c r="J3107" s="69">
        <v>40</v>
      </c>
      <c r="K3107" s="70">
        <v>2</v>
      </c>
      <c r="L3107" s="68">
        <v>1</v>
      </c>
      <c r="M3107" s="68">
        <f>_xlfn.XLOOKUP(Survey!$F3107,sections[Start],sections[Test Section],,-1,1)</f>
        <v>9</v>
      </c>
      <c r="N3107" s="55">
        <f>_xlfn.XLOOKUP(Survey!$K3107,pipedata[ID],pipedata[WT])</f>
        <v>0.74</v>
      </c>
      <c r="O3107" s="56">
        <f>_xlfn.XLOOKUP(Survey!$K3107,pipedata[ID],pipedata[104%])</f>
        <v>2565.3333333333335</v>
      </c>
      <c r="P3107" s="57">
        <f t="shared" si="48"/>
        <v>1850</v>
      </c>
      <c r="Q3107" s="58">
        <f>_xlfn.MAXIFS(Survey!$G$2:$G$3647,Survey!$M$2:$M$3647,Survey!$M3107)-Survey!$G3107</f>
        <v>263.62239739843653</v>
      </c>
      <c r="R3107" s="59">
        <f>Survey!$P3107+(Survey!$Q3107*0.433)</f>
        <v>1964.1484980735231</v>
      </c>
    </row>
    <row r="3108" spans="1:18" x14ac:dyDescent="0.25">
      <c r="A3108" s="71" t="s">
        <v>17</v>
      </c>
      <c r="B3108" s="72" t="s">
        <v>23</v>
      </c>
      <c r="C3108" s="73" t="s">
        <v>19</v>
      </c>
      <c r="D3108" s="74">
        <v>249.96726532982885</v>
      </c>
      <c r="E3108" s="81">
        <v>1351129</v>
      </c>
      <c r="F3108" s="82">
        <v>1320878.430656936</v>
      </c>
      <c r="G3108" s="75">
        <v>1816.3266039820294</v>
      </c>
      <c r="H3108" s="76">
        <v>2</v>
      </c>
      <c r="I3108" s="54" t="s">
        <v>20</v>
      </c>
      <c r="J3108" s="77">
        <v>40</v>
      </c>
      <c r="K3108" s="78">
        <v>2</v>
      </c>
      <c r="L3108" s="54">
        <v>1</v>
      </c>
      <c r="M3108" s="54">
        <f>_xlfn.XLOOKUP(Survey!$F3108,sections[Start],sections[Test Section],,-1,1)</f>
        <v>9</v>
      </c>
      <c r="N3108" s="55">
        <f>_xlfn.XLOOKUP(Survey!$K3108,pipedata[ID],pipedata[WT])</f>
        <v>0.74</v>
      </c>
      <c r="O3108" s="56">
        <f>_xlfn.XLOOKUP(Survey!$K3108,pipedata[ID],pipedata[104%])</f>
        <v>2565.3333333333335</v>
      </c>
      <c r="P3108" s="57">
        <f t="shared" si="48"/>
        <v>1850</v>
      </c>
      <c r="Q3108" s="58">
        <f>_xlfn.MAXIFS(Survey!$G$2:$G$3647,Survey!$M$2:$M$3647,Survey!$M3108)-Survey!$G3108</f>
        <v>250.01354232339213</v>
      </c>
      <c r="R3108" s="59">
        <f>Survey!$P3108+(Survey!$Q3108*0.433)</f>
        <v>1958.2558638260289</v>
      </c>
    </row>
    <row r="3109" spans="1:18" x14ac:dyDescent="0.25">
      <c r="A3109" s="60" t="s">
        <v>17</v>
      </c>
      <c r="B3109" s="61" t="s">
        <v>23</v>
      </c>
      <c r="C3109" s="62" t="s">
        <v>19</v>
      </c>
      <c r="D3109" s="63">
        <v>249.97498793461841</v>
      </c>
      <c r="E3109" s="79">
        <v>1351169</v>
      </c>
      <c r="F3109" s="80">
        <v>1320917.0656934325</v>
      </c>
      <c r="G3109" s="66">
        <v>1829.7650190738309</v>
      </c>
      <c r="H3109" s="67">
        <v>2</v>
      </c>
      <c r="I3109" s="68" t="s">
        <v>20</v>
      </c>
      <c r="J3109" s="69">
        <v>40</v>
      </c>
      <c r="K3109" s="70">
        <v>2</v>
      </c>
      <c r="L3109" s="68">
        <v>1</v>
      </c>
      <c r="M3109" s="68">
        <f>_xlfn.XLOOKUP(Survey!$F3109,sections[Start],sections[Test Section],,-1,1)</f>
        <v>9</v>
      </c>
      <c r="N3109" s="55">
        <f>_xlfn.XLOOKUP(Survey!$K3109,pipedata[ID],pipedata[WT])</f>
        <v>0.74</v>
      </c>
      <c r="O3109" s="56">
        <f>_xlfn.XLOOKUP(Survey!$K3109,pipedata[ID],pipedata[104%])</f>
        <v>2565.3333333333335</v>
      </c>
      <c r="P3109" s="57">
        <f t="shared" si="48"/>
        <v>1850</v>
      </c>
      <c r="Q3109" s="58">
        <f>_xlfn.MAXIFS(Survey!$G$2:$G$3647,Survey!$M$2:$M$3647,Survey!$M3109)-Survey!$G3109</f>
        <v>236.57512723159061</v>
      </c>
      <c r="R3109" s="59">
        <f>Survey!$P3109+(Survey!$Q3109*0.433)</f>
        <v>1952.4370300912788</v>
      </c>
    </row>
    <row r="3110" spans="1:18" x14ac:dyDescent="0.25">
      <c r="A3110" s="71" t="s">
        <v>17</v>
      </c>
      <c r="B3110" s="72" t="s">
        <v>23</v>
      </c>
      <c r="C3110" s="73" t="s">
        <v>19</v>
      </c>
      <c r="D3110" s="74">
        <v>249.98183277986735</v>
      </c>
      <c r="E3110" s="81">
        <v>1351209</v>
      </c>
      <c r="F3110" s="82">
        <v>1320955.7007299289</v>
      </c>
      <c r="G3110" s="75">
        <v>1843.8149574502447</v>
      </c>
      <c r="H3110" s="76">
        <v>2</v>
      </c>
      <c r="I3110" s="54" t="s">
        <v>20</v>
      </c>
      <c r="J3110" s="77">
        <v>40</v>
      </c>
      <c r="K3110" s="78">
        <v>2</v>
      </c>
      <c r="L3110" s="54">
        <v>1</v>
      </c>
      <c r="M3110" s="54">
        <f>_xlfn.XLOOKUP(Survey!$F3110,sections[Start],sections[Test Section],,-1,1)</f>
        <v>9</v>
      </c>
      <c r="N3110" s="55">
        <f>_xlfn.XLOOKUP(Survey!$K3110,pipedata[ID],pipedata[WT])</f>
        <v>0.74</v>
      </c>
      <c r="O3110" s="56">
        <f>_xlfn.XLOOKUP(Survey!$K3110,pipedata[ID],pipedata[104%])</f>
        <v>2565.3333333333335</v>
      </c>
      <c r="P3110" s="57">
        <f t="shared" si="48"/>
        <v>1850</v>
      </c>
      <c r="Q3110" s="58">
        <f>_xlfn.MAXIFS(Survey!$G$2:$G$3647,Survey!$M$2:$M$3647,Survey!$M3110)-Survey!$G3110</f>
        <v>222.52518885517679</v>
      </c>
      <c r="R3110" s="59">
        <f>Survey!$P3110+(Survey!$Q3110*0.433)</f>
        <v>1946.3534067742917</v>
      </c>
    </row>
    <row r="3111" spans="1:18" x14ac:dyDescent="0.25">
      <c r="A3111" s="60" t="s">
        <v>17</v>
      </c>
      <c r="B3111" s="61" t="s">
        <v>23</v>
      </c>
      <c r="C3111" s="62" t="s">
        <v>19</v>
      </c>
      <c r="D3111" s="63">
        <v>249.98968770190595</v>
      </c>
      <c r="E3111" s="79">
        <v>1351249</v>
      </c>
      <c r="F3111" s="80">
        <v>1320994.3357664254</v>
      </c>
      <c r="G3111" s="66">
        <v>1855.9766814568522</v>
      </c>
      <c r="H3111" s="67">
        <v>2</v>
      </c>
      <c r="I3111" s="68" t="s">
        <v>20</v>
      </c>
      <c r="J3111" s="69">
        <v>40</v>
      </c>
      <c r="K3111" s="70">
        <v>2</v>
      </c>
      <c r="L3111" s="68">
        <v>1</v>
      </c>
      <c r="M3111" s="68">
        <f>_xlfn.XLOOKUP(Survey!$F3111,sections[Start],sections[Test Section],,-1,1)</f>
        <v>9</v>
      </c>
      <c r="N3111" s="55">
        <f>_xlfn.XLOOKUP(Survey!$K3111,pipedata[ID],pipedata[WT])</f>
        <v>0.74</v>
      </c>
      <c r="O3111" s="56">
        <f>_xlfn.XLOOKUP(Survey!$K3111,pipedata[ID],pipedata[104%])</f>
        <v>2565.3333333333335</v>
      </c>
      <c r="P3111" s="57">
        <f t="shared" si="48"/>
        <v>1850</v>
      </c>
      <c r="Q3111" s="58">
        <f>_xlfn.MAXIFS(Survey!$G$2:$G$3647,Survey!$M$2:$M$3647,Survey!$M3111)-Survey!$G3111</f>
        <v>210.36346484856927</v>
      </c>
      <c r="R3111" s="59">
        <f>Survey!$P3111+(Survey!$Q3111*0.433)</f>
        <v>1941.0873802794306</v>
      </c>
    </row>
    <row r="3112" spans="1:18" x14ac:dyDescent="0.25">
      <c r="A3112" s="71" t="s">
        <v>17</v>
      </c>
      <c r="B3112" s="72" t="s">
        <v>23</v>
      </c>
      <c r="C3112" s="73" t="s">
        <v>19</v>
      </c>
      <c r="D3112" s="74">
        <v>249.9969081223673</v>
      </c>
      <c r="E3112" s="81">
        <v>1351289</v>
      </c>
      <c r="F3112" s="82">
        <v>1321032.9708029218</v>
      </c>
      <c r="G3112" s="75">
        <v>1867.0001735774056</v>
      </c>
      <c r="H3112" s="76">
        <v>2</v>
      </c>
      <c r="I3112" s="54" t="s">
        <v>20</v>
      </c>
      <c r="J3112" s="77">
        <v>40</v>
      </c>
      <c r="K3112" s="78">
        <v>2</v>
      </c>
      <c r="L3112" s="54">
        <v>1</v>
      </c>
      <c r="M3112" s="54">
        <f>_xlfn.XLOOKUP(Survey!$F3112,sections[Start],sections[Test Section],,-1,1)</f>
        <v>9</v>
      </c>
      <c r="N3112" s="55">
        <f>_xlfn.XLOOKUP(Survey!$K3112,pipedata[ID],pipedata[WT])</f>
        <v>0.74</v>
      </c>
      <c r="O3112" s="56">
        <f>_xlfn.XLOOKUP(Survey!$K3112,pipedata[ID],pipedata[104%])</f>
        <v>2565.3333333333335</v>
      </c>
      <c r="P3112" s="57">
        <f t="shared" si="48"/>
        <v>1850</v>
      </c>
      <c r="Q3112" s="58">
        <f>_xlfn.MAXIFS(Survey!$G$2:$G$3647,Survey!$M$2:$M$3647,Survey!$M3112)-Survey!$G3112</f>
        <v>199.33997272801594</v>
      </c>
      <c r="R3112" s="59">
        <f>Survey!$P3112+(Survey!$Q3112*0.433)</f>
        <v>1936.3142081912308</v>
      </c>
    </row>
    <row r="3113" spans="1:18" x14ac:dyDescent="0.25">
      <c r="A3113" s="60" t="s">
        <v>17</v>
      </c>
      <c r="B3113" s="61" t="s">
        <v>23</v>
      </c>
      <c r="C3113" s="62" t="s">
        <v>19</v>
      </c>
      <c r="D3113" s="63">
        <v>250.00375513068076</v>
      </c>
      <c r="E3113" s="79">
        <v>1351329</v>
      </c>
      <c r="F3113" s="80">
        <v>1321071.6058394182</v>
      </c>
      <c r="G3113" s="66">
        <v>1876.992589962734</v>
      </c>
      <c r="H3113" s="67">
        <v>2</v>
      </c>
      <c r="I3113" s="68" t="s">
        <v>20</v>
      </c>
      <c r="J3113" s="69">
        <v>40</v>
      </c>
      <c r="K3113" s="70">
        <v>2</v>
      </c>
      <c r="L3113" s="68">
        <v>1</v>
      </c>
      <c r="M3113" s="68">
        <f>_xlfn.XLOOKUP(Survey!$F3113,sections[Start],sections[Test Section],,-1,1)</f>
        <v>9</v>
      </c>
      <c r="N3113" s="55">
        <f>_xlfn.XLOOKUP(Survey!$K3113,pipedata[ID],pipedata[WT])</f>
        <v>0.74</v>
      </c>
      <c r="O3113" s="56">
        <f>_xlfn.XLOOKUP(Survey!$K3113,pipedata[ID],pipedata[104%])</f>
        <v>2565.3333333333335</v>
      </c>
      <c r="P3113" s="57">
        <f t="shared" si="48"/>
        <v>1850</v>
      </c>
      <c r="Q3113" s="58">
        <f>_xlfn.MAXIFS(Survey!$G$2:$G$3647,Survey!$M$2:$M$3647,Survey!$M3113)-Survey!$G3113</f>
        <v>189.34755634268754</v>
      </c>
      <c r="R3113" s="59">
        <f>Survey!$P3113+(Survey!$Q3113*0.433)</f>
        <v>1931.9874918963837</v>
      </c>
    </row>
    <row r="3114" spans="1:18" x14ac:dyDescent="0.25">
      <c r="A3114" s="71" t="s">
        <v>17</v>
      </c>
      <c r="B3114" s="72" t="s">
        <v>23</v>
      </c>
      <c r="C3114" s="73" t="s">
        <v>19</v>
      </c>
      <c r="D3114" s="74">
        <v>250.01128218011709</v>
      </c>
      <c r="E3114" s="81">
        <v>1351369</v>
      </c>
      <c r="F3114" s="82">
        <v>1321110.2408759147</v>
      </c>
      <c r="G3114" s="75">
        <v>1880.0369986479077</v>
      </c>
      <c r="H3114" s="76">
        <v>2</v>
      </c>
      <c r="I3114" s="54" t="s">
        <v>20</v>
      </c>
      <c r="J3114" s="77">
        <v>40</v>
      </c>
      <c r="K3114" s="78">
        <v>2</v>
      </c>
      <c r="L3114" s="54">
        <v>1</v>
      </c>
      <c r="M3114" s="54">
        <f>_xlfn.XLOOKUP(Survey!$F3114,sections[Start],sections[Test Section],,-1,1)</f>
        <v>9</v>
      </c>
      <c r="N3114" s="55">
        <f>_xlfn.XLOOKUP(Survey!$K3114,pipedata[ID],pipedata[WT])</f>
        <v>0.74</v>
      </c>
      <c r="O3114" s="56">
        <f>_xlfn.XLOOKUP(Survey!$K3114,pipedata[ID],pipedata[104%])</f>
        <v>2565.3333333333335</v>
      </c>
      <c r="P3114" s="57">
        <f t="shared" si="48"/>
        <v>1850</v>
      </c>
      <c r="Q3114" s="58">
        <f>_xlfn.MAXIFS(Survey!$G$2:$G$3647,Survey!$M$2:$M$3647,Survey!$M3114)-Survey!$G3114</f>
        <v>186.30314765751382</v>
      </c>
      <c r="R3114" s="59">
        <f>Survey!$P3114+(Survey!$Q3114*0.433)</f>
        <v>1930.6692629357035</v>
      </c>
    </row>
    <row r="3115" spans="1:18" x14ac:dyDescent="0.25">
      <c r="A3115" s="60" t="s">
        <v>17</v>
      </c>
      <c r="B3115" s="61" t="s">
        <v>23</v>
      </c>
      <c r="C3115" s="62" t="s">
        <v>19</v>
      </c>
      <c r="D3115" s="63">
        <v>250.0187086441689</v>
      </c>
      <c r="E3115" s="79">
        <v>1351409</v>
      </c>
      <c r="F3115" s="80">
        <v>1321148.8759124111</v>
      </c>
      <c r="G3115" s="66">
        <v>1881.1105256084802</v>
      </c>
      <c r="H3115" s="67">
        <v>2</v>
      </c>
      <c r="I3115" s="68" t="s">
        <v>20</v>
      </c>
      <c r="J3115" s="69">
        <v>40</v>
      </c>
      <c r="K3115" s="70">
        <v>2</v>
      </c>
      <c r="L3115" s="68">
        <v>1</v>
      </c>
      <c r="M3115" s="68">
        <f>_xlfn.XLOOKUP(Survey!$F3115,sections[Start],sections[Test Section],,-1,1)</f>
        <v>9</v>
      </c>
      <c r="N3115" s="55">
        <f>_xlfn.XLOOKUP(Survey!$K3115,pipedata[ID],pipedata[WT])</f>
        <v>0.74</v>
      </c>
      <c r="O3115" s="56">
        <f>_xlfn.XLOOKUP(Survey!$K3115,pipedata[ID],pipedata[104%])</f>
        <v>2565.3333333333335</v>
      </c>
      <c r="P3115" s="57">
        <f t="shared" si="48"/>
        <v>1850</v>
      </c>
      <c r="Q3115" s="58">
        <f>_xlfn.MAXIFS(Survey!$G$2:$G$3647,Survey!$M$2:$M$3647,Survey!$M3115)-Survey!$G3115</f>
        <v>185.22962069694131</v>
      </c>
      <c r="R3115" s="59">
        <f>Survey!$P3115+(Survey!$Q3115*0.433)</f>
        <v>1930.2044257617756</v>
      </c>
    </row>
    <row r="3116" spans="1:18" x14ac:dyDescent="0.25">
      <c r="A3116" s="71" t="s">
        <v>17</v>
      </c>
      <c r="B3116" s="72" t="s">
        <v>23</v>
      </c>
      <c r="C3116" s="73" t="s">
        <v>19</v>
      </c>
      <c r="D3116" s="74">
        <v>250.02652666937095</v>
      </c>
      <c r="E3116" s="81">
        <v>1351449</v>
      </c>
      <c r="F3116" s="82">
        <v>1321187.5109489076</v>
      </c>
      <c r="G3116" s="75">
        <v>1879.8768564403695</v>
      </c>
      <c r="H3116" s="76">
        <v>2</v>
      </c>
      <c r="I3116" s="54" t="s">
        <v>20</v>
      </c>
      <c r="J3116" s="77">
        <v>40</v>
      </c>
      <c r="K3116" s="78">
        <v>2</v>
      </c>
      <c r="L3116" s="54">
        <v>1</v>
      </c>
      <c r="M3116" s="54">
        <f>_xlfn.XLOOKUP(Survey!$F3116,sections[Start],sections[Test Section],,-1,1)</f>
        <v>9</v>
      </c>
      <c r="N3116" s="55">
        <f>_xlfn.XLOOKUP(Survey!$K3116,pipedata[ID],pipedata[WT])</f>
        <v>0.74</v>
      </c>
      <c r="O3116" s="56">
        <f>_xlfn.XLOOKUP(Survey!$K3116,pipedata[ID],pipedata[104%])</f>
        <v>2565.3333333333335</v>
      </c>
      <c r="P3116" s="57">
        <f t="shared" si="48"/>
        <v>1850</v>
      </c>
      <c r="Q3116" s="58">
        <f>_xlfn.MAXIFS(Survey!$G$2:$G$3647,Survey!$M$2:$M$3647,Survey!$M3116)-Survey!$G3116</f>
        <v>186.46328986505205</v>
      </c>
      <c r="R3116" s="59">
        <f>Survey!$P3116+(Survey!$Q3116*0.433)</f>
        <v>1930.7386045115675</v>
      </c>
    </row>
    <row r="3117" spans="1:18" x14ac:dyDescent="0.25">
      <c r="A3117" s="60" t="s">
        <v>17</v>
      </c>
      <c r="B3117" s="61" t="s">
        <v>23</v>
      </c>
      <c r="C3117" s="62" t="s">
        <v>19</v>
      </c>
      <c r="D3117" s="63">
        <v>250.03363999867588</v>
      </c>
      <c r="E3117" s="79">
        <v>1351489</v>
      </c>
      <c r="F3117" s="80">
        <v>1321226.145985404</v>
      </c>
      <c r="G3117" s="66">
        <v>1878.2368688028985</v>
      </c>
      <c r="H3117" s="67">
        <v>2</v>
      </c>
      <c r="I3117" s="68" t="s">
        <v>20</v>
      </c>
      <c r="J3117" s="69">
        <v>40</v>
      </c>
      <c r="K3117" s="70">
        <v>2</v>
      </c>
      <c r="L3117" s="68">
        <v>1</v>
      </c>
      <c r="M3117" s="68">
        <f>_xlfn.XLOOKUP(Survey!$F3117,sections[Start],sections[Test Section],,-1,1)</f>
        <v>9</v>
      </c>
      <c r="N3117" s="55">
        <f>_xlfn.XLOOKUP(Survey!$K3117,pipedata[ID],pipedata[WT])</f>
        <v>0.74</v>
      </c>
      <c r="O3117" s="56">
        <f>_xlfn.XLOOKUP(Survey!$K3117,pipedata[ID],pipedata[104%])</f>
        <v>2565.3333333333335</v>
      </c>
      <c r="P3117" s="57">
        <f t="shared" si="48"/>
        <v>1850</v>
      </c>
      <c r="Q3117" s="58">
        <f>_xlfn.MAXIFS(Survey!$G$2:$G$3647,Survey!$M$2:$M$3647,Survey!$M3117)-Survey!$G3117</f>
        <v>188.10327750252304</v>
      </c>
      <c r="R3117" s="59">
        <f>Survey!$P3117+(Survey!$Q3117*0.433)</f>
        <v>1931.4487191585924</v>
      </c>
    </row>
    <row r="3118" spans="1:18" x14ac:dyDescent="0.25">
      <c r="A3118" s="71" t="s">
        <v>17</v>
      </c>
      <c r="B3118" s="72" t="s">
        <v>23</v>
      </c>
      <c r="C3118" s="73" t="s">
        <v>19</v>
      </c>
      <c r="D3118" s="74">
        <v>250.04142740777593</v>
      </c>
      <c r="E3118" s="81">
        <v>1351529</v>
      </c>
      <c r="F3118" s="82">
        <v>1321264.7810219005</v>
      </c>
      <c r="G3118" s="75">
        <v>1879.7657820302845</v>
      </c>
      <c r="H3118" s="76">
        <v>2</v>
      </c>
      <c r="I3118" s="54" t="s">
        <v>20</v>
      </c>
      <c r="J3118" s="77">
        <v>40</v>
      </c>
      <c r="K3118" s="78">
        <v>2</v>
      </c>
      <c r="L3118" s="54">
        <v>1</v>
      </c>
      <c r="M3118" s="54">
        <f>_xlfn.XLOOKUP(Survey!$F3118,sections[Start],sections[Test Section],,-1,1)</f>
        <v>9</v>
      </c>
      <c r="N3118" s="55">
        <f>_xlfn.XLOOKUP(Survey!$K3118,pipedata[ID],pipedata[WT])</f>
        <v>0.74</v>
      </c>
      <c r="O3118" s="56">
        <f>_xlfn.XLOOKUP(Survey!$K3118,pipedata[ID],pipedata[104%])</f>
        <v>2565.3333333333335</v>
      </c>
      <c r="P3118" s="57">
        <f t="shared" si="48"/>
        <v>1850</v>
      </c>
      <c r="Q3118" s="58">
        <f>_xlfn.MAXIFS(Survey!$G$2:$G$3647,Survey!$M$2:$M$3647,Survey!$M3118)-Survey!$G3118</f>
        <v>186.57436427513699</v>
      </c>
      <c r="R3118" s="59">
        <f>Survey!$P3118+(Survey!$Q3118*0.433)</f>
        <v>1930.7866997311344</v>
      </c>
    </row>
    <row r="3119" spans="1:18" x14ac:dyDescent="0.25">
      <c r="A3119" s="60" t="s">
        <v>17</v>
      </c>
      <c r="B3119" s="61" t="s">
        <v>23</v>
      </c>
      <c r="C3119" s="62" t="s">
        <v>19</v>
      </c>
      <c r="D3119" s="63">
        <v>250.0492148168758</v>
      </c>
      <c r="E3119" s="79">
        <v>1351569</v>
      </c>
      <c r="F3119" s="80">
        <v>1321303.4160583969</v>
      </c>
      <c r="G3119" s="66">
        <v>1883.5791766053269</v>
      </c>
      <c r="H3119" s="67">
        <v>2</v>
      </c>
      <c r="I3119" s="68" t="s">
        <v>20</v>
      </c>
      <c r="J3119" s="69">
        <v>40</v>
      </c>
      <c r="K3119" s="70">
        <v>2</v>
      </c>
      <c r="L3119" s="68">
        <v>1</v>
      </c>
      <c r="M3119" s="68">
        <f>_xlfn.XLOOKUP(Survey!$F3119,sections[Start],sections[Test Section],,-1,1)</f>
        <v>9</v>
      </c>
      <c r="N3119" s="55">
        <f>_xlfn.XLOOKUP(Survey!$K3119,pipedata[ID],pipedata[WT])</f>
        <v>0.74</v>
      </c>
      <c r="O3119" s="56">
        <f>_xlfn.XLOOKUP(Survey!$K3119,pipedata[ID],pipedata[104%])</f>
        <v>2565.3333333333335</v>
      </c>
      <c r="P3119" s="57">
        <f t="shared" si="48"/>
        <v>1850</v>
      </c>
      <c r="Q3119" s="58">
        <f>_xlfn.MAXIFS(Survey!$G$2:$G$3647,Survey!$M$2:$M$3647,Survey!$M3119)-Survey!$G3119</f>
        <v>182.76096970009462</v>
      </c>
      <c r="R3119" s="59">
        <f>Survey!$P3119+(Survey!$Q3119*0.433)</f>
        <v>1929.135499880141</v>
      </c>
    </row>
    <row r="3120" spans="1:18" x14ac:dyDescent="0.25">
      <c r="A3120" s="71" t="s">
        <v>17</v>
      </c>
      <c r="B3120" s="72" t="s">
        <v>23</v>
      </c>
      <c r="C3120" s="73" t="s">
        <v>19</v>
      </c>
      <c r="D3120" s="74">
        <v>250.05584426387878</v>
      </c>
      <c r="E3120" s="81">
        <v>1351609</v>
      </c>
      <c r="F3120" s="82">
        <v>1321342.0510948934</v>
      </c>
      <c r="G3120" s="75">
        <v>1889.3534802807944</v>
      </c>
      <c r="H3120" s="76">
        <v>2</v>
      </c>
      <c r="I3120" s="54" t="s">
        <v>20</v>
      </c>
      <c r="J3120" s="77">
        <v>40</v>
      </c>
      <c r="K3120" s="78">
        <v>2</v>
      </c>
      <c r="L3120" s="54">
        <v>1</v>
      </c>
      <c r="M3120" s="54">
        <f>_xlfn.XLOOKUP(Survey!$F3120,sections[Start],sections[Test Section],,-1,1)</f>
        <v>9</v>
      </c>
      <c r="N3120" s="55">
        <f>_xlfn.XLOOKUP(Survey!$K3120,pipedata[ID],pipedata[WT])</f>
        <v>0.74</v>
      </c>
      <c r="O3120" s="56">
        <f>_xlfn.XLOOKUP(Survey!$K3120,pipedata[ID],pipedata[104%])</f>
        <v>2565.3333333333335</v>
      </c>
      <c r="P3120" s="57">
        <f t="shared" si="48"/>
        <v>1850</v>
      </c>
      <c r="Q3120" s="58">
        <f>_xlfn.MAXIFS(Survey!$G$2:$G$3647,Survey!$M$2:$M$3647,Survey!$M3120)-Survey!$G3120</f>
        <v>176.98666602462708</v>
      </c>
      <c r="R3120" s="59">
        <f>Survey!$P3120+(Survey!$Q3120*0.433)</f>
        <v>1926.6352263886636</v>
      </c>
    </row>
    <row r="3121" spans="1:18" x14ac:dyDescent="0.25">
      <c r="A3121" s="60" t="s">
        <v>17</v>
      </c>
      <c r="B3121" s="61" t="s">
        <v>23</v>
      </c>
      <c r="C3121" s="62" t="s">
        <v>19</v>
      </c>
      <c r="D3121" s="63">
        <v>250.0636622890809</v>
      </c>
      <c r="E3121" s="79">
        <v>1351649</v>
      </c>
      <c r="F3121" s="80">
        <v>1321380.6861313898</v>
      </c>
      <c r="G3121" s="66">
        <v>1898.6201085723008</v>
      </c>
      <c r="H3121" s="67">
        <v>2</v>
      </c>
      <c r="I3121" s="68" t="s">
        <v>20</v>
      </c>
      <c r="J3121" s="69">
        <v>40</v>
      </c>
      <c r="K3121" s="70">
        <v>2</v>
      </c>
      <c r="L3121" s="68">
        <v>1</v>
      </c>
      <c r="M3121" s="68">
        <f>_xlfn.XLOOKUP(Survey!$F3121,sections[Start],sections[Test Section],,-1,1)</f>
        <v>9</v>
      </c>
      <c r="N3121" s="55">
        <f>_xlfn.XLOOKUP(Survey!$K3121,pipedata[ID],pipedata[WT])</f>
        <v>0.74</v>
      </c>
      <c r="O3121" s="56">
        <f>_xlfn.XLOOKUP(Survey!$K3121,pipedata[ID],pipedata[104%])</f>
        <v>2565.3333333333335</v>
      </c>
      <c r="P3121" s="57">
        <f t="shared" si="48"/>
        <v>1850</v>
      </c>
      <c r="Q3121" s="58">
        <f>_xlfn.MAXIFS(Survey!$G$2:$G$3647,Survey!$M$2:$M$3647,Survey!$M3121)-Survey!$G3121</f>
        <v>167.72003773312076</v>
      </c>
      <c r="R3121" s="59">
        <f>Survey!$P3121+(Survey!$Q3121*0.433)</f>
        <v>1922.6227763384413</v>
      </c>
    </row>
    <row r="3122" spans="1:18" x14ac:dyDescent="0.25">
      <c r="A3122" s="71" t="s">
        <v>17</v>
      </c>
      <c r="B3122" s="72" t="s">
        <v>23</v>
      </c>
      <c r="C3122" s="73" t="s">
        <v>19</v>
      </c>
      <c r="D3122" s="74">
        <v>250.07095936523666</v>
      </c>
      <c r="E3122" s="81">
        <v>1351689</v>
      </c>
      <c r="F3122" s="82">
        <v>1321419.3211678863</v>
      </c>
      <c r="G3122" s="75">
        <v>1908.7805316901429</v>
      </c>
      <c r="H3122" s="76">
        <v>2</v>
      </c>
      <c r="I3122" s="54" t="s">
        <v>20</v>
      </c>
      <c r="J3122" s="77">
        <v>40</v>
      </c>
      <c r="K3122" s="78">
        <v>2</v>
      </c>
      <c r="L3122" s="54">
        <v>1</v>
      </c>
      <c r="M3122" s="54">
        <f>_xlfn.XLOOKUP(Survey!$F3122,sections[Start],sections[Test Section],,-1,1)</f>
        <v>9</v>
      </c>
      <c r="N3122" s="55">
        <f>_xlfn.XLOOKUP(Survey!$K3122,pipedata[ID],pipedata[WT])</f>
        <v>0.74</v>
      </c>
      <c r="O3122" s="56">
        <f>_xlfn.XLOOKUP(Survey!$K3122,pipedata[ID],pipedata[104%])</f>
        <v>2565.3333333333335</v>
      </c>
      <c r="P3122" s="57">
        <f t="shared" si="48"/>
        <v>1850</v>
      </c>
      <c r="Q3122" s="58">
        <f>_xlfn.MAXIFS(Survey!$G$2:$G$3647,Survey!$M$2:$M$3647,Survey!$M3122)-Survey!$G3122</f>
        <v>157.55961461527863</v>
      </c>
      <c r="R3122" s="59">
        <f>Survey!$P3122+(Survey!$Q3122*0.433)</f>
        <v>1918.2233131284156</v>
      </c>
    </row>
    <row r="3123" spans="1:18" x14ac:dyDescent="0.25">
      <c r="A3123" s="60" t="s">
        <v>17</v>
      </c>
      <c r="B3123" s="61" t="s">
        <v>23</v>
      </c>
      <c r="C3123" s="62" t="s">
        <v>19</v>
      </c>
      <c r="D3123" s="63">
        <v>250.07874155269295</v>
      </c>
      <c r="E3123" s="79">
        <v>1351729</v>
      </c>
      <c r="F3123" s="80">
        <v>1321457.9562043827</v>
      </c>
      <c r="G3123" s="66">
        <v>1920.1147159192169</v>
      </c>
      <c r="H3123" s="67">
        <v>2</v>
      </c>
      <c r="I3123" s="68" t="s">
        <v>20</v>
      </c>
      <c r="J3123" s="69">
        <v>40</v>
      </c>
      <c r="K3123" s="70">
        <v>2</v>
      </c>
      <c r="L3123" s="68">
        <v>1</v>
      </c>
      <c r="M3123" s="68">
        <f>_xlfn.XLOOKUP(Survey!$F3123,sections[Start],sections[Test Section],,-1,1)</f>
        <v>9</v>
      </c>
      <c r="N3123" s="55">
        <f>_xlfn.XLOOKUP(Survey!$K3123,pipedata[ID],pipedata[WT])</f>
        <v>0.74</v>
      </c>
      <c r="O3123" s="56">
        <f>_xlfn.XLOOKUP(Survey!$K3123,pipedata[ID],pipedata[104%])</f>
        <v>2565.3333333333335</v>
      </c>
      <c r="P3123" s="57">
        <f t="shared" si="48"/>
        <v>1850</v>
      </c>
      <c r="Q3123" s="58">
        <f>_xlfn.MAXIFS(Survey!$G$2:$G$3647,Survey!$M$2:$M$3647,Survey!$M3123)-Survey!$G3123</f>
        <v>146.22543038620461</v>
      </c>
      <c r="R3123" s="59">
        <f>Survey!$P3123+(Survey!$Q3123*0.433)</f>
        <v>1913.3156113572265</v>
      </c>
    </row>
    <row r="3124" spans="1:18" x14ac:dyDescent="0.25">
      <c r="A3124" s="71" t="s">
        <v>17</v>
      </c>
      <c r="B3124" s="72" t="s">
        <v>23</v>
      </c>
      <c r="C3124" s="73" t="s">
        <v>19</v>
      </c>
      <c r="D3124" s="74">
        <v>250.0856596899547</v>
      </c>
      <c r="E3124" s="81">
        <v>1351769</v>
      </c>
      <c r="F3124" s="82">
        <v>1321496.5912408791</v>
      </c>
      <c r="G3124" s="75">
        <v>1931.54531367401</v>
      </c>
      <c r="H3124" s="76">
        <v>2</v>
      </c>
      <c r="I3124" s="54" t="s">
        <v>20</v>
      </c>
      <c r="J3124" s="77">
        <v>40</v>
      </c>
      <c r="K3124" s="78">
        <v>2</v>
      </c>
      <c r="L3124" s="54">
        <v>1</v>
      </c>
      <c r="M3124" s="54">
        <f>_xlfn.XLOOKUP(Survey!$F3124,sections[Start],sections[Test Section],,-1,1)</f>
        <v>9</v>
      </c>
      <c r="N3124" s="55">
        <f>_xlfn.XLOOKUP(Survey!$K3124,pipedata[ID],pipedata[WT])</f>
        <v>0.74</v>
      </c>
      <c r="O3124" s="56">
        <f>_xlfn.XLOOKUP(Survey!$K3124,pipedata[ID],pipedata[104%])</f>
        <v>2565.3333333333335</v>
      </c>
      <c r="P3124" s="57">
        <f t="shared" si="48"/>
        <v>1850</v>
      </c>
      <c r="Q3124" s="58">
        <f>_xlfn.MAXIFS(Survey!$G$2:$G$3647,Survey!$M$2:$M$3647,Survey!$M3124)-Survey!$G3124</f>
        <v>134.79483263141151</v>
      </c>
      <c r="R3124" s="59">
        <f>Survey!$P3124+(Survey!$Q3124*0.433)</f>
        <v>1908.3661625294012</v>
      </c>
    </row>
    <row r="3125" spans="1:18" x14ac:dyDescent="0.25">
      <c r="A3125" s="60" t="s">
        <v>17</v>
      </c>
      <c r="B3125" s="61" t="s">
        <v>23</v>
      </c>
      <c r="C3125" s="62" t="s">
        <v>19</v>
      </c>
      <c r="D3125" s="63">
        <v>250.09260900527673</v>
      </c>
      <c r="E3125" s="79">
        <v>1351809</v>
      </c>
      <c r="F3125" s="80">
        <v>1321535.2262773756</v>
      </c>
      <c r="G3125" s="66">
        <v>1943.4846975623805</v>
      </c>
      <c r="H3125" s="67">
        <v>2</v>
      </c>
      <c r="I3125" s="68" t="s">
        <v>20</v>
      </c>
      <c r="J3125" s="69">
        <v>40</v>
      </c>
      <c r="K3125" s="70">
        <v>2</v>
      </c>
      <c r="L3125" s="68">
        <v>1</v>
      </c>
      <c r="M3125" s="68">
        <f>_xlfn.XLOOKUP(Survey!$F3125,sections[Start],sections[Test Section],,-1,1)</f>
        <v>9</v>
      </c>
      <c r="N3125" s="55">
        <f>_xlfn.XLOOKUP(Survey!$K3125,pipedata[ID],pipedata[WT])</f>
        <v>0.74</v>
      </c>
      <c r="O3125" s="56">
        <f>_xlfn.XLOOKUP(Survey!$K3125,pipedata[ID],pipedata[104%])</f>
        <v>2565.3333333333335</v>
      </c>
      <c r="P3125" s="57">
        <f t="shared" si="48"/>
        <v>1850</v>
      </c>
      <c r="Q3125" s="58">
        <f>_xlfn.MAXIFS(Survey!$G$2:$G$3647,Survey!$M$2:$M$3647,Survey!$M3125)-Survey!$G3125</f>
        <v>122.85544874304105</v>
      </c>
      <c r="R3125" s="59">
        <f>Survey!$P3125+(Survey!$Q3125*0.433)</f>
        <v>1903.1964093057368</v>
      </c>
    </row>
    <row r="3126" spans="1:18" x14ac:dyDescent="0.25">
      <c r="A3126" s="71" t="s">
        <v>17</v>
      </c>
      <c r="B3126" s="72" t="s">
        <v>23</v>
      </c>
      <c r="C3126" s="73" t="s">
        <v>19</v>
      </c>
      <c r="D3126" s="74">
        <v>250.10049886227296</v>
      </c>
      <c r="E3126" s="81">
        <v>1351849</v>
      </c>
      <c r="F3126" s="82">
        <v>1321573.861313872</v>
      </c>
      <c r="G3126" s="75">
        <v>1960.2708503163326</v>
      </c>
      <c r="H3126" s="76">
        <v>2</v>
      </c>
      <c r="I3126" s="54" t="s">
        <v>20</v>
      </c>
      <c r="J3126" s="77">
        <v>40</v>
      </c>
      <c r="K3126" s="78">
        <v>2</v>
      </c>
      <c r="L3126" s="54">
        <v>1</v>
      </c>
      <c r="M3126" s="54">
        <f>_xlfn.XLOOKUP(Survey!$F3126,sections[Start],sections[Test Section],,-1,1)</f>
        <v>9</v>
      </c>
      <c r="N3126" s="55">
        <f>_xlfn.XLOOKUP(Survey!$K3126,pipedata[ID],pipedata[WT])</f>
        <v>0.74</v>
      </c>
      <c r="O3126" s="56">
        <f>_xlfn.XLOOKUP(Survey!$K3126,pipedata[ID],pipedata[104%])</f>
        <v>2565.3333333333335</v>
      </c>
      <c r="P3126" s="57">
        <f t="shared" si="48"/>
        <v>1850</v>
      </c>
      <c r="Q3126" s="58">
        <f>_xlfn.MAXIFS(Survey!$G$2:$G$3647,Survey!$M$2:$M$3647,Survey!$M3126)-Survey!$G3126</f>
        <v>106.06929598908891</v>
      </c>
      <c r="R3126" s="59">
        <f>Survey!$P3126+(Survey!$Q3126*0.433)</f>
        <v>1895.9280051632754</v>
      </c>
    </row>
    <row r="3127" spans="1:18" x14ac:dyDescent="0.25">
      <c r="A3127" s="60" t="s">
        <v>17</v>
      </c>
      <c r="B3127" s="61" t="s">
        <v>23</v>
      </c>
      <c r="C3127" s="62" t="s">
        <v>19</v>
      </c>
      <c r="D3127" s="63">
        <v>250.10702605514697</v>
      </c>
      <c r="E3127" s="79">
        <v>1351889</v>
      </c>
      <c r="F3127" s="80">
        <v>1321612.4963503685</v>
      </c>
      <c r="G3127" s="66">
        <v>1975.162241834767</v>
      </c>
      <c r="H3127" s="67">
        <v>2</v>
      </c>
      <c r="I3127" s="68" t="s">
        <v>20</v>
      </c>
      <c r="J3127" s="69">
        <v>40</v>
      </c>
      <c r="K3127" s="70">
        <v>2</v>
      </c>
      <c r="L3127" s="68">
        <v>1</v>
      </c>
      <c r="M3127" s="68">
        <f>_xlfn.XLOOKUP(Survey!$F3127,sections[Start],sections[Test Section],,-1,1)</f>
        <v>9</v>
      </c>
      <c r="N3127" s="55">
        <f>_xlfn.XLOOKUP(Survey!$K3127,pipedata[ID],pipedata[WT])</f>
        <v>0.74</v>
      </c>
      <c r="O3127" s="56">
        <f>_xlfn.XLOOKUP(Survey!$K3127,pipedata[ID],pipedata[104%])</f>
        <v>2565.3333333333335</v>
      </c>
      <c r="P3127" s="57">
        <f t="shared" si="48"/>
        <v>1850</v>
      </c>
      <c r="Q3127" s="58">
        <f>_xlfn.MAXIFS(Survey!$G$2:$G$3647,Survey!$M$2:$M$3647,Survey!$M3127)-Survey!$G3127</f>
        <v>91.177904470654539</v>
      </c>
      <c r="R3127" s="59">
        <f>Survey!$P3127+(Survey!$Q3127*0.433)</f>
        <v>1889.4800326357933</v>
      </c>
    </row>
    <row r="3128" spans="1:18" x14ac:dyDescent="0.25">
      <c r="A3128" s="71" t="s">
        <v>17</v>
      </c>
      <c r="B3128" s="72" t="s">
        <v>23</v>
      </c>
      <c r="C3128" s="73" t="s">
        <v>19</v>
      </c>
      <c r="D3128" s="74">
        <v>250.11355324802082</v>
      </c>
      <c r="E3128" s="81">
        <v>1351929</v>
      </c>
      <c r="F3128" s="82">
        <v>1321651.1313868649</v>
      </c>
      <c r="G3128" s="75">
        <v>1994.7162443127208</v>
      </c>
      <c r="H3128" s="76">
        <v>2</v>
      </c>
      <c r="I3128" s="54" t="s">
        <v>20</v>
      </c>
      <c r="J3128" s="77">
        <v>40</v>
      </c>
      <c r="K3128" s="78">
        <v>2</v>
      </c>
      <c r="L3128" s="54">
        <v>1</v>
      </c>
      <c r="M3128" s="54">
        <f>_xlfn.XLOOKUP(Survey!$F3128,sections[Start],sections[Test Section],,-1,1)</f>
        <v>9</v>
      </c>
      <c r="N3128" s="55">
        <f>_xlfn.XLOOKUP(Survey!$K3128,pipedata[ID],pipedata[WT])</f>
        <v>0.74</v>
      </c>
      <c r="O3128" s="56">
        <f>_xlfn.XLOOKUP(Survey!$K3128,pipedata[ID],pipedata[104%])</f>
        <v>2565.3333333333335</v>
      </c>
      <c r="P3128" s="57">
        <f t="shared" si="48"/>
        <v>1850</v>
      </c>
      <c r="Q3128" s="58">
        <f>_xlfn.MAXIFS(Survey!$G$2:$G$3647,Survey!$M$2:$M$3647,Survey!$M3128)-Survey!$G3128</f>
        <v>71.623901992700667</v>
      </c>
      <c r="R3128" s="59">
        <f>Survey!$P3128+(Survey!$Q3128*0.433)</f>
        <v>1881.0131495628393</v>
      </c>
    </row>
    <row r="3129" spans="1:18" x14ac:dyDescent="0.25">
      <c r="A3129" s="60" t="s">
        <v>17</v>
      </c>
      <c r="B3129" s="61" t="s">
        <v>23</v>
      </c>
      <c r="C3129" s="62" t="s">
        <v>19</v>
      </c>
      <c r="D3129" s="63">
        <v>250.12098251235363</v>
      </c>
      <c r="E3129" s="79">
        <v>1351969</v>
      </c>
      <c r="F3129" s="80">
        <v>1321689.7664233614</v>
      </c>
      <c r="G3129" s="66">
        <v>2011.273380131727</v>
      </c>
      <c r="H3129" s="67">
        <v>2</v>
      </c>
      <c r="I3129" s="68" t="s">
        <v>20</v>
      </c>
      <c r="J3129" s="69">
        <v>40</v>
      </c>
      <c r="K3129" s="70">
        <v>2</v>
      </c>
      <c r="L3129" s="68">
        <v>1</v>
      </c>
      <c r="M3129" s="68">
        <f>_xlfn.XLOOKUP(Survey!$F3129,sections[Start],sections[Test Section],,-1,1)</f>
        <v>9</v>
      </c>
      <c r="N3129" s="55">
        <f>_xlfn.XLOOKUP(Survey!$K3129,pipedata[ID],pipedata[WT])</f>
        <v>0.74</v>
      </c>
      <c r="O3129" s="56">
        <f>_xlfn.XLOOKUP(Survey!$K3129,pipedata[ID],pipedata[104%])</f>
        <v>2565.3333333333335</v>
      </c>
      <c r="P3129" s="57">
        <f t="shared" si="48"/>
        <v>1850</v>
      </c>
      <c r="Q3129" s="58">
        <f>_xlfn.MAXIFS(Survey!$G$2:$G$3647,Survey!$M$2:$M$3647,Survey!$M3129)-Survey!$G3129</f>
        <v>55.066766173694532</v>
      </c>
      <c r="R3129" s="59">
        <f>Survey!$P3129+(Survey!$Q3129*0.433)</f>
        <v>1873.8439097532098</v>
      </c>
    </row>
    <row r="3130" spans="1:18" x14ac:dyDescent="0.25">
      <c r="A3130" s="71" t="s">
        <v>17</v>
      </c>
      <c r="B3130" s="72" t="s">
        <v>23</v>
      </c>
      <c r="C3130" s="73" t="s">
        <v>19</v>
      </c>
      <c r="D3130" s="74">
        <v>250.1273555818868</v>
      </c>
      <c r="E3130" s="81">
        <v>1352009</v>
      </c>
      <c r="F3130" s="82">
        <v>1321728.4014598578</v>
      </c>
      <c r="G3130" s="75">
        <v>2028.7113362911905</v>
      </c>
      <c r="H3130" s="76">
        <v>2</v>
      </c>
      <c r="I3130" s="54" t="s">
        <v>20</v>
      </c>
      <c r="J3130" s="77">
        <v>40</v>
      </c>
      <c r="K3130" s="78">
        <v>2</v>
      </c>
      <c r="L3130" s="54">
        <v>1</v>
      </c>
      <c r="M3130" s="54">
        <f>_xlfn.XLOOKUP(Survey!$F3130,sections[Start],sections[Test Section],,-1,1)</f>
        <v>9</v>
      </c>
      <c r="N3130" s="55">
        <f>_xlfn.XLOOKUP(Survey!$K3130,pipedata[ID],pipedata[WT])</f>
        <v>0.74</v>
      </c>
      <c r="O3130" s="56">
        <f>_xlfn.XLOOKUP(Survey!$K3130,pipedata[ID],pipedata[104%])</f>
        <v>2565.3333333333335</v>
      </c>
      <c r="P3130" s="57">
        <f t="shared" si="48"/>
        <v>1850</v>
      </c>
      <c r="Q3130" s="58">
        <f>_xlfn.MAXIFS(Survey!$G$2:$G$3647,Survey!$M$2:$M$3647,Survey!$M3130)-Survey!$G3130</f>
        <v>37.628810014231021</v>
      </c>
      <c r="R3130" s="59">
        <f>Survey!$P3130+(Survey!$Q3130*0.433)</f>
        <v>1866.2932747361619</v>
      </c>
    </row>
    <row r="3131" spans="1:18" x14ac:dyDescent="0.25">
      <c r="A3131" s="60" t="s">
        <v>17</v>
      </c>
      <c r="B3131" s="61" t="s">
        <v>23</v>
      </c>
      <c r="C3131" s="62" t="s">
        <v>19</v>
      </c>
      <c r="D3131" s="63">
        <v>250.13531055760035</v>
      </c>
      <c r="E3131" s="79">
        <v>1352049</v>
      </c>
      <c r="F3131" s="80">
        <v>1321767.0364963543</v>
      </c>
      <c r="G3131" s="66">
        <v>2042.4961895919685</v>
      </c>
      <c r="H3131" s="67">
        <v>2</v>
      </c>
      <c r="I3131" s="68" t="s">
        <v>20</v>
      </c>
      <c r="J3131" s="69">
        <v>40</v>
      </c>
      <c r="K3131" s="70">
        <v>2</v>
      </c>
      <c r="L3131" s="68">
        <v>1</v>
      </c>
      <c r="M3131" s="68">
        <f>_xlfn.XLOOKUP(Survey!$F3131,sections[Start],sections[Test Section],,-1,1)</f>
        <v>9</v>
      </c>
      <c r="N3131" s="55">
        <f>_xlfn.XLOOKUP(Survey!$K3131,pipedata[ID],pipedata[WT])</f>
        <v>0.74</v>
      </c>
      <c r="O3131" s="56">
        <f>_xlfn.XLOOKUP(Survey!$K3131,pipedata[ID],pipedata[104%])</f>
        <v>2565.3333333333335</v>
      </c>
      <c r="P3131" s="57">
        <f t="shared" si="48"/>
        <v>1850</v>
      </c>
      <c r="Q3131" s="58">
        <f>_xlfn.MAXIFS(Survey!$G$2:$G$3647,Survey!$M$2:$M$3647,Survey!$M3131)-Survey!$G3131</f>
        <v>23.843956713453053</v>
      </c>
      <c r="R3131" s="59">
        <f>Survey!$P3131+(Survey!$Q3131*0.433)</f>
        <v>1860.3244332569252</v>
      </c>
    </row>
    <row r="3132" spans="1:18" x14ac:dyDescent="0.25">
      <c r="A3132" s="71" t="s">
        <v>17</v>
      </c>
      <c r="B3132" s="72" t="s">
        <v>23</v>
      </c>
      <c r="C3132" s="73" t="s">
        <v>19</v>
      </c>
      <c r="D3132" s="74">
        <v>250.14183775047408</v>
      </c>
      <c r="E3132" s="81">
        <v>1352089</v>
      </c>
      <c r="F3132" s="82">
        <v>1321805.6715328507</v>
      </c>
      <c r="G3132" s="75">
        <v>2059.2162733236551</v>
      </c>
      <c r="H3132" s="76">
        <v>2</v>
      </c>
      <c r="I3132" s="54" t="s">
        <v>20</v>
      </c>
      <c r="J3132" s="77">
        <v>40</v>
      </c>
      <c r="K3132" s="78">
        <v>2</v>
      </c>
      <c r="L3132" s="54">
        <v>1</v>
      </c>
      <c r="M3132" s="54">
        <f>_xlfn.XLOOKUP(Survey!$F3132,sections[Start],sections[Test Section],,-1,1)</f>
        <v>9</v>
      </c>
      <c r="N3132" s="55">
        <f>_xlfn.XLOOKUP(Survey!$K3132,pipedata[ID],pipedata[WT])</f>
        <v>0.74</v>
      </c>
      <c r="O3132" s="56">
        <f>_xlfn.XLOOKUP(Survey!$K3132,pipedata[ID],pipedata[104%])</f>
        <v>2565.3333333333335</v>
      </c>
      <c r="P3132" s="57">
        <f t="shared" si="48"/>
        <v>1850</v>
      </c>
      <c r="Q3132" s="58">
        <f>_xlfn.MAXIFS(Survey!$G$2:$G$3647,Survey!$M$2:$M$3647,Survey!$M3132)-Survey!$G3132</f>
        <v>7.1238729817664534</v>
      </c>
      <c r="R3132" s="59">
        <f>Survey!$P3132+(Survey!$Q3132*0.433)</f>
        <v>1853.084637001105</v>
      </c>
    </row>
    <row r="3133" spans="1:18" x14ac:dyDescent="0.25">
      <c r="A3133" s="60" t="s">
        <v>17</v>
      </c>
      <c r="B3133" s="61" t="s">
        <v>23</v>
      </c>
      <c r="C3133" s="62" t="s">
        <v>19</v>
      </c>
      <c r="D3133" s="63">
        <v>250.14836494334799</v>
      </c>
      <c r="E3133" s="79">
        <v>1352129</v>
      </c>
      <c r="F3133" s="80">
        <v>1321844.3065693472</v>
      </c>
      <c r="G3133" s="66">
        <v>2066.279494343913</v>
      </c>
      <c r="H3133" s="67">
        <v>2</v>
      </c>
      <c r="I3133" s="68" t="s">
        <v>20</v>
      </c>
      <c r="J3133" s="69">
        <v>40</v>
      </c>
      <c r="K3133" s="70">
        <v>2</v>
      </c>
      <c r="L3133" s="68">
        <v>1</v>
      </c>
      <c r="M3133" s="68">
        <f>_xlfn.XLOOKUP(Survey!$F3133,sections[Start],sections[Test Section],,-1,1)</f>
        <v>9</v>
      </c>
      <c r="N3133" s="55">
        <f>_xlfn.XLOOKUP(Survey!$K3133,pipedata[ID],pipedata[WT])</f>
        <v>0.74</v>
      </c>
      <c r="O3133" s="56">
        <f>_xlfn.XLOOKUP(Survey!$K3133,pipedata[ID],pipedata[104%])</f>
        <v>2565.3333333333335</v>
      </c>
      <c r="P3133" s="57">
        <f t="shared" si="48"/>
        <v>1850</v>
      </c>
      <c r="Q3133" s="58">
        <f>_xlfn.MAXIFS(Survey!$G$2:$G$3647,Survey!$M$2:$M$3647,Survey!$M3133)-Survey!$G3133</f>
        <v>6.065196150848351E-2</v>
      </c>
      <c r="R3133" s="59">
        <f>Survey!$P3133+(Survey!$Q3133*0.433)</f>
        <v>1850.0262622993332</v>
      </c>
    </row>
    <row r="3134" spans="1:18" x14ac:dyDescent="0.25">
      <c r="A3134" s="71" t="s">
        <v>17</v>
      </c>
      <c r="B3134" s="72" t="s">
        <v>23</v>
      </c>
      <c r="C3134" s="73" t="s">
        <v>19</v>
      </c>
      <c r="D3134" s="74">
        <v>250.15654270623935</v>
      </c>
      <c r="E3134" s="81">
        <v>1352169</v>
      </c>
      <c r="F3134" s="82">
        <v>1321882.9416058436</v>
      </c>
      <c r="G3134" s="75">
        <v>2062.5619104277494</v>
      </c>
      <c r="H3134" s="76">
        <v>2</v>
      </c>
      <c r="I3134" s="54" t="s">
        <v>20</v>
      </c>
      <c r="J3134" s="77">
        <v>40</v>
      </c>
      <c r="K3134" s="78">
        <v>2</v>
      </c>
      <c r="L3134" s="54">
        <v>1</v>
      </c>
      <c r="M3134" s="54">
        <f>_xlfn.XLOOKUP(Survey!$F3134,sections[Start],sections[Test Section],,-1,1)</f>
        <v>9</v>
      </c>
      <c r="N3134" s="55">
        <f>_xlfn.XLOOKUP(Survey!$K3134,pipedata[ID],pipedata[WT])</f>
        <v>0.74</v>
      </c>
      <c r="O3134" s="56">
        <f>_xlfn.XLOOKUP(Survey!$K3134,pipedata[ID],pipedata[104%])</f>
        <v>2565.3333333333335</v>
      </c>
      <c r="P3134" s="57">
        <f t="shared" si="48"/>
        <v>1850</v>
      </c>
      <c r="Q3134" s="58">
        <f>_xlfn.MAXIFS(Survey!$G$2:$G$3647,Survey!$M$2:$M$3647,Survey!$M3134)-Survey!$G3134</f>
        <v>3.7782358776721594</v>
      </c>
      <c r="R3134" s="59">
        <f>Survey!$P3134+(Survey!$Q3134*0.433)</f>
        <v>1851.635976135032</v>
      </c>
    </row>
    <row r="3135" spans="1:18" x14ac:dyDescent="0.25">
      <c r="A3135" s="60" t="s">
        <v>17</v>
      </c>
      <c r="B3135" s="61" t="s">
        <v>23</v>
      </c>
      <c r="C3135" s="62" t="s">
        <v>19</v>
      </c>
      <c r="D3135" s="63">
        <v>250.16309393963283</v>
      </c>
      <c r="E3135" s="79">
        <v>1352209</v>
      </c>
      <c r="F3135" s="80">
        <v>1321921.57664234</v>
      </c>
      <c r="G3135" s="66">
        <v>2057.3811843800281</v>
      </c>
      <c r="H3135" s="67">
        <v>2</v>
      </c>
      <c r="I3135" s="68" t="s">
        <v>20</v>
      </c>
      <c r="J3135" s="69">
        <v>40</v>
      </c>
      <c r="K3135" s="70">
        <v>2</v>
      </c>
      <c r="L3135" s="68">
        <v>1</v>
      </c>
      <c r="M3135" s="68">
        <f>_xlfn.XLOOKUP(Survey!$F3135,sections[Start],sections[Test Section],,-1,1)</f>
        <v>9</v>
      </c>
      <c r="N3135" s="55">
        <f>_xlfn.XLOOKUP(Survey!$K3135,pipedata[ID],pipedata[WT])</f>
        <v>0.74</v>
      </c>
      <c r="O3135" s="56">
        <f>_xlfn.XLOOKUP(Survey!$K3135,pipedata[ID],pipedata[104%])</f>
        <v>2565.3333333333335</v>
      </c>
      <c r="P3135" s="57">
        <f t="shared" si="48"/>
        <v>1850</v>
      </c>
      <c r="Q3135" s="58">
        <f>_xlfn.MAXIFS(Survey!$G$2:$G$3647,Survey!$M$2:$M$3647,Survey!$M3135)-Survey!$G3135</f>
        <v>8.9589619253933961</v>
      </c>
      <c r="R3135" s="59">
        <f>Survey!$P3135+(Survey!$Q3135*0.433)</f>
        <v>1853.8792305136953</v>
      </c>
    </row>
    <row r="3136" spans="1:18" x14ac:dyDescent="0.25">
      <c r="A3136" s="71" t="s">
        <v>17</v>
      </c>
      <c r="B3136" s="72" t="s">
        <v>23</v>
      </c>
      <c r="C3136" s="73" t="s">
        <v>19</v>
      </c>
      <c r="D3136" s="74">
        <v>250.17171958205978</v>
      </c>
      <c r="E3136" s="81">
        <v>1352249</v>
      </c>
      <c r="F3136" s="82">
        <v>1321960.2116788365</v>
      </c>
      <c r="G3136" s="75">
        <v>2054.1190268139821</v>
      </c>
      <c r="H3136" s="76">
        <v>2</v>
      </c>
      <c r="I3136" s="54" t="s">
        <v>20</v>
      </c>
      <c r="J3136" s="77">
        <v>40</v>
      </c>
      <c r="K3136" s="78">
        <v>2</v>
      </c>
      <c r="L3136" s="54">
        <v>1</v>
      </c>
      <c r="M3136" s="54">
        <f>_xlfn.XLOOKUP(Survey!$F3136,sections[Start],sections[Test Section],,-1,1)</f>
        <v>9</v>
      </c>
      <c r="N3136" s="55">
        <f>_xlfn.XLOOKUP(Survey!$K3136,pipedata[ID],pipedata[WT])</f>
        <v>0.74</v>
      </c>
      <c r="O3136" s="56">
        <f>_xlfn.XLOOKUP(Survey!$K3136,pipedata[ID],pipedata[104%])</f>
        <v>2565.3333333333335</v>
      </c>
      <c r="P3136" s="57">
        <f t="shared" si="48"/>
        <v>1850</v>
      </c>
      <c r="Q3136" s="58">
        <f>_xlfn.MAXIFS(Survey!$G$2:$G$3647,Survey!$M$2:$M$3647,Survey!$M3136)-Survey!$G3136</f>
        <v>12.221119491439367</v>
      </c>
      <c r="R3136" s="59">
        <f>Survey!$P3136+(Survey!$Q3136*0.433)</f>
        <v>1855.2917447397933</v>
      </c>
    </row>
    <row r="3137" spans="1:18" x14ac:dyDescent="0.25">
      <c r="A3137" s="60" t="s">
        <v>17</v>
      </c>
      <c r="B3137" s="61" t="s">
        <v>23</v>
      </c>
      <c r="C3137" s="62" t="s">
        <v>19</v>
      </c>
      <c r="D3137" s="63">
        <v>250.17928348565664</v>
      </c>
      <c r="E3137" s="79">
        <v>1352289</v>
      </c>
      <c r="F3137" s="80">
        <v>1321998.8467153329</v>
      </c>
      <c r="G3137" s="66">
        <v>2053.019118648881</v>
      </c>
      <c r="H3137" s="67">
        <v>2</v>
      </c>
      <c r="I3137" s="68" t="s">
        <v>20</v>
      </c>
      <c r="J3137" s="69">
        <v>40</v>
      </c>
      <c r="K3137" s="70">
        <v>2</v>
      </c>
      <c r="L3137" s="68">
        <v>1</v>
      </c>
      <c r="M3137" s="68">
        <f>_xlfn.XLOOKUP(Survey!$F3137,sections[Start],sections[Test Section],,-1,1)</f>
        <v>9</v>
      </c>
      <c r="N3137" s="55">
        <f>_xlfn.XLOOKUP(Survey!$K3137,pipedata[ID],pipedata[WT])</f>
        <v>0.74</v>
      </c>
      <c r="O3137" s="56">
        <f>_xlfn.XLOOKUP(Survey!$K3137,pipedata[ID],pipedata[104%])</f>
        <v>2565.3333333333335</v>
      </c>
      <c r="P3137" s="57">
        <f t="shared" si="48"/>
        <v>1850</v>
      </c>
      <c r="Q3137" s="58">
        <f>_xlfn.MAXIFS(Survey!$G$2:$G$3647,Survey!$M$2:$M$3647,Survey!$M3137)-Survey!$G3137</f>
        <v>13.321027656540537</v>
      </c>
      <c r="R3137" s="59">
        <f>Survey!$P3137+(Survey!$Q3137*0.433)</f>
        <v>1855.7680049752821</v>
      </c>
    </row>
    <row r="3138" spans="1:18" x14ac:dyDescent="0.25">
      <c r="A3138" s="71" t="s">
        <v>17</v>
      </c>
      <c r="B3138" s="72" t="s">
        <v>23</v>
      </c>
      <c r="C3138" s="73" t="s">
        <v>19</v>
      </c>
      <c r="D3138" s="74">
        <v>250.18617281279779</v>
      </c>
      <c r="E3138" s="81">
        <v>1352329</v>
      </c>
      <c r="F3138" s="82">
        <v>1322037.4817518294</v>
      </c>
      <c r="G3138" s="75">
        <v>2053.1017002512485</v>
      </c>
      <c r="H3138" s="76">
        <v>2</v>
      </c>
      <c r="I3138" s="54" t="s">
        <v>20</v>
      </c>
      <c r="J3138" s="77">
        <v>40</v>
      </c>
      <c r="K3138" s="78">
        <v>2</v>
      </c>
      <c r="L3138" s="54">
        <v>1</v>
      </c>
      <c r="M3138" s="54">
        <f>_xlfn.XLOOKUP(Survey!$F3138,sections[Start],sections[Test Section],,-1,1)</f>
        <v>9</v>
      </c>
      <c r="N3138" s="55">
        <f>_xlfn.XLOOKUP(Survey!$K3138,pipedata[ID],pipedata[WT])</f>
        <v>0.74</v>
      </c>
      <c r="O3138" s="56">
        <f>_xlfn.XLOOKUP(Survey!$K3138,pipedata[ID],pipedata[104%])</f>
        <v>2565.3333333333335</v>
      </c>
      <c r="P3138" s="57">
        <f t="shared" ref="P3138:P3201" si="49">IF(L3138=1,1850,IF(L3138=2,1850,2220))</f>
        <v>1850</v>
      </c>
      <c r="Q3138" s="58">
        <f>_xlfn.MAXIFS(Survey!$G$2:$G$3647,Survey!$M$2:$M$3647,Survey!$M3138)-Survey!$G3138</f>
        <v>13.238446054172982</v>
      </c>
      <c r="R3138" s="59">
        <f>Survey!$P3138+(Survey!$Q3138*0.433)</f>
        <v>1855.7322471414568</v>
      </c>
    </row>
    <row r="3139" spans="1:18" x14ac:dyDescent="0.25">
      <c r="A3139" s="60" t="s">
        <v>17</v>
      </c>
      <c r="B3139" s="61" t="s">
        <v>23</v>
      </c>
      <c r="C3139" s="62" t="s">
        <v>19</v>
      </c>
      <c r="D3139" s="63">
        <v>250.19421414787067</v>
      </c>
      <c r="E3139" s="79">
        <v>1352369</v>
      </c>
      <c r="F3139" s="80">
        <v>1322076.1167883258</v>
      </c>
      <c r="G3139" s="66">
        <v>2056.5447662835513</v>
      </c>
      <c r="H3139" s="67">
        <v>2</v>
      </c>
      <c r="I3139" s="68" t="s">
        <v>20</v>
      </c>
      <c r="J3139" s="69">
        <v>40</v>
      </c>
      <c r="K3139" s="70">
        <v>2</v>
      </c>
      <c r="L3139" s="68">
        <v>1</v>
      </c>
      <c r="M3139" s="68">
        <f>_xlfn.XLOOKUP(Survey!$F3139,sections[Start],sections[Test Section],,-1,1)</f>
        <v>9</v>
      </c>
      <c r="N3139" s="55">
        <f>_xlfn.XLOOKUP(Survey!$K3139,pipedata[ID],pipedata[WT])</f>
        <v>0.74</v>
      </c>
      <c r="O3139" s="56">
        <f>_xlfn.XLOOKUP(Survey!$K3139,pipedata[ID],pipedata[104%])</f>
        <v>2565.3333333333335</v>
      </c>
      <c r="P3139" s="57">
        <f t="shared" si="49"/>
        <v>1850</v>
      </c>
      <c r="Q3139" s="58">
        <f>_xlfn.MAXIFS(Survey!$G$2:$G$3647,Survey!$M$2:$M$3647,Survey!$M3139)-Survey!$G3139</f>
        <v>9.7953800218701872</v>
      </c>
      <c r="R3139" s="59">
        <f>Survey!$P3139+(Survey!$Q3139*0.433)</f>
        <v>1854.2413995494699</v>
      </c>
    </row>
    <row r="3140" spans="1:18" x14ac:dyDescent="0.25">
      <c r="A3140" s="71" t="s">
        <v>17</v>
      </c>
      <c r="B3140" s="72" t="s">
        <v>23</v>
      </c>
      <c r="C3140" s="73" t="s">
        <v>19</v>
      </c>
      <c r="D3140" s="74">
        <v>250.20116371639693</v>
      </c>
      <c r="E3140" s="81">
        <v>1352409</v>
      </c>
      <c r="F3140" s="82">
        <v>1322114.7518248223</v>
      </c>
      <c r="G3140" s="75">
        <v>2061.7577279878724</v>
      </c>
      <c r="H3140" s="76">
        <v>2</v>
      </c>
      <c r="I3140" s="54" t="s">
        <v>20</v>
      </c>
      <c r="J3140" s="77">
        <v>40</v>
      </c>
      <c r="K3140" s="78">
        <v>2</v>
      </c>
      <c r="L3140" s="54">
        <v>1</v>
      </c>
      <c r="M3140" s="54">
        <f>_xlfn.XLOOKUP(Survey!$F3140,sections[Start],sections[Test Section],,-1,1)</f>
        <v>9</v>
      </c>
      <c r="N3140" s="55">
        <f>_xlfn.XLOOKUP(Survey!$K3140,pipedata[ID],pipedata[WT])</f>
        <v>0.74</v>
      </c>
      <c r="O3140" s="56">
        <f>_xlfn.XLOOKUP(Survey!$K3140,pipedata[ID],pipedata[104%])</f>
        <v>2565.3333333333335</v>
      </c>
      <c r="P3140" s="57">
        <f t="shared" si="49"/>
        <v>1850</v>
      </c>
      <c r="Q3140" s="58">
        <f>_xlfn.MAXIFS(Survey!$G$2:$G$3647,Survey!$M$2:$M$3647,Survey!$M3140)-Survey!$G3140</f>
        <v>4.5824183175491271</v>
      </c>
      <c r="R3140" s="59">
        <f>Survey!$P3140+(Survey!$Q3140*0.433)</f>
        <v>1851.9841871314989</v>
      </c>
    </row>
    <row r="3141" spans="1:18" x14ac:dyDescent="0.25">
      <c r="A3141" s="60" t="s">
        <v>17</v>
      </c>
      <c r="B3141" s="61" t="s">
        <v>23</v>
      </c>
      <c r="C3141" s="62" t="s">
        <v>19</v>
      </c>
      <c r="D3141" s="63">
        <v>250.20943550333052</v>
      </c>
      <c r="E3141" s="79">
        <v>1352449</v>
      </c>
      <c r="F3141" s="80">
        <v>1322153.3868613187</v>
      </c>
      <c r="G3141" s="66">
        <v>2065.4030766144442</v>
      </c>
      <c r="H3141" s="67">
        <v>2</v>
      </c>
      <c r="I3141" s="68" t="s">
        <v>20</v>
      </c>
      <c r="J3141" s="69">
        <v>40</v>
      </c>
      <c r="K3141" s="70">
        <v>2</v>
      </c>
      <c r="L3141" s="68">
        <v>1</v>
      </c>
      <c r="M3141" s="68">
        <f>_xlfn.XLOOKUP(Survey!$F3141,sections[Start],sections[Test Section],,-1,1)</f>
        <v>9</v>
      </c>
      <c r="N3141" s="55">
        <f>_xlfn.XLOOKUP(Survey!$K3141,pipedata[ID],pipedata[WT])</f>
        <v>0.74</v>
      </c>
      <c r="O3141" s="56">
        <f>_xlfn.XLOOKUP(Survey!$K3141,pipedata[ID],pipedata[104%])</f>
        <v>2565.3333333333335</v>
      </c>
      <c r="P3141" s="57">
        <f t="shared" si="49"/>
        <v>1850</v>
      </c>
      <c r="Q3141" s="58">
        <f>_xlfn.MAXIFS(Survey!$G$2:$G$3647,Survey!$M$2:$M$3647,Survey!$M3141)-Survey!$G3141</f>
        <v>0.93706969097729598</v>
      </c>
      <c r="R3141" s="59">
        <f>Survey!$P3141+(Survey!$Q3141*0.433)</f>
        <v>1850.4057511761932</v>
      </c>
    </row>
    <row r="3142" spans="1:18" x14ac:dyDescent="0.25">
      <c r="A3142" s="71" t="s">
        <v>17</v>
      </c>
      <c r="B3142" s="72" t="s">
        <v>23</v>
      </c>
      <c r="C3142" s="73" t="s">
        <v>19</v>
      </c>
      <c r="D3142" s="74">
        <v>250.21627513848409</v>
      </c>
      <c r="E3142" s="81">
        <v>1352489</v>
      </c>
      <c r="F3142" s="82">
        <v>1322192.0218978152</v>
      </c>
      <c r="G3142" s="75">
        <v>2066.3401463054215</v>
      </c>
      <c r="H3142" s="76">
        <v>2</v>
      </c>
      <c r="I3142" s="54" t="s">
        <v>20</v>
      </c>
      <c r="J3142" s="77">
        <v>40</v>
      </c>
      <c r="K3142" s="78">
        <v>2</v>
      </c>
      <c r="L3142" s="54">
        <v>1</v>
      </c>
      <c r="M3142" s="54">
        <f>_xlfn.XLOOKUP(Survey!$F3142,sections[Start],sections[Test Section],,-1,1)</f>
        <v>9</v>
      </c>
      <c r="N3142" s="55">
        <f>_xlfn.XLOOKUP(Survey!$K3142,pipedata[ID],pipedata[WT])</f>
        <v>0.74</v>
      </c>
      <c r="O3142" s="56">
        <f>_xlfn.XLOOKUP(Survey!$K3142,pipedata[ID],pipedata[104%])</f>
        <v>2565.3333333333335</v>
      </c>
      <c r="P3142" s="57">
        <f t="shared" si="49"/>
        <v>1850</v>
      </c>
      <c r="Q3142" s="58">
        <f>_xlfn.MAXIFS(Survey!$G$2:$G$3647,Survey!$M$2:$M$3647,Survey!$M3142)-Survey!$G3142</f>
        <v>0</v>
      </c>
      <c r="R3142" s="59">
        <f>Survey!$P3142+(Survey!$Q3142*0.433)</f>
        <v>1850</v>
      </c>
    </row>
    <row r="3143" spans="1:18" x14ac:dyDescent="0.25">
      <c r="A3143" s="60" t="s">
        <v>17</v>
      </c>
      <c r="B3143" s="61" t="s">
        <v>23</v>
      </c>
      <c r="C3143" s="62" t="s">
        <v>19</v>
      </c>
      <c r="D3143" s="63">
        <v>250.22293557816835</v>
      </c>
      <c r="E3143" s="79">
        <v>1352529</v>
      </c>
      <c r="F3143" s="80">
        <v>1322230.6569343116</v>
      </c>
      <c r="G3143" s="66">
        <v>2059.3614170797509</v>
      </c>
      <c r="H3143" s="67">
        <v>2</v>
      </c>
      <c r="I3143" s="68" t="s">
        <v>20</v>
      </c>
      <c r="J3143" s="69">
        <v>40</v>
      </c>
      <c r="K3143" s="70">
        <v>2</v>
      </c>
      <c r="L3143" s="68">
        <v>1</v>
      </c>
      <c r="M3143" s="68">
        <f>_xlfn.XLOOKUP(Survey!$F3143,sections[Start],sections[Test Section],,-1,1)</f>
        <v>9</v>
      </c>
      <c r="N3143" s="55">
        <f>_xlfn.XLOOKUP(Survey!$K3143,pipedata[ID],pipedata[WT])</f>
        <v>0.74</v>
      </c>
      <c r="O3143" s="56">
        <f>_xlfn.XLOOKUP(Survey!$K3143,pipedata[ID],pipedata[104%])</f>
        <v>2565.3333333333335</v>
      </c>
      <c r="P3143" s="57">
        <f t="shared" si="49"/>
        <v>1850</v>
      </c>
      <c r="Q3143" s="58">
        <f>_xlfn.MAXIFS(Survey!$G$2:$G$3647,Survey!$M$2:$M$3647,Survey!$M3143)-Survey!$G3143</f>
        <v>6.9787292256705769</v>
      </c>
      <c r="R3143" s="59">
        <f>Survey!$P3143+(Survey!$Q3143*0.433)</f>
        <v>1853.0217897547154</v>
      </c>
    </row>
    <row r="3144" spans="1:18" x14ac:dyDescent="0.25">
      <c r="A3144" s="71" t="s">
        <v>17</v>
      </c>
      <c r="B3144" s="72" t="s">
        <v>23</v>
      </c>
      <c r="C3144" s="73" t="s">
        <v>19</v>
      </c>
      <c r="D3144" s="74">
        <v>250.23198693354308</v>
      </c>
      <c r="E3144" s="81">
        <v>1352569</v>
      </c>
      <c r="F3144" s="82">
        <v>1322269.2919708081</v>
      </c>
      <c r="G3144" s="75">
        <v>2051.5004273623026</v>
      </c>
      <c r="H3144" s="76">
        <v>2</v>
      </c>
      <c r="I3144" s="54" t="s">
        <v>20</v>
      </c>
      <c r="J3144" s="77">
        <v>40</v>
      </c>
      <c r="K3144" s="78">
        <v>2</v>
      </c>
      <c r="L3144" s="54">
        <v>1</v>
      </c>
      <c r="M3144" s="54">
        <f>_xlfn.XLOOKUP(Survey!$F3144,sections[Start],sections[Test Section],,-1,1)</f>
        <v>9</v>
      </c>
      <c r="N3144" s="55">
        <f>_xlfn.XLOOKUP(Survey!$K3144,pipedata[ID],pipedata[WT])</f>
        <v>0.74</v>
      </c>
      <c r="O3144" s="56">
        <f>_xlfn.XLOOKUP(Survey!$K3144,pipedata[ID],pipedata[104%])</f>
        <v>2565.3333333333335</v>
      </c>
      <c r="P3144" s="57">
        <f t="shared" si="49"/>
        <v>1850</v>
      </c>
      <c r="Q3144" s="58">
        <f>_xlfn.MAXIFS(Survey!$G$2:$G$3647,Survey!$M$2:$M$3647,Survey!$M3144)-Survey!$G3144</f>
        <v>14.839718943118896</v>
      </c>
      <c r="R3144" s="59">
        <f>Survey!$P3144+(Survey!$Q3144*0.433)</f>
        <v>1856.4255983023704</v>
      </c>
    </row>
    <row r="3145" spans="1:18" x14ac:dyDescent="0.25">
      <c r="A3145" s="60" t="s">
        <v>17</v>
      </c>
      <c r="B3145" s="61" t="s">
        <v>23</v>
      </c>
      <c r="C3145" s="62" t="s">
        <v>19</v>
      </c>
      <c r="D3145" s="63">
        <v>250.23944818059152</v>
      </c>
      <c r="E3145" s="79">
        <v>1352609</v>
      </c>
      <c r="F3145" s="80">
        <v>1322307.9270073045</v>
      </c>
      <c r="G3145" s="66">
        <v>2044.0431044604484</v>
      </c>
      <c r="H3145" s="67">
        <v>2</v>
      </c>
      <c r="I3145" s="68" t="s">
        <v>20</v>
      </c>
      <c r="J3145" s="69">
        <v>40</v>
      </c>
      <c r="K3145" s="70">
        <v>2</v>
      </c>
      <c r="L3145" s="68">
        <v>1</v>
      </c>
      <c r="M3145" s="68">
        <f>_xlfn.XLOOKUP(Survey!$F3145,sections[Start],sections[Test Section],,-1,1)</f>
        <v>9</v>
      </c>
      <c r="N3145" s="55">
        <f>_xlfn.XLOOKUP(Survey!$K3145,pipedata[ID],pipedata[WT])</f>
        <v>0.74</v>
      </c>
      <c r="O3145" s="56">
        <f>_xlfn.XLOOKUP(Survey!$K3145,pipedata[ID],pipedata[104%])</f>
        <v>2565.3333333333335</v>
      </c>
      <c r="P3145" s="57">
        <f t="shared" si="49"/>
        <v>1850</v>
      </c>
      <c r="Q3145" s="58">
        <f>_xlfn.MAXIFS(Survey!$G$2:$G$3647,Survey!$M$2:$M$3647,Survey!$M3145)-Survey!$G3145</f>
        <v>22.297041844973137</v>
      </c>
      <c r="R3145" s="59">
        <f>Survey!$P3145+(Survey!$Q3145*0.433)</f>
        <v>1859.6546191188734</v>
      </c>
    </row>
    <row r="3146" spans="1:18" x14ac:dyDescent="0.25">
      <c r="A3146" s="71" t="s">
        <v>17</v>
      </c>
      <c r="B3146" s="72" t="s">
        <v>23</v>
      </c>
      <c r="C3146" s="73" t="s">
        <v>19</v>
      </c>
      <c r="D3146" s="74">
        <v>250.24656077636115</v>
      </c>
      <c r="E3146" s="81">
        <v>1352649</v>
      </c>
      <c r="F3146" s="82">
        <v>1322346.562043801</v>
      </c>
      <c r="G3146" s="75">
        <v>2036.8418202483124</v>
      </c>
      <c r="H3146" s="76">
        <v>2</v>
      </c>
      <c r="I3146" s="54" t="s">
        <v>20</v>
      </c>
      <c r="J3146" s="77">
        <v>40</v>
      </c>
      <c r="K3146" s="78">
        <v>2</v>
      </c>
      <c r="L3146" s="54">
        <v>1</v>
      </c>
      <c r="M3146" s="54">
        <f>_xlfn.XLOOKUP(Survey!$F3146,sections[Start],sections[Test Section],,-1,1)</f>
        <v>9</v>
      </c>
      <c r="N3146" s="55">
        <f>_xlfn.XLOOKUP(Survey!$K3146,pipedata[ID],pipedata[WT])</f>
        <v>0.74</v>
      </c>
      <c r="O3146" s="56">
        <f>_xlfn.XLOOKUP(Survey!$K3146,pipedata[ID],pipedata[104%])</f>
        <v>2565.3333333333335</v>
      </c>
      <c r="P3146" s="57">
        <f t="shared" si="49"/>
        <v>1850</v>
      </c>
      <c r="Q3146" s="58">
        <f>_xlfn.MAXIFS(Survey!$G$2:$G$3647,Survey!$M$2:$M$3647,Survey!$M3146)-Survey!$G3146</f>
        <v>29.498326057109125</v>
      </c>
      <c r="R3146" s="59">
        <f>Survey!$P3146+(Survey!$Q3146*0.433)</f>
        <v>1862.7727751827283</v>
      </c>
    </row>
    <row r="3147" spans="1:18" x14ac:dyDescent="0.25">
      <c r="A3147" s="60" t="s">
        <v>17</v>
      </c>
      <c r="B3147" s="61" t="s">
        <v>23</v>
      </c>
      <c r="C3147" s="62" t="s">
        <v>19</v>
      </c>
      <c r="D3147" s="63">
        <v>250.25399234328157</v>
      </c>
      <c r="E3147" s="79">
        <v>1352689</v>
      </c>
      <c r="F3147" s="80">
        <v>1322385.1970802974</v>
      </c>
      <c r="G3147" s="66">
        <v>2026.5332621333787</v>
      </c>
      <c r="H3147" s="67">
        <v>2</v>
      </c>
      <c r="I3147" s="68" t="s">
        <v>20</v>
      </c>
      <c r="J3147" s="69">
        <v>40</v>
      </c>
      <c r="K3147" s="70">
        <v>2</v>
      </c>
      <c r="L3147" s="68">
        <v>1</v>
      </c>
      <c r="M3147" s="68">
        <f>_xlfn.XLOOKUP(Survey!$F3147,sections[Start],sections[Test Section],,-1,1)</f>
        <v>9</v>
      </c>
      <c r="N3147" s="55">
        <f>_xlfn.XLOOKUP(Survey!$K3147,pipedata[ID],pipedata[WT])</f>
        <v>0.74</v>
      </c>
      <c r="O3147" s="56">
        <f>_xlfn.XLOOKUP(Survey!$K3147,pipedata[ID],pipedata[104%])</f>
        <v>2565.3333333333335</v>
      </c>
      <c r="P3147" s="57">
        <f t="shared" si="49"/>
        <v>1850</v>
      </c>
      <c r="Q3147" s="58">
        <f>_xlfn.MAXIFS(Survey!$G$2:$G$3647,Survey!$M$2:$M$3647,Survey!$M3147)-Survey!$G3147</f>
        <v>39.806884172042828</v>
      </c>
      <c r="R3147" s="59">
        <f>Survey!$P3147+(Survey!$Q3147*0.433)</f>
        <v>1867.2363808464945</v>
      </c>
    </row>
    <row r="3148" spans="1:18" x14ac:dyDescent="0.25">
      <c r="A3148" s="71" t="s">
        <v>17</v>
      </c>
      <c r="B3148" s="72" t="s">
        <v>23</v>
      </c>
      <c r="C3148" s="73" t="s">
        <v>19</v>
      </c>
      <c r="D3148" s="74">
        <v>250.26159641522261</v>
      </c>
      <c r="E3148" s="81">
        <v>1352729</v>
      </c>
      <c r="F3148" s="82">
        <v>1322423.8321167938</v>
      </c>
      <c r="G3148" s="75">
        <v>2019.5350546279844</v>
      </c>
      <c r="H3148" s="76">
        <v>2</v>
      </c>
      <c r="I3148" s="54" t="s">
        <v>20</v>
      </c>
      <c r="J3148" s="77">
        <v>40</v>
      </c>
      <c r="K3148" s="78">
        <v>2</v>
      </c>
      <c r="L3148" s="54">
        <v>1</v>
      </c>
      <c r="M3148" s="54">
        <f>_xlfn.XLOOKUP(Survey!$F3148,sections[Start],sections[Test Section],,-1,1)</f>
        <v>9</v>
      </c>
      <c r="N3148" s="55">
        <f>_xlfn.XLOOKUP(Survey!$K3148,pipedata[ID],pipedata[WT])</f>
        <v>0.74</v>
      </c>
      <c r="O3148" s="56">
        <f>_xlfn.XLOOKUP(Survey!$K3148,pipedata[ID],pipedata[104%])</f>
        <v>2565.3333333333335</v>
      </c>
      <c r="P3148" s="57">
        <f t="shared" si="49"/>
        <v>1850</v>
      </c>
      <c r="Q3148" s="58">
        <f>_xlfn.MAXIFS(Survey!$G$2:$G$3647,Survey!$M$2:$M$3647,Survey!$M3148)-Survey!$G3148</f>
        <v>46.805091677437076</v>
      </c>
      <c r="R3148" s="59">
        <f>Survey!$P3148+(Survey!$Q3148*0.433)</f>
        <v>1870.2666046963302</v>
      </c>
    </row>
    <row r="3149" spans="1:18" x14ac:dyDescent="0.25">
      <c r="A3149" s="60" t="s">
        <v>17</v>
      </c>
      <c r="B3149" s="61" t="s">
        <v>23</v>
      </c>
      <c r="C3149" s="62" t="s">
        <v>19</v>
      </c>
      <c r="D3149" s="63">
        <v>250.26902768626036</v>
      </c>
      <c r="E3149" s="79">
        <v>1352769</v>
      </c>
      <c r="F3149" s="80">
        <v>1322462.4671532903</v>
      </c>
      <c r="G3149" s="66">
        <v>2009.6098010951057</v>
      </c>
      <c r="H3149" s="67">
        <v>2</v>
      </c>
      <c r="I3149" s="68" t="s">
        <v>20</v>
      </c>
      <c r="J3149" s="69">
        <v>40</v>
      </c>
      <c r="K3149" s="70">
        <v>2</v>
      </c>
      <c r="L3149" s="68">
        <v>1</v>
      </c>
      <c r="M3149" s="68">
        <f>_xlfn.XLOOKUP(Survey!$F3149,sections[Start],sections[Test Section],,-1,1)</f>
        <v>9</v>
      </c>
      <c r="N3149" s="55">
        <f>_xlfn.XLOOKUP(Survey!$K3149,pipedata[ID],pipedata[WT])</f>
        <v>0.74</v>
      </c>
      <c r="O3149" s="56">
        <f>_xlfn.XLOOKUP(Survey!$K3149,pipedata[ID],pipedata[104%])</f>
        <v>2565.3333333333335</v>
      </c>
      <c r="P3149" s="57">
        <f t="shared" si="49"/>
        <v>1850</v>
      </c>
      <c r="Q3149" s="58">
        <f>_xlfn.MAXIFS(Survey!$G$2:$G$3647,Survey!$M$2:$M$3647,Survey!$M3149)-Survey!$G3149</f>
        <v>56.730345210315818</v>
      </c>
      <c r="R3149" s="59">
        <f>Survey!$P3149+(Survey!$Q3149*0.433)</f>
        <v>1874.5642394760669</v>
      </c>
    </row>
    <row r="3150" spans="1:18" x14ac:dyDescent="0.25">
      <c r="A3150" s="71" t="s">
        <v>17</v>
      </c>
      <c r="B3150" s="72" t="s">
        <v>23</v>
      </c>
      <c r="C3150" s="73" t="s">
        <v>19</v>
      </c>
      <c r="D3150" s="74">
        <v>250.27527103174899</v>
      </c>
      <c r="E3150" s="81">
        <v>1352809</v>
      </c>
      <c r="F3150" s="82">
        <v>1322501.1021897867</v>
      </c>
      <c r="G3150" s="75">
        <v>2001.6611244130518</v>
      </c>
      <c r="H3150" s="76">
        <v>2</v>
      </c>
      <c r="I3150" s="54" t="s">
        <v>20</v>
      </c>
      <c r="J3150" s="77">
        <v>40</v>
      </c>
      <c r="K3150" s="78">
        <v>2</v>
      </c>
      <c r="L3150" s="54">
        <v>1</v>
      </c>
      <c r="M3150" s="54">
        <f>_xlfn.XLOOKUP(Survey!$F3150,sections[Start],sections[Test Section],,-1,1)</f>
        <v>9</v>
      </c>
      <c r="N3150" s="55">
        <f>_xlfn.XLOOKUP(Survey!$K3150,pipedata[ID],pipedata[WT])</f>
        <v>0.74</v>
      </c>
      <c r="O3150" s="56">
        <f>_xlfn.XLOOKUP(Survey!$K3150,pipedata[ID],pipedata[104%])</f>
        <v>2565.3333333333335</v>
      </c>
      <c r="P3150" s="57">
        <f t="shared" si="49"/>
        <v>1850</v>
      </c>
      <c r="Q3150" s="58">
        <f>_xlfn.MAXIFS(Survey!$G$2:$G$3647,Survey!$M$2:$M$3647,Survey!$M3150)-Survey!$G3150</f>
        <v>64.679021892369747</v>
      </c>
      <c r="R3150" s="59">
        <f>Survey!$P3150+(Survey!$Q3150*0.433)</f>
        <v>1878.0060164793961</v>
      </c>
    </row>
    <row r="3151" spans="1:18" x14ac:dyDescent="0.25">
      <c r="A3151" s="60" t="s">
        <v>17</v>
      </c>
      <c r="B3151" s="61" t="s">
        <v>23</v>
      </c>
      <c r="C3151" s="62" t="s">
        <v>19</v>
      </c>
      <c r="D3151" s="63">
        <v>250.2835954924</v>
      </c>
      <c r="E3151" s="79">
        <v>1352849</v>
      </c>
      <c r="F3151" s="80">
        <v>1322539.7372262832</v>
      </c>
      <c r="G3151" s="66">
        <v>1997.0250646065224</v>
      </c>
      <c r="H3151" s="67">
        <v>2</v>
      </c>
      <c r="I3151" s="68" t="s">
        <v>20</v>
      </c>
      <c r="J3151" s="69">
        <v>40</v>
      </c>
      <c r="K3151" s="70">
        <v>2</v>
      </c>
      <c r="L3151" s="68">
        <v>1</v>
      </c>
      <c r="M3151" s="68">
        <f>_xlfn.XLOOKUP(Survey!$F3151,sections[Start],sections[Test Section],,-1,1)</f>
        <v>9</v>
      </c>
      <c r="N3151" s="55">
        <f>_xlfn.XLOOKUP(Survey!$K3151,pipedata[ID],pipedata[WT])</f>
        <v>0.74</v>
      </c>
      <c r="O3151" s="56">
        <f>_xlfn.XLOOKUP(Survey!$K3151,pipedata[ID],pipedata[104%])</f>
        <v>2565.3333333333335</v>
      </c>
      <c r="P3151" s="57">
        <f t="shared" si="49"/>
        <v>1850</v>
      </c>
      <c r="Q3151" s="58">
        <f>_xlfn.MAXIFS(Survey!$G$2:$G$3647,Survey!$M$2:$M$3647,Survey!$M3151)-Survey!$G3151</f>
        <v>69.315081698899121</v>
      </c>
      <c r="R3151" s="59">
        <f>Survey!$P3151+(Survey!$Q3151*0.433)</f>
        <v>1880.0134303756233</v>
      </c>
    </row>
    <row r="3152" spans="1:18" x14ac:dyDescent="0.25">
      <c r="A3152" s="71" t="s">
        <v>17</v>
      </c>
      <c r="B3152" s="72" t="s">
        <v>23</v>
      </c>
      <c r="C3152" s="73" t="s">
        <v>19</v>
      </c>
      <c r="D3152" s="74">
        <v>250.29011168500134</v>
      </c>
      <c r="E3152" s="81">
        <v>1352889</v>
      </c>
      <c r="F3152" s="82">
        <v>1322578.3722627796</v>
      </c>
      <c r="G3152" s="75">
        <v>1998.0513685480773</v>
      </c>
      <c r="H3152" s="76">
        <v>2</v>
      </c>
      <c r="I3152" s="54" t="s">
        <v>20</v>
      </c>
      <c r="J3152" s="77">
        <v>40</v>
      </c>
      <c r="K3152" s="78">
        <v>2</v>
      </c>
      <c r="L3152" s="54">
        <v>1</v>
      </c>
      <c r="M3152" s="54">
        <f>_xlfn.XLOOKUP(Survey!$F3152,sections[Start],sections[Test Section],,-1,1)</f>
        <v>9</v>
      </c>
      <c r="N3152" s="55">
        <f>_xlfn.XLOOKUP(Survey!$K3152,pipedata[ID],pipedata[WT])</f>
        <v>0.74</v>
      </c>
      <c r="O3152" s="56">
        <f>_xlfn.XLOOKUP(Survey!$K3152,pipedata[ID],pipedata[104%])</f>
        <v>2565.3333333333335</v>
      </c>
      <c r="P3152" s="57">
        <f t="shared" si="49"/>
        <v>1850</v>
      </c>
      <c r="Q3152" s="58">
        <f>_xlfn.MAXIFS(Survey!$G$2:$G$3647,Survey!$M$2:$M$3647,Survey!$M3152)-Survey!$G3152</f>
        <v>68.288777757344178</v>
      </c>
      <c r="R3152" s="59">
        <f>Survey!$P3152+(Survey!$Q3152*0.433)</f>
        <v>1879.5690407689301</v>
      </c>
    </row>
    <row r="3153" spans="1:18" x14ac:dyDescent="0.25">
      <c r="A3153" s="60" t="s">
        <v>17</v>
      </c>
      <c r="B3153" s="61" t="s">
        <v>23</v>
      </c>
      <c r="C3153" s="62" t="s">
        <v>19</v>
      </c>
      <c r="D3153" s="63">
        <v>250.29816329853924</v>
      </c>
      <c r="E3153" s="79">
        <v>1352929</v>
      </c>
      <c r="F3153" s="80">
        <v>1322617.0072992761</v>
      </c>
      <c r="G3153" s="66">
        <v>1994.8028138477034</v>
      </c>
      <c r="H3153" s="67">
        <v>2</v>
      </c>
      <c r="I3153" s="68" t="s">
        <v>20</v>
      </c>
      <c r="J3153" s="69">
        <v>40</v>
      </c>
      <c r="K3153" s="70">
        <v>2</v>
      </c>
      <c r="L3153" s="68">
        <v>1</v>
      </c>
      <c r="M3153" s="68">
        <f>_xlfn.XLOOKUP(Survey!$F3153,sections[Start],sections[Test Section],,-1,1)</f>
        <v>9</v>
      </c>
      <c r="N3153" s="55">
        <f>_xlfn.XLOOKUP(Survey!$K3153,pipedata[ID],pipedata[WT])</f>
        <v>0.74</v>
      </c>
      <c r="O3153" s="56">
        <f>_xlfn.XLOOKUP(Survey!$K3153,pipedata[ID],pipedata[104%])</f>
        <v>2565.3333333333335</v>
      </c>
      <c r="P3153" s="57">
        <f t="shared" si="49"/>
        <v>1850</v>
      </c>
      <c r="Q3153" s="58">
        <f>_xlfn.MAXIFS(Survey!$G$2:$G$3647,Survey!$M$2:$M$3647,Survey!$M3153)-Survey!$G3153</f>
        <v>71.537332457718094</v>
      </c>
      <c r="R3153" s="59">
        <f>Survey!$P3153+(Survey!$Q3153*0.433)</f>
        <v>1880.9756649541919</v>
      </c>
    </row>
    <row r="3154" spans="1:18" x14ac:dyDescent="0.25">
      <c r="A3154" s="71" t="s">
        <v>17</v>
      </c>
      <c r="B3154" s="72" t="s">
        <v>23</v>
      </c>
      <c r="C3154" s="73" t="s">
        <v>19</v>
      </c>
      <c r="D3154" s="74">
        <v>250.30648775919025</v>
      </c>
      <c r="E3154" s="81">
        <v>1352969</v>
      </c>
      <c r="F3154" s="82">
        <v>1322655.6423357725</v>
      </c>
      <c r="G3154" s="75">
        <v>1991.2212113014768</v>
      </c>
      <c r="H3154" s="76">
        <v>2</v>
      </c>
      <c r="I3154" s="54" t="s">
        <v>20</v>
      </c>
      <c r="J3154" s="77">
        <v>40</v>
      </c>
      <c r="K3154" s="78">
        <v>2</v>
      </c>
      <c r="L3154" s="54">
        <v>1</v>
      </c>
      <c r="M3154" s="54">
        <f>_xlfn.XLOOKUP(Survey!$F3154,sections[Start],sections[Test Section],,-1,1)</f>
        <v>9</v>
      </c>
      <c r="N3154" s="55">
        <f>_xlfn.XLOOKUP(Survey!$K3154,pipedata[ID],pipedata[WT])</f>
        <v>0.74</v>
      </c>
      <c r="O3154" s="56">
        <f>_xlfn.XLOOKUP(Survey!$K3154,pipedata[ID],pipedata[104%])</f>
        <v>2565.3333333333335</v>
      </c>
      <c r="P3154" s="57">
        <f t="shared" si="49"/>
        <v>1850</v>
      </c>
      <c r="Q3154" s="58">
        <f>_xlfn.MAXIFS(Survey!$G$2:$G$3647,Survey!$M$2:$M$3647,Survey!$M3154)-Survey!$G3154</f>
        <v>75.118935003944671</v>
      </c>
      <c r="R3154" s="59">
        <f>Survey!$P3154+(Survey!$Q3154*0.433)</f>
        <v>1882.526498856708</v>
      </c>
    </row>
    <row r="3155" spans="1:18" x14ac:dyDescent="0.25">
      <c r="A3155" s="60" t="s">
        <v>17</v>
      </c>
      <c r="B3155" s="61" t="s">
        <v>23</v>
      </c>
      <c r="C3155" s="62" t="s">
        <v>19</v>
      </c>
      <c r="D3155" s="63">
        <v>250.31292390082433</v>
      </c>
      <c r="E3155" s="79">
        <v>1353009</v>
      </c>
      <c r="F3155" s="80">
        <v>1322694.277372269</v>
      </c>
      <c r="G3155" s="66">
        <v>1986.4952703046076</v>
      </c>
      <c r="H3155" s="67">
        <v>2</v>
      </c>
      <c r="I3155" s="68" t="s">
        <v>20</v>
      </c>
      <c r="J3155" s="69">
        <v>40</v>
      </c>
      <c r="K3155" s="70">
        <v>2</v>
      </c>
      <c r="L3155" s="68">
        <v>1</v>
      </c>
      <c r="M3155" s="68">
        <f>_xlfn.XLOOKUP(Survey!$F3155,sections[Start],sections[Test Section],,-1,1)</f>
        <v>9</v>
      </c>
      <c r="N3155" s="55">
        <f>_xlfn.XLOOKUP(Survey!$K3155,pipedata[ID],pipedata[WT])</f>
        <v>0.74</v>
      </c>
      <c r="O3155" s="56">
        <f>_xlfn.XLOOKUP(Survey!$K3155,pipedata[ID],pipedata[104%])</f>
        <v>2565.3333333333335</v>
      </c>
      <c r="P3155" s="57">
        <f t="shared" si="49"/>
        <v>1850</v>
      </c>
      <c r="Q3155" s="58">
        <f>_xlfn.MAXIFS(Survey!$G$2:$G$3647,Survey!$M$2:$M$3647,Survey!$M3155)-Survey!$G3155</f>
        <v>79.844876000813883</v>
      </c>
      <c r="R3155" s="59">
        <f>Survey!$P3155+(Survey!$Q3155*0.433)</f>
        <v>1884.5728313083523</v>
      </c>
    </row>
    <row r="3156" spans="1:18" x14ac:dyDescent="0.25">
      <c r="A3156" s="71" t="s">
        <v>17</v>
      </c>
      <c r="B3156" s="72" t="s">
        <v>23</v>
      </c>
      <c r="C3156" s="73" t="s">
        <v>19</v>
      </c>
      <c r="D3156" s="74">
        <v>250.32105556532946</v>
      </c>
      <c r="E3156" s="81">
        <v>1353049</v>
      </c>
      <c r="F3156" s="82">
        <v>1322732.9124087654</v>
      </c>
      <c r="G3156" s="75">
        <v>1983.3106668663856</v>
      </c>
      <c r="H3156" s="76">
        <v>2</v>
      </c>
      <c r="I3156" s="54" t="s">
        <v>20</v>
      </c>
      <c r="J3156" s="77">
        <v>40</v>
      </c>
      <c r="K3156" s="78">
        <v>2</v>
      </c>
      <c r="L3156" s="54">
        <v>1</v>
      </c>
      <c r="M3156" s="54">
        <f>_xlfn.XLOOKUP(Survey!$F3156,sections[Start],sections[Test Section],,-1,1)</f>
        <v>9</v>
      </c>
      <c r="N3156" s="55">
        <f>_xlfn.XLOOKUP(Survey!$K3156,pipedata[ID],pipedata[WT])</f>
        <v>0.74</v>
      </c>
      <c r="O3156" s="56">
        <f>_xlfn.XLOOKUP(Survey!$K3156,pipedata[ID],pipedata[104%])</f>
        <v>2565.3333333333335</v>
      </c>
      <c r="P3156" s="57">
        <f t="shared" si="49"/>
        <v>1850</v>
      </c>
      <c r="Q3156" s="58">
        <f>_xlfn.MAXIFS(Survey!$G$2:$G$3647,Survey!$M$2:$M$3647,Survey!$M3156)-Survey!$G3156</f>
        <v>83.029479439035867</v>
      </c>
      <c r="R3156" s="59">
        <f>Survey!$P3156+(Survey!$Q3156*0.433)</f>
        <v>1885.9517645971025</v>
      </c>
    </row>
    <row r="3157" spans="1:18" x14ac:dyDescent="0.25">
      <c r="A3157" s="60" t="s">
        <v>17</v>
      </c>
      <c r="B3157" s="61" t="s">
        <v>23</v>
      </c>
      <c r="C3157" s="62" t="s">
        <v>19</v>
      </c>
      <c r="D3157" s="63">
        <v>250.32813204470634</v>
      </c>
      <c r="E3157" s="79">
        <v>1353089</v>
      </c>
      <c r="F3157" s="80">
        <v>1322771.5474452619</v>
      </c>
      <c r="G3157" s="66">
        <v>1980.8933213685336</v>
      </c>
      <c r="H3157" s="67">
        <v>2</v>
      </c>
      <c r="I3157" s="68" t="s">
        <v>20</v>
      </c>
      <c r="J3157" s="69">
        <v>40</v>
      </c>
      <c r="K3157" s="70">
        <v>2</v>
      </c>
      <c r="L3157" s="68">
        <v>1</v>
      </c>
      <c r="M3157" s="68">
        <f>_xlfn.XLOOKUP(Survey!$F3157,sections[Start],sections[Test Section],,-1,1)</f>
        <v>9</v>
      </c>
      <c r="N3157" s="55">
        <f>_xlfn.XLOOKUP(Survey!$K3157,pipedata[ID],pipedata[WT])</f>
        <v>0.74</v>
      </c>
      <c r="O3157" s="56">
        <f>_xlfn.XLOOKUP(Survey!$K3157,pipedata[ID],pipedata[104%])</f>
        <v>2565.3333333333335</v>
      </c>
      <c r="P3157" s="57">
        <f t="shared" si="49"/>
        <v>1850</v>
      </c>
      <c r="Q3157" s="58">
        <f>_xlfn.MAXIFS(Survey!$G$2:$G$3647,Survey!$M$2:$M$3647,Survey!$M3157)-Survey!$G3157</f>
        <v>85.446824936887879</v>
      </c>
      <c r="R3157" s="59">
        <f>Survey!$P3157+(Survey!$Q3157*0.433)</f>
        <v>1886.9984751976724</v>
      </c>
    </row>
    <row r="3158" spans="1:18" x14ac:dyDescent="0.25">
      <c r="A3158" s="71" t="s">
        <v>17</v>
      </c>
      <c r="B3158" s="72" t="s">
        <v>23</v>
      </c>
      <c r="C3158" s="73" t="s">
        <v>19</v>
      </c>
      <c r="D3158" s="74">
        <v>250.33573611664733</v>
      </c>
      <c r="E3158" s="81">
        <v>1353129</v>
      </c>
      <c r="F3158" s="82">
        <v>1322810.1824817583</v>
      </c>
      <c r="G3158" s="75">
        <v>1981.5399060940183</v>
      </c>
      <c r="H3158" s="76">
        <v>2</v>
      </c>
      <c r="I3158" s="54" t="s">
        <v>20</v>
      </c>
      <c r="J3158" s="77">
        <v>40</v>
      </c>
      <c r="K3158" s="78">
        <v>2</v>
      </c>
      <c r="L3158" s="54">
        <v>1</v>
      </c>
      <c r="M3158" s="54">
        <f>_xlfn.XLOOKUP(Survey!$F3158,sections[Start],sections[Test Section],,-1,1)</f>
        <v>9</v>
      </c>
      <c r="N3158" s="55">
        <f>_xlfn.XLOOKUP(Survey!$K3158,pipedata[ID],pipedata[WT])</f>
        <v>0.74</v>
      </c>
      <c r="O3158" s="56">
        <f>_xlfn.XLOOKUP(Survey!$K3158,pipedata[ID],pipedata[104%])</f>
        <v>2565.3333333333335</v>
      </c>
      <c r="P3158" s="57">
        <f t="shared" si="49"/>
        <v>1850</v>
      </c>
      <c r="Q3158" s="58">
        <f>_xlfn.MAXIFS(Survey!$G$2:$G$3647,Survey!$M$2:$M$3647,Survey!$M3158)-Survey!$G3158</f>
        <v>84.800240211403207</v>
      </c>
      <c r="R3158" s="59">
        <f>Survey!$P3158+(Survey!$Q3158*0.433)</f>
        <v>1886.7185040115376</v>
      </c>
    </row>
    <row r="3159" spans="1:18" x14ac:dyDescent="0.25">
      <c r="A3159" s="60" t="s">
        <v>17</v>
      </c>
      <c r="B3159" s="61" t="s">
        <v>23</v>
      </c>
      <c r="C3159" s="62" t="s">
        <v>19</v>
      </c>
      <c r="D3159" s="63">
        <v>250.34394783212002</v>
      </c>
      <c r="E3159" s="79">
        <v>1353169</v>
      </c>
      <c r="F3159" s="80">
        <v>1322848.8175182547</v>
      </c>
      <c r="G3159" s="66">
        <v>1985.2465632224068</v>
      </c>
      <c r="H3159" s="67">
        <v>2</v>
      </c>
      <c r="I3159" s="68" t="s">
        <v>20</v>
      </c>
      <c r="J3159" s="69">
        <v>40</v>
      </c>
      <c r="K3159" s="70">
        <v>2</v>
      </c>
      <c r="L3159" s="68">
        <v>1</v>
      </c>
      <c r="M3159" s="68">
        <f>_xlfn.XLOOKUP(Survey!$F3159,sections[Start],sections[Test Section],,-1,1)</f>
        <v>9</v>
      </c>
      <c r="N3159" s="55">
        <f>_xlfn.XLOOKUP(Survey!$K3159,pipedata[ID],pipedata[WT])</f>
        <v>0.74</v>
      </c>
      <c r="O3159" s="56">
        <f>_xlfn.XLOOKUP(Survey!$K3159,pipedata[ID],pipedata[104%])</f>
        <v>2565.3333333333335</v>
      </c>
      <c r="P3159" s="57">
        <f t="shared" si="49"/>
        <v>1850</v>
      </c>
      <c r="Q3159" s="58">
        <f>_xlfn.MAXIFS(Survey!$G$2:$G$3647,Survey!$M$2:$M$3647,Survey!$M3159)-Survey!$G3159</f>
        <v>81.093583083014664</v>
      </c>
      <c r="R3159" s="59">
        <f>Survey!$P3159+(Survey!$Q3159*0.433)</f>
        <v>1885.1135214749454</v>
      </c>
    </row>
    <row r="3160" spans="1:18" x14ac:dyDescent="0.25">
      <c r="A3160" s="71" t="s">
        <v>17</v>
      </c>
      <c r="B3160" s="72" t="s">
        <v>23</v>
      </c>
      <c r="C3160" s="73" t="s">
        <v>19</v>
      </c>
      <c r="D3160" s="74">
        <v>250.35094426052925</v>
      </c>
      <c r="E3160" s="81">
        <v>1353209</v>
      </c>
      <c r="F3160" s="82">
        <v>1322887.4525547512</v>
      </c>
      <c r="G3160" s="75">
        <v>1991.1605606241051</v>
      </c>
      <c r="H3160" s="76">
        <v>2</v>
      </c>
      <c r="I3160" s="54" t="s">
        <v>20</v>
      </c>
      <c r="J3160" s="77">
        <v>40</v>
      </c>
      <c r="K3160" s="78">
        <v>2</v>
      </c>
      <c r="L3160" s="54">
        <v>1</v>
      </c>
      <c r="M3160" s="54">
        <f>_xlfn.XLOOKUP(Survey!$F3160,sections[Start],sections[Test Section],,-1,1)</f>
        <v>9</v>
      </c>
      <c r="N3160" s="55">
        <f>_xlfn.XLOOKUP(Survey!$K3160,pipedata[ID],pipedata[WT])</f>
        <v>0.74</v>
      </c>
      <c r="O3160" s="56">
        <f>_xlfn.XLOOKUP(Survey!$K3160,pipedata[ID],pipedata[104%])</f>
        <v>2565.3333333333335</v>
      </c>
      <c r="P3160" s="57">
        <f t="shared" si="49"/>
        <v>1850</v>
      </c>
      <c r="Q3160" s="58">
        <f>_xlfn.MAXIFS(Survey!$G$2:$G$3647,Survey!$M$2:$M$3647,Survey!$M3160)-Survey!$G3160</f>
        <v>75.179585681316439</v>
      </c>
      <c r="R3160" s="59">
        <f>Survey!$P3160+(Survey!$Q3160*0.433)</f>
        <v>1882.5527606000101</v>
      </c>
    </row>
    <row r="3161" spans="1:18" x14ac:dyDescent="0.25">
      <c r="A3161" s="60" t="s">
        <v>17</v>
      </c>
      <c r="B3161" s="61" t="s">
        <v>23</v>
      </c>
      <c r="C3161" s="62" t="s">
        <v>19</v>
      </c>
      <c r="D3161" s="63">
        <v>250.35889343661881</v>
      </c>
      <c r="E3161" s="79">
        <v>1353249</v>
      </c>
      <c r="F3161" s="80">
        <v>1322926.0875912476</v>
      </c>
      <c r="G3161" s="66">
        <v>2000.1572485716997</v>
      </c>
      <c r="H3161" s="67">
        <v>2</v>
      </c>
      <c r="I3161" s="68" t="s">
        <v>20</v>
      </c>
      <c r="J3161" s="69">
        <v>40</v>
      </c>
      <c r="K3161" s="70">
        <v>2</v>
      </c>
      <c r="L3161" s="68">
        <v>1</v>
      </c>
      <c r="M3161" s="68">
        <f>_xlfn.XLOOKUP(Survey!$F3161,sections[Start],sections[Test Section],,-1,1)</f>
        <v>9</v>
      </c>
      <c r="N3161" s="55">
        <f>_xlfn.XLOOKUP(Survey!$K3161,pipedata[ID],pipedata[WT])</f>
        <v>0.74</v>
      </c>
      <c r="O3161" s="56">
        <f>_xlfn.XLOOKUP(Survey!$K3161,pipedata[ID],pipedata[104%])</f>
        <v>2565.3333333333335</v>
      </c>
      <c r="P3161" s="57">
        <f t="shared" si="49"/>
        <v>1850</v>
      </c>
      <c r="Q3161" s="58">
        <f>_xlfn.MAXIFS(Survey!$G$2:$G$3647,Survey!$M$2:$M$3647,Survey!$M3161)-Survey!$G3161</f>
        <v>66.182897733721802</v>
      </c>
      <c r="R3161" s="59">
        <f>Survey!$P3161+(Survey!$Q3161*0.433)</f>
        <v>1878.6571947187015</v>
      </c>
    </row>
    <row r="3162" spans="1:18" x14ac:dyDescent="0.25">
      <c r="A3162" s="71" t="s">
        <v>17</v>
      </c>
      <c r="B3162" s="72" t="s">
        <v>23</v>
      </c>
      <c r="C3162" s="73" t="s">
        <v>19</v>
      </c>
      <c r="D3162" s="74">
        <v>250.36615004400855</v>
      </c>
      <c r="E3162" s="81">
        <v>1353289</v>
      </c>
      <c r="F3162" s="82">
        <v>1322964.7226277441</v>
      </c>
      <c r="G3162" s="75">
        <v>2006.2682242521303</v>
      </c>
      <c r="H3162" s="76">
        <v>2</v>
      </c>
      <c r="I3162" s="54" t="s">
        <v>20</v>
      </c>
      <c r="J3162" s="77">
        <v>40</v>
      </c>
      <c r="K3162" s="78">
        <v>2</v>
      </c>
      <c r="L3162" s="54">
        <v>1</v>
      </c>
      <c r="M3162" s="54">
        <f>_xlfn.XLOOKUP(Survey!$F3162,sections[Start],sections[Test Section],,-1,1)</f>
        <v>9</v>
      </c>
      <c r="N3162" s="55">
        <f>_xlfn.XLOOKUP(Survey!$K3162,pipedata[ID],pipedata[WT])</f>
        <v>0.74</v>
      </c>
      <c r="O3162" s="56">
        <f>_xlfn.XLOOKUP(Survey!$K3162,pipedata[ID],pipedata[104%])</f>
        <v>2565.3333333333335</v>
      </c>
      <c r="P3162" s="57">
        <f t="shared" si="49"/>
        <v>1850</v>
      </c>
      <c r="Q3162" s="58">
        <f>_xlfn.MAXIFS(Survey!$G$2:$G$3647,Survey!$M$2:$M$3647,Survey!$M3162)-Survey!$G3162</f>
        <v>60.071922053291246</v>
      </c>
      <c r="R3162" s="59">
        <f>Survey!$P3162+(Survey!$Q3162*0.433)</f>
        <v>1876.0111422490752</v>
      </c>
    </row>
    <row r="3163" spans="1:18" x14ac:dyDescent="0.25">
      <c r="A3163" s="60" t="s">
        <v>17</v>
      </c>
      <c r="B3163" s="61" t="s">
        <v>23</v>
      </c>
      <c r="C3163" s="62" t="s">
        <v>19</v>
      </c>
      <c r="D3163" s="63">
        <v>250.37372512575442</v>
      </c>
      <c r="E3163" s="79">
        <v>1353329</v>
      </c>
      <c r="F3163" s="80">
        <v>1323003.3576642405</v>
      </c>
      <c r="G3163" s="66">
        <v>2011.6887295503193</v>
      </c>
      <c r="H3163" s="67">
        <v>2</v>
      </c>
      <c r="I3163" s="68" t="s">
        <v>20</v>
      </c>
      <c r="J3163" s="69">
        <v>40</v>
      </c>
      <c r="K3163" s="70">
        <v>2</v>
      </c>
      <c r="L3163" s="68">
        <v>1</v>
      </c>
      <c r="M3163" s="68">
        <f>_xlfn.XLOOKUP(Survey!$F3163,sections[Start],sections[Test Section],,-1,1)</f>
        <v>9</v>
      </c>
      <c r="N3163" s="55">
        <f>_xlfn.XLOOKUP(Survey!$K3163,pipedata[ID],pipedata[WT])</f>
        <v>0.74</v>
      </c>
      <c r="O3163" s="56">
        <f>_xlfn.XLOOKUP(Survey!$K3163,pipedata[ID],pipedata[104%])</f>
        <v>2565.3333333333335</v>
      </c>
      <c r="P3163" s="57">
        <f t="shared" si="49"/>
        <v>1850</v>
      </c>
      <c r="Q3163" s="58">
        <f>_xlfn.MAXIFS(Survey!$G$2:$G$3647,Survey!$M$2:$M$3647,Survey!$M3163)-Survey!$G3163</f>
        <v>54.651416755102218</v>
      </c>
      <c r="R3163" s="59">
        <f>Survey!$P3163+(Survey!$Q3163*0.433)</f>
        <v>1873.6640634549592</v>
      </c>
    </row>
    <row r="3164" spans="1:18" x14ac:dyDescent="0.25">
      <c r="A3164" s="71" t="s">
        <v>17</v>
      </c>
      <c r="B3164" s="72" t="s">
        <v>23</v>
      </c>
      <c r="C3164" s="73" t="s">
        <v>19</v>
      </c>
      <c r="D3164" s="74">
        <v>250.38125872044083</v>
      </c>
      <c r="E3164" s="81">
        <v>1353369</v>
      </c>
      <c r="F3164" s="82">
        <v>1323041.992700737</v>
      </c>
      <c r="G3164" s="75">
        <v>2020.8357955767551</v>
      </c>
      <c r="H3164" s="76">
        <v>2</v>
      </c>
      <c r="I3164" s="54" t="s">
        <v>20</v>
      </c>
      <c r="J3164" s="77">
        <v>40</v>
      </c>
      <c r="K3164" s="78">
        <v>2</v>
      </c>
      <c r="L3164" s="54">
        <v>1</v>
      </c>
      <c r="M3164" s="54">
        <f>_xlfn.XLOOKUP(Survey!$F3164,sections[Start],sections[Test Section],,-1,1)</f>
        <v>9</v>
      </c>
      <c r="N3164" s="55">
        <f>_xlfn.XLOOKUP(Survey!$K3164,pipedata[ID],pipedata[WT])</f>
        <v>0.74</v>
      </c>
      <c r="O3164" s="56">
        <f>_xlfn.XLOOKUP(Survey!$K3164,pipedata[ID],pipedata[104%])</f>
        <v>2565.3333333333335</v>
      </c>
      <c r="P3164" s="57">
        <f t="shared" si="49"/>
        <v>1850</v>
      </c>
      <c r="Q3164" s="58">
        <f>_xlfn.MAXIFS(Survey!$G$2:$G$3647,Survey!$M$2:$M$3647,Survey!$M3164)-Survey!$G3164</f>
        <v>45.504350728666395</v>
      </c>
      <c r="R3164" s="59">
        <f>Survey!$P3164+(Survey!$Q3164*0.433)</f>
        <v>1869.7033838655125</v>
      </c>
    </row>
    <row r="3165" spans="1:18" x14ac:dyDescent="0.25">
      <c r="A3165" s="60" t="s">
        <v>17</v>
      </c>
      <c r="B3165" s="61" t="s">
        <v>23</v>
      </c>
      <c r="C3165" s="62" t="s">
        <v>19</v>
      </c>
      <c r="D3165" s="63">
        <v>250.38885674731137</v>
      </c>
      <c r="E3165" s="79">
        <v>1353409</v>
      </c>
      <c r="F3165" s="80">
        <v>1323080.6277372334</v>
      </c>
      <c r="G3165" s="66">
        <v>2031.7325990188972</v>
      </c>
      <c r="H3165" s="67">
        <v>2</v>
      </c>
      <c r="I3165" s="68" t="s">
        <v>20</v>
      </c>
      <c r="J3165" s="69">
        <v>40</v>
      </c>
      <c r="K3165" s="70">
        <v>2</v>
      </c>
      <c r="L3165" s="68">
        <v>1</v>
      </c>
      <c r="M3165" s="68">
        <f>_xlfn.XLOOKUP(Survey!$F3165,sections[Start],sections[Test Section],,-1,1)</f>
        <v>9</v>
      </c>
      <c r="N3165" s="55">
        <f>_xlfn.XLOOKUP(Survey!$K3165,pipedata[ID],pipedata[WT])</f>
        <v>0.74</v>
      </c>
      <c r="O3165" s="56">
        <f>_xlfn.XLOOKUP(Survey!$K3165,pipedata[ID],pipedata[104%])</f>
        <v>2565.3333333333335</v>
      </c>
      <c r="P3165" s="57">
        <f t="shared" si="49"/>
        <v>1850</v>
      </c>
      <c r="Q3165" s="58">
        <f>_xlfn.MAXIFS(Survey!$G$2:$G$3647,Survey!$M$2:$M$3647,Survey!$M3165)-Survey!$G3165</f>
        <v>34.607547286524323</v>
      </c>
      <c r="R3165" s="59">
        <f>Survey!$P3165+(Survey!$Q3165*0.433)</f>
        <v>1864.985067975065</v>
      </c>
    </row>
    <row r="3166" spans="1:18" x14ac:dyDescent="0.25">
      <c r="A3166" s="71" t="s">
        <v>17</v>
      </c>
      <c r="B3166" s="72" t="s">
        <v>23</v>
      </c>
      <c r="C3166" s="73" t="s">
        <v>19</v>
      </c>
      <c r="D3166" s="74">
        <v>250.39507392281877</v>
      </c>
      <c r="E3166" s="81">
        <v>1353449</v>
      </c>
      <c r="F3166" s="82">
        <v>1323119.2627737299</v>
      </c>
      <c r="G3166" s="75">
        <v>2033.2005303403791</v>
      </c>
      <c r="H3166" s="76">
        <v>2</v>
      </c>
      <c r="I3166" s="54" t="s">
        <v>20</v>
      </c>
      <c r="J3166" s="77">
        <v>40</v>
      </c>
      <c r="K3166" s="78">
        <v>2</v>
      </c>
      <c r="L3166" s="54">
        <v>1</v>
      </c>
      <c r="M3166" s="54">
        <f>_xlfn.XLOOKUP(Survey!$F3166,sections[Start],sections[Test Section],,-1,1)</f>
        <v>9</v>
      </c>
      <c r="N3166" s="55">
        <f>_xlfn.XLOOKUP(Survey!$K3166,pipedata[ID],pipedata[WT])</f>
        <v>0.74</v>
      </c>
      <c r="O3166" s="56">
        <f>_xlfn.XLOOKUP(Survey!$K3166,pipedata[ID],pipedata[104%])</f>
        <v>2565.3333333333335</v>
      </c>
      <c r="P3166" s="57">
        <f t="shared" si="49"/>
        <v>1850</v>
      </c>
      <c r="Q3166" s="58">
        <f>_xlfn.MAXIFS(Survey!$G$2:$G$3647,Survey!$M$2:$M$3647,Survey!$M3166)-Survey!$G3166</f>
        <v>33.139615965042367</v>
      </c>
      <c r="R3166" s="59">
        <f>Survey!$P3166+(Survey!$Q3166*0.433)</f>
        <v>1864.3494537128634</v>
      </c>
    </row>
    <row r="3167" spans="1:18" x14ac:dyDescent="0.25">
      <c r="A3167" s="60" t="s">
        <v>17</v>
      </c>
      <c r="B3167" s="61" t="s">
        <v>23</v>
      </c>
      <c r="C3167" s="62" t="s">
        <v>19</v>
      </c>
      <c r="D3167" s="63">
        <v>250.40281582780113</v>
      </c>
      <c r="E3167" s="79">
        <v>1353489</v>
      </c>
      <c r="F3167" s="80">
        <v>1323157.8978102263</v>
      </c>
      <c r="G3167" s="66">
        <v>2033.1847327734902</v>
      </c>
      <c r="H3167" s="67">
        <v>2</v>
      </c>
      <c r="I3167" s="68" t="s">
        <v>20</v>
      </c>
      <c r="J3167" s="69">
        <v>40</v>
      </c>
      <c r="K3167" s="70">
        <v>2</v>
      </c>
      <c r="L3167" s="68">
        <v>1</v>
      </c>
      <c r="M3167" s="68">
        <f>_xlfn.XLOOKUP(Survey!$F3167,sections[Start],sections[Test Section],,-1,1)</f>
        <v>9</v>
      </c>
      <c r="N3167" s="55">
        <f>_xlfn.XLOOKUP(Survey!$K3167,pipedata[ID],pipedata[WT])</f>
        <v>0.74</v>
      </c>
      <c r="O3167" s="56">
        <f>_xlfn.XLOOKUP(Survey!$K3167,pipedata[ID],pipedata[104%])</f>
        <v>2565.3333333333335</v>
      </c>
      <c r="P3167" s="57">
        <f t="shared" si="49"/>
        <v>1850</v>
      </c>
      <c r="Q3167" s="58">
        <f>_xlfn.MAXIFS(Survey!$G$2:$G$3647,Survey!$M$2:$M$3647,Survey!$M3167)-Survey!$G3167</f>
        <v>33.155413531931345</v>
      </c>
      <c r="R3167" s="59">
        <f>Survey!$P3167+(Survey!$Q3167*0.433)</f>
        <v>1864.3562940593263</v>
      </c>
    </row>
    <row r="3168" spans="1:18" x14ac:dyDescent="0.25">
      <c r="A3168" s="71" t="s">
        <v>17</v>
      </c>
      <c r="B3168" s="72" t="s">
        <v>23</v>
      </c>
      <c r="C3168" s="73" t="s">
        <v>19</v>
      </c>
      <c r="D3168" s="74">
        <v>250.41098205677739</v>
      </c>
      <c r="E3168" s="81">
        <v>1353529</v>
      </c>
      <c r="F3168" s="82">
        <v>1323196.5328467228</v>
      </c>
      <c r="G3168" s="75">
        <v>2034.3426142408662</v>
      </c>
      <c r="H3168" s="76">
        <v>2</v>
      </c>
      <c r="I3168" s="54" t="s">
        <v>20</v>
      </c>
      <c r="J3168" s="77">
        <v>40</v>
      </c>
      <c r="K3168" s="78">
        <v>2</v>
      </c>
      <c r="L3168" s="54">
        <v>1</v>
      </c>
      <c r="M3168" s="54">
        <f>_xlfn.XLOOKUP(Survey!$F3168,sections[Start],sections[Test Section],,-1,1)</f>
        <v>9</v>
      </c>
      <c r="N3168" s="55">
        <f>_xlfn.XLOOKUP(Survey!$K3168,pipedata[ID],pipedata[WT])</f>
        <v>0.74</v>
      </c>
      <c r="O3168" s="56">
        <f>_xlfn.XLOOKUP(Survey!$K3168,pipedata[ID],pipedata[104%])</f>
        <v>2565.3333333333335</v>
      </c>
      <c r="P3168" s="57">
        <f t="shared" si="49"/>
        <v>1850</v>
      </c>
      <c r="Q3168" s="58">
        <f>_xlfn.MAXIFS(Survey!$G$2:$G$3647,Survey!$M$2:$M$3647,Survey!$M3168)-Survey!$G3168</f>
        <v>31.997532064555344</v>
      </c>
      <c r="R3168" s="59">
        <f>Survey!$P3168+(Survey!$Q3168*0.433)</f>
        <v>1863.8549313839524</v>
      </c>
    </row>
    <row r="3169" spans="1:18" x14ac:dyDescent="0.25">
      <c r="A3169" s="60" t="s">
        <v>17</v>
      </c>
      <c r="B3169" s="61" t="s">
        <v>23</v>
      </c>
      <c r="C3169" s="62" t="s">
        <v>19</v>
      </c>
      <c r="D3169" s="63">
        <v>250.4189894206404</v>
      </c>
      <c r="E3169" s="79">
        <v>1353569</v>
      </c>
      <c r="F3169" s="80">
        <v>1323235.1678832192</v>
      </c>
      <c r="G3169" s="66">
        <v>2034.4177789548467</v>
      </c>
      <c r="H3169" s="67">
        <v>2</v>
      </c>
      <c r="I3169" s="68" t="s">
        <v>20</v>
      </c>
      <c r="J3169" s="69">
        <v>40</v>
      </c>
      <c r="K3169" s="70">
        <v>2</v>
      </c>
      <c r="L3169" s="68">
        <v>1</v>
      </c>
      <c r="M3169" s="68">
        <f>_xlfn.XLOOKUP(Survey!$F3169,sections[Start],sections[Test Section],,-1,1)</f>
        <v>9</v>
      </c>
      <c r="N3169" s="55">
        <f>_xlfn.XLOOKUP(Survey!$K3169,pipedata[ID],pipedata[WT])</f>
        <v>0.74</v>
      </c>
      <c r="O3169" s="56">
        <f>_xlfn.XLOOKUP(Survey!$K3169,pipedata[ID],pipedata[104%])</f>
        <v>2565.3333333333335</v>
      </c>
      <c r="P3169" s="57">
        <f t="shared" si="49"/>
        <v>1850</v>
      </c>
      <c r="Q3169" s="58">
        <f>_xlfn.MAXIFS(Survey!$G$2:$G$3647,Survey!$M$2:$M$3647,Survey!$M3169)-Survey!$G3169</f>
        <v>31.922367350574859</v>
      </c>
      <c r="R3169" s="59">
        <f>Survey!$P3169+(Survey!$Q3169*0.433)</f>
        <v>1863.822385062799</v>
      </c>
    </row>
    <row r="3170" spans="1:18" x14ac:dyDescent="0.25">
      <c r="A3170" s="71" t="s">
        <v>17</v>
      </c>
      <c r="B3170" s="72" t="s">
        <v>23</v>
      </c>
      <c r="C3170" s="73" t="s">
        <v>19</v>
      </c>
      <c r="D3170" s="74">
        <v>250.42582242001791</v>
      </c>
      <c r="E3170" s="81">
        <v>1353609</v>
      </c>
      <c r="F3170" s="82">
        <v>1323273.8029197156</v>
      </c>
      <c r="G3170" s="75">
        <v>2035.0830378332307</v>
      </c>
      <c r="H3170" s="76">
        <v>2</v>
      </c>
      <c r="I3170" s="54" t="s">
        <v>20</v>
      </c>
      <c r="J3170" s="77">
        <v>40</v>
      </c>
      <c r="K3170" s="78">
        <v>2</v>
      </c>
      <c r="L3170" s="54">
        <v>1</v>
      </c>
      <c r="M3170" s="54">
        <f>_xlfn.XLOOKUP(Survey!$F3170,sections[Start],sections[Test Section],,-1,1)</f>
        <v>9</v>
      </c>
      <c r="N3170" s="55">
        <f>_xlfn.XLOOKUP(Survey!$K3170,pipedata[ID],pipedata[WT])</f>
        <v>0.74</v>
      </c>
      <c r="O3170" s="56">
        <f>_xlfn.XLOOKUP(Survey!$K3170,pipedata[ID],pipedata[104%])</f>
        <v>2565.3333333333335</v>
      </c>
      <c r="P3170" s="57">
        <f t="shared" si="49"/>
        <v>1850</v>
      </c>
      <c r="Q3170" s="58">
        <f>_xlfn.MAXIFS(Survey!$G$2:$G$3647,Survey!$M$2:$M$3647,Survey!$M3170)-Survey!$G3170</f>
        <v>31.257108472190794</v>
      </c>
      <c r="R3170" s="59">
        <f>Survey!$P3170+(Survey!$Q3170*0.433)</f>
        <v>1863.5343279684587</v>
      </c>
    </row>
    <row r="3171" spans="1:18" x14ac:dyDescent="0.25">
      <c r="A3171" s="60" t="s">
        <v>17</v>
      </c>
      <c r="B3171" s="61" t="s">
        <v>23</v>
      </c>
      <c r="C3171" s="62" t="s">
        <v>19</v>
      </c>
      <c r="D3171" s="63">
        <v>250.4339763389201</v>
      </c>
      <c r="E3171" s="79">
        <v>1353649</v>
      </c>
      <c r="F3171" s="80">
        <v>1323312.4379562121</v>
      </c>
      <c r="G3171" s="66">
        <v>2036.6290099988989</v>
      </c>
      <c r="H3171" s="67">
        <v>2</v>
      </c>
      <c r="I3171" s="68" t="s">
        <v>20</v>
      </c>
      <c r="J3171" s="69">
        <v>40</v>
      </c>
      <c r="K3171" s="70">
        <v>2</v>
      </c>
      <c r="L3171" s="68">
        <v>1</v>
      </c>
      <c r="M3171" s="68">
        <f>_xlfn.XLOOKUP(Survey!$F3171,sections[Start],sections[Test Section],,-1,1)</f>
        <v>9</v>
      </c>
      <c r="N3171" s="55">
        <f>_xlfn.XLOOKUP(Survey!$K3171,pipedata[ID],pipedata[WT])</f>
        <v>0.74</v>
      </c>
      <c r="O3171" s="56">
        <f>_xlfn.XLOOKUP(Survey!$K3171,pipedata[ID],pipedata[104%])</f>
        <v>2565.3333333333335</v>
      </c>
      <c r="P3171" s="57">
        <f t="shared" si="49"/>
        <v>1850</v>
      </c>
      <c r="Q3171" s="58">
        <f>_xlfn.MAXIFS(Survey!$G$2:$G$3647,Survey!$M$2:$M$3647,Survey!$M3171)-Survey!$G3171</f>
        <v>29.711136306522576</v>
      </c>
      <c r="R3171" s="59">
        <f>Survey!$P3171+(Survey!$Q3171*0.433)</f>
        <v>1862.8649220207242</v>
      </c>
    </row>
    <row r="3172" spans="1:18" x14ac:dyDescent="0.25">
      <c r="A3172" s="71" t="s">
        <v>17</v>
      </c>
      <c r="B3172" s="72" t="s">
        <v>23</v>
      </c>
      <c r="C3172" s="73" t="s">
        <v>19</v>
      </c>
      <c r="D3172" s="74">
        <v>250.4411848498529</v>
      </c>
      <c r="E3172" s="81">
        <v>1353689</v>
      </c>
      <c r="F3172" s="82">
        <v>1323351.0729927085</v>
      </c>
      <c r="G3172" s="75">
        <v>2038.0265073458963</v>
      </c>
      <c r="H3172" s="76">
        <v>2</v>
      </c>
      <c r="I3172" s="54" t="s">
        <v>20</v>
      </c>
      <c r="J3172" s="77">
        <v>40</v>
      </c>
      <c r="K3172" s="78">
        <v>2</v>
      </c>
      <c r="L3172" s="54">
        <v>1</v>
      </c>
      <c r="M3172" s="54">
        <f>_xlfn.XLOOKUP(Survey!$F3172,sections[Start],sections[Test Section],,-1,1)</f>
        <v>9</v>
      </c>
      <c r="N3172" s="55">
        <f>_xlfn.XLOOKUP(Survey!$K3172,pipedata[ID],pipedata[WT])</f>
        <v>0.74</v>
      </c>
      <c r="O3172" s="56">
        <f>_xlfn.XLOOKUP(Survey!$K3172,pipedata[ID],pipedata[104%])</f>
        <v>2565.3333333333335</v>
      </c>
      <c r="P3172" s="57">
        <f t="shared" si="49"/>
        <v>1850</v>
      </c>
      <c r="Q3172" s="58">
        <f>_xlfn.MAXIFS(Survey!$G$2:$G$3647,Survey!$M$2:$M$3647,Survey!$M3172)-Survey!$G3172</f>
        <v>28.313638959525179</v>
      </c>
      <c r="R3172" s="59">
        <f>Survey!$P3172+(Survey!$Q3172*0.433)</f>
        <v>1862.2598056694744</v>
      </c>
    </row>
    <row r="3173" spans="1:18" x14ac:dyDescent="0.25">
      <c r="A3173" s="60" t="s">
        <v>17</v>
      </c>
      <c r="B3173" s="61" t="s">
        <v>23</v>
      </c>
      <c r="C3173" s="62" t="s">
        <v>19</v>
      </c>
      <c r="D3173" s="63">
        <v>250.44905242958325</v>
      </c>
      <c r="E3173" s="79">
        <v>1353729</v>
      </c>
      <c r="F3173" s="80">
        <v>1323389.708029205</v>
      </c>
      <c r="G3173" s="66">
        <v>2038.8958168197796</v>
      </c>
      <c r="H3173" s="67">
        <v>2</v>
      </c>
      <c r="I3173" s="68" t="s">
        <v>20</v>
      </c>
      <c r="J3173" s="69">
        <v>40</v>
      </c>
      <c r="K3173" s="70">
        <v>2</v>
      </c>
      <c r="L3173" s="68">
        <v>1</v>
      </c>
      <c r="M3173" s="68">
        <f>_xlfn.XLOOKUP(Survey!$F3173,sections[Start],sections[Test Section],,-1,1)</f>
        <v>9</v>
      </c>
      <c r="N3173" s="55">
        <f>_xlfn.XLOOKUP(Survey!$K3173,pipedata[ID],pipedata[WT])</f>
        <v>0.74</v>
      </c>
      <c r="O3173" s="56">
        <f>_xlfn.XLOOKUP(Survey!$K3173,pipedata[ID],pipedata[104%])</f>
        <v>2565.3333333333335</v>
      </c>
      <c r="P3173" s="57">
        <f t="shared" si="49"/>
        <v>1850</v>
      </c>
      <c r="Q3173" s="58">
        <f>_xlfn.MAXIFS(Survey!$G$2:$G$3647,Survey!$M$2:$M$3647,Survey!$M3173)-Survey!$G3173</f>
        <v>27.444329485641902</v>
      </c>
      <c r="R3173" s="59">
        <f>Survey!$P3173+(Survey!$Q3173*0.433)</f>
        <v>1861.883394667283</v>
      </c>
    </row>
    <row r="3174" spans="1:18" x14ac:dyDescent="0.25">
      <c r="A3174" s="71" t="s">
        <v>17</v>
      </c>
      <c r="B3174" s="72" t="s">
        <v>23</v>
      </c>
      <c r="C3174" s="73" t="s">
        <v>19</v>
      </c>
      <c r="D3174" s="74">
        <v>250.45677865530558</v>
      </c>
      <c r="E3174" s="81">
        <v>1353769</v>
      </c>
      <c r="F3174" s="82">
        <v>1323428.3430657014</v>
      </c>
      <c r="G3174" s="75">
        <v>2036.2344641279167</v>
      </c>
      <c r="H3174" s="76">
        <v>2</v>
      </c>
      <c r="I3174" s="54" t="s">
        <v>20</v>
      </c>
      <c r="J3174" s="77">
        <v>40</v>
      </c>
      <c r="K3174" s="78">
        <v>2</v>
      </c>
      <c r="L3174" s="54">
        <v>1</v>
      </c>
      <c r="M3174" s="54">
        <f>_xlfn.XLOOKUP(Survey!$F3174,sections[Start],sections[Test Section],,-1,1)</f>
        <v>9</v>
      </c>
      <c r="N3174" s="55">
        <f>_xlfn.XLOOKUP(Survey!$K3174,pipedata[ID],pipedata[WT])</f>
        <v>0.74</v>
      </c>
      <c r="O3174" s="56">
        <f>_xlfn.XLOOKUP(Survey!$K3174,pipedata[ID],pipedata[104%])</f>
        <v>2565.3333333333335</v>
      </c>
      <c r="P3174" s="57">
        <f t="shared" si="49"/>
        <v>1850</v>
      </c>
      <c r="Q3174" s="58">
        <f>_xlfn.MAXIFS(Survey!$G$2:$G$3647,Survey!$M$2:$M$3647,Survey!$M3174)-Survey!$G3174</f>
        <v>30.105682177504832</v>
      </c>
      <c r="R3174" s="59">
        <f>Survey!$P3174+(Survey!$Q3174*0.433)</f>
        <v>1863.0357603828595</v>
      </c>
    </row>
    <row r="3175" spans="1:18" x14ac:dyDescent="0.25">
      <c r="A3175" s="60" t="s">
        <v>17</v>
      </c>
      <c r="B3175" s="61" t="s">
        <v>23</v>
      </c>
      <c r="C3175" s="62" t="s">
        <v>19</v>
      </c>
      <c r="D3175" s="63">
        <v>250.46250252826306</v>
      </c>
      <c r="E3175" s="79">
        <v>1353809</v>
      </c>
      <c r="F3175" s="80">
        <v>1323466.9781021979</v>
      </c>
      <c r="G3175" s="66">
        <v>2034.9240110818148</v>
      </c>
      <c r="H3175" s="67">
        <v>2</v>
      </c>
      <c r="I3175" s="68" t="s">
        <v>20</v>
      </c>
      <c r="J3175" s="69">
        <v>40</v>
      </c>
      <c r="K3175" s="70">
        <v>2</v>
      </c>
      <c r="L3175" s="68">
        <v>1</v>
      </c>
      <c r="M3175" s="68">
        <f>_xlfn.XLOOKUP(Survey!$F3175,sections[Start],sections[Test Section],,-1,1)</f>
        <v>9</v>
      </c>
      <c r="N3175" s="55">
        <f>_xlfn.XLOOKUP(Survey!$K3175,pipedata[ID],pipedata[WT])</f>
        <v>0.74</v>
      </c>
      <c r="O3175" s="56">
        <f>_xlfn.XLOOKUP(Survey!$K3175,pipedata[ID],pipedata[104%])</f>
        <v>2565.3333333333335</v>
      </c>
      <c r="P3175" s="57">
        <f t="shared" si="49"/>
        <v>1850</v>
      </c>
      <c r="Q3175" s="58">
        <f>_xlfn.MAXIFS(Survey!$G$2:$G$3647,Survey!$M$2:$M$3647,Survey!$M3175)-Survey!$G3175</f>
        <v>31.416135223606716</v>
      </c>
      <c r="R3175" s="59">
        <f>Survey!$P3175+(Survey!$Q3175*0.433)</f>
        <v>1863.6031865518216</v>
      </c>
    </row>
    <row r="3176" spans="1:18" x14ac:dyDescent="0.25">
      <c r="A3176" s="71" t="s">
        <v>17</v>
      </c>
      <c r="B3176" s="72" t="s">
        <v>23</v>
      </c>
      <c r="C3176" s="73" t="s">
        <v>19</v>
      </c>
      <c r="D3176" s="74">
        <v>250.47073262510838</v>
      </c>
      <c r="E3176" s="81">
        <v>1353849</v>
      </c>
      <c r="F3176" s="82">
        <v>1323505.6131386943</v>
      </c>
      <c r="G3176" s="75">
        <v>2032.651056214208</v>
      </c>
      <c r="H3176" s="76">
        <v>2</v>
      </c>
      <c r="I3176" s="54" t="s">
        <v>20</v>
      </c>
      <c r="J3176" s="77">
        <v>40</v>
      </c>
      <c r="K3176" s="78">
        <v>2</v>
      </c>
      <c r="L3176" s="54">
        <v>1</v>
      </c>
      <c r="M3176" s="54">
        <f>_xlfn.XLOOKUP(Survey!$F3176,sections[Start],sections[Test Section],,-1,1)</f>
        <v>9</v>
      </c>
      <c r="N3176" s="55">
        <f>_xlfn.XLOOKUP(Survey!$K3176,pipedata[ID],pipedata[WT])</f>
        <v>0.74</v>
      </c>
      <c r="O3176" s="56">
        <f>_xlfn.XLOOKUP(Survey!$K3176,pipedata[ID],pipedata[104%])</f>
        <v>2565.3333333333335</v>
      </c>
      <c r="P3176" s="57">
        <f t="shared" si="49"/>
        <v>1850</v>
      </c>
      <c r="Q3176" s="58">
        <f>_xlfn.MAXIFS(Survey!$G$2:$G$3647,Survey!$M$2:$M$3647,Survey!$M3176)-Survey!$G3176</f>
        <v>33.689090091213529</v>
      </c>
      <c r="R3176" s="59">
        <f>Survey!$P3176+(Survey!$Q3176*0.433)</f>
        <v>1864.5873760094955</v>
      </c>
    </row>
    <row r="3177" spans="1:18" x14ac:dyDescent="0.25">
      <c r="A3177" s="60" t="s">
        <v>17</v>
      </c>
      <c r="B3177" s="61" t="s">
        <v>23</v>
      </c>
      <c r="C3177" s="62" t="s">
        <v>19</v>
      </c>
      <c r="D3177" s="63">
        <v>250.47871784975817</v>
      </c>
      <c r="E3177" s="79">
        <v>1353889</v>
      </c>
      <c r="F3177" s="80">
        <v>1323544.2481751908</v>
      </c>
      <c r="G3177" s="66">
        <v>2028.6812282122596</v>
      </c>
      <c r="H3177" s="67">
        <v>2</v>
      </c>
      <c r="I3177" s="68" t="s">
        <v>20</v>
      </c>
      <c r="J3177" s="69">
        <v>40</v>
      </c>
      <c r="K3177" s="70">
        <v>2</v>
      </c>
      <c r="L3177" s="68">
        <v>1</v>
      </c>
      <c r="M3177" s="68">
        <f>_xlfn.XLOOKUP(Survey!$F3177,sections[Start],sections[Test Section],,-1,1)</f>
        <v>9</v>
      </c>
      <c r="N3177" s="55">
        <f>_xlfn.XLOOKUP(Survey!$K3177,pipedata[ID],pipedata[WT])</f>
        <v>0.74</v>
      </c>
      <c r="O3177" s="56">
        <f>_xlfn.XLOOKUP(Survey!$K3177,pipedata[ID],pipedata[104%])</f>
        <v>2565.3333333333335</v>
      </c>
      <c r="P3177" s="57">
        <f t="shared" si="49"/>
        <v>1850</v>
      </c>
      <c r="Q3177" s="58">
        <f>_xlfn.MAXIFS(Survey!$G$2:$G$3647,Survey!$M$2:$M$3647,Survey!$M3177)-Survey!$G3177</f>
        <v>37.658918093161901</v>
      </c>
      <c r="R3177" s="59">
        <f>Survey!$P3177+(Survey!$Q3177*0.433)</f>
        <v>1866.3063115343391</v>
      </c>
    </row>
    <row r="3178" spans="1:18" x14ac:dyDescent="0.25">
      <c r="A3178" s="71" t="s">
        <v>17</v>
      </c>
      <c r="B3178" s="72" t="s">
        <v>23</v>
      </c>
      <c r="C3178" s="73" t="s">
        <v>19</v>
      </c>
      <c r="D3178" s="74">
        <v>250.48643665151431</v>
      </c>
      <c r="E3178" s="81">
        <v>1353929</v>
      </c>
      <c r="F3178" s="82">
        <v>1323582.8832116872</v>
      </c>
      <c r="G3178" s="75">
        <v>2023.538674206374</v>
      </c>
      <c r="H3178" s="76">
        <v>2</v>
      </c>
      <c r="I3178" s="54" t="s">
        <v>20</v>
      </c>
      <c r="J3178" s="77">
        <v>40</v>
      </c>
      <c r="K3178" s="78">
        <v>2</v>
      </c>
      <c r="L3178" s="54">
        <v>1</v>
      </c>
      <c r="M3178" s="54">
        <f>_xlfn.XLOOKUP(Survey!$F3178,sections[Start],sections[Test Section],,-1,1)</f>
        <v>9</v>
      </c>
      <c r="N3178" s="55">
        <f>_xlfn.XLOOKUP(Survey!$K3178,pipedata[ID],pipedata[WT])</f>
        <v>0.74</v>
      </c>
      <c r="O3178" s="56">
        <f>_xlfn.XLOOKUP(Survey!$K3178,pipedata[ID],pipedata[104%])</f>
        <v>2565.3333333333335</v>
      </c>
      <c r="P3178" s="57">
        <f t="shared" si="49"/>
        <v>1850</v>
      </c>
      <c r="Q3178" s="58">
        <f>_xlfn.MAXIFS(Survey!$G$2:$G$3647,Survey!$M$2:$M$3647,Survey!$M3178)-Survey!$G3178</f>
        <v>42.801472099047487</v>
      </c>
      <c r="R3178" s="59">
        <f>Survey!$P3178+(Survey!$Q3178*0.433)</f>
        <v>1868.5330374188875</v>
      </c>
    </row>
    <row r="3179" spans="1:18" x14ac:dyDescent="0.25">
      <c r="A3179" s="60" t="s">
        <v>17</v>
      </c>
      <c r="B3179" s="61" t="s">
        <v>23</v>
      </c>
      <c r="C3179" s="62" t="s">
        <v>19</v>
      </c>
      <c r="D3179" s="63">
        <v>250.49448188798397</v>
      </c>
      <c r="E3179" s="64">
        <v>1353969</v>
      </c>
      <c r="F3179" s="65">
        <v>1323621.5182481837</v>
      </c>
      <c r="G3179" s="66">
        <v>2019.1733210258908</v>
      </c>
      <c r="H3179" s="67">
        <v>2</v>
      </c>
      <c r="I3179" s="68" t="s">
        <v>20</v>
      </c>
      <c r="J3179" s="69">
        <v>40</v>
      </c>
      <c r="K3179" s="70">
        <v>2</v>
      </c>
      <c r="L3179" s="68">
        <v>1</v>
      </c>
      <c r="M3179" s="68">
        <f>_xlfn.XLOOKUP(Survey!$F3179,sections[Start],sections[Test Section],,-1,1)</f>
        <v>9</v>
      </c>
      <c r="N3179" s="55">
        <f>_xlfn.XLOOKUP(Survey!$K3179,pipedata[ID],pipedata[WT])</f>
        <v>0.74</v>
      </c>
      <c r="O3179" s="56">
        <f>_xlfn.XLOOKUP(Survey!$K3179,pipedata[ID],pipedata[104%])</f>
        <v>2565.3333333333335</v>
      </c>
      <c r="P3179" s="57">
        <f t="shared" si="49"/>
        <v>1850</v>
      </c>
      <c r="Q3179" s="58">
        <f>_xlfn.MAXIFS(Survey!$G$2:$G$3647,Survey!$M$2:$M$3647,Survey!$M3179)-Survey!$G3179</f>
        <v>47.166825279530713</v>
      </c>
      <c r="R3179" s="59">
        <f>Survey!$P3179+(Survey!$Q3179*0.433)</f>
        <v>1870.4232353460368</v>
      </c>
    </row>
    <row r="3180" spans="1:18" x14ac:dyDescent="0.25">
      <c r="A3180" s="71" t="s">
        <v>17</v>
      </c>
      <c r="B3180" s="72" t="s">
        <v>23</v>
      </c>
      <c r="C3180" s="73" t="s">
        <v>19</v>
      </c>
      <c r="D3180" s="74">
        <v>250.50187425502685</v>
      </c>
      <c r="E3180" s="81">
        <v>1354009</v>
      </c>
      <c r="F3180" s="82">
        <v>1323660.1532846801</v>
      </c>
      <c r="G3180" s="75">
        <v>2014.3713378932878</v>
      </c>
      <c r="H3180" s="76">
        <v>2</v>
      </c>
      <c r="I3180" s="54" t="s">
        <v>20</v>
      </c>
      <c r="J3180" s="77">
        <v>40</v>
      </c>
      <c r="K3180" s="78">
        <v>2</v>
      </c>
      <c r="L3180" s="54">
        <v>1</v>
      </c>
      <c r="M3180" s="54">
        <f>_xlfn.XLOOKUP(Survey!$F3180,sections[Start],sections[Test Section],,-1,1)</f>
        <v>9</v>
      </c>
      <c r="N3180" s="55">
        <f>_xlfn.XLOOKUP(Survey!$K3180,pipedata[ID],pipedata[WT])</f>
        <v>0.74</v>
      </c>
      <c r="O3180" s="56">
        <f>_xlfn.XLOOKUP(Survey!$K3180,pipedata[ID],pipedata[104%])</f>
        <v>2565.3333333333335</v>
      </c>
      <c r="P3180" s="57">
        <f t="shared" si="49"/>
        <v>1850</v>
      </c>
      <c r="Q3180" s="58">
        <f>_xlfn.MAXIFS(Survey!$G$2:$G$3647,Survey!$M$2:$M$3647,Survey!$M3180)-Survey!$G3180</f>
        <v>51.96880841213374</v>
      </c>
      <c r="R3180" s="59">
        <f>Survey!$P3180+(Survey!$Q3180*0.433)</f>
        <v>1872.5024940424539</v>
      </c>
    </row>
    <row r="3181" spans="1:18" x14ac:dyDescent="0.25">
      <c r="A3181" s="60" t="s">
        <v>17</v>
      </c>
      <c r="B3181" s="61" t="s">
        <v>23</v>
      </c>
      <c r="C3181" s="62" t="s">
        <v>19</v>
      </c>
      <c r="D3181" s="63">
        <v>250.50774679868346</v>
      </c>
      <c r="E3181" s="79">
        <v>1354049</v>
      </c>
      <c r="F3181" s="80">
        <v>1323698.7883211765</v>
      </c>
      <c r="G3181" s="66">
        <v>2007.7122490988486</v>
      </c>
      <c r="H3181" s="67">
        <v>2</v>
      </c>
      <c r="I3181" s="68" t="s">
        <v>20</v>
      </c>
      <c r="J3181" s="69">
        <v>40</v>
      </c>
      <c r="K3181" s="70">
        <v>2</v>
      </c>
      <c r="L3181" s="68">
        <v>1</v>
      </c>
      <c r="M3181" s="68">
        <f>_xlfn.XLOOKUP(Survey!$F3181,sections[Start],sections[Test Section],,-1,1)</f>
        <v>9</v>
      </c>
      <c r="N3181" s="55">
        <f>_xlfn.XLOOKUP(Survey!$K3181,pipedata[ID],pipedata[WT])</f>
        <v>0.74</v>
      </c>
      <c r="O3181" s="56">
        <f>_xlfn.XLOOKUP(Survey!$K3181,pipedata[ID],pipedata[104%])</f>
        <v>2565.3333333333335</v>
      </c>
      <c r="P3181" s="57">
        <f t="shared" si="49"/>
        <v>1850</v>
      </c>
      <c r="Q3181" s="58">
        <f>_xlfn.MAXIFS(Survey!$G$2:$G$3647,Survey!$M$2:$M$3647,Survey!$M3181)-Survey!$G3181</f>
        <v>58.627897206572925</v>
      </c>
      <c r="R3181" s="59">
        <f>Survey!$P3181+(Survey!$Q3181*0.433)</f>
        <v>1875.3858794904461</v>
      </c>
    </row>
    <row r="3182" spans="1:18" x14ac:dyDescent="0.25">
      <c r="A3182" s="71" t="s">
        <v>17</v>
      </c>
      <c r="B3182" s="72" t="s">
        <v>23</v>
      </c>
      <c r="C3182" s="73" t="s">
        <v>19</v>
      </c>
      <c r="D3182" s="74">
        <v>250.51622514063374</v>
      </c>
      <c r="E3182" s="81">
        <v>1354089</v>
      </c>
      <c r="F3182" s="82">
        <v>1323737.423357673</v>
      </c>
      <c r="G3182" s="75">
        <v>2002.1536058430931</v>
      </c>
      <c r="H3182" s="76">
        <v>2</v>
      </c>
      <c r="I3182" s="54" t="s">
        <v>20</v>
      </c>
      <c r="J3182" s="77">
        <v>40</v>
      </c>
      <c r="K3182" s="78">
        <v>2</v>
      </c>
      <c r="L3182" s="54">
        <v>1</v>
      </c>
      <c r="M3182" s="54">
        <f>_xlfn.XLOOKUP(Survey!$F3182,sections[Start],sections[Test Section],,-1,1)</f>
        <v>9</v>
      </c>
      <c r="N3182" s="55">
        <f>_xlfn.XLOOKUP(Survey!$K3182,pipedata[ID],pipedata[WT])</f>
        <v>0.74</v>
      </c>
      <c r="O3182" s="56">
        <f>_xlfn.XLOOKUP(Survey!$K3182,pipedata[ID],pipedata[104%])</f>
        <v>2565.3333333333335</v>
      </c>
      <c r="P3182" s="57">
        <f t="shared" si="49"/>
        <v>1850</v>
      </c>
      <c r="Q3182" s="58">
        <f>_xlfn.MAXIFS(Survey!$G$2:$G$3647,Survey!$M$2:$M$3647,Survey!$M3182)-Survey!$G3182</f>
        <v>64.186540462328367</v>
      </c>
      <c r="R3182" s="59">
        <f>Survey!$P3182+(Survey!$Q3182*0.433)</f>
        <v>1877.7927720201883</v>
      </c>
    </row>
    <row r="3183" spans="1:18" x14ac:dyDescent="0.25">
      <c r="A3183" s="60" t="s">
        <v>17</v>
      </c>
      <c r="B3183" s="61" t="s">
        <v>23</v>
      </c>
      <c r="C3183" s="62" t="s">
        <v>19</v>
      </c>
      <c r="D3183" s="63">
        <v>250.52401332389789</v>
      </c>
      <c r="E3183" s="79">
        <v>1354129</v>
      </c>
      <c r="F3183" s="80">
        <v>1323776.0583941694</v>
      </c>
      <c r="G3183" s="66">
        <v>1995.6702945640384</v>
      </c>
      <c r="H3183" s="67">
        <v>2</v>
      </c>
      <c r="I3183" s="68" t="s">
        <v>20</v>
      </c>
      <c r="J3183" s="69">
        <v>40</v>
      </c>
      <c r="K3183" s="70">
        <v>2</v>
      </c>
      <c r="L3183" s="68">
        <v>1</v>
      </c>
      <c r="M3183" s="68">
        <f>_xlfn.XLOOKUP(Survey!$F3183,sections[Start],sections[Test Section],,-1,1)</f>
        <v>9</v>
      </c>
      <c r="N3183" s="55">
        <f>_xlfn.XLOOKUP(Survey!$K3183,pipedata[ID],pipedata[WT])</f>
        <v>0.74</v>
      </c>
      <c r="O3183" s="56">
        <f>_xlfn.XLOOKUP(Survey!$K3183,pipedata[ID],pipedata[104%])</f>
        <v>2565.3333333333335</v>
      </c>
      <c r="P3183" s="57">
        <f t="shared" si="49"/>
        <v>1850</v>
      </c>
      <c r="Q3183" s="58">
        <f>_xlfn.MAXIFS(Survey!$G$2:$G$3647,Survey!$M$2:$M$3647,Survey!$M3183)-Survey!$G3183</f>
        <v>70.669851741383127</v>
      </c>
      <c r="R3183" s="59">
        <f>Survey!$P3183+(Survey!$Q3183*0.433)</f>
        <v>1880.6000458040189</v>
      </c>
    </row>
    <row r="3184" spans="1:18" x14ac:dyDescent="0.25">
      <c r="A3184" s="71" t="s">
        <v>17</v>
      </c>
      <c r="B3184" s="72" t="s">
        <v>23</v>
      </c>
      <c r="C3184" s="73" t="s">
        <v>19</v>
      </c>
      <c r="D3184" s="74">
        <v>250.53152513443246</v>
      </c>
      <c r="E3184" s="81">
        <v>1354169</v>
      </c>
      <c r="F3184" s="82">
        <v>1323814.6934306659</v>
      </c>
      <c r="G3184" s="75">
        <v>1989.3609689176185</v>
      </c>
      <c r="H3184" s="76">
        <v>2</v>
      </c>
      <c r="I3184" s="54" t="s">
        <v>20</v>
      </c>
      <c r="J3184" s="77">
        <v>40</v>
      </c>
      <c r="K3184" s="78">
        <v>2</v>
      </c>
      <c r="L3184" s="54">
        <v>1</v>
      </c>
      <c r="M3184" s="54">
        <f>_xlfn.XLOOKUP(Survey!$F3184,sections[Start],sections[Test Section],,-1,1)</f>
        <v>9</v>
      </c>
      <c r="N3184" s="55">
        <f>_xlfn.XLOOKUP(Survey!$K3184,pipedata[ID],pipedata[WT])</f>
        <v>0.74</v>
      </c>
      <c r="O3184" s="56">
        <f>_xlfn.XLOOKUP(Survey!$K3184,pipedata[ID],pipedata[104%])</f>
        <v>2565.3333333333335</v>
      </c>
      <c r="P3184" s="57">
        <f t="shared" si="49"/>
        <v>1850</v>
      </c>
      <c r="Q3184" s="58">
        <f>_xlfn.MAXIFS(Survey!$G$2:$G$3647,Survey!$M$2:$M$3647,Survey!$M3184)-Survey!$G3184</f>
        <v>76.97917738780302</v>
      </c>
      <c r="R3184" s="59">
        <f>Survey!$P3184+(Survey!$Q3184*0.433)</f>
        <v>1883.3319838089187</v>
      </c>
    </row>
    <row r="3185" spans="1:18" x14ac:dyDescent="0.25">
      <c r="A3185" s="60" t="s">
        <v>17</v>
      </c>
      <c r="B3185" s="61" t="s">
        <v>23</v>
      </c>
      <c r="C3185" s="62" t="s">
        <v>19</v>
      </c>
      <c r="D3185" s="63">
        <v>250.5394512463487</v>
      </c>
      <c r="E3185" s="79">
        <v>1354209</v>
      </c>
      <c r="F3185" s="80">
        <v>1323853.3284671623</v>
      </c>
      <c r="G3185" s="66">
        <v>1984.8290428519706</v>
      </c>
      <c r="H3185" s="67">
        <v>2</v>
      </c>
      <c r="I3185" s="68" t="s">
        <v>20</v>
      </c>
      <c r="J3185" s="69">
        <v>40</v>
      </c>
      <c r="K3185" s="70">
        <v>2</v>
      </c>
      <c r="L3185" s="68">
        <v>1</v>
      </c>
      <c r="M3185" s="68">
        <f>_xlfn.XLOOKUP(Survey!$F3185,sections[Start],sections[Test Section],,-1,1)</f>
        <v>9</v>
      </c>
      <c r="N3185" s="55">
        <f>_xlfn.XLOOKUP(Survey!$K3185,pipedata[ID],pipedata[WT])</f>
        <v>0.74</v>
      </c>
      <c r="O3185" s="56">
        <f>_xlfn.XLOOKUP(Survey!$K3185,pipedata[ID],pipedata[104%])</f>
        <v>2565.3333333333335</v>
      </c>
      <c r="P3185" s="57">
        <f t="shared" si="49"/>
        <v>1850</v>
      </c>
      <c r="Q3185" s="58">
        <f>_xlfn.MAXIFS(Survey!$G$2:$G$3647,Survey!$M$2:$M$3647,Survey!$M3185)-Survey!$G3185</f>
        <v>81.511103453450914</v>
      </c>
      <c r="R3185" s="59">
        <f>Survey!$P3185+(Survey!$Q3185*0.433)</f>
        <v>1885.2943077953441</v>
      </c>
    </row>
    <row r="3186" spans="1:18" x14ac:dyDescent="0.25">
      <c r="A3186" s="71" t="s">
        <v>17</v>
      </c>
      <c r="B3186" s="72" t="s">
        <v>23</v>
      </c>
      <c r="C3186" s="73" t="s">
        <v>19</v>
      </c>
      <c r="D3186" s="74">
        <v>250.54611013816586</v>
      </c>
      <c r="E3186" s="81">
        <v>1354249</v>
      </c>
      <c r="F3186" s="82">
        <v>1323891.9635036588</v>
      </c>
      <c r="G3186" s="75">
        <v>1979.9937256758176</v>
      </c>
      <c r="H3186" s="76">
        <v>2</v>
      </c>
      <c r="I3186" s="54" t="s">
        <v>20</v>
      </c>
      <c r="J3186" s="77">
        <v>40</v>
      </c>
      <c r="K3186" s="78">
        <v>2</v>
      </c>
      <c r="L3186" s="54">
        <v>1</v>
      </c>
      <c r="M3186" s="54">
        <f>_xlfn.XLOOKUP(Survey!$F3186,sections[Start],sections[Test Section],,-1,1)</f>
        <v>9</v>
      </c>
      <c r="N3186" s="55">
        <f>_xlfn.XLOOKUP(Survey!$K3186,pipedata[ID],pipedata[WT])</f>
        <v>0.74</v>
      </c>
      <c r="O3186" s="56">
        <f>_xlfn.XLOOKUP(Survey!$K3186,pipedata[ID],pipedata[104%])</f>
        <v>2565.3333333333335</v>
      </c>
      <c r="P3186" s="57">
        <f t="shared" si="49"/>
        <v>1850</v>
      </c>
      <c r="Q3186" s="58">
        <f>_xlfn.MAXIFS(Survey!$G$2:$G$3647,Survey!$M$2:$M$3647,Survey!$M3186)-Survey!$G3186</f>
        <v>86.346420629603926</v>
      </c>
      <c r="R3186" s="59">
        <f>Survey!$P3186+(Survey!$Q3186*0.433)</f>
        <v>1887.3880001326186</v>
      </c>
    </row>
    <row r="3187" spans="1:18" x14ac:dyDescent="0.25">
      <c r="A3187" s="60" t="s">
        <v>17</v>
      </c>
      <c r="B3187" s="61" t="s">
        <v>23</v>
      </c>
      <c r="C3187" s="62" t="s">
        <v>19</v>
      </c>
      <c r="D3187" s="63">
        <v>250.55332194220225</v>
      </c>
      <c r="E3187" s="79">
        <v>1354289</v>
      </c>
      <c r="F3187" s="80">
        <v>1323930.5985401552</v>
      </c>
      <c r="G3187" s="66">
        <v>1974.7809582467992</v>
      </c>
      <c r="H3187" s="67">
        <v>2</v>
      </c>
      <c r="I3187" s="68" t="s">
        <v>20</v>
      </c>
      <c r="J3187" s="69">
        <v>40</v>
      </c>
      <c r="K3187" s="70">
        <v>2</v>
      </c>
      <c r="L3187" s="68">
        <v>1</v>
      </c>
      <c r="M3187" s="68">
        <f>_xlfn.XLOOKUP(Survey!$F3187,sections[Start],sections[Test Section],,-1,1)</f>
        <v>9</v>
      </c>
      <c r="N3187" s="55">
        <f>_xlfn.XLOOKUP(Survey!$K3187,pipedata[ID],pipedata[WT])</f>
        <v>0.74</v>
      </c>
      <c r="O3187" s="56">
        <f>_xlfn.XLOOKUP(Survey!$K3187,pipedata[ID],pipedata[104%])</f>
        <v>2565.3333333333335</v>
      </c>
      <c r="P3187" s="57">
        <f t="shared" si="49"/>
        <v>1850</v>
      </c>
      <c r="Q3187" s="58">
        <f>_xlfn.MAXIFS(Survey!$G$2:$G$3647,Survey!$M$2:$M$3647,Survey!$M3187)-Survey!$G3187</f>
        <v>91.55918805862234</v>
      </c>
      <c r="R3187" s="59">
        <f>Survey!$P3187+(Survey!$Q3187*0.433)</f>
        <v>1889.6451284293835</v>
      </c>
    </row>
    <row r="3188" spans="1:18" x14ac:dyDescent="0.25">
      <c r="A3188" s="71" t="s">
        <v>17</v>
      </c>
      <c r="B3188" s="72" t="s">
        <v>23</v>
      </c>
      <c r="C3188" s="73" t="s">
        <v>19</v>
      </c>
      <c r="D3188" s="74">
        <v>250.56131496341678</v>
      </c>
      <c r="E3188" s="81">
        <v>1354329</v>
      </c>
      <c r="F3188" s="82">
        <v>1323969.2335766517</v>
      </c>
      <c r="G3188" s="75">
        <v>1969.1774386390798</v>
      </c>
      <c r="H3188" s="76">
        <v>2</v>
      </c>
      <c r="I3188" s="54" t="s">
        <v>20</v>
      </c>
      <c r="J3188" s="77">
        <v>40</v>
      </c>
      <c r="K3188" s="78">
        <v>2</v>
      </c>
      <c r="L3188" s="54">
        <v>1</v>
      </c>
      <c r="M3188" s="54">
        <f>_xlfn.XLOOKUP(Survey!$F3188,sections[Start],sections[Test Section],,-1,1)</f>
        <v>9</v>
      </c>
      <c r="N3188" s="55">
        <f>_xlfn.XLOOKUP(Survey!$K3188,pipedata[ID],pipedata[WT])</f>
        <v>0.74</v>
      </c>
      <c r="O3188" s="56">
        <f>_xlfn.XLOOKUP(Survey!$K3188,pipedata[ID],pipedata[104%])</f>
        <v>2565.3333333333335</v>
      </c>
      <c r="P3188" s="57">
        <f t="shared" si="49"/>
        <v>1850</v>
      </c>
      <c r="Q3188" s="58">
        <f>_xlfn.MAXIFS(Survey!$G$2:$G$3647,Survey!$M$2:$M$3647,Survey!$M3188)-Survey!$G3188</f>
        <v>97.162707666341703</v>
      </c>
      <c r="R3188" s="59">
        <f>Survey!$P3188+(Survey!$Q3188*0.433)</f>
        <v>1892.0714524195259</v>
      </c>
    </row>
    <row r="3189" spans="1:18" x14ac:dyDescent="0.25">
      <c r="A3189" s="60" t="s">
        <v>17</v>
      </c>
      <c r="B3189" s="61" t="s">
        <v>23</v>
      </c>
      <c r="C3189" s="62" t="s">
        <v>19</v>
      </c>
      <c r="D3189" s="63">
        <v>250.56917416603486</v>
      </c>
      <c r="E3189" s="79">
        <v>1354369</v>
      </c>
      <c r="F3189" s="80">
        <v>1324007.8686131481</v>
      </c>
      <c r="G3189" s="66">
        <v>1960.2990375893842</v>
      </c>
      <c r="H3189" s="67">
        <v>2</v>
      </c>
      <c r="I3189" s="68" t="s">
        <v>20</v>
      </c>
      <c r="J3189" s="69">
        <v>40</v>
      </c>
      <c r="K3189" s="70">
        <v>2</v>
      </c>
      <c r="L3189" s="68">
        <v>1</v>
      </c>
      <c r="M3189" s="68">
        <f>_xlfn.XLOOKUP(Survey!$F3189,sections[Start],sections[Test Section],,-1,1)</f>
        <v>9</v>
      </c>
      <c r="N3189" s="55">
        <f>_xlfn.XLOOKUP(Survey!$K3189,pipedata[ID],pipedata[WT])</f>
        <v>0.74</v>
      </c>
      <c r="O3189" s="56">
        <f>_xlfn.XLOOKUP(Survey!$K3189,pipedata[ID],pipedata[104%])</f>
        <v>2565.3333333333335</v>
      </c>
      <c r="P3189" s="57">
        <f t="shared" si="49"/>
        <v>1850</v>
      </c>
      <c r="Q3189" s="58">
        <f>_xlfn.MAXIFS(Survey!$G$2:$G$3647,Survey!$M$2:$M$3647,Survey!$M3189)-Survey!$G3189</f>
        <v>106.04110871603734</v>
      </c>
      <c r="R3189" s="59">
        <f>Survey!$P3189+(Survey!$Q3189*0.433)</f>
        <v>1895.9158000740442</v>
      </c>
    </row>
    <row r="3190" spans="1:18" x14ac:dyDescent="0.25">
      <c r="A3190" s="71" t="s">
        <v>17</v>
      </c>
      <c r="B3190" s="72" t="s">
        <v>23</v>
      </c>
      <c r="C3190" s="73" t="s">
        <v>19</v>
      </c>
      <c r="D3190" s="74">
        <v>250.57552794252013</v>
      </c>
      <c r="E3190" s="81">
        <v>1354409</v>
      </c>
      <c r="F3190" s="82">
        <v>1324046.5036496446</v>
      </c>
      <c r="G3190" s="75">
        <v>1952.0666844775437</v>
      </c>
      <c r="H3190" s="76">
        <v>2</v>
      </c>
      <c r="I3190" s="54" t="s">
        <v>20</v>
      </c>
      <c r="J3190" s="77">
        <v>40</v>
      </c>
      <c r="K3190" s="78">
        <v>2</v>
      </c>
      <c r="L3190" s="54">
        <v>1</v>
      </c>
      <c r="M3190" s="54">
        <f>_xlfn.XLOOKUP(Survey!$F3190,sections[Start],sections[Test Section],,-1,1)</f>
        <v>9</v>
      </c>
      <c r="N3190" s="55">
        <f>_xlfn.XLOOKUP(Survey!$K3190,pipedata[ID],pipedata[WT])</f>
        <v>0.74</v>
      </c>
      <c r="O3190" s="56">
        <f>_xlfn.XLOOKUP(Survey!$K3190,pipedata[ID],pipedata[104%])</f>
        <v>2565.3333333333335</v>
      </c>
      <c r="P3190" s="57">
        <f t="shared" si="49"/>
        <v>1850</v>
      </c>
      <c r="Q3190" s="58">
        <f>_xlfn.MAXIFS(Survey!$G$2:$G$3647,Survey!$M$2:$M$3647,Survey!$M3190)-Survey!$G3190</f>
        <v>114.27346182787778</v>
      </c>
      <c r="R3190" s="59">
        <f>Survey!$P3190+(Survey!$Q3190*0.433)</f>
        <v>1899.480408971471</v>
      </c>
    </row>
    <row r="3191" spans="1:18" x14ac:dyDescent="0.25">
      <c r="A3191" s="60" t="s">
        <v>17</v>
      </c>
      <c r="B3191" s="61" t="s">
        <v>23</v>
      </c>
      <c r="C3191" s="62" t="s">
        <v>19</v>
      </c>
      <c r="D3191" s="63">
        <v>250.58411371229045</v>
      </c>
      <c r="E3191" s="79">
        <v>1354449</v>
      </c>
      <c r="F3191" s="80">
        <v>1324085.138686141</v>
      </c>
      <c r="G3191" s="66">
        <v>1945.6056331739051</v>
      </c>
      <c r="H3191" s="67">
        <v>2</v>
      </c>
      <c r="I3191" s="68" t="s">
        <v>20</v>
      </c>
      <c r="J3191" s="69">
        <v>40</v>
      </c>
      <c r="K3191" s="70">
        <v>2</v>
      </c>
      <c r="L3191" s="68">
        <v>1</v>
      </c>
      <c r="M3191" s="68">
        <f>_xlfn.XLOOKUP(Survey!$F3191,sections[Start],sections[Test Section],,-1,1)</f>
        <v>9</v>
      </c>
      <c r="N3191" s="55">
        <f>_xlfn.XLOOKUP(Survey!$K3191,pipedata[ID],pipedata[WT])</f>
        <v>0.74</v>
      </c>
      <c r="O3191" s="56">
        <f>_xlfn.XLOOKUP(Survey!$K3191,pipedata[ID],pipedata[104%])</f>
        <v>2565.3333333333335</v>
      </c>
      <c r="P3191" s="57">
        <f t="shared" si="49"/>
        <v>1850</v>
      </c>
      <c r="Q3191" s="58">
        <f>_xlfn.MAXIFS(Survey!$G$2:$G$3647,Survey!$M$2:$M$3647,Survey!$M3191)-Survey!$G3191</f>
        <v>120.73451313151645</v>
      </c>
      <c r="R3191" s="59">
        <f>Survey!$P3191+(Survey!$Q3191*0.433)</f>
        <v>1902.2780441859466</v>
      </c>
    </row>
    <row r="3192" spans="1:18" x14ac:dyDescent="0.25">
      <c r="A3192" s="71" t="s">
        <v>17</v>
      </c>
      <c r="B3192" s="72" t="s">
        <v>23</v>
      </c>
      <c r="C3192" s="73" t="s">
        <v>19</v>
      </c>
      <c r="D3192" s="74">
        <v>250.59097097380467</v>
      </c>
      <c r="E3192" s="81">
        <v>1354489</v>
      </c>
      <c r="F3192" s="82">
        <v>1324123.7737226374</v>
      </c>
      <c r="G3192" s="75">
        <v>1937.1987721879941</v>
      </c>
      <c r="H3192" s="76">
        <v>2</v>
      </c>
      <c r="I3192" s="54" t="s">
        <v>20</v>
      </c>
      <c r="J3192" s="77">
        <v>40</v>
      </c>
      <c r="K3192" s="78">
        <v>2</v>
      </c>
      <c r="L3192" s="54">
        <v>1</v>
      </c>
      <c r="M3192" s="54">
        <f>_xlfn.XLOOKUP(Survey!$F3192,sections[Start],sections[Test Section],,-1,1)</f>
        <v>9</v>
      </c>
      <c r="N3192" s="55">
        <f>_xlfn.XLOOKUP(Survey!$K3192,pipedata[ID],pipedata[WT])</f>
        <v>0.74</v>
      </c>
      <c r="O3192" s="56">
        <f>_xlfn.XLOOKUP(Survey!$K3192,pipedata[ID],pipedata[104%])</f>
        <v>2565.3333333333335</v>
      </c>
      <c r="P3192" s="57">
        <f t="shared" si="49"/>
        <v>1850</v>
      </c>
      <c r="Q3192" s="58">
        <f>_xlfn.MAXIFS(Survey!$G$2:$G$3647,Survey!$M$2:$M$3647,Survey!$M3192)-Survey!$G3192</f>
        <v>129.1413741174274</v>
      </c>
      <c r="R3192" s="59">
        <f>Survey!$P3192+(Survey!$Q3192*0.433)</f>
        <v>1905.9182149928461</v>
      </c>
    </row>
    <row r="3193" spans="1:18" x14ac:dyDescent="0.25">
      <c r="A3193" s="60" t="s">
        <v>17</v>
      </c>
      <c r="B3193" s="61" t="s">
        <v>23</v>
      </c>
      <c r="C3193" s="62" t="s">
        <v>19</v>
      </c>
      <c r="D3193" s="63">
        <v>250.59889708572101</v>
      </c>
      <c r="E3193" s="79">
        <v>1354529</v>
      </c>
      <c r="F3193" s="80">
        <v>1324162.4087591339</v>
      </c>
      <c r="G3193" s="66">
        <v>1930.9742755804275</v>
      </c>
      <c r="H3193" s="67">
        <v>2</v>
      </c>
      <c r="I3193" s="68" t="s">
        <v>20</v>
      </c>
      <c r="J3193" s="69">
        <v>40</v>
      </c>
      <c r="K3193" s="70">
        <v>2</v>
      </c>
      <c r="L3193" s="68">
        <v>1</v>
      </c>
      <c r="M3193" s="68">
        <f>_xlfn.XLOOKUP(Survey!$F3193,sections[Start],sections[Test Section],,-1,1)</f>
        <v>9</v>
      </c>
      <c r="N3193" s="55">
        <f>_xlfn.XLOOKUP(Survey!$K3193,pipedata[ID],pipedata[WT])</f>
        <v>0.74</v>
      </c>
      <c r="O3193" s="56">
        <f>_xlfn.XLOOKUP(Survey!$K3193,pipedata[ID],pipedata[104%])</f>
        <v>2565.3333333333335</v>
      </c>
      <c r="P3193" s="57">
        <f t="shared" si="49"/>
        <v>1850</v>
      </c>
      <c r="Q3193" s="58">
        <f>_xlfn.MAXIFS(Survey!$G$2:$G$3647,Survey!$M$2:$M$3647,Survey!$M3193)-Survey!$G3193</f>
        <v>135.36587072499401</v>
      </c>
      <c r="R3193" s="59">
        <f>Survey!$P3193+(Survey!$Q3193*0.433)</f>
        <v>1908.6134220239223</v>
      </c>
    </row>
    <row r="3194" spans="1:18" x14ac:dyDescent="0.25">
      <c r="A3194" s="71" t="s">
        <v>17</v>
      </c>
      <c r="B3194" s="72" t="s">
        <v>23</v>
      </c>
      <c r="C3194" s="73" t="s">
        <v>19</v>
      </c>
      <c r="D3194" s="74">
        <v>250.6064047862003</v>
      </c>
      <c r="E3194" s="81">
        <v>1354569</v>
      </c>
      <c r="F3194" s="82">
        <v>1324201.0437956303</v>
      </c>
      <c r="G3194" s="75">
        <v>1924.2652540295819</v>
      </c>
      <c r="H3194" s="76">
        <v>2</v>
      </c>
      <c r="I3194" s="54" t="s">
        <v>20</v>
      </c>
      <c r="J3194" s="77">
        <v>40</v>
      </c>
      <c r="K3194" s="78">
        <v>2</v>
      </c>
      <c r="L3194" s="54">
        <v>1</v>
      </c>
      <c r="M3194" s="54">
        <f>_xlfn.XLOOKUP(Survey!$F3194,sections[Start],sections[Test Section],,-1,1)</f>
        <v>9</v>
      </c>
      <c r="N3194" s="55">
        <f>_xlfn.XLOOKUP(Survey!$K3194,pipedata[ID],pipedata[WT])</f>
        <v>0.74</v>
      </c>
      <c r="O3194" s="56">
        <f>_xlfn.XLOOKUP(Survey!$K3194,pipedata[ID],pipedata[104%])</f>
        <v>2565.3333333333335</v>
      </c>
      <c r="P3194" s="57">
        <f t="shared" si="49"/>
        <v>1850</v>
      </c>
      <c r="Q3194" s="58">
        <f>_xlfn.MAXIFS(Survey!$G$2:$G$3647,Survey!$M$2:$M$3647,Survey!$M3194)-Survey!$G3194</f>
        <v>142.0748922758396</v>
      </c>
      <c r="R3194" s="59">
        <f>Survey!$P3194+(Survey!$Q3194*0.433)</f>
        <v>1911.5184283554386</v>
      </c>
    </row>
    <row r="3195" spans="1:18" x14ac:dyDescent="0.25">
      <c r="A3195" s="60" t="s">
        <v>17</v>
      </c>
      <c r="B3195" s="61" t="s">
        <v>23</v>
      </c>
      <c r="C3195" s="62" t="s">
        <v>19</v>
      </c>
      <c r="D3195" s="63">
        <v>250.61284618945496</v>
      </c>
      <c r="E3195" s="79">
        <v>1354609</v>
      </c>
      <c r="F3195" s="80">
        <v>1324239.6788321268</v>
      </c>
      <c r="G3195" s="66">
        <v>1919.9749227424245</v>
      </c>
      <c r="H3195" s="67">
        <v>2</v>
      </c>
      <c r="I3195" s="68" t="s">
        <v>20</v>
      </c>
      <c r="J3195" s="69">
        <v>40</v>
      </c>
      <c r="K3195" s="70">
        <v>2</v>
      </c>
      <c r="L3195" s="68">
        <v>1</v>
      </c>
      <c r="M3195" s="68">
        <f>_xlfn.XLOOKUP(Survey!$F3195,sections[Start],sections[Test Section],,-1,1)</f>
        <v>9</v>
      </c>
      <c r="N3195" s="55">
        <f>_xlfn.XLOOKUP(Survey!$K3195,pipedata[ID],pipedata[WT])</f>
        <v>0.74</v>
      </c>
      <c r="O3195" s="56">
        <f>_xlfn.XLOOKUP(Survey!$K3195,pipedata[ID],pipedata[104%])</f>
        <v>2565.3333333333335</v>
      </c>
      <c r="P3195" s="57">
        <f t="shared" si="49"/>
        <v>1850</v>
      </c>
      <c r="Q3195" s="58">
        <f>_xlfn.MAXIFS(Survey!$G$2:$G$3647,Survey!$M$2:$M$3647,Survey!$M3195)-Survey!$G3195</f>
        <v>146.36522356299702</v>
      </c>
      <c r="R3195" s="59">
        <f>Survey!$P3195+(Survey!$Q3195*0.433)</f>
        <v>1913.3761418027777</v>
      </c>
    </row>
    <row r="3196" spans="1:18" x14ac:dyDescent="0.25">
      <c r="A3196" s="71" t="s">
        <v>17</v>
      </c>
      <c r="B3196" s="72" t="s">
        <v>23</v>
      </c>
      <c r="C3196" s="73" t="s">
        <v>19</v>
      </c>
      <c r="D3196" s="74">
        <v>250.62131871462873</v>
      </c>
      <c r="E3196" s="81">
        <v>1354649</v>
      </c>
      <c r="F3196" s="82">
        <v>1324278.3138686232</v>
      </c>
      <c r="G3196" s="75">
        <v>1913.2800086229854</v>
      </c>
      <c r="H3196" s="76">
        <v>2</v>
      </c>
      <c r="I3196" s="54" t="s">
        <v>20</v>
      </c>
      <c r="J3196" s="77">
        <v>40</v>
      </c>
      <c r="K3196" s="78">
        <v>2</v>
      </c>
      <c r="L3196" s="54">
        <v>1</v>
      </c>
      <c r="M3196" s="54">
        <f>_xlfn.XLOOKUP(Survey!$F3196,sections[Start],sections[Test Section],,-1,1)</f>
        <v>9</v>
      </c>
      <c r="N3196" s="55">
        <f>_xlfn.XLOOKUP(Survey!$K3196,pipedata[ID],pipedata[WT])</f>
        <v>0.74</v>
      </c>
      <c r="O3196" s="56">
        <f>_xlfn.XLOOKUP(Survey!$K3196,pipedata[ID],pipedata[104%])</f>
        <v>2565.3333333333335</v>
      </c>
      <c r="P3196" s="57">
        <f t="shared" si="49"/>
        <v>1850</v>
      </c>
      <c r="Q3196" s="58">
        <f>_xlfn.MAXIFS(Survey!$G$2:$G$3647,Survey!$M$2:$M$3647,Survey!$M3196)-Survey!$G3196</f>
        <v>153.06013768243611</v>
      </c>
      <c r="R3196" s="59">
        <f>Survey!$P3196+(Survey!$Q3196*0.433)</f>
        <v>1916.2750396164947</v>
      </c>
    </row>
    <row r="3197" spans="1:18" x14ac:dyDescent="0.25">
      <c r="A3197" s="60" t="s">
        <v>17</v>
      </c>
      <c r="B3197" s="61" t="s">
        <v>23</v>
      </c>
      <c r="C3197" s="62" t="s">
        <v>19</v>
      </c>
      <c r="D3197" s="63">
        <v>250.62862000540724</v>
      </c>
      <c r="E3197" s="79">
        <v>1354689</v>
      </c>
      <c r="F3197" s="80">
        <v>1324316.9489051197</v>
      </c>
      <c r="G3197" s="66">
        <v>1910.7320967390674</v>
      </c>
      <c r="H3197" s="67">
        <v>2</v>
      </c>
      <c r="I3197" s="68" t="s">
        <v>20</v>
      </c>
      <c r="J3197" s="69">
        <v>40</v>
      </c>
      <c r="K3197" s="70">
        <v>2</v>
      </c>
      <c r="L3197" s="68">
        <v>1</v>
      </c>
      <c r="M3197" s="68">
        <f>_xlfn.XLOOKUP(Survey!$F3197,sections[Start],sections[Test Section],,-1,1)</f>
        <v>9</v>
      </c>
      <c r="N3197" s="55">
        <f>_xlfn.XLOOKUP(Survey!$K3197,pipedata[ID],pipedata[WT])</f>
        <v>0.74</v>
      </c>
      <c r="O3197" s="56">
        <f>_xlfn.XLOOKUP(Survey!$K3197,pipedata[ID],pipedata[104%])</f>
        <v>2565.3333333333335</v>
      </c>
      <c r="P3197" s="57">
        <f t="shared" si="49"/>
        <v>1850</v>
      </c>
      <c r="Q3197" s="58">
        <f>_xlfn.MAXIFS(Survey!$G$2:$G$3647,Survey!$M$2:$M$3647,Survey!$M3197)-Survey!$G3197</f>
        <v>155.60804956635411</v>
      </c>
      <c r="R3197" s="59">
        <f>Survey!$P3197+(Survey!$Q3197*0.433)</f>
        <v>1917.3782854622314</v>
      </c>
    </row>
    <row r="3198" spans="1:18" x14ac:dyDescent="0.25">
      <c r="A3198" s="71" t="s">
        <v>17</v>
      </c>
      <c r="B3198" s="72" t="s">
        <v>23</v>
      </c>
      <c r="C3198" s="73" t="s">
        <v>19</v>
      </c>
      <c r="D3198" s="74">
        <v>250.63654611732358</v>
      </c>
      <c r="E3198" s="81">
        <v>1354729</v>
      </c>
      <c r="F3198" s="82">
        <v>1324355.5839416161</v>
      </c>
      <c r="G3198" s="75">
        <v>1908.5325248043082</v>
      </c>
      <c r="H3198" s="76">
        <v>2</v>
      </c>
      <c r="I3198" s="54" t="s">
        <v>20</v>
      </c>
      <c r="J3198" s="77">
        <v>40</v>
      </c>
      <c r="K3198" s="78">
        <v>2</v>
      </c>
      <c r="L3198" s="54">
        <v>1</v>
      </c>
      <c r="M3198" s="54">
        <f>_xlfn.XLOOKUP(Survey!$F3198,sections[Start],sections[Test Section],,-1,1)</f>
        <v>9</v>
      </c>
      <c r="N3198" s="55">
        <f>_xlfn.XLOOKUP(Survey!$K3198,pipedata[ID],pipedata[WT])</f>
        <v>0.74</v>
      </c>
      <c r="O3198" s="56">
        <f>_xlfn.XLOOKUP(Survey!$K3198,pipedata[ID],pipedata[104%])</f>
        <v>2565.3333333333335</v>
      </c>
      <c r="P3198" s="57">
        <f t="shared" si="49"/>
        <v>1850</v>
      </c>
      <c r="Q3198" s="58">
        <f>_xlfn.MAXIFS(Survey!$G$2:$G$3647,Survey!$M$2:$M$3647,Survey!$M3198)-Survey!$G3198</f>
        <v>157.80762150111332</v>
      </c>
      <c r="R3198" s="59">
        <f>Survey!$P3198+(Survey!$Q3198*0.433)</f>
        <v>1918.330700109982</v>
      </c>
    </row>
    <row r="3199" spans="1:18" x14ac:dyDescent="0.25">
      <c r="A3199" s="60" t="s">
        <v>17</v>
      </c>
      <c r="B3199" s="61" t="s">
        <v>23</v>
      </c>
      <c r="C3199" s="62" t="s">
        <v>19</v>
      </c>
      <c r="D3199" s="63">
        <v>250.64397684724514</v>
      </c>
      <c r="E3199" s="79">
        <v>1354769</v>
      </c>
      <c r="F3199" s="80">
        <v>1324394.2189781126</v>
      </c>
      <c r="G3199" s="66">
        <v>1904.1918056983375</v>
      </c>
      <c r="H3199" s="67">
        <v>2</v>
      </c>
      <c r="I3199" s="68" t="s">
        <v>20</v>
      </c>
      <c r="J3199" s="69">
        <v>40</v>
      </c>
      <c r="K3199" s="70">
        <v>2</v>
      </c>
      <c r="L3199" s="68">
        <v>1</v>
      </c>
      <c r="M3199" s="68">
        <f>_xlfn.XLOOKUP(Survey!$F3199,sections[Start],sections[Test Section],,-1,1)</f>
        <v>9</v>
      </c>
      <c r="N3199" s="55">
        <f>_xlfn.XLOOKUP(Survey!$K3199,pipedata[ID],pipedata[WT])</f>
        <v>0.74</v>
      </c>
      <c r="O3199" s="56">
        <f>_xlfn.XLOOKUP(Survey!$K3199,pipedata[ID],pipedata[104%])</f>
        <v>2565.3333333333335</v>
      </c>
      <c r="P3199" s="57">
        <f t="shared" si="49"/>
        <v>1850</v>
      </c>
      <c r="Q3199" s="58">
        <f>_xlfn.MAXIFS(Survey!$G$2:$G$3647,Survey!$M$2:$M$3647,Survey!$M3199)-Survey!$G3199</f>
        <v>162.14834060708404</v>
      </c>
      <c r="R3199" s="59">
        <f>Survey!$P3199+(Survey!$Q3199*0.433)</f>
        <v>1920.2102314828674</v>
      </c>
    </row>
    <row r="3200" spans="1:18" x14ac:dyDescent="0.25">
      <c r="A3200" s="71" t="s">
        <v>17</v>
      </c>
      <c r="B3200" s="72" t="s">
        <v>23</v>
      </c>
      <c r="C3200" s="73" t="s">
        <v>19</v>
      </c>
      <c r="D3200" s="74">
        <v>250.65166297883644</v>
      </c>
      <c r="E3200" s="81">
        <v>1354809</v>
      </c>
      <c r="F3200" s="82">
        <v>1324432.854014609</v>
      </c>
      <c r="G3200" s="75">
        <v>1900.9051567905349</v>
      </c>
      <c r="H3200" s="76">
        <v>2</v>
      </c>
      <c r="I3200" s="54" t="s">
        <v>20</v>
      </c>
      <c r="J3200" s="77">
        <v>40</v>
      </c>
      <c r="K3200" s="78">
        <v>2</v>
      </c>
      <c r="L3200" s="54">
        <v>1</v>
      </c>
      <c r="M3200" s="54">
        <f>_xlfn.XLOOKUP(Survey!$F3200,sections[Start],sections[Test Section],,-1,1)</f>
        <v>9</v>
      </c>
      <c r="N3200" s="55">
        <f>_xlfn.XLOOKUP(Survey!$K3200,pipedata[ID],pipedata[WT])</f>
        <v>0.74</v>
      </c>
      <c r="O3200" s="56">
        <f>_xlfn.XLOOKUP(Survey!$K3200,pipedata[ID],pipedata[104%])</f>
        <v>2565.3333333333335</v>
      </c>
      <c r="P3200" s="57">
        <f t="shared" si="49"/>
        <v>1850</v>
      </c>
      <c r="Q3200" s="58">
        <f>_xlfn.MAXIFS(Survey!$G$2:$G$3647,Survey!$M$2:$M$3647,Survey!$M3200)-Survey!$G3200</f>
        <v>165.43498951488664</v>
      </c>
      <c r="R3200" s="59">
        <f>Survey!$P3200+(Survey!$Q3200*0.433)</f>
        <v>1921.6333504599459</v>
      </c>
    </row>
    <row r="3201" spans="1:18" x14ac:dyDescent="0.25">
      <c r="A3201" s="60" t="s">
        <v>17</v>
      </c>
      <c r="B3201" s="61" t="s">
        <v>23</v>
      </c>
      <c r="C3201" s="62" t="s">
        <v>19</v>
      </c>
      <c r="D3201" s="63">
        <v>250.65921677880692</v>
      </c>
      <c r="E3201" s="79">
        <v>1354849</v>
      </c>
      <c r="F3201" s="80">
        <v>1324471.4890511055</v>
      </c>
      <c r="G3201" s="66">
        <v>1893.7261845398687</v>
      </c>
      <c r="H3201" s="67">
        <v>2</v>
      </c>
      <c r="I3201" s="68" t="s">
        <v>20</v>
      </c>
      <c r="J3201" s="69">
        <v>40</v>
      </c>
      <c r="K3201" s="70">
        <v>2</v>
      </c>
      <c r="L3201" s="68">
        <v>1</v>
      </c>
      <c r="M3201" s="68">
        <f>_xlfn.XLOOKUP(Survey!$F3201,sections[Start],sections[Test Section],,-1,1)</f>
        <v>9</v>
      </c>
      <c r="N3201" s="55">
        <f>_xlfn.XLOOKUP(Survey!$K3201,pipedata[ID],pipedata[WT])</f>
        <v>0.74</v>
      </c>
      <c r="O3201" s="56">
        <f>_xlfn.XLOOKUP(Survey!$K3201,pipedata[ID],pipedata[104%])</f>
        <v>2565.3333333333335</v>
      </c>
      <c r="P3201" s="57">
        <f t="shared" si="49"/>
        <v>1850</v>
      </c>
      <c r="Q3201" s="58">
        <f>_xlfn.MAXIFS(Survey!$G$2:$G$3647,Survey!$M$2:$M$3647,Survey!$M3201)-Survey!$G3201</f>
        <v>172.61396176555286</v>
      </c>
      <c r="R3201" s="59">
        <f>Survey!$P3201+(Survey!$Q3201*0.433)</f>
        <v>1924.7418454444844</v>
      </c>
    </row>
    <row r="3202" spans="1:18" x14ac:dyDescent="0.25">
      <c r="A3202" s="71" t="s">
        <v>17</v>
      </c>
      <c r="B3202" s="72" t="s">
        <v>23</v>
      </c>
      <c r="C3202" s="73" t="s">
        <v>19</v>
      </c>
      <c r="D3202" s="74">
        <v>250.66653420497869</v>
      </c>
      <c r="E3202" s="81">
        <v>1354889</v>
      </c>
      <c r="F3202" s="82">
        <v>1324510.1240876019</v>
      </c>
      <c r="G3202" s="75">
        <v>1884.0169353331887</v>
      </c>
      <c r="H3202" s="76">
        <v>2</v>
      </c>
      <c r="I3202" s="54" t="s">
        <v>20</v>
      </c>
      <c r="J3202" s="77">
        <v>40</v>
      </c>
      <c r="K3202" s="78">
        <v>2</v>
      </c>
      <c r="L3202" s="54">
        <v>1</v>
      </c>
      <c r="M3202" s="54">
        <f>_xlfn.XLOOKUP(Survey!$F3202,sections[Start],sections[Test Section],,-1,1)</f>
        <v>9</v>
      </c>
      <c r="N3202" s="55">
        <f>_xlfn.XLOOKUP(Survey!$K3202,pipedata[ID],pipedata[WT])</f>
        <v>0.74</v>
      </c>
      <c r="O3202" s="56">
        <f>_xlfn.XLOOKUP(Survey!$K3202,pipedata[ID],pipedata[104%])</f>
        <v>2565.3333333333335</v>
      </c>
      <c r="P3202" s="57">
        <f t="shared" ref="P3202:P3265" si="50">IF(L3202=1,1850,IF(L3202=2,1850,2220))</f>
        <v>1850</v>
      </c>
      <c r="Q3202" s="58">
        <f>_xlfn.MAXIFS(Survey!$G$2:$G$3647,Survey!$M$2:$M$3647,Survey!$M3202)-Survey!$G3202</f>
        <v>182.3232109722328</v>
      </c>
      <c r="R3202" s="59">
        <f>Survey!$P3202+(Survey!$Q3202*0.433)</f>
        <v>1928.9459503509768</v>
      </c>
    </row>
    <row r="3203" spans="1:18" x14ac:dyDescent="0.25">
      <c r="A3203" s="60" t="s">
        <v>17</v>
      </c>
      <c r="B3203" s="61" t="s">
        <v>23</v>
      </c>
      <c r="C3203" s="62" t="s">
        <v>19</v>
      </c>
      <c r="D3203" s="63">
        <v>250.67269220246146</v>
      </c>
      <c r="E3203" s="79">
        <v>1354929</v>
      </c>
      <c r="F3203" s="80">
        <v>1324548.7591240983</v>
      </c>
      <c r="G3203" s="66">
        <v>1876.1557813280017</v>
      </c>
      <c r="H3203" s="67">
        <v>2</v>
      </c>
      <c r="I3203" s="68" t="s">
        <v>20</v>
      </c>
      <c r="J3203" s="69">
        <v>40</v>
      </c>
      <c r="K3203" s="70">
        <v>2</v>
      </c>
      <c r="L3203" s="68">
        <v>1</v>
      </c>
      <c r="M3203" s="68">
        <f>_xlfn.XLOOKUP(Survey!$F3203,sections[Start],sections[Test Section],,-1,1)</f>
        <v>9</v>
      </c>
      <c r="N3203" s="55">
        <f>_xlfn.XLOOKUP(Survey!$K3203,pipedata[ID],pipedata[WT])</f>
        <v>0.74</v>
      </c>
      <c r="O3203" s="56">
        <f>_xlfn.XLOOKUP(Survey!$K3203,pipedata[ID],pipedata[104%])</f>
        <v>2565.3333333333335</v>
      </c>
      <c r="P3203" s="57">
        <f t="shared" si="50"/>
        <v>1850</v>
      </c>
      <c r="Q3203" s="58">
        <f>_xlfn.MAXIFS(Survey!$G$2:$G$3647,Survey!$M$2:$M$3647,Survey!$M3203)-Survey!$G3203</f>
        <v>190.18436497741982</v>
      </c>
      <c r="R3203" s="59">
        <f>Survey!$P3203+(Survey!$Q3203*0.433)</f>
        <v>1932.3498300352228</v>
      </c>
    </row>
    <row r="3204" spans="1:18" x14ac:dyDescent="0.25">
      <c r="A3204" s="71" t="s">
        <v>17</v>
      </c>
      <c r="B3204" s="72" t="s">
        <v>23</v>
      </c>
      <c r="C3204" s="73" t="s">
        <v>19</v>
      </c>
      <c r="D3204" s="74">
        <v>250.68080056350482</v>
      </c>
      <c r="E3204" s="81">
        <v>1354969</v>
      </c>
      <c r="F3204" s="82">
        <v>1324587.3941605948</v>
      </c>
      <c r="G3204" s="75">
        <v>1865.2862256826888</v>
      </c>
      <c r="H3204" s="76">
        <v>2</v>
      </c>
      <c r="I3204" s="54" t="s">
        <v>20</v>
      </c>
      <c r="J3204" s="77">
        <v>40</v>
      </c>
      <c r="K3204" s="78">
        <v>2</v>
      </c>
      <c r="L3204" s="54">
        <v>1</v>
      </c>
      <c r="M3204" s="54">
        <f>_xlfn.XLOOKUP(Survey!$F3204,sections[Start],sections[Test Section],,-1,1)</f>
        <v>9</v>
      </c>
      <c r="N3204" s="55">
        <f>_xlfn.XLOOKUP(Survey!$K3204,pipedata[ID],pipedata[WT])</f>
        <v>0.74</v>
      </c>
      <c r="O3204" s="56">
        <f>_xlfn.XLOOKUP(Survey!$K3204,pipedata[ID],pipedata[104%])</f>
        <v>2565.3333333333335</v>
      </c>
      <c r="P3204" s="57">
        <f t="shared" si="50"/>
        <v>1850</v>
      </c>
      <c r="Q3204" s="58">
        <f>_xlfn.MAXIFS(Survey!$G$2:$G$3647,Survey!$M$2:$M$3647,Survey!$M3204)-Survey!$G3204</f>
        <v>201.05392062273268</v>
      </c>
      <c r="R3204" s="59">
        <f>Survey!$P3204+(Survey!$Q3204*0.433)</f>
        <v>1937.0563476296431</v>
      </c>
    </row>
    <row r="3205" spans="1:18" x14ac:dyDescent="0.25">
      <c r="A3205" s="60" t="s">
        <v>17</v>
      </c>
      <c r="B3205" s="61" t="s">
        <v>23</v>
      </c>
      <c r="C3205" s="62" t="s">
        <v>19</v>
      </c>
      <c r="D3205" s="63">
        <v>250.68836207528736</v>
      </c>
      <c r="E3205" s="79">
        <v>1355009</v>
      </c>
      <c r="F3205" s="80">
        <v>1324626.0291970912</v>
      </c>
      <c r="G3205" s="66">
        <v>1852.3702980307064</v>
      </c>
      <c r="H3205" s="67">
        <v>2</v>
      </c>
      <c r="I3205" s="68" t="s">
        <v>20</v>
      </c>
      <c r="J3205" s="69">
        <v>40</v>
      </c>
      <c r="K3205" s="70">
        <v>2</v>
      </c>
      <c r="L3205" s="68">
        <v>1</v>
      </c>
      <c r="M3205" s="68">
        <f>_xlfn.XLOOKUP(Survey!$F3205,sections[Start],sections[Test Section],,-1,1)</f>
        <v>9</v>
      </c>
      <c r="N3205" s="55">
        <f>_xlfn.XLOOKUP(Survey!$K3205,pipedata[ID],pipedata[WT])</f>
        <v>0.74</v>
      </c>
      <c r="O3205" s="56">
        <f>_xlfn.XLOOKUP(Survey!$K3205,pipedata[ID],pipedata[104%])</f>
        <v>2565.3333333333335</v>
      </c>
      <c r="P3205" s="57">
        <f t="shared" si="50"/>
        <v>1850</v>
      </c>
      <c r="Q3205" s="58">
        <f>_xlfn.MAXIFS(Survey!$G$2:$G$3647,Survey!$M$2:$M$3647,Survey!$M3205)-Survey!$G3205</f>
        <v>213.9698482747151</v>
      </c>
      <c r="R3205" s="59">
        <f>Survey!$P3205+(Survey!$Q3205*0.433)</f>
        <v>1942.6489443029516</v>
      </c>
    </row>
    <row r="3206" spans="1:18" x14ac:dyDescent="0.25">
      <c r="A3206" s="71" t="s">
        <v>17</v>
      </c>
      <c r="B3206" s="72" t="s">
        <v>23</v>
      </c>
      <c r="C3206" s="73" t="s">
        <v>19</v>
      </c>
      <c r="D3206" s="74">
        <v>250.69564778238896</v>
      </c>
      <c r="E3206" s="81">
        <v>1355049</v>
      </c>
      <c r="F3206" s="82">
        <v>1324664.6642335877</v>
      </c>
      <c r="G3206" s="75">
        <v>1840.8335777115262</v>
      </c>
      <c r="H3206" s="76">
        <v>2</v>
      </c>
      <c r="I3206" s="54" t="s">
        <v>20</v>
      </c>
      <c r="J3206" s="77">
        <v>40</v>
      </c>
      <c r="K3206" s="78">
        <v>2</v>
      </c>
      <c r="L3206" s="54">
        <v>1</v>
      </c>
      <c r="M3206" s="54">
        <f>_xlfn.XLOOKUP(Survey!$F3206,sections[Start],sections[Test Section],,-1,1)</f>
        <v>9</v>
      </c>
      <c r="N3206" s="55">
        <f>_xlfn.XLOOKUP(Survey!$K3206,pipedata[ID],pipedata[WT])</f>
        <v>0.74</v>
      </c>
      <c r="O3206" s="56">
        <f>_xlfn.XLOOKUP(Survey!$K3206,pipedata[ID],pipedata[104%])</f>
        <v>2565.3333333333335</v>
      </c>
      <c r="P3206" s="57">
        <f t="shared" si="50"/>
        <v>1850</v>
      </c>
      <c r="Q3206" s="58">
        <f>_xlfn.MAXIFS(Survey!$G$2:$G$3647,Survey!$M$2:$M$3647,Survey!$M3206)-Survey!$G3206</f>
        <v>225.50656859389528</v>
      </c>
      <c r="R3206" s="59">
        <f>Survey!$P3206+(Survey!$Q3206*0.433)</f>
        <v>1947.6443442011566</v>
      </c>
    </row>
    <row r="3207" spans="1:18" x14ac:dyDescent="0.25">
      <c r="A3207" s="60" t="s">
        <v>17</v>
      </c>
      <c r="B3207" s="61" t="s">
        <v>23</v>
      </c>
      <c r="C3207" s="62" t="s">
        <v>19</v>
      </c>
      <c r="D3207" s="63">
        <v>250.701914141797</v>
      </c>
      <c r="E3207" s="79">
        <v>1355089</v>
      </c>
      <c r="F3207" s="80">
        <v>1324703.2992700841</v>
      </c>
      <c r="G3207" s="66">
        <v>1831.662882051284</v>
      </c>
      <c r="H3207" s="67">
        <v>2</v>
      </c>
      <c r="I3207" s="68" t="s">
        <v>20</v>
      </c>
      <c r="J3207" s="69">
        <v>40</v>
      </c>
      <c r="K3207" s="70">
        <v>2</v>
      </c>
      <c r="L3207" s="68">
        <v>1</v>
      </c>
      <c r="M3207" s="68">
        <f>_xlfn.XLOOKUP(Survey!$F3207,sections[Start],sections[Test Section],,-1,1)</f>
        <v>9</v>
      </c>
      <c r="N3207" s="55">
        <f>_xlfn.XLOOKUP(Survey!$K3207,pipedata[ID],pipedata[WT])</f>
        <v>0.74</v>
      </c>
      <c r="O3207" s="56">
        <f>_xlfn.XLOOKUP(Survey!$K3207,pipedata[ID],pipedata[104%])</f>
        <v>2565.3333333333335</v>
      </c>
      <c r="P3207" s="57">
        <f t="shared" si="50"/>
        <v>1850</v>
      </c>
      <c r="Q3207" s="58">
        <f>_xlfn.MAXIFS(Survey!$G$2:$G$3647,Survey!$M$2:$M$3647,Survey!$M3207)-Survey!$G3207</f>
        <v>234.67726425413753</v>
      </c>
      <c r="R3207" s="59">
        <f>Survey!$P3207+(Survey!$Q3207*0.433)</f>
        <v>1951.6152554220416</v>
      </c>
    </row>
    <row r="3208" spans="1:18" x14ac:dyDescent="0.25">
      <c r="A3208" s="71" t="s">
        <v>17</v>
      </c>
      <c r="B3208" s="72" t="s">
        <v>23</v>
      </c>
      <c r="C3208" s="73" t="s">
        <v>19</v>
      </c>
      <c r="D3208" s="74">
        <v>250.7097344138742</v>
      </c>
      <c r="E3208" s="81">
        <v>1355129</v>
      </c>
      <c r="F3208" s="82">
        <v>1324741.9343065806</v>
      </c>
      <c r="G3208" s="75">
        <v>1823.003722189522</v>
      </c>
      <c r="H3208" s="76">
        <v>2</v>
      </c>
      <c r="I3208" s="54" t="s">
        <v>20</v>
      </c>
      <c r="J3208" s="77">
        <v>40</v>
      </c>
      <c r="K3208" s="78">
        <v>2</v>
      </c>
      <c r="L3208" s="54">
        <v>1</v>
      </c>
      <c r="M3208" s="54">
        <f>_xlfn.XLOOKUP(Survey!$F3208,sections[Start],sections[Test Section],,-1,1)</f>
        <v>9</v>
      </c>
      <c r="N3208" s="55">
        <f>_xlfn.XLOOKUP(Survey!$K3208,pipedata[ID],pipedata[WT])</f>
        <v>0.74</v>
      </c>
      <c r="O3208" s="56">
        <f>_xlfn.XLOOKUP(Survey!$K3208,pipedata[ID],pipedata[104%])</f>
        <v>2565.3333333333335</v>
      </c>
      <c r="P3208" s="57">
        <f t="shared" si="50"/>
        <v>1850</v>
      </c>
      <c r="Q3208" s="58">
        <f>_xlfn.MAXIFS(Survey!$G$2:$G$3647,Survey!$M$2:$M$3647,Survey!$M3208)-Survey!$G3208</f>
        <v>243.33642411589949</v>
      </c>
      <c r="R3208" s="59">
        <f>Survey!$P3208+(Survey!$Q3208*0.433)</f>
        <v>1955.3646716421845</v>
      </c>
    </row>
    <row r="3209" spans="1:18" x14ac:dyDescent="0.25">
      <c r="A3209" s="60" t="s">
        <v>17</v>
      </c>
      <c r="B3209" s="61" t="s">
        <v>23</v>
      </c>
      <c r="C3209" s="62" t="s">
        <v>19</v>
      </c>
      <c r="D3209" s="63">
        <v>250.71740428970944</v>
      </c>
      <c r="E3209" s="79">
        <v>1355169</v>
      </c>
      <c r="F3209" s="80">
        <v>1324780.569343077</v>
      </c>
      <c r="G3209" s="66">
        <v>1815.9393963806331</v>
      </c>
      <c r="H3209" s="67">
        <v>2</v>
      </c>
      <c r="I3209" s="68" t="s">
        <v>20</v>
      </c>
      <c r="J3209" s="69">
        <v>40</v>
      </c>
      <c r="K3209" s="70">
        <v>2</v>
      </c>
      <c r="L3209" s="68">
        <v>1</v>
      </c>
      <c r="M3209" s="68">
        <f>_xlfn.XLOOKUP(Survey!$F3209,sections[Start],sections[Test Section],,-1,1)</f>
        <v>9</v>
      </c>
      <c r="N3209" s="55">
        <f>_xlfn.XLOOKUP(Survey!$K3209,pipedata[ID],pipedata[WT])</f>
        <v>0.74</v>
      </c>
      <c r="O3209" s="56">
        <f>_xlfn.XLOOKUP(Survey!$K3209,pipedata[ID],pipedata[104%])</f>
        <v>2565.3333333333335</v>
      </c>
      <c r="P3209" s="57">
        <f t="shared" si="50"/>
        <v>1850</v>
      </c>
      <c r="Q3209" s="58">
        <f>_xlfn.MAXIFS(Survey!$G$2:$G$3647,Survey!$M$2:$M$3647,Survey!$M3209)-Survey!$G3209</f>
        <v>250.40074992478844</v>
      </c>
      <c r="R3209" s="59">
        <f>Survey!$P3209+(Survey!$Q3209*0.433)</f>
        <v>1958.4235247174333</v>
      </c>
    </row>
    <row r="3210" spans="1:18" x14ac:dyDescent="0.25">
      <c r="A3210" s="71" t="s">
        <v>17</v>
      </c>
      <c r="B3210" s="72" t="s">
        <v>23</v>
      </c>
      <c r="C3210" s="73" t="s">
        <v>19</v>
      </c>
      <c r="D3210" s="74">
        <v>250.72437288376753</v>
      </c>
      <c r="E3210" s="81">
        <v>1355209</v>
      </c>
      <c r="F3210" s="82">
        <v>1324819.2043795735</v>
      </c>
      <c r="G3210" s="75">
        <v>1808.243057118073</v>
      </c>
      <c r="H3210" s="76">
        <v>2</v>
      </c>
      <c r="I3210" s="54" t="s">
        <v>20</v>
      </c>
      <c r="J3210" s="77">
        <v>40</v>
      </c>
      <c r="K3210" s="78">
        <v>2</v>
      </c>
      <c r="L3210" s="54">
        <v>1</v>
      </c>
      <c r="M3210" s="54">
        <f>_xlfn.XLOOKUP(Survey!$F3210,sections[Start],sections[Test Section],,-1,1)</f>
        <v>9</v>
      </c>
      <c r="N3210" s="55">
        <f>_xlfn.XLOOKUP(Survey!$K3210,pipedata[ID],pipedata[WT])</f>
        <v>0.74</v>
      </c>
      <c r="O3210" s="56">
        <f>_xlfn.XLOOKUP(Survey!$K3210,pipedata[ID],pipedata[104%])</f>
        <v>2565.3333333333335</v>
      </c>
      <c r="P3210" s="57">
        <f t="shared" si="50"/>
        <v>1850</v>
      </c>
      <c r="Q3210" s="58">
        <f>_xlfn.MAXIFS(Survey!$G$2:$G$3647,Survey!$M$2:$M$3647,Survey!$M3210)-Survey!$G3210</f>
        <v>258.0970891873485</v>
      </c>
      <c r="R3210" s="59">
        <f>Survey!$P3210+(Survey!$Q3210*0.433)</f>
        <v>1961.7560396181218</v>
      </c>
    </row>
    <row r="3211" spans="1:18" x14ac:dyDescent="0.25">
      <c r="A3211" s="60" t="s">
        <v>17</v>
      </c>
      <c r="B3211" s="61" t="s">
        <v>23</v>
      </c>
      <c r="C3211" s="62" t="s">
        <v>19</v>
      </c>
      <c r="D3211" s="63">
        <v>250.7322658761889</v>
      </c>
      <c r="E3211" s="79">
        <v>1355249</v>
      </c>
      <c r="F3211" s="80">
        <v>1324857.8394160699</v>
      </c>
      <c r="G3211" s="66">
        <v>1803.5783120803869</v>
      </c>
      <c r="H3211" s="67">
        <v>2</v>
      </c>
      <c r="I3211" s="68" t="s">
        <v>20</v>
      </c>
      <c r="J3211" s="69">
        <v>40</v>
      </c>
      <c r="K3211" s="70">
        <v>2</v>
      </c>
      <c r="L3211" s="68">
        <v>1</v>
      </c>
      <c r="M3211" s="68">
        <f>_xlfn.XLOOKUP(Survey!$F3211,sections[Start],sections[Test Section],,-1,1)</f>
        <v>9</v>
      </c>
      <c r="N3211" s="55">
        <f>_xlfn.XLOOKUP(Survey!$K3211,pipedata[ID],pipedata[WT])</f>
        <v>0.74</v>
      </c>
      <c r="O3211" s="56">
        <f>_xlfn.XLOOKUP(Survey!$K3211,pipedata[ID],pipedata[104%])</f>
        <v>2565.3333333333335</v>
      </c>
      <c r="P3211" s="57">
        <f t="shared" si="50"/>
        <v>1850</v>
      </c>
      <c r="Q3211" s="58">
        <f>_xlfn.MAXIFS(Survey!$G$2:$G$3647,Survey!$M$2:$M$3647,Survey!$M3211)-Survey!$G3211</f>
        <v>262.76183422503459</v>
      </c>
      <c r="R3211" s="59">
        <f>Survey!$P3211+(Survey!$Q3211*0.433)</f>
        <v>1963.7758742194401</v>
      </c>
    </row>
    <row r="3212" spans="1:18" x14ac:dyDescent="0.25">
      <c r="A3212" s="71" t="s">
        <v>17</v>
      </c>
      <c r="B3212" s="72" t="s">
        <v>23</v>
      </c>
      <c r="C3212" s="73" t="s">
        <v>19</v>
      </c>
      <c r="D3212" s="74">
        <v>250.73972638665762</v>
      </c>
      <c r="E3212" s="81">
        <v>1355289</v>
      </c>
      <c r="F3212" s="82">
        <v>1324896.4744525664</v>
      </c>
      <c r="G3212" s="75">
        <v>1797.3874796047139</v>
      </c>
      <c r="H3212" s="76">
        <v>2</v>
      </c>
      <c r="I3212" s="54" t="s">
        <v>20</v>
      </c>
      <c r="J3212" s="77">
        <v>40</v>
      </c>
      <c r="K3212" s="78">
        <v>2</v>
      </c>
      <c r="L3212" s="54">
        <v>1</v>
      </c>
      <c r="M3212" s="54">
        <f>_xlfn.XLOOKUP(Survey!$F3212,sections[Start],sections[Test Section],,-1,1)</f>
        <v>9</v>
      </c>
      <c r="N3212" s="55">
        <f>_xlfn.XLOOKUP(Survey!$K3212,pipedata[ID],pipedata[WT])</f>
        <v>0.74</v>
      </c>
      <c r="O3212" s="56">
        <f>_xlfn.XLOOKUP(Survey!$K3212,pipedata[ID],pipedata[104%])</f>
        <v>2565.3333333333335</v>
      </c>
      <c r="P3212" s="57">
        <f t="shared" si="50"/>
        <v>1850</v>
      </c>
      <c r="Q3212" s="58">
        <f>_xlfn.MAXIFS(Survey!$G$2:$G$3647,Survey!$M$2:$M$3647,Survey!$M3212)-Survey!$G3212</f>
        <v>268.9526667007076</v>
      </c>
      <c r="R3212" s="59">
        <f>Survey!$P3212+(Survey!$Q3212*0.433)</f>
        <v>1966.4565046814064</v>
      </c>
    </row>
    <row r="3213" spans="1:18" x14ac:dyDescent="0.25">
      <c r="A3213" s="60" t="s">
        <v>17</v>
      </c>
      <c r="B3213" s="61" t="s">
        <v>23</v>
      </c>
      <c r="C3213" s="62" t="s">
        <v>19</v>
      </c>
      <c r="D3213" s="63">
        <v>250.74759908526582</v>
      </c>
      <c r="E3213" s="79">
        <v>1355329</v>
      </c>
      <c r="F3213" s="80">
        <v>1324935.1094890628</v>
      </c>
      <c r="G3213" s="66">
        <v>1790.2564846966627</v>
      </c>
      <c r="H3213" s="67">
        <v>2</v>
      </c>
      <c r="I3213" s="68" t="s">
        <v>20</v>
      </c>
      <c r="J3213" s="69">
        <v>40</v>
      </c>
      <c r="K3213" s="70">
        <v>2</v>
      </c>
      <c r="L3213" s="68">
        <v>1</v>
      </c>
      <c r="M3213" s="68">
        <f>_xlfn.XLOOKUP(Survey!$F3213,sections[Start],sections[Test Section],,-1,1)</f>
        <v>9</v>
      </c>
      <c r="N3213" s="55">
        <f>_xlfn.XLOOKUP(Survey!$K3213,pipedata[ID],pipedata[WT])</f>
        <v>0.74</v>
      </c>
      <c r="O3213" s="56">
        <f>_xlfn.XLOOKUP(Survey!$K3213,pipedata[ID],pipedata[104%])</f>
        <v>2565.3333333333335</v>
      </c>
      <c r="P3213" s="57">
        <f t="shared" si="50"/>
        <v>1850</v>
      </c>
      <c r="Q3213" s="58">
        <f>_xlfn.MAXIFS(Survey!$G$2:$G$3647,Survey!$M$2:$M$3647,Survey!$M3213)-Survey!$G3213</f>
        <v>276.0836616087588</v>
      </c>
      <c r="R3213" s="59">
        <f>Survey!$P3213+(Survey!$Q3213*0.433)</f>
        <v>1969.5442254765926</v>
      </c>
    </row>
    <row r="3214" spans="1:18" x14ac:dyDescent="0.25">
      <c r="A3214" s="71" t="s">
        <v>17</v>
      </c>
      <c r="B3214" s="72" t="s">
        <v>23</v>
      </c>
      <c r="C3214" s="73" t="s">
        <v>19</v>
      </c>
      <c r="D3214" s="74">
        <v>250.75437699457191</v>
      </c>
      <c r="E3214" s="81">
        <v>1355369</v>
      </c>
      <c r="F3214" s="82">
        <v>1324973.7445255592</v>
      </c>
      <c r="G3214" s="75">
        <v>1779.3625967615208</v>
      </c>
      <c r="H3214" s="76">
        <v>2</v>
      </c>
      <c r="I3214" s="54" t="s">
        <v>20</v>
      </c>
      <c r="J3214" s="77">
        <v>40</v>
      </c>
      <c r="K3214" s="78">
        <v>2</v>
      </c>
      <c r="L3214" s="54">
        <v>1</v>
      </c>
      <c r="M3214" s="54">
        <f>_xlfn.XLOOKUP(Survey!$F3214,sections[Start],sections[Test Section],,-1,1)</f>
        <v>9</v>
      </c>
      <c r="N3214" s="55">
        <f>_xlfn.XLOOKUP(Survey!$K3214,pipedata[ID],pipedata[WT])</f>
        <v>0.74</v>
      </c>
      <c r="O3214" s="56">
        <f>_xlfn.XLOOKUP(Survey!$K3214,pipedata[ID],pipedata[104%])</f>
        <v>2565.3333333333335</v>
      </c>
      <c r="P3214" s="57">
        <f t="shared" si="50"/>
        <v>1850</v>
      </c>
      <c r="Q3214" s="58">
        <f>_xlfn.MAXIFS(Survey!$G$2:$G$3647,Survey!$M$2:$M$3647,Survey!$M3214)-Survey!$G3214</f>
        <v>286.97754954390075</v>
      </c>
      <c r="R3214" s="59">
        <f>Survey!$P3214+(Survey!$Q3214*0.433)</f>
        <v>1974.261278952509</v>
      </c>
    </row>
    <row r="3215" spans="1:18" x14ac:dyDescent="0.25">
      <c r="A3215" s="60" t="s">
        <v>17</v>
      </c>
      <c r="B3215" s="61" t="s">
        <v>23</v>
      </c>
      <c r="C3215" s="62" t="s">
        <v>19</v>
      </c>
      <c r="D3215" s="63">
        <v>250.76139701780224</v>
      </c>
      <c r="E3215" s="79">
        <v>1355409</v>
      </c>
      <c r="F3215" s="80">
        <v>1325012.3795620557</v>
      </c>
      <c r="G3215" s="66">
        <v>1761.0648239553743</v>
      </c>
      <c r="H3215" s="67">
        <v>2</v>
      </c>
      <c r="I3215" s="68" t="s">
        <v>20</v>
      </c>
      <c r="J3215" s="69">
        <v>40</v>
      </c>
      <c r="K3215" s="70">
        <v>2</v>
      </c>
      <c r="L3215" s="68">
        <v>1</v>
      </c>
      <c r="M3215" s="68">
        <f>_xlfn.XLOOKUP(Survey!$F3215,sections[Start],sections[Test Section],,-1,1)</f>
        <v>9</v>
      </c>
      <c r="N3215" s="55">
        <f>_xlfn.XLOOKUP(Survey!$K3215,pipedata[ID],pipedata[WT])</f>
        <v>0.74</v>
      </c>
      <c r="O3215" s="56">
        <f>_xlfn.XLOOKUP(Survey!$K3215,pipedata[ID],pipedata[104%])</f>
        <v>2565.3333333333335</v>
      </c>
      <c r="P3215" s="57">
        <f t="shared" si="50"/>
        <v>1850</v>
      </c>
      <c r="Q3215" s="58">
        <f>_xlfn.MAXIFS(Survey!$G$2:$G$3647,Survey!$M$2:$M$3647,Survey!$M3215)-Survey!$G3215</f>
        <v>305.27532235004719</v>
      </c>
      <c r="R3215" s="59">
        <f>Survey!$P3215+(Survey!$Q3215*0.433)</f>
        <v>1982.1842145775704</v>
      </c>
    </row>
    <row r="3216" spans="1:18" x14ac:dyDescent="0.25">
      <c r="A3216" s="71" t="s">
        <v>17</v>
      </c>
      <c r="B3216" s="72" t="s">
        <v>23</v>
      </c>
      <c r="C3216" s="73" t="s">
        <v>19</v>
      </c>
      <c r="D3216" s="74">
        <v>250.76791357001039</v>
      </c>
      <c r="E3216" s="81">
        <v>1355449</v>
      </c>
      <c r="F3216" s="82">
        <v>1325051.0145985521</v>
      </c>
      <c r="G3216" s="75">
        <v>1744.1166896632965</v>
      </c>
      <c r="H3216" s="76">
        <v>2</v>
      </c>
      <c r="I3216" s="54" t="s">
        <v>20</v>
      </c>
      <c r="J3216" s="77">
        <v>40</v>
      </c>
      <c r="K3216" s="78">
        <v>2</v>
      </c>
      <c r="L3216" s="54">
        <v>1</v>
      </c>
      <c r="M3216" s="54">
        <f>_xlfn.XLOOKUP(Survey!$F3216,sections[Start],sections[Test Section],,-1,1)</f>
        <v>9</v>
      </c>
      <c r="N3216" s="55">
        <f>_xlfn.XLOOKUP(Survey!$K3216,pipedata[ID],pipedata[WT])</f>
        <v>0.74</v>
      </c>
      <c r="O3216" s="56">
        <f>_xlfn.XLOOKUP(Survey!$K3216,pipedata[ID],pipedata[104%])</f>
        <v>2565.3333333333335</v>
      </c>
      <c r="P3216" s="57">
        <f t="shared" si="50"/>
        <v>1850</v>
      </c>
      <c r="Q3216" s="58">
        <f>_xlfn.MAXIFS(Survey!$G$2:$G$3647,Survey!$M$2:$M$3647,Survey!$M3216)-Survey!$G3216</f>
        <v>322.22345664212503</v>
      </c>
      <c r="R3216" s="59">
        <f>Survey!$P3216+(Survey!$Q3216*0.433)</f>
        <v>1989.5227567260401</v>
      </c>
    </row>
    <row r="3217" spans="1:18" x14ac:dyDescent="0.25">
      <c r="A3217" s="60" t="s">
        <v>17</v>
      </c>
      <c r="B3217" s="61" t="s">
        <v>23</v>
      </c>
      <c r="C3217" s="62" t="s">
        <v>19</v>
      </c>
      <c r="D3217" s="63">
        <v>250.77435894966933</v>
      </c>
      <c r="E3217" s="79">
        <v>1355489</v>
      </c>
      <c r="F3217" s="80">
        <v>1325089.6496350486</v>
      </c>
      <c r="G3217" s="66">
        <v>1723.6367708444816</v>
      </c>
      <c r="H3217" s="67">
        <v>2</v>
      </c>
      <c r="I3217" s="68" t="s">
        <v>20</v>
      </c>
      <c r="J3217" s="69">
        <v>40</v>
      </c>
      <c r="K3217" s="70">
        <v>2</v>
      </c>
      <c r="L3217" s="68">
        <v>1</v>
      </c>
      <c r="M3217" s="68">
        <f>_xlfn.XLOOKUP(Survey!$F3217,sections[Start],sections[Test Section],,-1,1)</f>
        <v>9</v>
      </c>
      <c r="N3217" s="55">
        <f>_xlfn.XLOOKUP(Survey!$K3217,pipedata[ID],pipedata[WT])</f>
        <v>0.74</v>
      </c>
      <c r="O3217" s="56">
        <f>_xlfn.XLOOKUP(Survey!$K3217,pipedata[ID],pipedata[104%])</f>
        <v>2565.3333333333335</v>
      </c>
      <c r="P3217" s="57">
        <f t="shared" si="50"/>
        <v>1850</v>
      </c>
      <c r="Q3217" s="58">
        <f>_xlfn.MAXIFS(Survey!$G$2:$G$3647,Survey!$M$2:$M$3647,Survey!$M3217)-Survey!$G3217</f>
        <v>342.70337546093992</v>
      </c>
      <c r="R3217" s="59">
        <f>Survey!$P3217+(Survey!$Q3217*0.433)</f>
        <v>1998.3905615745871</v>
      </c>
    </row>
    <row r="3218" spans="1:18" x14ac:dyDescent="0.25">
      <c r="A3218" s="71" t="s">
        <v>17</v>
      </c>
      <c r="B3218" s="72" t="s">
        <v>23</v>
      </c>
      <c r="C3218" s="73" t="s">
        <v>19</v>
      </c>
      <c r="D3218" s="74">
        <v>250.78136106383047</v>
      </c>
      <c r="E3218" s="81">
        <v>1355529</v>
      </c>
      <c r="F3218" s="82">
        <v>1325128.284671545</v>
      </c>
      <c r="G3218" s="75">
        <v>1707.2022552270892</v>
      </c>
      <c r="H3218" s="76">
        <v>2</v>
      </c>
      <c r="I3218" s="54" t="s">
        <v>20</v>
      </c>
      <c r="J3218" s="77">
        <v>40</v>
      </c>
      <c r="K3218" s="78">
        <v>2</v>
      </c>
      <c r="L3218" s="54">
        <v>1</v>
      </c>
      <c r="M3218" s="54">
        <f>_xlfn.XLOOKUP(Survey!$F3218,sections[Start],sections[Test Section],,-1,1)</f>
        <v>9</v>
      </c>
      <c r="N3218" s="55">
        <f>_xlfn.XLOOKUP(Survey!$K3218,pipedata[ID],pipedata[WT])</f>
        <v>0.74</v>
      </c>
      <c r="O3218" s="56">
        <f>_xlfn.XLOOKUP(Survey!$K3218,pipedata[ID],pipedata[104%])</f>
        <v>2565.3333333333335</v>
      </c>
      <c r="P3218" s="57">
        <f t="shared" si="50"/>
        <v>1850</v>
      </c>
      <c r="Q3218" s="58">
        <f>_xlfn.MAXIFS(Survey!$G$2:$G$3647,Survey!$M$2:$M$3647,Survey!$M3218)-Survey!$G3218</f>
        <v>359.13789107833236</v>
      </c>
      <c r="R3218" s="59">
        <f>Survey!$P3218+(Survey!$Q3218*0.433)</f>
        <v>2005.5067068369178</v>
      </c>
    </row>
    <row r="3219" spans="1:18" x14ac:dyDescent="0.25">
      <c r="A3219" s="60" t="s">
        <v>17</v>
      </c>
      <c r="B3219" s="61" t="s">
        <v>23</v>
      </c>
      <c r="C3219" s="62" t="s">
        <v>19</v>
      </c>
      <c r="D3219" s="63">
        <v>250.78901063337531</v>
      </c>
      <c r="E3219" s="79">
        <v>1355569</v>
      </c>
      <c r="F3219" s="80">
        <v>1325166.9197080415</v>
      </c>
      <c r="G3219" s="66">
        <v>1690.7162300430971</v>
      </c>
      <c r="H3219" s="67">
        <v>2</v>
      </c>
      <c r="I3219" s="68" t="s">
        <v>20</v>
      </c>
      <c r="J3219" s="69">
        <v>40</v>
      </c>
      <c r="K3219" s="70">
        <v>2</v>
      </c>
      <c r="L3219" s="68">
        <v>1</v>
      </c>
      <c r="M3219" s="68">
        <f>_xlfn.XLOOKUP(Survey!$F3219,sections[Start],sections[Test Section],,-1,1)</f>
        <v>9</v>
      </c>
      <c r="N3219" s="55">
        <f>_xlfn.XLOOKUP(Survey!$K3219,pipedata[ID],pipedata[WT])</f>
        <v>0.74</v>
      </c>
      <c r="O3219" s="56">
        <f>_xlfn.XLOOKUP(Survey!$K3219,pipedata[ID],pipedata[104%])</f>
        <v>2565.3333333333335</v>
      </c>
      <c r="P3219" s="57">
        <f t="shared" si="50"/>
        <v>1850</v>
      </c>
      <c r="Q3219" s="58">
        <f>_xlfn.MAXIFS(Survey!$G$2:$G$3647,Survey!$M$2:$M$3647,Survey!$M3219)-Survey!$G3219</f>
        <v>375.62391626232443</v>
      </c>
      <c r="R3219" s="59">
        <f>Survey!$P3219+(Survey!$Q3219*0.433)</f>
        <v>2012.6451557415864</v>
      </c>
    </row>
    <row r="3220" spans="1:18" x14ac:dyDescent="0.25">
      <c r="A3220" s="71" t="s">
        <v>17</v>
      </c>
      <c r="B3220" s="72" t="s">
        <v>23</v>
      </c>
      <c r="C3220" s="73" t="s">
        <v>19</v>
      </c>
      <c r="D3220" s="74">
        <v>250.79641473724843</v>
      </c>
      <c r="E3220" s="81">
        <v>1355609</v>
      </c>
      <c r="F3220" s="82">
        <v>1325205.5547445379</v>
      </c>
      <c r="G3220" s="75">
        <v>1677.4956742082647</v>
      </c>
      <c r="H3220" s="76">
        <v>2</v>
      </c>
      <c r="I3220" s="54" t="s">
        <v>20</v>
      </c>
      <c r="J3220" s="77">
        <v>40</v>
      </c>
      <c r="K3220" s="78">
        <v>2</v>
      </c>
      <c r="L3220" s="54">
        <v>1</v>
      </c>
      <c r="M3220" s="54">
        <f>_xlfn.XLOOKUP(Survey!$F3220,sections[Start],sections[Test Section],,-1,1)</f>
        <v>9</v>
      </c>
      <c r="N3220" s="55">
        <f>_xlfn.XLOOKUP(Survey!$K3220,pipedata[ID],pipedata[WT])</f>
        <v>0.74</v>
      </c>
      <c r="O3220" s="56">
        <f>_xlfn.XLOOKUP(Survey!$K3220,pipedata[ID],pipedata[104%])</f>
        <v>2565.3333333333335</v>
      </c>
      <c r="P3220" s="57">
        <f t="shared" si="50"/>
        <v>1850</v>
      </c>
      <c r="Q3220" s="58">
        <f>_xlfn.MAXIFS(Survey!$G$2:$G$3647,Survey!$M$2:$M$3647,Survey!$M3220)-Survey!$G3220</f>
        <v>388.84447209715677</v>
      </c>
      <c r="R3220" s="59">
        <f>Survey!$P3220+(Survey!$Q3220*0.433)</f>
        <v>2018.3696564180689</v>
      </c>
    </row>
    <row r="3221" spans="1:18" x14ac:dyDescent="0.25">
      <c r="A3221" s="60" t="s">
        <v>17</v>
      </c>
      <c r="B3221" s="61" t="s">
        <v>23</v>
      </c>
      <c r="C3221" s="62" t="s">
        <v>19</v>
      </c>
      <c r="D3221" s="63">
        <v>250.8030853550363</v>
      </c>
      <c r="E3221" s="79">
        <v>1355649</v>
      </c>
      <c r="F3221" s="80">
        <v>1325244.1897810344</v>
      </c>
      <c r="G3221" s="66">
        <v>1667.1328476623933</v>
      </c>
      <c r="H3221" s="67">
        <v>2</v>
      </c>
      <c r="I3221" s="68" t="s">
        <v>20</v>
      </c>
      <c r="J3221" s="69">
        <v>40</v>
      </c>
      <c r="K3221" s="70">
        <v>2</v>
      </c>
      <c r="L3221" s="68">
        <v>1</v>
      </c>
      <c r="M3221" s="68">
        <f>_xlfn.XLOOKUP(Survey!$F3221,sections[Start],sections[Test Section],,-1,1)</f>
        <v>9</v>
      </c>
      <c r="N3221" s="55">
        <f>_xlfn.XLOOKUP(Survey!$K3221,pipedata[ID],pipedata[WT])</f>
        <v>0.74</v>
      </c>
      <c r="O3221" s="56">
        <f>_xlfn.XLOOKUP(Survey!$K3221,pipedata[ID],pipedata[104%])</f>
        <v>2565.3333333333335</v>
      </c>
      <c r="P3221" s="57">
        <f t="shared" si="50"/>
        <v>1850</v>
      </c>
      <c r="Q3221" s="58">
        <f>_xlfn.MAXIFS(Survey!$G$2:$G$3647,Survey!$M$2:$M$3647,Survey!$M3221)-Survey!$G3221</f>
        <v>399.20729864302825</v>
      </c>
      <c r="R3221" s="59">
        <f>Survey!$P3221+(Survey!$Q3221*0.433)</f>
        <v>2022.8567603124311</v>
      </c>
    </row>
    <row r="3222" spans="1:18" x14ac:dyDescent="0.25">
      <c r="A3222" s="71" t="s">
        <v>17</v>
      </c>
      <c r="B3222" s="72" t="s">
        <v>23</v>
      </c>
      <c r="C3222" s="73" t="s">
        <v>19</v>
      </c>
      <c r="D3222" s="74">
        <v>250.81004694962348</v>
      </c>
      <c r="E3222" s="81">
        <v>1355689</v>
      </c>
      <c r="F3222" s="82">
        <v>1325282.8248175308</v>
      </c>
      <c r="G3222" s="75">
        <v>1658.8749478316122</v>
      </c>
      <c r="H3222" s="76">
        <v>2</v>
      </c>
      <c r="I3222" s="54" t="s">
        <v>20</v>
      </c>
      <c r="J3222" s="77">
        <v>40</v>
      </c>
      <c r="K3222" s="78">
        <v>2</v>
      </c>
      <c r="L3222" s="54">
        <v>1</v>
      </c>
      <c r="M3222" s="54">
        <f>_xlfn.XLOOKUP(Survey!$F3222,sections[Start],sections[Test Section],,-1,1)</f>
        <v>9</v>
      </c>
      <c r="N3222" s="55">
        <f>_xlfn.XLOOKUP(Survey!$K3222,pipedata[ID],pipedata[WT])</f>
        <v>0.74</v>
      </c>
      <c r="O3222" s="56">
        <f>_xlfn.XLOOKUP(Survey!$K3222,pipedata[ID],pipedata[104%])</f>
        <v>2565.3333333333335</v>
      </c>
      <c r="P3222" s="57">
        <f t="shared" si="50"/>
        <v>1850</v>
      </c>
      <c r="Q3222" s="58">
        <f>_xlfn.MAXIFS(Survey!$G$2:$G$3647,Survey!$M$2:$M$3647,Survey!$M3222)-Survey!$G3222</f>
        <v>407.46519847380932</v>
      </c>
      <c r="R3222" s="59">
        <f>Survey!$P3222+(Survey!$Q3222*0.433)</f>
        <v>2026.4324309391595</v>
      </c>
    </row>
    <row r="3223" spans="1:18" x14ac:dyDescent="0.25">
      <c r="A3223" s="60" t="s">
        <v>17</v>
      </c>
      <c r="B3223" s="61" t="s">
        <v>23</v>
      </c>
      <c r="C3223" s="62" t="s">
        <v>19</v>
      </c>
      <c r="D3223" s="63">
        <v>250.81769651916827</v>
      </c>
      <c r="E3223" s="79">
        <v>1355729</v>
      </c>
      <c r="F3223" s="80">
        <v>1325321.4598540273</v>
      </c>
      <c r="G3223" s="66">
        <v>1649.1860653853853</v>
      </c>
      <c r="H3223" s="67">
        <v>2</v>
      </c>
      <c r="I3223" s="68" t="s">
        <v>20</v>
      </c>
      <c r="J3223" s="69">
        <v>40</v>
      </c>
      <c r="K3223" s="70">
        <v>2</v>
      </c>
      <c r="L3223" s="68">
        <v>1</v>
      </c>
      <c r="M3223" s="68">
        <f>_xlfn.XLOOKUP(Survey!$F3223,sections[Start],sections[Test Section],,-1,1)</f>
        <v>9</v>
      </c>
      <c r="N3223" s="55">
        <f>_xlfn.XLOOKUP(Survey!$K3223,pipedata[ID],pipedata[WT])</f>
        <v>0.74</v>
      </c>
      <c r="O3223" s="56">
        <f>_xlfn.XLOOKUP(Survey!$K3223,pipedata[ID],pipedata[104%])</f>
        <v>2565.3333333333335</v>
      </c>
      <c r="P3223" s="57">
        <f t="shared" si="50"/>
        <v>1850</v>
      </c>
      <c r="Q3223" s="58">
        <f>_xlfn.MAXIFS(Survey!$G$2:$G$3647,Survey!$M$2:$M$3647,Survey!$M3223)-Survey!$G3223</f>
        <v>417.15408092003622</v>
      </c>
      <c r="R3223" s="59">
        <f>Survey!$P3223+(Survey!$Q3223*0.433)</f>
        <v>2030.6277170383757</v>
      </c>
    </row>
    <row r="3224" spans="1:18" x14ac:dyDescent="0.25">
      <c r="A3224" s="71" t="s">
        <v>17</v>
      </c>
      <c r="B3224" s="72" t="s">
        <v>23</v>
      </c>
      <c r="C3224" s="73" t="s">
        <v>19</v>
      </c>
      <c r="D3224" s="74">
        <v>250.8255018416296</v>
      </c>
      <c r="E3224" s="81">
        <v>1355769</v>
      </c>
      <c r="F3224" s="82">
        <v>1325360.0948905237</v>
      </c>
      <c r="G3224" s="75">
        <v>1639.4105319515616</v>
      </c>
      <c r="H3224" s="76">
        <v>2</v>
      </c>
      <c r="I3224" s="54" t="s">
        <v>20</v>
      </c>
      <c r="J3224" s="77">
        <v>40</v>
      </c>
      <c r="K3224" s="78">
        <v>2</v>
      </c>
      <c r="L3224" s="54">
        <v>1</v>
      </c>
      <c r="M3224" s="54">
        <f>_xlfn.XLOOKUP(Survey!$F3224,sections[Start],sections[Test Section],,-1,1)</f>
        <v>9</v>
      </c>
      <c r="N3224" s="55">
        <f>_xlfn.XLOOKUP(Survey!$K3224,pipedata[ID],pipedata[WT])</f>
        <v>0.74</v>
      </c>
      <c r="O3224" s="56">
        <f>_xlfn.XLOOKUP(Survey!$K3224,pipedata[ID],pipedata[104%])</f>
        <v>2565.3333333333335</v>
      </c>
      <c r="P3224" s="57">
        <f t="shared" si="50"/>
        <v>1850</v>
      </c>
      <c r="Q3224" s="58">
        <f>_xlfn.MAXIFS(Survey!$G$2:$G$3647,Survey!$M$2:$M$3647,Survey!$M3224)-Survey!$G3224</f>
        <v>426.92961435385996</v>
      </c>
      <c r="R3224" s="59">
        <f>Survey!$P3224+(Survey!$Q3224*0.433)</f>
        <v>2034.8605230152214</v>
      </c>
    </row>
    <row r="3225" spans="1:18" x14ac:dyDescent="0.25">
      <c r="A3225" s="60" t="s">
        <v>17</v>
      </c>
      <c r="B3225" s="61" t="s">
        <v>23</v>
      </c>
      <c r="C3225" s="62" t="s">
        <v>19</v>
      </c>
      <c r="D3225" s="63">
        <v>250.83299565825789</v>
      </c>
      <c r="E3225" s="79">
        <v>1355809</v>
      </c>
      <c r="F3225" s="80">
        <v>1325398.7299270201</v>
      </c>
      <c r="G3225" s="66">
        <v>1627.8186222318411</v>
      </c>
      <c r="H3225" s="67">
        <v>2</v>
      </c>
      <c r="I3225" s="68" t="s">
        <v>20</v>
      </c>
      <c r="J3225" s="69">
        <v>40</v>
      </c>
      <c r="K3225" s="70">
        <v>2</v>
      </c>
      <c r="L3225" s="68">
        <v>1</v>
      </c>
      <c r="M3225" s="68">
        <f>_xlfn.XLOOKUP(Survey!$F3225,sections[Start],sections[Test Section],,-1,1)</f>
        <v>9</v>
      </c>
      <c r="N3225" s="55">
        <f>_xlfn.XLOOKUP(Survey!$K3225,pipedata[ID],pipedata[WT])</f>
        <v>0.74</v>
      </c>
      <c r="O3225" s="56">
        <f>_xlfn.XLOOKUP(Survey!$K3225,pipedata[ID],pipedata[104%])</f>
        <v>2565.3333333333335</v>
      </c>
      <c r="P3225" s="57">
        <f t="shared" si="50"/>
        <v>1850</v>
      </c>
      <c r="Q3225" s="58">
        <f>_xlfn.MAXIFS(Survey!$G$2:$G$3647,Survey!$M$2:$M$3647,Survey!$M3225)-Survey!$G3225</f>
        <v>438.52152407358039</v>
      </c>
      <c r="R3225" s="59">
        <f>Survey!$P3225+(Survey!$Q3225*0.433)</f>
        <v>2039.8798199238604</v>
      </c>
    </row>
    <row r="3226" spans="1:18" x14ac:dyDescent="0.25">
      <c r="A3226" s="71" t="s">
        <v>17</v>
      </c>
      <c r="B3226" s="72" t="s">
        <v>23</v>
      </c>
      <c r="C3226" s="73" t="s">
        <v>19</v>
      </c>
      <c r="D3226" s="74">
        <v>250.83916831196458</v>
      </c>
      <c r="E3226" s="81">
        <v>1355849</v>
      </c>
      <c r="F3226" s="82">
        <v>1325437.3649635166</v>
      </c>
      <c r="G3226" s="75">
        <v>1614.5</v>
      </c>
      <c r="H3226" s="76">
        <v>2</v>
      </c>
      <c r="I3226" s="54" t="s">
        <v>20</v>
      </c>
      <c r="J3226" s="77">
        <v>28</v>
      </c>
      <c r="K3226" s="78">
        <v>2</v>
      </c>
      <c r="L3226" s="54">
        <v>1</v>
      </c>
      <c r="M3226" s="54">
        <f>_xlfn.XLOOKUP(Survey!$F3226,sections[Start],sections[Test Section],,-1,1)</f>
        <v>9</v>
      </c>
      <c r="N3226" s="55">
        <f>_xlfn.XLOOKUP(Survey!$K3226,pipedata[ID],pipedata[WT])</f>
        <v>0.74</v>
      </c>
      <c r="O3226" s="56">
        <f>_xlfn.XLOOKUP(Survey!$K3226,pipedata[ID],pipedata[104%])</f>
        <v>2565.3333333333335</v>
      </c>
      <c r="P3226" s="57">
        <f t="shared" si="50"/>
        <v>1850</v>
      </c>
      <c r="Q3226" s="58">
        <f>_xlfn.MAXIFS(Survey!$G$2:$G$3647,Survey!$M$2:$M$3647,Survey!$M3226)-Survey!$G3226</f>
        <v>451.84014630542151</v>
      </c>
      <c r="R3226" s="59">
        <f>Survey!$P3226+(Survey!$Q3226*0.433)</f>
        <v>2045.6467833502475</v>
      </c>
    </row>
    <row r="3227" spans="1:18" x14ac:dyDescent="0.25">
      <c r="A3227" s="60" t="s">
        <v>17</v>
      </c>
      <c r="B3227" s="61" t="s">
        <v>23</v>
      </c>
      <c r="C3227" s="62" t="s">
        <v>19</v>
      </c>
      <c r="D3227" s="63">
        <v>250.84638240496139</v>
      </c>
      <c r="E3227" s="79">
        <v>1355877</v>
      </c>
      <c r="F3227" s="80">
        <v>1325476</v>
      </c>
      <c r="G3227" s="66">
        <v>1600.8197050712147</v>
      </c>
      <c r="H3227" s="67">
        <v>1</v>
      </c>
      <c r="I3227" s="68" t="s">
        <v>20</v>
      </c>
      <c r="J3227" s="69">
        <v>52</v>
      </c>
      <c r="K3227" s="70">
        <v>1</v>
      </c>
      <c r="L3227" s="68">
        <v>1</v>
      </c>
      <c r="M3227" s="68">
        <f>_xlfn.XLOOKUP(Survey!$F3227,sections[Start],sections[Test Section],,-1,1)</f>
        <v>9</v>
      </c>
      <c r="N3227" s="55">
        <f>_xlfn.XLOOKUP(Survey!$K3227,pipedata[ID],pipedata[WT])</f>
        <v>0.61699999999999999</v>
      </c>
      <c r="O3227" s="56">
        <f>_xlfn.XLOOKUP(Survey!$K3227,pipedata[ID],pipedata[104%])</f>
        <v>2138.9333333333334</v>
      </c>
      <c r="P3227" s="57">
        <f t="shared" si="50"/>
        <v>1850</v>
      </c>
      <c r="Q3227" s="58">
        <f>_xlfn.MAXIFS(Survey!$G$2:$G$3647,Survey!$M$2:$M$3647,Survey!$M3227)-Survey!$G3227</f>
        <v>465.52044123420683</v>
      </c>
      <c r="R3227" s="59">
        <f>Survey!$P3227+(Survey!$Q3227*0.433)</f>
        <v>2051.5703510544117</v>
      </c>
    </row>
    <row r="3228" spans="1:18" x14ac:dyDescent="0.25">
      <c r="A3228" s="71" t="s">
        <v>17</v>
      </c>
      <c r="B3228" s="72" t="s">
        <v>23</v>
      </c>
      <c r="C3228" s="73" t="s">
        <v>19</v>
      </c>
      <c r="D3228" s="74">
        <v>250.85398155885596</v>
      </c>
      <c r="E3228" s="81">
        <v>1355929</v>
      </c>
      <c r="F3228" s="82">
        <v>1325516.7857142857</v>
      </c>
      <c r="G3228" s="75">
        <v>1587.6728207348733</v>
      </c>
      <c r="H3228" s="76">
        <v>1</v>
      </c>
      <c r="I3228" s="54" t="s">
        <v>20</v>
      </c>
      <c r="J3228" s="77">
        <v>40</v>
      </c>
      <c r="K3228" s="78">
        <v>1</v>
      </c>
      <c r="L3228" s="54">
        <v>1</v>
      </c>
      <c r="M3228" s="54">
        <f>_xlfn.XLOOKUP(Survey!$F3228,sections[Start],sections[Test Section],,-1,1)</f>
        <v>9</v>
      </c>
      <c r="N3228" s="55">
        <f>_xlfn.XLOOKUP(Survey!$K3228,pipedata[ID],pipedata[WT])</f>
        <v>0.61699999999999999</v>
      </c>
      <c r="O3228" s="56">
        <f>_xlfn.XLOOKUP(Survey!$K3228,pipedata[ID],pipedata[104%])</f>
        <v>2138.9333333333334</v>
      </c>
      <c r="P3228" s="57">
        <f t="shared" si="50"/>
        <v>1850</v>
      </c>
      <c r="Q3228" s="58">
        <f>_xlfn.MAXIFS(Survey!$G$2:$G$3647,Survey!$M$2:$M$3647,Survey!$M3228)-Survey!$G3228</f>
        <v>478.6673255705482</v>
      </c>
      <c r="R3228" s="59">
        <f>Survey!$P3228+(Survey!$Q3228*0.433)</f>
        <v>2057.2629519720472</v>
      </c>
    </row>
    <row r="3229" spans="1:18" x14ac:dyDescent="0.25">
      <c r="A3229" s="60" t="s">
        <v>17</v>
      </c>
      <c r="B3229" s="61" t="s">
        <v>23</v>
      </c>
      <c r="C3229" s="62" t="s">
        <v>19</v>
      </c>
      <c r="D3229" s="63">
        <v>250.86157141814897</v>
      </c>
      <c r="E3229" s="79">
        <v>1355969</v>
      </c>
      <c r="F3229" s="80">
        <v>1325557.5714285714</v>
      </c>
      <c r="G3229" s="66">
        <v>1573.5420498753076</v>
      </c>
      <c r="H3229" s="67">
        <v>1</v>
      </c>
      <c r="I3229" s="68" t="s">
        <v>20</v>
      </c>
      <c r="J3229" s="69">
        <v>40</v>
      </c>
      <c r="K3229" s="70">
        <v>1</v>
      </c>
      <c r="L3229" s="68">
        <v>1</v>
      </c>
      <c r="M3229" s="68">
        <f>_xlfn.XLOOKUP(Survey!$F3229,sections[Start],sections[Test Section],,-1,1)</f>
        <v>9</v>
      </c>
      <c r="N3229" s="55">
        <f>_xlfn.XLOOKUP(Survey!$K3229,pipedata[ID],pipedata[WT])</f>
        <v>0.61699999999999999</v>
      </c>
      <c r="O3229" s="56">
        <f>_xlfn.XLOOKUP(Survey!$K3229,pipedata[ID],pipedata[104%])</f>
        <v>2138.9333333333334</v>
      </c>
      <c r="P3229" s="57">
        <f t="shared" si="50"/>
        <v>1850</v>
      </c>
      <c r="Q3229" s="58">
        <f>_xlfn.MAXIFS(Survey!$G$2:$G$3647,Survey!$M$2:$M$3647,Survey!$M3229)-Survey!$G3229</f>
        <v>492.7980964301139</v>
      </c>
      <c r="R3229" s="59">
        <f>Survey!$P3229+(Survey!$Q3229*0.433)</f>
        <v>2063.3815757542393</v>
      </c>
    </row>
    <row r="3230" spans="1:18" x14ac:dyDescent="0.25">
      <c r="A3230" s="71" t="s">
        <v>17</v>
      </c>
      <c r="B3230" s="72" t="s">
        <v>23</v>
      </c>
      <c r="C3230" s="73" t="s">
        <v>19</v>
      </c>
      <c r="D3230" s="74">
        <v>250.86726381261872</v>
      </c>
      <c r="E3230" s="81">
        <v>1356009</v>
      </c>
      <c r="F3230" s="82">
        <v>1325598.357142857</v>
      </c>
      <c r="G3230" s="75">
        <v>1558.8313490075543</v>
      </c>
      <c r="H3230" s="76">
        <v>1</v>
      </c>
      <c r="I3230" s="54" t="s">
        <v>20</v>
      </c>
      <c r="J3230" s="77">
        <v>40</v>
      </c>
      <c r="K3230" s="78">
        <v>1</v>
      </c>
      <c r="L3230" s="54">
        <v>1</v>
      </c>
      <c r="M3230" s="54">
        <f>_xlfn.XLOOKUP(Survey!$F3230,sections[Start],sections[Test Section],,-1,1)</f>
        <v>9</v>
      </c>
      <c r="N3230" s="55">
        <f>_xlfn.XLOOKUP(Survey!$K3230,pipedata[ID],pipedata[WT])</f>
        <v>0.61699999999999999</v>
      </c>
      <c r="O3230" s="56">
        <f>_xlfn.XLOOKUP(Survey!$K3230,pipedata[ID],pipedata[104%])</f>
        <v>2138.9333333333334</v>
      </c>
      <c r="P3230" s="57">
        <f t="shared" si="50"/>
        <v>1850</v>
      </c>
      <c r="Q3230" s="58">
        <f>_xlfn.MAXIFS(Survey!$G$2:$G$3647,Survey!$M$2:$M$3647,Survey!$M3230)-Survey!$G3230</f>
        <v>507.5087972978672</v>
      </c>
      <c r="R3230" s="59">
        <f>Survey!$P3230+(Survey!$Q3230*0.433)</f>
        <v>2069.7513092299764</v>
      </c>
    </row>
    <row r="3231" spans="1:18" x14ac:dyDescent="0.25">
      <c r="A3231" s="60" t="s">
        <v>17</v>
      </c>
      <c r="B3231" s="61" t="s">
        <v>23</v>
      </c>
      <c r="C3231" s="62" t="s">
        <v>19</v>
      </c>
      <c r="D3231" s="63">
        <v>250.87485367191169</v>
      </c>
      <c r="E3231" s="79">
        <v>1356049</v>
      </c>
      <c r="F3231" s="80">
        <v>1325639.1428571427</v>
      </c>
      <c r="G3231" s="66">
        <v>1543.0195318055041</v>
      </c>
      <c r="H3231" s="67">
        <v>1</v>
      </c>
      <c r="I3231" s="68" t="s">
        <v>20</v>
      </c>
      <c r="J3231" s="69">
        <v>40</v>
      </c>
      <c r="K3231" s="70">
        <v>1</v>
      </c>
      <c r="L3231" s="68">
        <v>1</v>
      </c>
      <c r="M3231" s="68">
        <f>_xlfn.XLOOKUP(Survey!$F3231,sections[Start],sections[Test Section],,-1,1)</f>
        <v>9</v>
      </c>
      <c r="N3231" s="55">
        <f>_xlfn.XLOOKUP(Survey!$K3231,pipedata[ID],pipedata[WT])</f>
        <v>0.61699999999999999</v>
      </c>
      <c r="O3231" s="56">
        <f>_xlfn.XLOOKUP(Survey!$K3231,pipedata[ID],pipedata[104%])</f>
        <v>2138.9333333333334</v>
      </c>
      <c r="P3231" s="57">
        <f t="shared" si="50"/>
        <v>1850</v>
      </c>
      <c r="Q3231" s="58">
        <f>_xlfn.MAXIFS(Survey!$G$2:$G$3647,Survey!$M$2:$M$3647,Survey!$M3231)-Survey!$G3231</f>
        <v>523.32061449991738</v>
      </c>
      <c r="R3231" s="59">
        <f>Survey!$P3231+(Survey!$Q3231*0.433)</f>
        <v>2076.5978260784641</v>
      </c>
    </row>
    <row r="3232" spans="1:18" x14ac:dyDescent="0.25">
      <c r="A3232" s="71" t="s">
        <v>17</v>
      </c>
      <c r="B3232" s="72" t="s">
        <v>23</v>
      </c>
      <c r="C3232" s="73" t="s">
        <v>19</v>
      </c>
      <c r="D3232" s="74">
        <v>250.88245397184835</v>
      </c>
      <c r="E3232" s="81">
        <v>1356089</v>
      </c>
      <c r="F3232" s="82">
        <v>1325679.9285714284</v>
      </c>
      <c r="G3232" s="75">
        <v>1527.7285304218158</v>
      </c>
      <c r="H3232" s="76">
        <v>1</v>
      </c>
      <c r="I3232" s="54" t="s">
        <v>20</v>
      </c>
      <c r="J3232" s="77">
        <v>40</v>
      </c>
      <c r="K3232" s="78">
        <v>1</v>
      </c>
      <c r="L3232" s="54">
        <v>1</v>
      </c>
      <c r="M3232" s="54">
        <f>_xlfn.XLOOKUP(Survey!$F3232,sections[Start],sections[Test Section],,-1,1)</f>
        <v>9</v>
      </c>
      <c r="N3232" s="55">
        <f>_xlfn.XLOOKUP(Survey!$K3232,pipedata[ID],pipedata[WT])</f>
        <v>0.61699999999999999</v>
      </c>
      <c r="O3232" s="56">
        <f>_xlfn.XLOOKUP(Survey!$K3232,pipedata[ID],pipedata[104%])</f>
        <v>2138.9333333333334</v>
      </c>
      <c r="P3232" s="57">
        <f t="shared" si="50"/>
        <v>1850</v>
      </c>
      <c r="Q3232" s="58">
        <f>_xlfn.MAXIFS(Survey!$G$2:$G$3647,Survey!$M$2:$M$3647,Survey!$M3232)-Survey!$G3232</f>
        <v>538.61161588360574</v>
      </c>
      <c r="R3232" s="59">
        <f>Survey!$P3232+(Survey!$Q3232*0.433)</f>
        <v>2083.2188296776012</v>
      </c>
    </row>
    <row r="3233" spans="1:18" x14ac:dyDescent="0.25">
      <c r="A3233" s="60" t="s">
        <v>17</v>
      </c>
      <c r="B3233" s="61" t="s">
        <v>23</v>
      </c>
      <c r="C3233" s="62" t="s">
        <v>19</v>
      </c>
      <c r="D3233" s="63">
        <v>250.88828223307942</v>
      </c>
      <c r="E3233" s="79">
        <v>1356129</v>
      </c>
      <c r="F3233" s="80">
        <v>1325720.7142857141</v>
      </c>
      <c r="G3233" s="66">
        <v>1511.227853757186</v>
      </c>
      <c r="H3233" s="67">
        <v>1</v>
      </c>
      <c r="I3233" s="68" t="s">
        <v>20</v>
      </c>
      <c r="J3233" s="69">
        <v>40</v>
      </c>
      <c r="K3233" s="70">
        <v>1</v>
      </c>
      <c r="L3233" s="68">
        <v>1</v>
      </c>
      <c r="M3233" s="68">
        <f>_xlfn.XLOOKUP(Survey!$F3233,sections[Start],sections[Test Section],,-1,1)</f>
        <v>9</v>
      </c>
      <c r="N3233" s="55">
        <f>_xlfn.XLOOKUP(Survey!$K3233,pipedata[ID],pipedata[WT])</f>
        <v>0.61699999999999999</v>
      </c>
      <c r="O3233" s="56">
        <f>_xlfn.XLOOKUP(Survey!$K3233,pipedata[ID],pipedata[104%])</f>
        <v>2138.9333333333334</v>
      </c>
      <c r="P3233" s="57">
        <f t="shared" si="50"/>
        <v>1850</v>
      </c>
      <c r="Q3233" s="58">
        <f>_xlfn.MAXIFS(Survey!$G$2:$G$3647,Survey!$M$2:$M$3647,Survey!$M3233)-Survey!$G3233</f>
        <v>555.11229254823547</v>
      </c>
      <c r="R3233" s="59">
        <f>Survey!$P3233+(Survey!$Q3233*0.433)</f>
        <v>2090.3636226733861</v>
      </c>
    </row>
    <row r="3234" spans="1:18" x14ac:dyDescent="0.25">
      <c r="A3234" s="71" t="s">
        <v>17</v>
      </c>
      <c r="B3234" s="72" t="s">
        <v>23</v>
      </c>
      <c r="C3234" s="73" t="s">
        <v>19</v>
      </c>
      <c r="D3234" s="74">
        <v>250.89682322032954</v>
      </c>
      <c r="E3234" s="81">
        <v>1356169</v>
      </c>
      <c r="F3234" s="82">
        <v>1325761.4999999998</v>
      </c>
      <c r="G3234" s="75">
        <v>1498.0706299442966</v>
      </c>
      <c r="H3234" s="76">
        <v>1</v>
      </c>
      <c r="I3234" s="54" t="s">
        <v>20</v>
      </c>
      <c r="J3234" s="77">
        <v>40</v>
      </c>
      <c r="K3234" s="78">
        <v>1</v>
      </c>
      <c r="L3234" s="54">
        <v>1</v>
      </c>
      <c r="M3234" s="54">
        <f>_xlfn.XLOOKUP(Survey!$F3234,sections[Start],sections[Test Section],,-1,1)</f>
        <v>9</v>
      </c>
      <c r="N3234" s="55">
        <f>_xlfn.XLOOKUP(Survey!$K3234,pipedata[ID],pipedata[WT])</f>
        <v>0.61699999999999999</v>
      </c>
      <c r="O3234" s="56">
        <f>_xlfn.XLOOKUP(Survey!$K3234,pipedata[ID],pipedata[104%])</f>
        <v>2138.9333333333334</v>
      </c>
      <c r="P3234" s="57">
        <f t="shared" si="50"/>
        <v>1850</v>
      </c>
      <c r="Q3234" s="58">
        <f>_xlfn.MAXIFS(Survey!$G$2:$G$3647,Survey!$M$2:$M$3647,Survey!$M3234)-Survey!$G3234</f>
        <v>568.26951636112494</v>
      </c>
      <c r="R3234" s="59">
        <f>Survey!$P3234+(Survey!$Q3234*0.433)</f>
        <v>2096.0607005843672</v>
      </c>
    </row>
    <row r="3235" spans="1:18" x14ac:dyDescent="0.25">
      <c r="A3235" s="60" t="s">
        <v>17</v>
      </c>
      <c r="B3235" s="61" t="s">
        <v>23</v>
      </c>
      <c r="C3235" s="62" t="s">
        <v>19</v>
      </c>
      <c r="D3235" s="63">
        <v>250.90340815402283</v>
      </c>
      <c r="E3235" s="79">
        <v>1356209</v>
      </c>
      <c r="F3235" s="80">
        <v>1325802.2857142854</v>
      </c>
      <c r="G3235" s="66">
        <v>1485.0017466809115</v>
      </c>
      <c r="H3235" s="67">
        <v>1</v>
      </c>
      <c r="I3235" s="68" t="s">
        <v>20</v>
      </c>
      <c r="J3235" s="69">
        <v>40</v>
      </c>
      <c r="K3235" s="70">
        <v>1</v>
      </c>
      <c r="L3235" s="68">
        <v>1</v>
      </c>
      <c r="M3235" s="68">
        <f>_xlfn.XLOOKUP(Survey!$F3235,sections[Start],sections[Test Section],,-1,1)</f>
        <v>9</v>
      </c>
      <c r="N3235" s="55">
        <f>_xlfn.XLOOKUP(Survey!$K3235,pipedata[ID],pipedata[WT])</f>
        <v>0.61699999999999999</v>
      </c>
      <c r="O3235" s="56">
        <f>_xlfn.XLOOKUP(Survey!$K3235,pipedata[ID],pipedata[104%])</f>
        <v>2138.9333333333334</v>
      </c>
      <c r="P3235" s="57">
        <f t="shared" si="50"/>
        <v>1850</v>
      </c>
      <c r="Q3235" s="58">
        <f>_xlfn.MAXIFS(Survey!$G$2:$G$3647,Survey!$M$2:$M$3647,Survey!$M3235)-Survey!$G3235</f>
        <v>581.33839962450998</v>
      </c>
      <c r="R3235" s="59">
        <f>Survey!$P3235+(Survey!$Q3235*0.433)</f>
        <v>2101.7195270374127</v>
      </c>
    </row>
    <row r="3236" spans="1:18" x14ac:dyDescent="0.25">
      <c r="A3236" s="71" t="s">
        <v>17</v>
      </c>
      <c r="B3236" s="72" t="s">
        <v>23</v>
      </c>
      <c r="C3236" s="73" t="s">
        <v>19</v>
      </c>
      <c r="D3236" s="74">
        <v>250.91102785663168</v>
      </c>
      <c r="E3236" s="81">
        <v>1356249</v>
      </c>
      <c r="F3236" s="82">
        <v>1325843.0714285711</v>
      </c>
      <c r="G3236" s="75">
        <v>1475.008486092571</v>
      </c>
      <c r="H3236" s="76">
        <v>1</v>
      </c>
      <c r="I3236" s="54" t="s">
        <v>20</v>
      </c>
      <c r="J3236" s="77">
        <v>40</v>
      </c>
      <c r="K3236" s="78">
        <v>1</v>
      </c>
      <c r="L3236" s="54">
        <v>1</v>
      </c>
      <c r="M3236" s="54">
        <f>_xlfn.XLOOKUP(Survey!$F3236,sections[Start],sections[Test Section],,-1,1)</f>
        <v>9</v>
      </c>
      <c r="N3236" s="55">
        <f>_xlfn.XLOOKUP(Survey!$K3236,pipedata[ID],pipedata[WT])</f>
        <v>0.61699999999999999</v>
      </c>
      <c r="O3236" s="56">
        <f>_xlfn.XLOOKUP(Survey!$K3236,pipedata[ID],pipedata[104%])</f>
        <v>2138.9333333333334</v>
      </c>
      <c r="P3236" s="57">
        <f t="shared" si="50"/>
        <v>1850</v>
      </c>
      <c r="Q3236" s="58">
        <f>_xlfn.MAXIFS(Survey!$G$2:$G$3647,Survey!$M$2:$M$3647,Survey!$M3236)-Survey!$G3236</f>
        <v>591.33166021285047</v>
      </c>
      <c r="R3236" s="59">
        <f>Survey!$P3236+(Survey!$Q3236*0.433)</f>
        <v>2106.0466088721641</v>
      </c>
    </row>
    <row r="3237" spans="1:18" x14ac:dyDescent="0.25">
      <c r="A3237" s="60" t="s">
        <v>17</v>
      </c>
      <c r="B3237" s="61" t="s">
        <v>23</v>
      </c>
      <c r="C3237" s="62" t="s">
        <v>19</v>
      </c>
      <c r="D3237" s="63">
        <v>250.91864755924061</v>
      </c>
      <c r="E3237" s="79">
        <v>1356289</v>
      </c>
      <c r="F3237" s="80">
        <v>1325883.8571428568</v>
      </c>
      <c r="G3237" s="66">
        <v>1462.6167589084152</v>
      </c>
      <c r="H3237" s="67">
        <v>1</v>
      </c>
      <c r="I3237" s="68" t="s">
        <v>20</v>
      </c>
      <c r="J3237" s="69">
        <v>40</v>
      </c>
      <c r="K3237" s="70">
        <v>1</v>
      </c>
      <c r="L3237" s="68">
        <v>1</v>
      </c>
      <c r="M3237" s="68">
        <f>_xlfn.XLOOKUP(Survey!$F3237,sections[Start],sections[Test Section],,-1,1)</f>
        <v>9</v>
      </c>
      <c r="N3237" s="55">
        <f>_xlfn.XLOOKUP(Survey!$K3237,pipedata[ID],pipedata[WT])</f>
        <v>0.61699999999999999</v>
      </c>
      <c r="O3237" s="56">
        <f>_xlfn.XLOOKUP(Survey!$K3237,pipedata[ID],pipedata[104%])</f>
        <v>2138.9333333333334</v>
      </c>
      <c r="P3237" s="57">
        <f t="shared" si="50"/>
        <v>1850</v>
      </c>
      <c r="Q3237" s="58">
        <f>_xlfn.MAXIFS(Survey!$G$2:$G$3647,Survey!$M$2:$M$3647,Survey!$M3237)-Survey!$G3237</f>
        <v>603.72338739700626</v>
      </c>
      <c r="R3237" s="59">
        <f>Survey!$P3237+(Survey!$Q3237*0.433)</f>
        <v>2111.4122267429038</v>
      </c>
    </row>
    <row r="3238" spans="1:18" x14ac:dyDescent="0.25">
      <c r="A3238" s="71" t="s">
        <v>17</v>
      </c>
      <c r="B3238" s="72" t="s">
        <v>23</v>
      </c>
      <c r="C3238" s="73" t="s">
        <v>19</v>
      </c>
      <c r="D3238" s="74">
        <v>250.92559132348146</v>
      </c>
      <c r="E3238" s="81">
        <v>1356329</v>
      </c>
      <c r="F3238" s="82">
        <v>1325924.6428571425</v>
      </c>
      <c r="G3238" s="75">
        <v>1453.0250063597182</v>
      </c>
      <c r="H3238" s="76">
        <v>1</v>
      </c>
      <c r="I3238" s="54" t="s">
        <v>20</v>
      </c>
      <c r="J3238" s="77">
        <v>40</v>
      </c>
      <c r="K3238" s="78">
        <v>1</v>
      </c>
      <c r="L3238" s="54">
        <v>1</v>
      </c>
      <c r="M3238" s="54">
        <f>_xlfn.XLOOKUP(Survey!$F3238,sections[Start],sections[Test Section],,-1,1)</f>
        <v>9</v>
      </c>
      <c r="N3238" s="55">
        <f>_xlfn.XLOOKUP(Survey!$K3238,pipedata[ID],pipedata[WT])</f>
        <v>0.61699999999999999</v>
      </c>
      <c r="O3238" s="56">
        <f>_xlfn.XLOOKUP(Survey!$K3238,pipedata[ID],pipedata[104%])</f>
        <v>2138.9333333333334</v>
      </c>
      <c r="P3238" s="57">
        <f t="shared" si="50"/>
        <v>1850</v>
      </c>
      <c r="Q3238" s="58">
        <f>_xlfn.MAXIFS(Survey!$G$2:$G$3647,Survey!$M$2:$M$3647,Survey!$M3238)-Survey!$G3238</f>
        <v>613.31513994570332</v>
      </c>
      <c r="R3238" s="59">
        <f>Survey!$P3238+(Survey!$Q3238*0.433)</f>
        <v>2115.5654555964893</v>
      </c>
    </row>
    <row r="3239" spans="1:18" x14ac:dyDescent="0.25">
      <c r="A3239" s="60" t="s">
        <v>17</v>
      </c>
      <c r="B3239" s="61" t="s">
        <v>23</v>
      </c>
      <c r="C3239" s="62" t="s">
        <v>19</v>
      </c>
      <c r="D3239" s="63">
        <v>250.93289282078075</v>
      </c>
      <c r="E3239" s="79">
        <v>1356369</v>
      </c>
      <c r="F3239" s="80">
        <v>1325965.4285714282</v>
      </c>
      <c r="G3239" s="66">
        <v>1447.9559075089307</v>
      </c>
      <c r="H3239" s="67">
        <v>1</v>
      </c>
      <c r="I3239" s="68" t="s">
        <v>20</v>
      </c>
      <c r="J3239" s="69">
        <v>40</v>
      </c>
      <c r="K3239" s="70">
        <v>1</v>
      </c>
      <c r="L3239" s="68">
        <v>1</v>
      </c>
      <c r="M3239" s="68">
        <f>_xlfn.XLOOKUP(Survey!$F3239,sections[Start],sections[Test Section],,-1,1)</f>
        <v>9</v>
      </c>
      <c r="N3239" s="55">
        <f>_xlfn.XLOOKUP(Survey!$K3239,pipedata[ID],pipedata[WT])</f>
        <v>0.61699999999999999</v>
      </c>
      <c r="O3239" s="56">
        <f>_xlfn.XLOOKUP(Survey!$K3239,pipedata[ID],pipedata[104%])</f>
        <v>2138.9333333333334</v>
      </c>
      <c r="P3239" s="57">
        <f t="shared" si="50"/>
        <v>1850</v>
      </c>
      <c r="Q3239" s="58">
        <f>_xlfn.MAXIFS(Survey!$G$2:$G$3647,Survey!$M$2:$M$3647,Survey!$M3239)-Survey!$G3239</f>
        <v>618.38423879649076</v>
      </c>
      <c r="R3239" s="59">
        <f>Survey!$P3239+(Survey!$Q3239*0.433)</f>
        <v>2117.7603753988806</v>
      </c>
    </row>
    <row r="3240" spans="1:18" x14ac:dyDescent="0.25">
      <c r="A3240" s="71" t="s">
        <v>17</v>
      </c>
      <c r="B3240" s="72" t="s">
        <v>23</v>
      </c>
      <c r="C3240" s="73" t="s">
        <v>19</v>
      </c>
      <c r="D3240" s="74">
        <v>250.94041437181599</v>
      </c>
      <c r="E3240" s="81">
        <v>1356409</v>
      </c>
      <c r="F3240" s="82">
        <v>1326006.2142857139</v>
      </c>
      <c r="G3240" s="75">
        <v>1446.1593215426524</v>
      </c>
      <c r="H3240" s="76">
        <v>1</v>
      </c>
      <c r="I3240" s="54" t="s">
        <v>20</v>
      </c>
      <c r="J3240" s="77">
        <v>39</v>
      </c>
      <c r="K3240" s="78">
        <v>1</v>
      </c>
      <c r="L3240" s="54">
        <v>1</v>
      </c>
      <c r="M3240" s="54">
        <f>_xlfn.XLOOKUP(Survey!$F3240,sections[Start],sections[Test Section],,-1,1)</f>
        <v>9</v>
      </c>
      <c r="N3240" s="55">
        <f>_xlfn.XLOOKUP(Survey!$K3240,pipedata[ID],pipedata[WT])</f>
        <v>0.61699999999999999</v>
      </c>
      <c r="O3240" s="56">
        <f>_xlfn.XLOOKUP(Survey!$K3240,pipedata[ID],pipedata[104%])</f>
        <v>2138.9333333333334</v>
      </c>
      <c r="P3240" s="57">
        <f t="shared" si="50"/>
        <v>1850</v>
      </c>
      <c r="Q3240" s="58">
        <f>_xlfn.MAXIFS(Survey!$G$2:$G$3647,Survey!$M$2:$M$3647,Survey!$M3240)-Survey!$G3240</f>
        <v>620.18082476276913</v>
      </c>
      <c r="R3240" s="59">
        <f>Survey!$P3240+(Survey!$Q3240*0.433)</f>
        <v>2118.5382971222789</v>
      </c>
    </row>
    <row r="3241" spans="1:18" x14ac:dyDescent="0.25">
      <c r="A3241" s="60" t="s">
        <v>17</v>
      </c>
      <c r="B3241" s="61" t="s">
        <v>23</v>
      </c>
      <c r="C3241" s="62" t="s">
        <v>19</v>
      </c>
      <c r="D3241" s="63">
        <v>250.94864939866852</v>
      </c>
      <c r="E3241" s="79">
        <v>1356448</v>
      </c>
      <c r="F3241" s="80">
        <v>1326047</v>
      </c>
      <c r="G3241" s="66">
        <v>1443.7164414330814</v>
      </c>
      <c r="H3241" s="67">
        <v>1</v>
      </c>
      <c r="I3241" s="68" t="s">
        <v>21</v>
      </c>
      <c r="J3241" s="69">
        <v>40</v>
      </c>
      <c r="K3241" s="70">
        <v>6</v>
      </c>
      <c r="L3241" s="68">
        <v>1</v>
      </c>
      <c r="M3241" s="68">
        <f>_xlfn.XLOOKUP(Survey!$F3241,sections[Start],sections[Test Section],,-1,1)</f>
        <v>9</v>
      </c>
      <c r="N3241" s="55">
        <f>_xlfn.XLOOKUP(Survey!$K3241,pipedata[ID],pipedata[WT])</f>
        <v>0.61699999999999999</v>
      </c>
      <c r="O3241" s="56">
        <f>_xlfn.XLOOKUP(Survey!$K3241,pipedata[ID],pipedata[104%])</f>
        <v>2138.9333333333334</v>
      </c>
      <c r="P3241" s="57">
        <f t="shared" si="50"/>
        <v>1850</v>
      </c>
      <c r="Q3241" s="58">
        <f>_xlfn.MAXIFS(Survey!$G$2:$G$3647,Survey!$M$2:$M$3647,Survey!$M3241)-Survey!$G3241</f>
        <v>622.62370487234011</v>
      </c>
      <c r="R3241" s="59">
        <f>Survey!$P3241+(Survey!$Q3241*0.433)</f>
        <v>2119.5960642097234</v>
      </c>
    </row>
    <row r="3242" spans="1:18" x14ac:dyDescent="0.25">
      <c r="A3242" s="71" t="s">
        <v>17</v>
      </c>
      <c r="B3242" s="72" t="s">
        <v>23</v>
      </c>
      <c r="C3242" s="73" t="s">
        <v>19</v>
      </c>
      <c r="D3242" s="74">
        <v>250.95607969286115</v>
      </c>
      <c r="E3242" s="81">
        <v>1356488</v>
      </c>
      <c r="F3242" s="82">
        <v>1326087</v>
      </c>
      <c r="G3242" s="75">
        <v>1444.467274239134</v>
      </c>
      <c r="H3242" s="76">
        <v>1</v>
      </c>
      <c r="I3242" s="54" t="s">
        <v>21</v>
      </c>
      <c r="J3242" s="77">
        <v>41</v>
      </c>
      <c r="K3242" s="78">
        <v>1</v>
      </c>
      <c r="L3242" s="54">
        <v>1</v>
      </c>
      <c r="M3242" s="54">
        <f>_xlfn.XLOOKUP(Survey!$F3242,sections[Start],sections[Test Section],,-1,1)</f>
        <v>9</v>
      </c>
      <c r="N3242" s="55">
        <f>_xlfn.XLOOKUP(Survey!$K3242,pipedata[ID],pipedata[WT])</f>
        <v>0.61699999999999999</v>
      </c>
      <c r="O3242" s="56">
        <f>_xlfn.XLOOKUP(Survey!$K3242,pipedata[ID],pipedata[104%])</f>
        <v>2138.9333333333334</v>
      </c>
      <c r="P3242" s="57">
        <f t="shared" si="50"/>
        <v>1850</v>
      </c>
      <c r="Q3242" s="58">
        <f>_xlfn.MAXIFS(Survey!$G$2:$G$3647,Survey!$M$2:$M$3647,Survey!$M3242)-Survey!$G3242</f>
        <v>621.87287206628753</v>
      </c>
      <c r="R3242" s="59">
        <f>Survey!$P3242+(Survey!$Q3242*0.433)</f>
        <v>2119.2709536047023</v>
      </c>
    </row>
    <row r="3243" spans="1:18" x14ac:dyDescent="0.25">
      <c r="A3243" s="60" t="s">
        <v>17</v>
      </c>
      <c r="B3243" s="61" t="s">
        <v>23</v>
      </c>
      <c r="C3243" s="62" t="s">
        <v>19</v>
      </c>
      <c r="D3243" s="63">
        <v>250.96277686625916</v>
      </c>
      <c r="E3243" s="79">
        <v>1356529</v>
      </c>
      <c r="F3243" s="80">
        <v>1326117.2</v>
      </c>
      <c r="G3243" s="66">
        <v>1444.9519620078136</v>
      </c>
      <c r="H3243" s="67">
        <v>1</v>
      </c>
      <c r="I3243" s="68" t="s">
        <v>20</v>
      </c>
      <c r="J3243" s="69">
        <v>40</v>
      </c>
      <c r="K3243" s="70">
        <v>1</v>
      </c>
      <c r="L3243" s="68">
        <v>1</v>
      </c>
      <c r="M3243" s="68">
        <f>_xlfn.XLOOKUP(Survey!$F3243,sections[Start],sections[Test Section],,-1,1)</f>
        <v>9</v>
      </c>
      <c r="N3243" s="55">
        <f>_xlfn.XLOOKUP(Survey!$K3243,pipedata[ID],pipedata[WT])</f>
        <v>0.61699999999999999</v>
      </c>
      <c r="O3243" s="56">
        <f>_xlfn.XLOOKUP(Survey!$K3243,pipedata[ID],pipedata[104%])</f>
        <v>2138.9333333333334</v>
      </c>
      <c r="P3243" s="57">
        <f t="shared" si="50"/>
        <v>1850</v>
      </c>
      <c r="Q3243" s="58">
        <f>_xlfn.MAXIFS(Survey!$G$2:$G$3647,Survey!$M$2:$M$3647,Survey!$M3243)-Survey!$G3243</f>
        <v>621.38818429760795</v>
      </c>
      <c r="R3243" s="59">
        <f>Survey!$P3243+(Survey!$Q3243*0.433)</f>
        <v>2119.0610838008643</v>
      </c>
    </row>
    <row r="3244" spans="1:18" x14ac:dyDescent="0.25">
      <c r="A3244" s="71" t="s">
        <v>17</v>
      </c>
      <c r="B3244" s="72" t="s">
        <v>23</v>
      </c>
      <c r="C3244" s="73" t="s">
        <v>19</v>
      </c>
      <c r="D3244" s="74">
        <v>250.97045578226627</v>
      </c>
      <c r="E3244" s="81">
        <v>1356569</v>
      </c>
      <c r="F3244" s="82">
        <v>1326147.3999999999</v>
      </c>
      <c r="G3244" s="75">
        <v>1445.2864175961915</v>
      </c>
      <c r="H3244" s="76">
        <v>1</v>
      </c>
      <c r="I3244" s="54" t="s">
        <v>20</v>
      </c>
      <c r="J3244" s="77">
        <v>40</v>
      </c>
      <c r="K3244" s="78">
        <v>1</v>
      </c>
      <c r="L3244" s="54">
        <v>1</v>
      </c>
      <c r="M3244" s="54">
        <f>_xlfn.XLOOKUP(Survey!$F3244,sections[Start],sections[Test Section],,-1,1)</f>
        <v>9</v>
      </c>
      <c r="N3244" s="55">
        <f>_xlfn.XLOOKUP(Survey!$K3244,pipedata[ID],pipedata[WT])</f>
        <v>0.61699999999999999</v>
      </c>
      <c r="O3244" s="56">
        <f>_xlfn.XLOOKUP(Survey!$K3244,pipedata[ID],pipedata[104%])</f>
        <v>2138.9333333333334</v>
      </c>
      <c r="P3244" s="57">
        <f t="shared" si="50"/>
        <v>1850</v>
      </c>
      <c r="Q3244" s="58">
        <f>_xlfn.MAXIFS(Survey!$G$2:$G$3647,Survey!$M$2:$M$3647,Survey!$M3244)-Survey!$G3244</f>
        <v>621.05372870922997</v>
      </c>
      <c r="R3244" s="59">
        <f>Survey!$P3244+(Survey!$Q3244*0.433)</f>
        <v>2118.9162645310967</v>
      </c>
    </row>
    <row r="3245" spans="1:18" x14ac:dyDescent="0.25">
      <c r="A3245" s="60" t="s">
        <v>17</v>
      </c>
      <c r="B3245" s="61" t="s">
        <v>23</v>
      </c>
      <c r="C3245" s="62" t="s">
        <v>19</v>
      </c>
      <c r="D3245" s="63">
        <v>250.97829549533733</v>
      </c>
      <c r="E3245" s="79">
        <v>1356609</v>
      </c>
      <c r="F3245" s="80">
        <v>1326177.5999999999</v>
      </c>
      <c r="G3245" s="66">
        <v>1446.9409260327632</v>
      </c>
      <c r="H3245" s="67">
        <v>1</v>
      </c>
      <c r="I3245" s="68" t="s">
        <v>20</v>
      </c>
      <c r="J3245" s="69">
        <v>31</v>
      </c>
      <c r="K3245" s="70">
        <v>1</v>
      </c>
      <c r="L3245" s="68">
        <v>1</v>
      </c>
      <c r="M3245" s="68">
        <f>_xlfn.XLOOKUP(Survey!$F3245,sections[Start],sections[Test Section],,-1,1)</f>
        <v>9</v>
      </c>
      <c r="N3245" s="55">
        <f>_xlfn.XLOOKUP(Survey!$K3245,pipedata[ID],pipedata[WT])</f>
        <v>0.61699999999999999</v>
      </c>
      <c r="O3245" s="56">
        <f>_xlfn.XLOOKUP(Survey!$K3245,pipedata[ID],pipedata[104%])</f>
        <v>2138.9333333333334</v>
      </c>
      <c r="P3245" s="57">
        <f t="shared" si="50"/>
        <v>1850</v>
      </c>
      <c r="Q3245" s="58">
        <f>_xlfn.MAXIFS(Survey!$G$2:$G$3647,Survey!$M$2:$M$3647,Survey!$M3245)-Survey!$G3245</f>
        <v>619.39922027265834</v>
      </c>
      <c r="R3245" s="59">
        <f>Survey!$P3245+(Survey!$Q3245*0.433)</f>
        <v>2118.199862378061</v>
      </c>
    </row>
    <row r="3246" spans="1:18" x14ac:dyDescent="0.25">
      <c r="A3246" s="71" t="s">
        <v>17</v>
      </c>
      <c r="B3246" s="72" t="s">
        <v>23</v>
      </c>
      <c r="C3246" s="73" t="s">
        <v>19</v>
      </c>
      <c r="D3246" s="74">
        <v>250.98581361428052</v>
      </c>
      <c r="E3246" s="81">
        <v>1356640</v>
      </c>
      <c r="F3246" s="82">
        <v>1326238</v>
      </c>
      <c r="G3246" s="75">
        <v>1448.8769534401297</v>
      </c>
      <c r="H3246" s="76">
        <v>2</v>
      </c>
      <c r="I3246" s="54" t="s">
        <v>20</v>
      </c>
      <c r="J3246" s="77">
        <v>40</v>
      </c>
      <c r="K3246" s="78">
        <v>2</v>
      </c>
      <c r="L3246" s="54">
        <v>1</v>
      </c>
      <c r="M3246" s="54">
        <f>_xlfn.XLOOKUP(Survey!$F3246,sections[Start],sections[Test Section],,-1,1)</f>
        <v>9</v>
      </c>
      <c r="N3246" s="55">
        <f>_xlfn.XLOOKUP(Survey!$K3246,pipedata[ID],pipedata[WT])</f>
        <v>0.74</v>
      </c>
      <c r="O3246" s="56">
        <f>_xlfn.XLOOKUP(Survey!$K3246,pipedata[ID],pipedata[104%])</f>
        <v>2565.3333333333335</v>
      </c>
      <c r="P3246" s="57">
        <f t="shared" si="50"/>
        <v>1850</v>
      </c>
      <c r="Q3246" s="58">
        <f>_xlfn.MAXIFS(Survey!$G$2:$G$3647,Survey!$M$2:$M$3647,Survey!$M3246)-Survey!$G3246</f>
        <v>617.46319286529183</v>
      </c>
      <c r="R3246" s="59">
        <f>Survey!$P3246+(Survey!$Q3246*0.433)</f>
        <v>2117.3615625106713</v>
      </c>
    </row>
    <row r="3247" spans="1:18" x14ac:dyDescent="0.25">
      <c r="A3247" s="60" t="s">
        <v>17</v>
      </c>
      <c r="B3247" s="61" t="s">
        <v>23</v>
      </c>
      <c r="C3247" s="62" t="s">
        <v>19</v>
      </c>
      <c r="D3247" s="63">
        <v>250.99349253028754</v>
      </c>
      <c r="E3247" s="79">
        <v>1356680</v>
      </c>
      <c r="F3247" s="80">
        <v>1326278</v>
      </c>
      <c r="G3247" s="66">
        <v>1451.3583372421638</v>
      </c>
      <c r="H3247" s="67">
        <v>1</v>
      </c>
      <c r="I3247" s="68" t="s">
        <v>20</v>
      </c>
      <c r="J3247" s="69">
        <v>49</v>
      </c>
      <c r="K3247" s="70">
        <v>1</v>
      </c>
      <c r="L3247" s="68">
        <v>1</v>
      </c>
      <c r="M3247" s="68">
        <f>_xlfn.XLOOKUP(Survey!$F3247,sections[Start],sections[Test Section],,-1,1)</f>
        <v>9</v>
      </c>
      <c r="N3247" s="55">
        <f>_xlfn.XLOOKUP(Survey!$K3247,pipedata[ID],pipedata[WT])</f>
        <v>0.61699999999999999</v>
      </c>
      <c r="O3247" s="56">
        <f>_xlfn.XLOOKUP(Survey!$K3247,pipedata[ID],pipedata[104%])</f>
        <v>2138.9333333333334</v>
      </c>
      <c r="P3247" s="57">
        <f t="shared" si="50"/>
        <v>1850</v>
      </c>
      <c r="Q3247" s="58">
        <f>_xlfn.MAXIFS(Survey!$G$2:$G$3647,Survey!$M$2:$M$3647,Survey!$M3247)-Survey!$G3247</f>
        <v>614.98180906325774</v>
      </c>
      <c r="R3247" s="59">
        <f>Survey!$P3247+(Survey!$Q3247*0.433)</f>
        <v>2116.2871233243904</v>
      </c>
    </row>
    <row r="3248" spans="1:18" x14ac:dyDescent="0.25">
      <c r="A3248" s="71" t="s">
        <v>17</v>
      </c>
      <c r="B3248" s="72" t="s">
        <v>23</v>
      </c>
      <c r="C3248" s="73" t="s">
        <v>19</v>
      </c>
      <c r="D3248" s="74">
        <v>251.00117144629476</v>
      </c>
      <c r="E3248" s="81">
        <v>1356729</v>
      </c>
      <c r="F3248" s="82">
        <v>1326317.0762711863</v>
      </c>
      <c r="G3248" s="75">
        <v>1469.7986882542464</v>
      </c>
      <c r="H3248" s="76">
        <v>1</v>
      </c>
      <c r="I3248" s="54" t="s">
        <v>20</v>
      </c>
      <c r="J3248" s="77">
        <v>40</v>
      </c>
      <c r="K3248" s="78">
        <v>1</v>
      </c>
      <c r="L3248" s="54">
        <v>1</v>
      </c>
      <c r="M3248" s="54">
        <f>_xlfn.XLOOKUP(Survey!$F3248,sections[Start],sections[Test Section],,-1,1)</f>
        <v>9</v>
      </c>
      <c r="N3248" s="55">
        <f>_xlfn.XLOOKUP(Survey!$K3248,pipedata[ID],pipedata[WT])</f>
        <v>0.61699999999999999</v>
      </c>
      <c r="O3248" s="56">
        <f>_xlfn.XLOOKUP(Survey!$K3248,pipedata[ID],pipedata[104%])</f>
        <v>2138.9333333333334</v>
      </c>
      <c r="P3248" s="57">
        <f t="shared" si="50"/>
        <v>1850</v>
      </c>
      <c r="Q3248" s="58">
        <f>_xlfn.MAXIFS(Survey!$G$2:$G$3647,Survey!$M$2:$M$3647,Survey!$M3248)-Survey!$G3248</f>
        <v>596.54145805117514</v>
      </c>
      <c r="R3248" s="59">
        <f>Survey!$P3248+(Survey!$Q3248*0.433)</f>
        <v>2108.3024513361588</v>
      </c>
    </row>
    <row r="3249" spans="1:18" x14ac:dyDescent="0.25">
      <c r="A3249" s="60" t="s">
        <v>17</v>
      </c>
      <c r="B3249" s="61" t="s">
        <v>23</v>
      </c>
      <c r="C3249" s="62" t="s">
        <v>19</v>
      </c>
      <c r="D3249" s="63">
        <v>251.00794159200569</v>
      </c>
      <c r="E3249" s="79">
        <v>1356769</v>
      </c>
      <c r="F3249" s="80">
        <v>1326356.1525423727</v>
      </c>
      <c r="G3249" s="66">
        <v>1483.12</v>
      </c>
      <c r="H3249" s="67">
        <v>1</v>
      </c>
      <c r="I3249" s="68" t="s">
        <v>20</v>
      </c>
      <c r="J3249" s="69">
        <v>40</v>
      </c>
      <c r="K3249" s="70">
        <v>1</v>
      </c>
      <c r="L3249" s="68">
        <v>1</v>
      </c>
      <c r="M3249" s="68">
        <f>_xlfn.XLOOKUP(Survey!$F3249,sections[Start],sections[Test Section],,-1,1)</f>
        <v>9</v>
      </c>
      <c r="N3249" s="55">
        <f>_xlfn.XLOOKUP(Survey!$K3249,pipedata[ID],pipedata[WT])</f>
        <v>0.61699999999999999</v>
      </c>
      <c r="O3249" s="56">
        <f>_xlfn.XLOOKUP(Survey!$K3249,pipedata[ID],pipedata[104%])</f>
        <v>2138.9333333333334</v>
      </c>
      <c r="P3249" s="57">
        <f t="shared" si="50"/>
        <v>1850</v>
      </c>
      <c r="Q3249" s="58">
        <f>_xlfn.MAXIFS(Survey!$G$2:$G$3647,Survey!$M$2:$M$3647,Survey!$M3249)-Survey!$G3249</f>
        <v>583.22014630542162</v>
      </c>
      <c r="R3249" s="59">
        <f>Survey!$P3249+(Survey!$Q3249*0.433)</f>
        <v>2102.5343233502476</v>
      </c>
    </row>
    <row r="3250" spans="1:18" x14ac:dyDescent="0.25">
      <c r="A3250" s="71" t="s">
        <v>17</v>
      </c>
      <c r="B3250" s="72" t="s">
        <v>23</v>
      </c>
      <c r="C3250" s="73" t="s">
        <v>19</v>
      </c>
      <c r="D3250" s="74">
        <v>251.01463263784663</v>
      </c>
      <c r="E3250" s="81">
        <v>1356809</v>
      </c>
      <c r="F3250" s="82">
        <v>1326395.228813559</v>
      </c>
      <c r="G3250" s="75">
        <v>1491.6857569053025</v>
      </c>
      <c r="H3250" s="76">
        <v>1</v>
      </c>
      <c r="I3250" s="54" t="s">
        <v>20</v>
      </c>
      <c r="J3250" s="77">
        <v>40</v>
      </c>
      <c r="K3250" s="78">
        <v>1</v>
      </c>
      <c r="L3250" s="54">
        <v>1</v>
      </c>
      <c r="M3250" s="54">
        <f>_xlfn.XLOOKUP(Survey!$F3250,sections[Start],sections[Test Section],,-1,1)</f>
        <v>9</v>
      </c>
      <c r="N3250" s="55">
        <f>_xlfn.XLOOKUP(Survey!$K3250,pipedata[ID],pipedata[WT])</f>
        <v>0.61699999999999999</v>
      </c>
      <c r="O3250" s="56">
        <f>_xlfn.XLOOKUP(Survey!$K3250,pipedata[ID],pipedata[104%])</f>
        <v>2138.9333333333334</v>
      </c>
      <c r="P3250" s="57">
        <f t="shared" si="50"/>
        <v>1850</v>
      </c>
      <c r="Q3250" s="58">
        <f>_xlfn.MAXIFS(Survey!$G$2:$G$3647,Survey!$M$2:$M$3647,Survey!$M3250)-Survey!$G3250</f>
        <v>574.65438940011904</v>
      </c>
      <c r="R3250" s="59">
        <f>Survey!$P3250+(Survey!$Q3250*0.433)</f>
        <v>2098.8253506102515</v>
      </c>
    </row>
    <row r="3251" spans="1:18" x14ac:dyDescent="0.25">
      <c r="A3251" s="60" t="s">
        <v>17</v>
      </c>
      <c r="B3251" s="61" t="s">
        <v>23</v>
      </c>
      <c r="C3251" s="62" t="s">
        <v>19</v>
      </c>
      <c r="D3251" s="63">
        <v>251.02236084295313</v>
      </c>
      <c r="E3251" s="79">
        <v>1356849</v>
      </c>
      <c r="F3251" s="80">
        <v>1326434.3050847454</v>
      </c>
      <c r="G3251" s="66">
        <v>1498.0366497309151</v>
      </c>
      <c r="H3251" s="67">
        <v>1</v>
      </c>
      <c r="I3251" s="68" t="s">
        <v>20</v>
      </c>
      <c r="J3251" s="69">
        <v>40</v>
      </c>
      <c r="K3251" s="70">
        <v>1</v>
      </c>
      <c r="L3251" s="68">
        <v>1</v>
      </c>
      <c r="M3251" s="68">
        <f>_xlfn.XLOOKUP(Survey!$F3251,sections[Start],sections[Test Section],,-1,1)</f>
        <v>9</v>
      </c>
      <c r="N3251" s="55">
        <f>_xlfn.XLOOKUP(Survey!$K3251,pipedata[ID],pipedata[WT])</f>
        <v>0.61699999999999999</v>
      </c>
      <c r="O3251" s="56">
        <f>_xlfn.XLOOKUP(Survey!$K3251,pipedata[ID],pipedata[104%])</f>
        <v>2138.9333333333334</v>
      </c>
      <c r="P3251" s="57">
        <f t="shared" si="50"/>
        <v>1850</v>
      </c>
      <c r="Q3251" s="58">
        <f>_xlfn.MAXIFS(Survey!$G$2:$G$3647,Survey!$M$2:$M$3647,Survey!$M3251)-Survey!$G3251</f>
        <v>568.30349657450643</v>
      </c>
      <c r="R3251" s="59">
        <f>Survey!$P3251+(Survey!$Q3251*0.433)</f>
        <v>2096.0754140167614</v>
      </c>
    </row>
    <row r="3252" spans="1:18" x14ac:dyDescent="0.25">
      <c r="A3252" s="71" t="s">
        <v>17</v>
      </c>
      <c r="B3252" s="72" t="s">
        <v>23</v>
      </c>
      <c r="C3252" s="73" t="s">
        <v>19</v>
      </c>
      <c r="D3252" s="74">
        <v>251.03008904805972</v>
      </c>
      <c r="E3252" s="81">
        <v>1356889</v>
      </c>
      <c r="F3252" s="82">
        <v>1326473.3813559317</v>
      </c>
      <c r="G3252" s="75">
        <v>1505.0948258912642</v>
      </c>
      <c r="H3252" s="76">
        <v>1</v>
      </c>
      <c r="I3252" s="54" t="s">
        <v>20</v>
      </c>
      <c r="J3252" s="77">
        <v>40</v>
      </c>
      <c r="K3252" s="78">
        <v>1</v>
      </c>
      <c r="L3252" s="54">
        <v>1</v>
      </c>
      <c r="M3252" s="54">
        <f>_xlfn.XLOOKUP(Survey!$F3252,sections[Start],sections[Test Section],,-1,1)</f>
        <v>9</v>
      </c>
      <c r="N3252" s="55">
        <f>_xlfn.XLOOKUP(Survey!$K3252,pipedata[ID],pipedata[WT])</f>
        <v>0.61699999999999999</v>
      </c>
      <c r="O3252" s="56">
        <f>_xlfn.XLOOKUP(Survey!$K3252,pipedata[ID],pipedata[104%])</f>
        <v>2138.9333333333334</v>
      </c>
      <c r="P3252" s="57">
        <f t="shared" si="50"/>
        <v>1850</v>
      </c>
      <c r="Q3252" s="58">
        <f>_xlfn.MAXIFS(Survey!$G$2:$G$3647,Survey!$M$2:$M$3647,Survey!$M3252)-Survey!$G3252</f>
        <v>561.24532041415728</v>
      </c>
      <c r="R3252" s="59">
        <f>Survey!$P3252+(Survey!$Q3252*0.433)</f>
        <v>2093.0192237393303</v>
      </c>
    </row>
    <row r="3253" spans="1:18" x14ac:dyDescent="0.25">
      <c r="A3253" s="60" t="s">
        <v>17</v>
      </c>
      <c r="B3253" s="61" t="s">
        <v>23</v>
      </c>
      <c r="C3253" s="62" t="s">
        <v>19</v>
      </c>
      <c r="D3253" s="63">
        <v>251.03725219297419</v>
      </c>
      <c r="E3253" s="79">
        <v>1356929</v>
      </c>
      <c r="F3253" s="80">
        <v>1326512.4576271181</v>
      </c>
      <c r="G3253" s="66">
        <v>1512.8563082339242</v>
      </c>
      <c r="H3253" s="67">
        <v>1</v>
      </c>
      <c r="I3253" s="68" t="s">
        <v>20</v>
      </c>
      <c r="J3253" s="69">
        <v>40</v>
      </c>
      <c r="K3253" s="70">
        <v>1</v>
      </c>
      <c r="L3253" s="68">
        <v>1</v>
      </c>
      <c r="M3253" s="68">
        <f>_xlfn.XLOOKUP(Survey!$F3253,sections[Start],sections[Test Section],,-1,1)</f>
        <v>9</v>
      </c>
      <c r="N3253" s="55">
        <f>_xlfn.XLOOKUP(Survey!$K3253,pipedata[ID],pipedata[WT])</f>
        <v>0.61699999999999999</v>
      </c>
      <c r="O3253" s="56">
        <f>_xlfn.XLOOKUP(Survey!$K3253,pipedata[ID],pipedata[104%])</f>
        <v>2138.9333333333334</v>
      </c>
      <c r="P3253" s="57">
        <f t="shared" si="50"/>
        <v>1850</v>
      </c>
      <c r="Q3253" s="58">
        <f>_xlfn.MAXIFS(Survey!$G$2:$G$3647,Survey!$M$2:$M$3647,Survey!$M3253)-Survey!$G3253</f>
        <v>553.4838380714973</v>
      </c>
      <c r="R3253" s="59">
        <f>Survey!$P3253+(Survey!$Q3253*0.433)</f>
        <v>2089.6585018849582</v>
      </c>
    </row>
    <row r="3254" spans="1:18" x14ac:dyDescent="0.25">
      <c r="A3254" s="71" t="s">
        <v>17</v>
      </c>
      <c r="B3254" s="72" t="s">
        <v>23</v>
      </c>
      <c r="C3254" s="73" t="s">
        <v>19</v>
      </c>
      <c r="D3254" s="74">
        <v>251.04361340699631</v>
      </c>
      <c r="E3254" s="81">
        <v>1356969</v>
      </c>
      <c r="F3254" s="82">
        <v>1326551.5338983044</v>
      </c>
      <c r="G3254" s="75">
        <v>1519.9871406960738</v>
      </c>
      <c r="H3254" s="76">
        <v>1</v>
      </c>
      <c r="I3254" s="54" t="s">
        <v>20</v>
      </c>
      <c r="J3254" s="77">
        <v>40</v>
      </c>
      <c r="K3254" s="78">
        <v>1</v>
      </c>
      <c r="L3254" s="54">
        <v>1</v>
      </c>
      <c r="M3254" s="54">
        <f>_xlfn.XLOOKUP(Survey!$F3254,sections[Start],sections[Test Section],,-1,1)</f>
        <v>9</v>
      </c>
      <c r="N3254" s="55">
        <f>_xlfn.XLOOKUP(Survey!$K3254,pipedata[ID],pipedata[WT])</f>
        <v>0.61699999999999999</v>
      </c>
      <c r="O3254" s="56">
        <f>_xlfn.XLOOKUP(Survey!$K3254,pipedata[ID],pipedata[104%])</f>
        <v>2138.9333333333334</v>
      </c>
      <c r="P3254" s="57">
        <f t="shared" si="50"/>
        <v>1850</v>
      </c>
      <c r="Q3254" s="58">
        <f>_xlfn.MAXIFS(Survey!$G$2:$G$3647,Survey!$M$2:$M$3647,Survey!$M3254)-Survey!$G3254</f>
        <v>546.35300560934775</v>
      </c>
      <c r="R3254" s="59">
        <f>Survey!$P3254+(Survey!$Q3254*0.433)</f>
        <v>2086.5708514288476</v>
      </c>
    </row>
    <row r="3255" spans="1:18" x14ac:dyDescent="0.25">
      <c r="A3255" s="60" t="s">
        <v>17</v>
      </c>
      <c r="B3255" s="61" t="s">
        <v>23</v>
      </c>
      <c r="C3255" s="62" t="s">
        <v>19</v>
      </c>
      <c r="D3255" s="63">
        <v>251.05247976041397</v>
      </c>
      <c r="E3255" s="79">
        <v>1357009</v>
      </c>
      <c r="F3255" s="80">
        <v>1326590.6101694908</v>
      </c>
      <c r="G3255" s="66">
        <v>1527.6366710096479</v>
      </c>
      <c r="H3255" s="67">
        <v>1</v>
      </c>
      <c r="I3255" s="68" t="s">
        <v>20</v>
      </c>
      <c r="J3255" s="69">
        <v>40</v>
      </c>
      <c r="K3255" s="70">
        <v>1</v>
      </c>
      <c r="L3255" s="68">
        <v>1</v>
      </c>
      <c r="M3255" s="68">
        <f>_xlfn.XLOOKUP(Survey!$F3255,sections[Start],sections[Test Section],,-1,1)</f>
        <v>9</v>
      </c>
      <c r="N3255" s="55">
        <f>_xlfn.XLOOKUP(Survey!$K3255,pipedata[ID],pipedata[WT])</f>
        <v>0.61699999999999999</v>
      </c>
      <c r="O3255" s="56">
        <f>_xlfn.XLOOKUP(Survey!$K3255,pipedata[ID],pipedata[104%])</f>
        <v>2138.9333333333334</v>
      </c>
      <c r="P3255" s="57">
        <f t="shared" si="50"/>
        <v>1850</v>
      </c>
      <c r="Q3255" s="58">
        <f>_xlfn.MAXIFS(Survey!$G$2:$G$3647,Survey!$M$2:$M$3647,Survey!$M3255)-Survey!$G3255</f>
        <v>538.70347529577361</v>
      </c>
      <c r="R3255" s="59">
        <f>Survey!$P3255+(Survey!$Q3255*0.433)</f>
        <v>2083.2586048030698</v>
      </c>
    </row>
    <row r="3256" spans="1:18" x14ac:dyDescent="0.25">
      <c r="A3256" s="71" t="s">
        <v>17</v>
      </c>
      <c r="B3256" s="72" t="s">
        <v>23</v>
      </c>
      <c r="C3256" s="73" t="s">
        <v>19</v>
      </c>
      <c r="D3256" s="74">
        <v>251.05973966440123</v>
      </c>
      <c r="E3256" s="81">
        <v>1357049</v>
      </c>
      <c r="F3256" s="82">
        <v>1326629.6864406771</v>
      </c>
      <c r="G3256" s="75">
        <v>1535.211482017342</v>
      </c>
      <c r="H3256" s="76">
        <v>1</v>
      </c>
      <c r="I3256" s="54" t="s">
        <v>20</v>
      </c>
      <c r="J3256" s="77">
        <v>40</v>
      </c>
      <c r="K3256" s="78">
        <v>1</v>
      </c>
      <c r="L3256" s="54">
        <v>1</v>
      </c>
      <c r="M3256" s="54">
        <f>_xlfn.XLOOKUP(Survey!$F3256,sections[Start],sections[Test Section],,-1,1)</f>
        <v>9</v>
      </c>
      <c r="N3256" s="55">
        <f>_xlfn.XLOOKUP(Survey!$K3256,pipedata[ID],pipedata[WT])</f>
        <v>0.61699999999999999</v>
      </c>
      <c r="O3256" s="56">
        <f>_xlfn.XLOOKUP(Survey!$K3256,pipedata[ID],pipedata[104%])</f>
        <v>2138.9333333333334</v>
      </c>
      <c r="P3256" s="57">
        <f t="shared" si="50"/>
        <v>1850</v>
      </c>
      <c r="Q3256" s="58">
        <f>_xlfn.MAXIFS(Survey!$G$2:$G$3647,Survey!$M$2:$M$3647,Survey!$M3256)-Survey!$G3256</f>
        <v>531.12866428807956</v>
      </c>
      <c r="R3256" s="59">
        <f>Survey!$P3256+(Survey!$Q3256*0.433)</f>
        <v>2079.9787116367384</v>
      </c>
    </row>
    <row r="3257" spans="1:18" x14ac:dyDescent="0.25">
      <c r="A3257" s="60" t="s">
        <v>17</v>
      </c>
      <c r="B3257" s="61" t="s">
        <v>23</v>
      </c>
      <c r="C3257" s="62" t="s">
        <v>19</v>
      </c>
      <c r="D3257" s="63">
        <v>251.06679802231608</v>
      </c>
      <c r="E3257" s="79">
        <v>1357089</v>
      </c>
      <c r="F3257" s="80">
        <v>1326668.7627118635</v>
      </c>
      <c r="G3257" s="66">
        <v>1542.7047204484832</v>
      </c>
      <c r="H3257" s="67">
        <v>1</v>
      </c>
      <c r="I3257" s="68" t="s">
        <v>20</v>
      </c>
      <c r="J3257" s="69">
        <v>40</v>
      </c>
      <c r="K3257" s="70">
        <v>1</v>
      </c>
      <c r="L3257" s="68">
        <v>1</v>
      </c>
      <c r="M3257" s="68">
        <f>_xlfn.XLOOKUP(Survey!$F3257,sections[Start],sections[Test Section],,-1,1)</f>
        <v>9</v>
      </c>
      <c r="N3257" s="55">
        <f>_xlfn.XLOOKUP(Survey!$K3257,pipedata[ID],pipedata[WT])</f>
        <v>0.61699999999999999</v>
      </c>
      <c r="O3257" s="56">
        <f>_xlfn.XLOOKUP(Survey!$K3257,pipedata[ID],pipedata[104%])</f>
        <v>2138.9333333333334</v>
      </c>
      <c r="P3257" s="57">
        <f t="shared" si="50"/>
        <v>1850</v>
      </c>
      <c r="Q3257" s="58">
        <f>_xlfn.MAXIFS(Survey!$G$2:$G$3647,Survey!$M$2:$M$3647,Survey!$M3257)-Survey!$G3257</f>
        <v>523.63542585693835</v>
      </c>
      <c r="R3257" s="59">
        <f>Survey!$P3257+(Survey!$Q3257*0.433)</f>
        <v>2076.7341393960542</v>
      </c>
    </row>
    <row r="3258" spans="1:18" x14ac:dyDescent="0.25">
      <c r="A3258" s="71" t="s">
        <v>17</v>
      </c>
      <c r="B3258" s="72" t="s">
        <v>23</v>
      </c>
      <c r="C3258" s="73" t="s">
        <v>19</v>
      </c>
      <c r="D3258" s="74">
        <v>251.07452622742264</v>
      </c>
      <c r="E3258" s="81">
        <v>1357129</v>
      </c>
      <c r="F3258" s="82">
        <v>1326707.8389830498</v>
      </c>
      <c r="G3258" s="75">
        <v>1548.980882975801</v>
      </c>
      <c r="H3258" s="76">
        <v>1</v>
      </c>
      <c r="I3258" s="54" t="s">
        <v>20</v>
      </c>
      <c r="J3258" s="77">
        <v>40</v>
      </c>
      <c r="K3258" s="78">
        <v>1</v>
      </c>
      <c r="L3258" s="54">
        <v>1</v>
      </c>
      <c r="M3258" s="54">
        <f>_xlfn.XLOOKUP(Survey!$F3258,sections[Start],sections[Test Section],,-1,1)</f>
        <v>9</v>
      </c>
      <c r="N3258" s="55">
        <f>_xlfn.XLOOKUP(Survey!$K3258,pipedata[ID],pipedata[WT])</f>
        <v>0.61699999999999999</v>
      </c>
      <c r="O3258" s="56">
        <f>_xlfn.XLOOKUP(Survey!$K3258,pipedata[ID],pipedata[104%])</f>
        <v>2138.9333333333334</v>
      </c>
      <c r="P3258" s="57">
        <f t="shared" si="50"/>
        <v>1850</v>
      </c>
      <c r="Q3258" s="58">
        <f>_xlfn.MAXIFS(Survey!$G$2:$G$3647,Survey!$M$2:$M$3647,Survey!$M3258)-Survey!$G3258</f>
        <v>517.35926332962049</v>
      </c>
      <c r="R3258" s="59">
        <f>Survey!$P3258+(Survey!$Q3258*0.433)</f>
        <v>2074.0165610217255</v>
      </c>
    </row>
    <row r="3259" spans="1:18" x14ac:dyDescent="0.25">
      <c r="A3259" s="60" t="s">
        <v>17</v>
      </c>
      <c r="B3259" s="61" t="s">
        <v>23</v>
      </c>
      <c r="C3259" s="62" t="s">
        <v>19</v>
      </c>
      <c r="D3259" s="63">
        <v>251.08225443252914</v>
      </c>
      <c r="E3259" s="79">
        <v>1357169</v>
      </c>
      <c r="F3259" s="80">
        <v>1326746.9152542362</v>
      </c>
      <c r="G3259" s="66">
        <v>1554.4383520780952</v>
      </c>
      <c r="H3259" s="67">
        <v>1</v>
      </c>
      <c r="I3259" s="68" t="s">
        <v>20</v>
      </c>
      <c r="J3259" s="69">
        <v>40</v>
      </c>
      <c r="K3259" s="70">
        <v>1</v>
      </c>
      <c r="L3259" s="68">
        <v>1</v>
      </c>
      <c r="M3259" s="68">
        <f>_xlfn.XLOOKUP(Survey!$F3259,sections[Start],sections[Test Section],,-1,1)</f>
        <v>9</v>
      </c>
      <c r="N3259" s="55">
        <f>_xlfn.XLOOKUP(Survey!$K3259,pipedata[ID],pipedata[WT])</f>
        <v>0.61699999999999999</v>
      </c>
      <c r="O3259" s="56">
        <f>_xlfn.XLOOKUP(Survey!$K3259,pipedata[ID],pipedata[104%])</f>
        <v>2138.9333333333334</v>
      </c>
      <c r="P3259" s="57">
        <f t="shared" si="50"/>
        <v>1850</v>
      </c>
      <c r="Q3259" s="58">
        <f>_xlfn.MAXIFS(Survey!$G$2:$G$3647,Survey!$M$2:$M$3647,Survey!$M3259)-Survey!$G3259</f>
        <v>511.90179422732626</v>
      </c>
      <c r="R3259" s="59">
        <f>Survey!$P3259+(Survey!$Q3259*0.433)</f>
        <v>2071.6534769004325</v>
      </c>
    </row>
    <row r="3260" spans="1:18" x14ac:dyDescent="0.25">
      <c r="A3260" s="71" t="s">
        <v>17</v>
      </c>
      <c r="B3260" s="72" t="s">
        <v>23</v>
      </c>
      <c r="C3260" s="73" t="s">
        <v>19</v>
      </c>
      <c r="D3260" s="74">
        <v>251.08946852874126</v>
      </c>
      <c r="E3260" s="81">
        <v>1357209</v>
      </c>
      <c r="F3260" s="82">
        <v>1326785.9915254225</v>
      </c>
      <c r="G3260" s="75">
        <v>1560.3050497204624</v>
      </c>
      <c r="H3260" s="76">
        <v>1</v>
      </c>
      <c r="I3260" s="54" t="s">
        <v>20</v>
      </c>
      <c r="J3260" s="77">
        <v>40</v>
      </c>
      <c r="K3260" s="78">
        <v>1</v>
      </c>
      <c r="L3260" s="54">
        <v>1</v>
      </c>
      <c r="M3260" s="54">
        <f>_xlfn.XLOOKUP(Survey!$F3260,sections[Start],sections[Test Section],,-1,1)</f>
        <v>9</v>
      </c>
      <c r="N3260" s="55">
        <f>_xlfn.XLOOKUP(Survey!$K3260,pipedata[ID],pipedata[WT])</f>
        <v>0.61699999999999999</v>
      </c>
      <c r="O3260" s="56">
        <f>_xlfn.XLOOKUP(Survey!$K3260,pipedata[ID],pipedata[104%])</f>
        <v>2138.9333333333334</v>
      </c>
      <c r="P3260" s="57">
        <f t="shared" si="50"/>
        <v>1850</v>
      </c>
      <c r="Q3260" s="58">
        <f>_xlfn.MAXIFS(Survey!$G$2:$G$3647,Survey!$M$2:$M$3647,Survey!$M3260)-Survey!$G3260</f>
        <v>506.03509658495909</v>
      </c>
      <c r="R3260" s="59">
        <f>Survey!$P3260+(Survey!$Q3260*0.433)</f>
        <v>2069.1131968212871</v>
      </c>
    </row>
    <row r="3261" spans="1:18" x14ac:dyDescent="0.25">
      <c r="A3261" s="60" t="s">
        <v>17</v>
      </c>
      <c r="B3261" s="61" t="s">
        <v>23</v>
      </c>
      <c r="C3261" s="62" t="s">
        <v>19</v>
      </c>
      <c r="D3261" s="63">
        <v>251.09736809524469</v>
      </c>
      <c r="E3261" s="79">
        <v>1357249</v>
      </c>
      <c r="F3261" s="80">
        <v>1326825.0677966089</v>
      </c>
      <c r="G3261" s="66">
        <v>1565.8149607049627</v>
      </c>
      <c r="H3261" s="67">
        <v>1</v>
      </c>
      <c r="I3261" s="68" t="s">
        <v>20</v>
      </c>
      <c r="J3261" s="69">
        <v>40</v>
      </c>
      <c r="K3261" s="70">
        <v>1</v>
      </c>
      <c r="L3261" s="68">
        <v>1</v>
      </c>
      <c r="M3261" s="68">
        <f>_xlfn.XLOOKUP(Survey!$F3261,sections[Start],sections[Test Section],,-1,1)</f>
        <v>9</v>
      </c>
      <c r="N3261" s="55">
        <f>_xlfn.XLOOKUP(Survey!$K3261,pipedata[ID],pipedata[WT])</f>
        <v>0.61699999999999999</v>
      </c>
      <c r="O3261" s="56">
        <f>_xlfn.XLOOKUP(Survey!$K3261,pipedata[ID],pipedata[104%])</f>
        <v>2138.9333333333334</v>
      </c>
      <c r="P3261" s="57">
        <f t="shared" si="50"/>
        <v>1850</v>
      </c>
      <c r="Q3261" s="58">
        <f>_xlfn.MAXIFS(Survey!$G$2:$G$3647,Survey!$M$2:$M$3647,Survey!$M3261)-Survey!$G3261</f>
        <v>500.52518560045883</v>
      </c>
      <c r="R3261" s="59">
        <f>Survey!$P3261+(Survey!$Q3261*0.433)</f>
        <v>2066.7274053649985</v>
      </c>
    </row>
    <row r="3262" spans="1:18" x14ac:dyDescent="0.25">
      <c r="A3262" s="71" t="s">
        <v>17</v>
      </c>
      <c r="B3262" s="72" t="s">
        <v>23</v>
      </c>
      <c r="C3262" s="73" t="s">
        <v>19</v>
      </c>
      <c r="D3262" s="74">
        <v>251.104496202506</v>
      </c>
      <c r="E3262" s="81">
        <v>1357289</v>
      </c>
      <c r="F3262" s="82">
        <v>1326864.1440677952</v>
      </c>
      <c r="G3262" s="75">
        <v>1570.4438211042382</v>
      </c>
      <c r="H3262" s="76">
        <v>1</v>
      </c>
      <c r="I3262" s="54" t="s">
        <v>20</v>
      </c>
      <c r="J3262" s="77">
        <v>40</v>
      </c>
      <c r="K3262" s="78">
        <v>1</v>
      </c>
      <c r="L3262" s="54">
        <v>1</v>
      </c>
      <c r="M3262" s="54">
        <f>_xlfn.XLOOKUP(Survey!$F3262,sections[Start],sections[Test Section],,-1,1)</f>
        <v>9</v>
      </c>
      <c r="N3262" s="55">
        <f>_xlfn.XLOOKUP(Survey!$K3262,pipedata[ID],pipedata[WT])</f>
        <v>0.61699999999999999</v>
      </c>
      <c r="O3262" s="56">
        <f>_xlfn.XLOOKUP(Survey!$K3262,pipedata[ID],pipedata[104%])</f>
        <v>2138.9333333333334</v>
      </c>
      <c r="P3262" s="57">
        <f t="shared" si="50"/>
        <v>1850</v>
      </c>
      <c r="Q3262" s="58">
        <f>_xlfn.MAXIFS(Survey!$G$2:$G$3647,Survey!$M$2:$M$3647,Survey!$M3262)-Survey!$G3262</f>
        <v>495.89632520118334</v>
      </c>
      <c r="R3262" s="59">
        <f>Survey!$P3262+(Survey!$Q3262*0.433)</f>
        <v>2064.7231088121125</v>
      </c>
    </row>
    <row r="3263" spans="1:18" x14ac:dyDescent="0.25">
      <c r="A3263" s="60" t="s">
        <v>17</v>
      </c>
      <c r="B3263" s="61" t="s">
        <v>23</v>
      </c>
      <c r="C3263" s="62" t="s">
        <v>19</v>
      </c>
      <c r="D3263" s="63">
        <v>251.11209374987754</v>
      </c>
      <c r="E3263" s="79">
        <v>1357329</v>
      </c>
      <c r="F3263" s="80">
        <v>1326903.2203389816</v>
      </c>
      <c r="G3263" s="66">
        <v>1575.7192488291018</v>
      </c>
      <c r="H3263" s="67">
        <v>1</v>
      </c>
      <c r="I3263" s="68" t="s">
        <v>20</v>
      </c>
      <c r="J3263" s="69">
        <v>40</v>
      </c>
      <c r="K3263" s="70">
        <v>1</v>
      </c>
      <c r="L3263" s="68">
        <v>1</v>
      </c>
      <c r="M3263" s="68">
        <f>_xlfn.XLOOKUP(Survey!$F3263,sections[Start],sections[Test Section],,-1,1)</f>
        <v>9</v>
      </c>
      <c r="N3263" s="55">
        <f>_xlfn.XLOOKUP(Survey!$K3263,pipedata[ID],pipedata[WT])</f>
        <v>0.61699999999999999</v>
      </c>
      <c r="O3263" s="56">
        <f>_xlfn.XLOOKUP(Survey!$K3263,pipedata[ID],pipedata[104%])</f>
        <v>2138.9333333333334</v>
      </c>
      <c r="P3263" s="57">
        <f t="shared" si="50"/>
        <v>1850</v>
      </c>
      <c r="Q3263" s="58">
        <f>_xlfn.MAXIFS(Survey!$G$2:$G$3647,Survey!$M$2:$M$3647,Survey!$M3263)-Survey!$G3263</f>
        <v>490.62089747631967</v>
      </c>
      <c r="R3263" s="59">
        <f>Survey!$P3263+(Survey!$Q3263*0.433)</f>
        <v>2062.4388486072467</v>
      </c>
    </row>
    <row r="3264" spans="1:18" x14ac:dyDescent="0.25">
      <c r="A3264" s="71" t="s">
        <v>17</v>
      </c>
      <c r="B3264" s="72" t="s">
        <v>23</v>
      </c>
      <c r="C3264" s="73" t="s">
        <v>19</v>
      </c>
      <c r="D3264" s="74">
        <v>251.1195238762715</v>
      </c>
      <c r="E3264" s="81">
        <v>1357369</v>
      </c>
      <c r="F3264" s="82">
        <v>1326942.2966101679</v>
      </c>
      <c r="G3264" s="75">
        <v>1581.1456034539044</v>
      </c>
      <c r="H3264" s="76">
        <v>1</v>
      </c>
      <c r="I3264" s="54" t="s">
        <v>20</v>
      </c>
      <c r="J3264" s="77">
        <v>40</v>
      </c>
      <c r="K3264" s="78">
        <v>1</v>
      </c>
      <c r="L3264" s="54">
        <v>1</v>
      </c>
      <c r="M3264" s="54">
        <f>_xlfn.XLOOKUP(Survey!$F3264,sections[Start],sections[Test Section],,-1,1)</f>
        <v>9</v>
      </c>
      <c r="N3264" s="55">
        <f>_xlfn.XLOOKUP(Survey!$K3264,pipedata[ID],pipedata[WT])</f>
        <v>0.61699999999999999</v>
      </c>
      <c r="O3264" s="56">
        <f>_xlfn.XLOOKUP(Survey!$K3264,pipedata[ID],pipedata[104%])</f>
        <v>2138.9333333333334</v>
      </c>
      <c r="P3264" s="57">
        <f t="shared" si="50"/>
        <v>1850</v>
      </c>
      <c r="Q3264" s="58">
        <f>_xlfn.MAXIFS(Survey!$G$2:$G$3647,Survey!$M$2:$M$3647,Survey!$M3264)-Survey!$G3264</f>
        <v>485.1945428515171</v>
      </c>
      <c r="R3264" s="59">
        <f>Survey!$P3264+(Survey!$Q3264*0.433)</f>
        <v>2060.0892370547067</v>
      </c>
    </row>
    <row r="3265" spans="1:18" x14ac:dyDescent="0.25">
      <c r="A3265" s="60" t="s">
        <v>17</v>
      </c>
      <c r="B3265" s="61" t="s">
        <v>23</v>
      </c>
      <c r="C3265" s="62" t="s">
        <v>19</v>
      </c>
      <c r="D3265" s="63">
        <v>251.12715121360358</v>
      </c>
      <c r="E3265" s="79">
        <v>1357409</v>
      </c>
      <c r="F3265" s="80">
        <v>1326981.3728813543</v>
      </c>
      <c r="G3265" s="66">
        <v>1586.9289350718725</v>
      </c>
      <c r="H3265" s="67">
        <v>1</v>
      </c>
      <c r="I3265" s="68" t="s">
        <v>20</v>
      </c>
      <c r="J3265" s="69">
        <v>40</v>
      </c>
      <c r="K3265" s="70">
        <v>1</v>
      </c>
      <c r="L3265" s="68">
        <v>1</v>
      </c>
      <c r="M3265" s="68">
        <f>_xlfn.XLOOKUP(Survey!$F3265,sections[Start],sections[Test Section],,-1,1)</f>
        <v>9</v>
      </c>
      <c r="N3265" s="55">
        <f>_xlfn.XLOOKUP(Survey!$K3265,pipedata[ID],pipedata[WT])</f>
        <v>0.61699999999999999</v>
      </c>
      <c r="O3265" s="56">
        <f>_xlfn.XLOOKUP(Survey!$K3265,pipedata[ID],pipedata[104%])</f>
        <v>2138.9333333333334</v>
      </c>
      <c r="P3265" s="57">
        <f t="shared" si="50"/>
        <v>1850</v>
      </c>
      <c r="Q3265" s="58">
        <f>_xlfn.MAXIFS(Survey!$G$2:$G$3647,Survey!$M$2:$M$3647,Survey!$M3265)-Survey!$G3265</f>
        <v>479.41121123354901</v>
      </c>
      <c r="R3265" s="59">
        <f>Survey!$P3265+(Survey!$Q3265*0.433)</f>
        <v>2057.5850544641266</v>
      </c>
    </row>
    <row r="3266" spans="1:18" x14ac:dyDescent="0.25">
      <c r="A3266" s="71" t="s">
        <v>17</v>
      </c>
      <c r="B3266" s="72" t="s">
        <v>23</v>
      </c>
      <c r="C3266" s="73" t="s">
        <v>19</v>
      </c>
      <c r="D3266" s="74">
        <v>251.13455155003436</v>
      </c>
      <c r="E3266" s="81">
        <v>1357449</v>
      </c>
      <c r="F3266" s="82">
        <v>1327020.4491525406</v>
      </c>
      <c r="G3266" s="75">
        <v>1597.5462113102319</v>
      </c>
      <c r="H3266" s="76">
        <v>1</v>
      </c>
      <c r="I3266" s="54" t="s">
        <v>20</v>
      </c>
      <c r="J3266" s="77">
        <v>40</v>
      </c>
      <c r="K3266" s="78">
        <v>1</v>
      </c>
      <c r="L3266" s="54">
        <v>1</v>
      </c>
      <c r="M3266" s="54">
        <f>_xlfn.XLOOKUP(Survey!$F3266,sections[Start],sections[Test Section],,-1,1)</f>
        <v>9</v>
      </c>
      <c r="N3266" s="55">
        <f>_xlfn.XLOOKUP(Survey!$K3266,pipedata[ID],pipedata[WT])</f>
        <v>0.61699999999999999</v>
      </c>
      <c r="O3266" s="56">
        <f>_xlfn.XLOOKUP(Survey!$K3266,pipedata[ID],pipedata[104%])</f>
        <v>2138.9333333333334</v>
      </c>
      <c r="P3266" s="57">
        <f t="shared" ref="P3266:P3329" si="51">IF(L3266=1,1850,IF(L3266=2,1850,2220))</f>
        <v>1850</v>
      </c>
      <c r="Q3266" s="58">
        <f>_xlfn.MAXIFS(Survey!$G$2:$G$3647,Survey!$M$2:$M$3647,Survey!$M3266)-Survey!$G3266</f>
        <v>468.7939349951896</v>
      </c>
      <c r="R3266" s="59">
        <f>Survey!$P3266+(Survey!$Q3266*0.433)</f>
        <v>2052.9877738529171</v>
      </c>
    </row>
    <row r="3267" spans="1:18" x14ac:dyDescent="0.25">
      <c r="A3267" s="60" t="s">
        <v>17</v>
      </c>
      <c r="B3267" s="61" t="s">
        <v>23</v>
      </c>
      <c r="C3267" s="62" t="s">
        <v>19</v>
      </c>
      <c r="D3267" s="63">
        <v>251.14181742380015</v>
      </c>
      <c r="E3267" s="79">
        <v>1357489</v>
      </c>
      <c r="F3267" s="80">
        <v>1327059.525423727</v>
      </c>
      <c r="G3267" s="66">
        <v>1607.0865889984539</v>
      </c>
      <c r="H3267" s="67">
        <v>1</v>
      </c>
      <c r="I3267" s="68" t="s">
        <v>20</v>
      </c>
      <c r="J3267" s="69">
        <v>40</v>
      </c>
      <c r="K3267" s="70">
        <v>1</v>
      </c>
      <c r="L3267" s="68">
        <v>1</v>
      </c>
      <c r="M3267" s="68">
        <f>_xlfn.XLOOKUP(Survey!$F3267,sections[Start],sections[Test Section],,-1,1)</f>
        <v>9</v>
      </c>
      <c r="N3267" s="55">
        <f>_xlfn.XLOOKUP(Survey!$K3267,pipedata[ID],pipedata[WT])</f>
        <v>0.61699999999999999</v>
      </c>
      <c r="O3267" s="56">
        <f>_xlfn.XLOOKUP(Survey!$K3267,pipedata[ID],pipedata[104%])</f>
        <v>2138.9333333333334</v>
      </c>
      <c r="P3267" s="57">
        <f t="shared" si="51"/>
        <v>1850</v>
      </c>
      <c r="Q3267" s="58">
        <f>_xlfn.MAXIFS(Survey!$G$2:$G$3647,Survey!$M$2:$M$3647,Survey!$M3267)-Survey!$G3267</f>
        <v>459.25355730696765</v>
      </c>
      <c r="R3267" s="59">
        <f>Survey!$P3267+(Survey!$Q3267*0.433)</f>
        <v>2048.8567903139169</v>
      </c>
    </row>
    <row r="3268" spans="1:18" x14ac:dyDescent="0.25">
      <c r="A3268" s="71" t="s">
        <v>17</v>
      </c>
      <c r="B3268" s="72" t="s">
        <v>23</v>
      </c>
      <c r="C3268" s="73" t="s">
        <v>19</v>
      </c>
      <c r="D3268" s="74">
        <v>251.14939383325986</v>
      </c>
      <c r="E3268" s="81">
        <v>1357529</v>
      </c>
      <c r="F3268" s="82">
        <v>1327098.6016949133</v>
      </c>
      <c r="G3268" s="75">
        <v>1617.5615242380725</v>
      </c>
      <c r="H3268" s="76">
        <v>1</v>
      </c>
      <c r="I3268" s="54" t="s">
        <v>20</v>
      </c>
      <c r="J3268" s="77">
        <v>40</v>
      </c>
      <c r="K3268" s="78">
        <v>1</v>
      </c>
      <c r="L3268" s="54">
        <v>1</v>
      </c>
      <c r="M3268" s="54">
        <f>_xlfn.XLOOKUP(Survey!$F3268,sections[Start],sections[Test Section],,-1,1)</f>
        <v>9</v>
      </c>
      <c r="N3268" s="55">
        <f>_xlfn.XLOOKUP(Survey!$K3268,pipedata[ID],pipedata[WT])</f>
        <v>0.61699999999999999</v>
      </c>
      <c r="O3268" s="56">
        <f>_xlfn.XLOOKUP(Survey!$K3268,pipedata[ID],pipedata[104%])</f>
        <v>2138.9333333333334</v>
      </c>
      <c r="P3268" s="57">
        <f t="shared" si="51"/>
        <v>1850</v>
      </c>
      <c r="Q3268" s="58">
        <f>_xlfn.MAXIFS(Survey!$G$2:$G$3647,Survey!$M$2:$M$3647,Survey!$M3268)-Survey!$G3268</f>
        <v>448.77862206734903</v>
      </c>
      <c r="R3268" s="59">
        <f>Survey!$P3268+(Survey!$Q3268*0.433)</f>
        <v>2044.3211433551621</v>
      </c>
    </row>
    <row r="3269" spans="1:18" x14ac:dyDescent="0.25">
      <c r="A3269" s="60" t="s">
        <v>17</v>
      </c>
      <c r="B3269" s="61" t="s">
        <v>23</v>
      </c>
      <c r="C3269" s="62" t="s">
        <v>19</v>
      </c>
      <c r="D3269" s="63">
        <v>251.1553641277853</v>
      </c>
      <c r="E3269" s="79">
        <v>1357569</v>
      </c>
      <c r="F3269" s="80">
        <v>1327137.6779660997</v>
      </c>
      <c r="G3269" s="66">
        <v>1627.8388969626726</v>
      </c>
      <c r="H3269" s="67">
        <v>1</v>
      </c>
      <c r="I3269" s="68" t="s">
        <v>20</v>
      </c>
      <c r="J3269" s="69">
        <v>40</v>
      </c>
      <c r="K3269" s="70">
        <v>1</v>
      </c>
      <c r="L3269" s="68">
        <v>1</v>
      </c>
      <c r="M3269" s="68">
        <f>_xlfn.XLOOKUP(Survey!$F3269,sections[Start],sections[Test Section],,-1,1)</f>
        <v>9</v>
      </c>
      <c r="N3269" s="55">
        <f>_xlfn.XLOOKUP(Survey!$K3269,pipedata[ID],pipedata[WT])</f>
        <v>0.61699999999999999</v>
      </c>
      <c r="O3269" s="56">
        <f>_xlfn.XLOOKUP(Survey!$K3269,pipedata[ID],pipedata[104%])</f>
        <v>2138.9333333333334</v>
      </c>
      <c r="P3269" s="57">
        <f t="shared" si="51"/>
        <v>1850</v>
      </c>
      <c r="Q3269" s="58">
        <f>_xlfn.MAXIFS(Survey!$G$2:$G$3647,Survey!$M$2:$M$3647,Survey!$M3269)-Survey!$G3269</f>
        <v>438.50124934274891</v>
      </c>
      <c r="R3269" s="59">
        <f>Survey!$P3269+(Survey!$Q3269*0.433)</f>
        <v>2039.8710409654102</v>
      </c>
    </row>
    <row r="3270" spans="1:18" x14ac:dyDescent="0.25">
      <c r="A3270" s="71" t="s">
        <v>17</v>
      </c>
      <c r="B3270" s="72" t="s">
        <v>23</v>
      </c>
      <c r="C3270" s="73" t="s">
        <v>19</v>
      </c>
      <c r="D3270" s="74">
        <v>251.16265254981442</v>
      </c>
      <c r="E3270" s="64">
        <v>1357609</v>
      </c>
      <c r="F3270" s="65">
        <v>1327176.754237286</v>
      </c>
      <c r="G3270" s="75">
        <v>1638.9683683259282</v>
      </c>
      <c r="H3270" s="76">
        <v>1</v>
      </c>
      <c r="I3270" s="54" t="s">
        <v>20</v>
      </c>
      <c r="J3270" s="77">
        <v>40</v>
      </c>
      <c r="K3270" s="78">
        <v>1</v>
      </c>
      <c r="L3270" s="54">
        <v>1</v>
      </c>
      <c r="M3270" s="54">
        <f>_xlfn.XLOOKUP(Survey!$F3270,sections[Start],sections[Test Section],,-1,1)</f>
        <v>9</v>
      </c>
      <c r="N3270" s="55">
        <f>_xlfn.XLOOKUP(Survey!$K3270,pipedata[ID],pipedata[WT])</f>
        <v>0.61699999999999999</v>
      </c>
      <c r="O3270" s="56">
        <f>_xlfn.XLOOKUP(Survey!$K3270,pipedata[ID],pipedata[104%])</f>
        <v>2138.9333333333334</v>
      </c>
      <c r="P3270" s="57">
        <f t="shared" si="51"/>
        <v>1850</v>
      </c>
      <c r="Q3270" s="58">
        <f>_xlfn.MAXIFS(Survey!$G$2:$G$3647,Survey!$M$2:$M$3647,Survey!$M3270)-Survey!$G3270</f>
        <v>427.37177797949334</v>
      </c>
      <c r="R3270" s="59">
        <f>Survey!$P3270+(Survey!$Q3270*0.433)</f>
        <v>2035.0519798651205</v>
      </c>
    </row>
    <row r="3271" spans="1:18" x14ac:dyDescent="0.25">
      <c r="A3271" s="60" t="s">
        <v>17</v>
      </c>
      <c r="B3271" s="61" t="s">
        <v>23</v>
      </c>
      <c r="C3271" s="62" t="s">
        <v>19</v>
      </c>
      <c r="D3271" s="63">
        <v>251.17022895927414</v>
      </c>
      <c r="E3271" s="64">
        <v>1357649</v>
      </c>
      <c r="F3271" s="65">
        <v>1327215.8305084724</v>
      </c>
      <c r="G3271" s="66">
        <v>1650.6183223742992</v>
      </c>
      <c r="H3271" s="67">
        <v>1</v>
      </c>
      <c r="I3271" s="68" t="s">
        <v>20</v>
      </c>
      <c r="J3271" s="69">
        <v>40</v>
      </c>
      <c r="K3271" s="70">
        <v>1</v>
      </c>
      <c r="L3271" s="68">
        <v>1</v>
      </c>
      <c r="M3271" s="68">
        <f>_xlfn.XLOOKUP(Survey!$F3271,sections[Start],sections[Test Section],,-1,1)</f>
        <v>9</v>
      </c>
      <c r="N3271" s="55">
        <f>_xlfn.XLOOKUP(Survey!$K3271,pipedata[ID],pipedata[WT])</f>
        <v>0.61699999999999999</v>
      </c>
      <c r="O3271" s="56">
        <f>_xlfn.XLOOKUP(Survey!$K3271,pipedata[ID],pipedata[104%])</f>
        <v>2138.9333333333334</v>
      </c>
      <c r="P3271" s="57">
        <f t="shared" si="51"/>
        <v>1850</v>
      </c>
      <c r="Q3271" s="58">
        <f>_xlfn.MAXIFS(Survey!$G$2:$G$3647,Survey!$M$2:$M$3647,Survey!$M3271)-Survey!$G3271</f>
        <v>415.72182393112234</v>
      </c>
      <c r="R3271" s="59">
        <f>Survey!$P3271+(Survey!$Q3271*0.433)</f>
        <v>2030.007549762176</v>
      </c>
    </row>
    <row r="3272" spans="1:18" x14ac:dyDescent="0.25">
      <c r="A3272" s="71" t="s">
        <v>17</v>
      </c>
      <c r="B3272" s="72" t="s">
        <v>23</v>
      </c>
      <c r="C3272" s="73" t="s">
        <v>19</v>
      </c>
      <c r="D3272" s="74">
        <v>251.17781187032878</v>
      </c>
      <c r="E3272" s="81">
        <v>1357689</v>
      </c>
      <c r="F3272" s="82">
        <v>1327254.9067796587</v>
      </c>
      <c r="G3272" s="75">
        <v>1658.0630400526047</v>
      </c>
      <c r="H3272" s="76">
        <v>1</v>
      </c>
      <c r="I3272" s="54" t="s">
        <v>20</v>
      </c>
      <c r="J3272" s="77">
        <v>40</v>
      </c>
      <c r="K3272" s="78">
        <v>1</v>
      </c>
      <c r="L3272" s="54">
        <v>1</v>
      </c>
      <c r="M3272" s="54">
        <f>_xlfn.XLOOKUP(Survey!$F3272,sections[Start],sections[Test Section],,-1,1)</f>
        <v>9</v>
      </c>
      <c r="N3272" s="55">
        <f>_xlfn.XLOOKUP(Survey!$K3272,pipedata[ID],pipedata[WT])</f>
        <v>0.61699999999999999</v>
      </c>
      <c r="O3272" s="56">
        <f>_xlfn.XLOOKUP(Survey!$K3272,pipedata[ID],pipedata[104%])</f>
        <v>2138.9333333333334</v>
      </c>
      <c r="P3272" s="57">
        <f t="shared" si="51"/>
        <v>1850</v>
      </c>
      <c r="Q3272" s="58">
        <f>_xlfn.MAXIFS(Survey!$G$2:$G$3647,Survey!$M$2:$M$3647,Survey!$M3272)-Survey!$G3272</f>
        <v>408.27710625281679</v>
      </c>
      <c r="R3272" s="59">
        <f>Survey!$P3272+(Survey!$Q3272*0.433)</f>
        <v>2026.7839870074697</v>
      </c>
    </row>
    <row r="3273" spans="1:18" x14ac:dyDescent="0.25">
      <c r="A3273" s="60" t="s">
        <v>17</v>
      </c>
      <c r="B3273" s="61" t="s">
        <v>23</v>
      </c>
      <c r="C3273" s="62" t="s">
        <v>19</v>
      </c>
      <c r="D3273" s="63">
        <v>251.18548899499174</v>
      </c>
      <c r="E3273" s="79">
        <v>1357729</v>
      </c>
      <c r="F3273" s="80">
        <v>1327293.9830508451</v>
      </c>
      <c r="G3273" s="66">
        <v>1665.8506794161519</v>
      </c>
      <c r="H3273" s="67">
        <v>1</v>
      </c>
      <c r="I3273" s="68" t="s">
        <v>20</v>
      </c>
      <c r="J3273" s="69">
        <v>40</v>
      </c>
      <c r="K3273" s="70">
        <v>1</v>
      </c>
      <c r="L3273" s="68">
        <v>1</v>
      </c>
      <c r="M3273" s="68">
        <f>_xlfn.XLOOKUP(Survey!$F3273,sections[Start],sections[Test Section],,-1,1)</f>
        <v>9</v>
      </c>
      <c r="N3273" s="55">
        <f>_xlfn.XLOOKUP(Survey!$K3273,pipedata[ID],pipedata[WT])</f>
        <v>0.61699999999999999</v>
      </c>
      <c r="O3273" s="56">
        <f>_xlfn.XLOOKUP(Survey!$K3273,pipedata[ID],pipedata[104%])</f>
        <v>2138.9333333333334</v>
      </c>
      <c r="P3273" s="57">
        <f t="shared" si="51"/>
        <v>1850</v>
      </c>
      <c r="Q3273" s="58">
        <f>_xlfn.MAXIFS(Survey!$G$2:$G$3647,Survey!$M$2:$M$3647,Survey!$M3273)-Survey!$G3273</f>
        <v>400.48946688926958</v>
      </c>
      <c r="R3273" s="59">
        <f>Survey!$P3273+(Survey!$Q3273*0.433)</f>
        <v>2023.4119391630538</v>
      </c>
    </row>
    <row r="3274" spans="1:18" x14ac:dyDescent="0.25">
      <c r="A3274" s="71" t="s">
        <v>17</v>
      </c>
      <c r="B3274" s="72" t="s">
        <v>23</v>
      </c>
      <c r="C3274" s="73" t="s">
        <v>19</v>
      </c>
      <c r="D3274" s="74">
        <v>251.1931661196561</v>
      </c>
      <c r="E3274" s="81">
        <v>1357769</v>
      </c>
      <c r="F3274" s="82">
        <v>1327333.0593220314</v>
      </c>
      <c r="G3274" s="75">
        <v>1669.9027266255525</v>
      </c>
      <c r="H3274" s="76">
        <v>1</v>
      </c>
      <c r="I3274" s="54" t="s">
        <v>20</v>
      </c>
      <c r="J3274" s="77">
        <v>40</v>
      </c>
      <c r="K3274" s="78">
        <v>1</v>
      </c>
      <c r="L3274" s="54">
        <v>1</v>
      </c>
      <c r="M3274" s="54">
        <f>_xlfn.XLOOKUP(Survey!$F3274,sections[Start],sections[Test Section],,-1,1)</f>
        <v>9</v>
      </c>
      <c r="N3274" s="55">
        <f>_xlfn.XLOOKUP(Survey!$K3274,pipedata[ID],pipedata[WT])</f>
        <v>0.61699999999999999</v>
      </c>
      <c r="O3274" s="56">
        <f>_xlfn.XLOOKUP(Survey!$K3274,pipedata[ID],pipedata[104%])</f>
        <v>2138.9333333333334</v>
      </c>
      <c r="P3274" s="57">
        <f t="shared" si="51"/>
        <v>1850</v>
      </c>
      <c r="Q3274" s="58">
        <f>_xlfn.MAXIFS(Survey!$G$2:$G$3647,Survey!$M$2:$M$3647,Survey!$M3274)-Survey!$G3274</f>
        <v>396.43741967986898</v>
      </c>
      <c r="R3274" s="59">
        <f>Survey!$P3274+(Survey!$Q3274*0.433)</f>
        <v>2021.6574027213833</v>
      </c>
    </row>
    <row r="3275" spans="1:18" x14ac:dyDescent="0.25">
      <c r="A3275" s="60" t="s">
        <v>17</v>
      </c>
      <c r="B3275" s="61" t="s">
        <v>23</v>
      </c>
      <c r="C3275" s="62" t="s">
        <v>19</v>
      </c>
      <c r="D3275" s="63">
        <v>251.20064277074218</v>
      </c>
      <c r="E3275" s="79">
        <v>1357809</v>
      </c>
      <c r="F3275" s="80">
        <v>1327372.1355932178</v>
      </c>
      <c r="G3275" s="66">
        <v>1669.2035288976656</v>
      </c>
      <c r="H3275" s="67">
        <v>1</v>
      </c>
      <c r="I3275" s="68" t="s">
        <v>20</v>
      </c>
      <c r="J3275" s="69">
        <v>40</v>
      </c>
      <c r="K3275" s="70">
        <v>1</v>
      </c>
      <c r="L3275" s="68">
        <v>1</v>
      </c>
      <c r="M3275" s="68">
        <f>_xlfn.XLOOKUP(Survey!$F3275,sections[Start],sections[Test Section],,-1,1)</f>
        <v>9</v>
      </c>
      <c r="N3275" s="55">
        <f>_xlfn.XLOOKUP(Survey!$K3275,pipedata[ID],pipedata[WT])</f>
        <v>0.61699999999999999</v>
      </c>
      <c r="O3275" s="56">
        <f>_xlfn.XLOOKUP(Survey!$K3275,pipedata[ID],pipedata[104%])</f>
        <v>2138.9333333333334</v>
      </c>
      <c r="P3275" s="57">
        <f t="shared" si="51"/>
        <v>1850</v>
      </c>
      <c r="Q3275" s="58">
        <f>_xlfn.MAXIFS(Survey!$G$2:$G$3647,Survey!$M$2:$M$3647,Survey!$M3275)-Survey!$G3275</f>
        <v>397.13661740775592</v>
      </c>
      <c r="R3275" s="59">
        <f>Survey!$P3275+(Survey!$Q3275*0.433)</f>
        <v>2021.9601553375583</v>
      </c>
    </row>
    <row r="3276" spans="1:18" x14ac:dyDescent="0.25">
      <c r="A3276" s="71" t="s">
        <v>17</v>
      </c>
      <c r="B3276" s="72" t="s">
        <v>23</v>
      </c>
      <c r="C3276" s="73" t="s">
        <v>19</v>
      </c>
      <c r="D3276" s="74">
        <v>251.20825998353777</v>
      </c>
      <c r="E3276" s="81">
        <v>1357849</v>
      </c>
      <c r="F3276" s="82">
        <v>1327411.2118644041</v>
      </c>
      <c r="G3276" s="75">
        <v>1667.8805516797386</v>
      </c>
      <c r="H3276" s="76">
        <v>1</v>
      </c>
      <c r="I3276" s="54" t="s">
        <v>20</v>
      </c>
      <c r="J3276" s="77">
        <v>40</v>
      </c>
      <c r="K3276" s="78">
        <v>1</v>
      </c>
      <c r="L3276" s="54">
        <v>1</v>
      </c>
      <c r="M3276" s="54">
        <f>_xlfn.XLOOKUP(Survey!$F3276,sections[Start],sections[Test Section],,-1,1)</f>
        <v>9</v>
      </c>
      <c r="N3276" s="55">
        <f>_xlfn.XLOOKUP(Survey!$K3276,pipedata[ID],pipedata[WT])</f>
        <v>0.61699999999999999</v>
      </c>
      <c r="O3276" s="56">
        <f>_xlfn.XLOOKUP(Survey!$K3276,pipedata[ID],pipedata[104%])</f>
        <v>2138.9333333333334</v>
      </c>
      <c r="P3276" s="57">
        <f t="shared" si="51"/>
        <v>1850</v>
      </c>
      <c r="Q3276" s="58">
        <f>_xlfn.MAXIFS(Survey!$G$2:$G$3647,Survey!$M$2:$M$3647,Survey!$M3276)-Survey!$G3276</f>
        <v>398.45959462568294</v>
      </c>
      <c r="R3276" s="59">
        <f>Survey!$P3276+(Survey!$Q3276*0.433)</f>
        <v>2022.5330044729208</v>
      </c>
    </row>
    <row r="3277" spans="1:18" x14ac:dyDescent="0.25">
      <c r="A3277" s="60" t="s">
        <v>17</v>
      </c>
      <c r="B3277" s="61" t="s">
        <v>23</v>
      </c>
      <c r="C3277" s="62" t="s">
        <v>19</v>
      </c>
      <c r="D3277" s="63">
        <v>251.21608143883176</v>
      </c>
      <c r="E3277" s="79">
        <v>1357889</v>
      </c>
      <c r="F3277" s="80">
        <v>1327450.2881355905</v>
      </c>
      <c r="G3277" s="66">
        <v>1667.7699864133642</v>
      </c>
      <c r="H3277" s="67">
        <v>1</v>
      </c>
      <c r="I3277" s="68" t="s">
        <v>20</v>
      </c>
      <c r="J3277" s="69">
        <v>40</v>
      </c>
      <c r="K3277" s="70">
        <v>1</v>
      </c>
      <c r="L3277" s="68">
        <v>1</v>
      </c>
      <c r="M3277" s="68">
        <f>_xlfn.XLOOKUP(Survey!$F3277,sections[Start],sections[Test Section],,-1,1)</f>
        <v>9</v>
      </c>
      <c r="N3277" s="55">
        <f>_xlfn.XLOOKUP(Survey!$K3277,pipedata[ID],pipedata[WT])</f>
        <v>0.61699999999999999</v>
      </c>
      <c r="O3277" s="56">
        <f>_xlfn.XLOOKUP(Survey!$K3277,pipedata[ID],pipedata[104%])</f>
        <v>2138.9333333333334</v>
      </c>
      <c r="P3277" s="57">
        <f t="shared" si="51"/>
        <v>1850</v>
      </c>
      <c r="Q3277" s="58">
        <f>_xlfn.MAXIFS(Survey!$G$2:$G$3647,Survey!$M$2:$M$3647,Survey!$M3277)-Survey!$G3277</f>
        <v>398.57015989205729</v>
      </c>
      <c r="R3277" s="59">
        <f>Survey!$P3277+(Survey!$Q3277*0.433)</f>
        <v>2022.5808792332609</v>
      </c>
    </row>
    <row r="3278" spans="1:18" x14ac:dyDescent="0.25">
      <c r="A3278" s="71" t="s">
        <v>17</v>
      </c>
      <c r="B3278" s="72" t="s">
        <v>23</v>
      </c>
      <c r="C3278" s="73" t="s">
        <v>19</v>
      </c>
      <c r="D3278" s="74">
        <v>251.22363800026969</v>
      </c>
      <c r="E3278" s="81">
        <v>1357929</v>
      </c>
      <c r="F3278" s="82">
        <v>1327489.3644067768</v>
      </c>
      <c r="G3278" s="75">
        <v>1666.8889930263501</v>
      </c>
      <c r="H3278" s="76">
        <v>1</v>
      </c>
      <c r="I3278" s="54" t="s">
        <v>20</v>
      </c>
      <c r="J3278" s="77">
        <v>40</v>
      </c>
      <c r="K3278" s="78">
        <v>1</v>
      </c>
      <c r="L3278" s="54">
        <v>1</v>
      </c>
      <c r="M3278" s="54">
        <f>_xlfn.XLOOKUP(Survey!$F3278,sections[Start],sections[Test Section],,-1,1)</f>
        <v>9</v>
      </c>
      <c r="N3278" s="55">
        <f>_xlfn.XLOOKUP(Survey!$K3278,pipedata[ID],pipedata[WT])</f>
        <v>0.61699999999999999</v>
      </c>
      <c r="O3278" s="56">
        <f>_xlfn.XLOOKUP(Survey!$K3278,pipedata[ID],pipedata[104%])</f>
        <v>2138.9333333333334</v>
      </c>
      <c r="P3278" s="57">
        <f t="shared" si="51"/>
        <v>1850</v>
      </c>
      <c r="Q3278" s="58">
        <f>_xlfn.MAXIFS(Survey!$G$2:$G$3647,Survey!$M$2:$M$3647,Survey!$M3278)-Survey!$G3278</f>
        <v>399.45115327907138</v>
      </c>
      <c r="R3278" s="59">
        <f>Survey!$P3278+(Survey!$Q3278*0.433)</f>
        <v>2022.962349369838</v>
      </c>
    </row>
    <row r="3279" spans="1:18" x14ac:dyDescent="0.25">
      <c r="A3279" s="60" t="s">
        <v>17</v>
      </c>
      <c r="B3279" s="61" t="s">
        <v>23</v>
      </c>
      <c r="C3279" s="62" t="s">
        <v>19</v>
      </c>
      <c r="D3279" s="63">
        <v>251.23127277157721</v>
      </c>
      <c r="E3279" s="79">
        <v>1357969</v>
      </c>
      <c r="F3279" s="80">
        <v>1327528.4406779632</v>
      </c>
      <c r="G3279" s="66">
        <v>1661.6294983822238</v>
      </c>
      <c r="H3279" s="67">
        <v>1</v>
      </c>
      <c r="I3279" s="68" t="s">
        <v>20</v>
      </c>
      <c r="J3279" s="69">
        <v>40</v>
      </c>
      <c r="K3279" s="70">
        <v>1</v>
      </c>
      <c r="L3279" s="68">
        <v>1</v>
      </c>
      <c r="M3279" s="68">
        <f>_xlfn.XLOOKUP(Survey!$F3279,sections[Start],sections[Test Section],,-1,1)</f>
        <v>9</v>
      </c>
      <c r="N3279" s="55">
        <f>_xlfn.XLOOKUP(Survey!$K3279,pipedata[ID],pipedata[WT])</f>
        <v>0.61699999999999999</v>
      </c>
      <c r="O3279" s="56">
        <f>_xlfn.XLOOKUP(Survey!$K3279,pipedata[ID],pipedata[104%])</f>
        <v>2138.9333333333334</v>
      </c>
      <c r="P3279" s="57">
        <f t="shared" si="51"/>
        <v>1850</v>
      </c>
      <c r="Q3279" s="58">
        <f>_xlfn.MAXIFS(Survey!$G$2:$G$3647,Survey!$M$2:$M$3647,Survey!$M3279)-Survey!$G3279</f>
        <v>404.71064792319771</v>
      </c>
      <c r="R3279" s="59">
        <f>Survey!$P3279+(Survey!$Q3279*0.433)</f>
        <v>2025.2397105507446</v>
      </c>
    </row>
    <row r="3280" spans="1:18" x14ac:dyDescent="0.25">
      <c r="A3280" s="71" t="s">
        <v>17</v>
      </c>
      <c r="B3280" s="72" t="s">
        <v>23</v>
      </c>
      <c r="C3280" s="73" t="s">
        <v>19</v>
      </c>
      <c r="D3280" s="74">
        <v>251.23890754288462</v>
      </c>
      <c r="E3280" s="81">
        <v>1358009</v>
      </c>
      <c r="F3280" s="82">
        <v>1327567.5169491495</v>
      </c>
      <c r="G3280" s="75">
        <v>1657.191355158345</v>
      </c>
      <c r="H3280" s="76">
        <v>1</v>
      </c>
      <c r="I3280" s="54" t="s">
        <v>20</v>
      </c>
      <c r="J3280" s="77">
        <v>40</v>
      </c>
      <c r="K3280" s="78">
        <v>1</v>
      </c>
      <c r="L3280" s="54">
        <v>1</v>
      </c>
      <c r="M3280" s="54">
        <f>_xlfn.XLOOKUP(Survey!$F3280,sections[Start],sections[Test Section],,-1,1)</f>
        <v>9</v>
      </c>
      <c r="N3280" s="55">
        <f>_xlfn.XLOOKUP(Survey!$K3280,pipedata[ID],pipedata[WT])</f>
        <v>0.61699999999999999</v>
      </c>
      <c r="O3280" s="56">
        <f>_xlfn.XLOOKUP(Survey!$K3280,pipedata[ID],pipedata[104%])</f>
        <v>2138.9333333333334</v>
      </c>
      <c r="P3280" s="57">
        <f t="shared" si="51"/>
        <v>1850</v>
      </c>
      <c r="Q3280" s="58">
        <f>_xlfn.MAXIFS(Survey!$G$2:$G$3647,Survey!$M$2:$M$3647,Survey!$M3280)-Survey!$G3280</f>
        <v>409.14879114707651</v>
      </c>
      <c r="R3280" s="59">
        <f>Survey!$P3280+(Survey!$Q3280*0.433)</f>
        <v>2027.1614265666842</v>
      </c>
    </row>
    <row r="3281" spans="1:18" x14ac:dyDescent="0.25">
      <c r="A3281" s="60" t="s">
        <v>17</v>
      </c>
      <c r="B3281" s="61" t="s">
        <v>23</v>
      </c>
      <c r="C3281" s="62" t="s">
        <v>19</v>
      </c>
      <c r="D3281" s="63">
        <v>251.2457692520137</v>
      </c>
      <c r="E3281" s="79">
        <v>1358049</v>
      </c>
      <c r="F3281" s="80">
        <v>1327606.5932203359</v>
      </c>
      <c r="G3281" s="66">
        <v>1651.1631135572161</v>
      </c>
      <c r="H3281" s="67">
        <v>1</v>
      </c>
      <c r="I3281" s="68" t="s">
        <v>20</v>
      </c>
      <c r="J3281" s="69">
        <v>40</v>
      </c>
      <c r="K3281" s="70">
        <v>1</v>
      </c>
      <c r="L3281" s="68">
        <v>1</v>
      </c>
      <c r="M3281" s="68">
        <f>_xlfn.XLOOKUP(Survey!$F3281,sections[Start],sections[Test Section],,-1,1)</f>
        <v>9</v>
      </c>
      <c r="N3281" s="55">
        <f>_xlfn.XLOOKUP(Survey!$K3281,pipedata[ID],pipedata[WT])</f>
        <v>0.61699999999999999</v>
      </c>
      <c r="O3281" s="56">
        <f>_xlfn.XLOOKUP(Survey!$K3281,pipedata[ID],pipedata[104%])</f>
        <v>2138.9333333333334</v>
      </c>
      <c r="P3281" s="57">
        <f t="shared" si="51"/>
        <v>1850</v>
      </c>
      <c r="Q3281" s="58">
        <f>_xlfn.MAXIFS(Survey!$G$2:$G$3647,Survey!$M$2:$M$3647,Survey!$M3281)-Survey!$G3281</f>
        <v>415.17703274820542</v>
      </c>
      <c r="R3281" s="59">
        <f>Survey!$P3281+(Survey!$Q3281*0.433)</f>
        <v>2029.7716551799729</v>
      </c>
    </row>
    <row r="3282" spans="1:18" x14ac:dyDescent="0.25">
      <c r="A3282" s="71" t="s">
        <v>17</v>
      </c>
      <c r="B3282" s="72" t="s">
        <v>23</v>
      </c>
      <c r="C3282" s="73" t="s">
        <v>19</v>
      </c>
      <c r="D3282" s="74">
        <v>251.25268762775275</v>
      </c>
      <c r="E3282" s="81">
        <v>1358089</v>
      </c>
      <c r="F3282" s="82">
        <v>1327645.6694915222</v>
      </c>
      <c r="G3282" s="75">
        <v>1643.0691523601768</v>
      </c>
      <c r="H3282" s="76">
        <v>1</v>
      </c>
      <c r="I3282" s="54" t="s">
        <v>20</v>
      </c>
      <c r="J3282" s="77">
        <v>40</v>
      </c>
      <c r="K3282" s="78">
        <v>1</v>
      </c>
      <c r="L3282" s="54">
        <v>1</v>
      </c>
      <c r="M3282" s="54">
        <f>_xlfn.XLOOKUP(Survey!$F3282,sections[Start],sections[Test Section],,-1,1)</f>
        <v>9</v>
      </c>
      <c r="N3282" s="55">
        <f>_xlfn.XLOOKUP(Survey!$K3282,pipedata[ID],pipedata[WT])</f>
        <v>0.61699999999999999</v>
      </c>
      <c r="O3282" s="56">
        <f>_xlfn.XLOOKUP(Survey!$K3282,pipedata[ID],pipedata[104%])</f>
        <v>2138.9333333333334</v>
      </c>
      <c r="P3282" s="57">
        <f t="shared" si="51"/>
        <v>1850</v>
      </c>
      <c r="Q3282" s="58">
        <f>_xlfn.MAXIFS(Survey!$G$2:$G$3647,Survey!$M$2:$M$3647,Survey!$M3282)-Survey!$G3282</f>
        <v>423.27099394524475</v>
      </c>
      <c r="R3282" s="59">
        <f>Survey!$P3282+(Survey!$Q3282*0.433)</f>
        <v>2033.276340378291</v>
      </c>
    </row>
    <row r="3283" spans="1:18" x14ac:dyDescent="0.25">
      <c r="A3283" s="60" t="s">
        <v>17</v>
      </c>
      <c r="B3283" s="61" t="s">
        <v>23</v>
      </c>
      <c r="C3283" s="62" t="s">
        <v>19</v>
      </c>
      <c r="D3283" s="63">
        <v>251.26058018761483</v>
      </c>
      <c r="E3283" s="79">
        <v>1358129</v>
      </c>
      <c r="F3283" s="80">
        <v>1327684.7457627086</v>
      </c>
      <c r="G3283" s="66">
        <v>1634.8277824325467</v>
      </c>
      <c r="H3283" s="67">
        <v>1</v>
      </c>
      <c r="I3283" s="68" t="s">
        <v>20</v>
      </c>
      <c r="J3283" s="69">
        <v>40</v>
      </c>
      <c r="K3283" s="70">
        <v>1</v>
      </c>
      <c r="L3283" s="68">
        <v>1</v>
      </c>
      <c r="M3283" s="68">
        <f>_xlfn.XLOOKUP(Survey!$F3283,sections[Start],sections[Test Section],,-1,1)</f>
        <v>9</v>
      </c>
      <c r="N3283" s="55">
        <f>_xlfn.XLOOKUP(Survey!$K3283,pipedata[ID],pipedata[WT])</f>
        <v>0.61699999999999999</v>
      </c>
      <c r="O3283" s="56">
        <f>_xlfn.XLOOKUP(Survey!$K3283,pipedata[ID],pipedata[104%])</f>
        <v>2138.9333333333334</v>
      </c>
      <c r="P3283" s="57">
        <f t="shared" si="51"/>
        <v>1850</v>
      </c>
      <c r="Q3283" s="58">
        <f>_xlfn.MAXIFS(Survey!$G$2:$G$3647,Survey!$M$2:$M$3647,Survey!$M3283)-Survey!$G3283</f>
        <v>431.51236387287486</v>
      </c>
      <c r="R3283" s="59">
        <f>Survey!$P3283+(Survey!$Q3283*0.433)</f>
        <v>2036.8448535569548</v>
      </c>
    </row>
    <row r="3284" spans="1:18" x14ac:dyDescent="0.25">
      <c r="A3284" s="71" t="s">
        <v>17</v>
      </c>
      <c r="B3284" s="72" t="s">
        <v>23</v>
      </c>
      <c r="C3284" s="73" t="s">
        <v>19</v>
      </c>
      <c r="D3284" s="74">
        <v>251.26843052366351</v>
      </c>
      <c r="E3284" s="81">
        <v>1358169</v>
      </c>
      <c r="F3284" s="82">
        <v>1327723.8220338949</v>
      </c>
      <c r="G3284" s="75">
        <v>1628.1324703659227</v>
      </c>
      <c r="H3284" s="76">
        <v>1</v>
      </c>
      <c r="I3284" s="54" t="s">
        <v>20</v>
      </c>
      <c r="J3284" s="77">
        <v>40</v>
      </c>
      <c r="K3284" s="78">
        <v>1</v>
      </c>
      <c r="L3284" s="54">
        <v>1</v>
      </c>
      <c r="M3284" s="54">
        <f>_xlfn.XLOOKUP(Survey!$F3284,sections[Start],sections[Test Section],,-1,1)</f>
        <v>9</v>
      </c>
      <c r="N3284" s="55">
        <f>_xlfn.XLOOKUP(Survey!$K3284,pipedata[ID],pipedata[WT])</f>
        <v>0.61699999999999999</v>
      </c>
      <c r="O3284" s="56">
        <f>_xlfn.XLOOKUP(Survey!$K3284,pipedata[ID],pipedata[104%])</f>
        <v>2138.9333333333334</v>
      </c>
      <c r="P3284" s="57">
        <f t="shared" si="51"/>
        <v>1850</v>
      </c>
      <c r="Q3284" s="58">
        <f>_xlfn.MAXIFS(Survey!$G$2:$G$3647,Survey!$M$2:$M$3647,Survey!$M3284)-Survey!$G3284</f>
        <v>438.20767593949881</v>
      </c>
      <c r="R3284" s="59">
        <f>Survey!$P3284+(Survey!$Q3284*0.433)</f>
        <v>2039.7439236818029</v>
      </c>
    </row>
    <row r="3285" spans="1:18" x14ac:dyDescent="0.25">
      <c r="A3285" s="60" t="s">
        <v>17</v>
      </c>
      <c r="B3285" s="61" t="s">
        <v>23</v>
      </c>
      <c r="C3285" s="62" t="s">
        <v>19</v>
      </c>
      <c r="D3285" s="63">
        <v>251.27615166346897</v>
      </c>
      <c r="E3285" s="79">
        <v>1358209</v>
      </c>
      <c r="F3285" s="80">
        <v>1327762.8983050813</v>
      </c>
      <c r="G3285" s="66">
        <v>1621.2894724432106</v>
      </c>
      <c r="H3285" s="67">
        <v>1</v>
      </c>
      <c r="I3285" s="68" t="s">
        <v>20</v>
      </c>
      <c r="J3285" s="69">
        <v>40</v>
      </c>
      <c r="K3285" s="70">
        <v>1</v>
      </c>
      <c r="L3285" s="68">
        <v>1</v>
      </c>
      <c r="M3285" s="68">
        <f>_xlfn.XLOOKUP(Survey!$F3285,sections[Start],sections[Test Section],,-1,1)</f>
        <v>9</v>
      </c>
      <c r="N3285" s="55">
        <f>_xlfn.XLOOKUP(Survey!$K3285,pipedata[ID],pipedata[WT])</f>
        <v>0.61699999999999999</v>
      </c>
      <c r="O3285" s="56">
        <f>_xlfn.XLOOKUP(Survey!$K3285,pipedata[ID],pipedata[104%])</f>
        <v>2138.9333333333334</v>
      </c>
      <c r="P3285" s="57">
        <f t="shared" si="51"/>
        <v>1850</v>
      </c>
      <c r="Q3285" s="58">
        <f>_xlfn.MAXIFS(Survey!$G$2:$G$3647,Survey!$M$2:$M$3647,Survey!$M3285)-Survey!$G3285</f>
        <v>445.05067386221094</v>
      </c>
      <c r="R3285" s="59">
        <f>Survey!$P3285+(Survey!$Q3285*0.433)</f>
        <v>2042.7069417823373</v>
      </c>
    </row>
    <row r="3286" spans="1:18" x14ac:dyDescent="0.25">
      <c r="A3286" s="71" t="s">
        <v>17</v>
      </c>
      <c r="B3286" s="72" t="s">
        <v>23</v>
      </c>
      <c r="C3286" s="73" t="s">
        <v>19</v>
      </c>
      <c r="D3286" s="74">
        <v>251.28251314522728</v>
      </c>
      <c r="E3286" s="81">
        <v>1358249</v>
      </c>
      <c r="F3286" s="82">
        <v>1327801.9745762676</v>
      </c>
      <c r="G3286" s="75">
        <v>1619.1332476966036</v>
      </c>
      <c r="H3286" s="76">
        <v>1</v>
      </c>
      <c r="I3286" s="54" t="s">
        <v>20</v>
      </c>
      <c r="J3286" s="77">
        <v>40</v>
      </c>
      <c r="K3286" s="78">
        <v>1</v>
      </c>
      <c r="L3286" s="54">
        <v>1</v>
      </c>
      <c r="M3286" s="54">
        <f>_xlfn.XLOOKUP(Survey!$F3286,sections[Start],sections[Test Section],,-1,1)</f>
        <v>9</v>
      </c>
      <c r="N3286" s="55">
        <f>_xlfn.XLOOKUP(Survey!$K3286,pipedata[ID],pipedata[WT])</f>
        <v>0.61699999999999999</v>
      </c>
      <c r="O3286" s="56">
        <f>_xlfn.XLOOKUP(Survey!$K3286,pipedata[ID],pipedata[104%])</f>
        <v>2138.9333333333334</v>
      </c>
      <c r="P3286" s="57">
        <f t="shared" si="51"/>
        <v>1850</v>
      </c>
      <c r="Q3286" s="58">
        <f>_xlfn.MAXIFS(Survey!$G$2:$G$3647,Survey!$M$2:$M$3647,Survey!$M3286)-Survey!$G3286</f>
        <v>447.20689860881794</v>
      </c>
      <c r="R3286" s="59">
        <f>Survey!$P3286+(Survey!$Q3286*0.433)</f>
        <v>2043.6405870976182</v>
      </c>
    </row>
    <row r="3287" spans="1:18" x14ac:dyDescent="0.25">
      <c r="A3287" s="60" t="s">
        <v>17</v>
      </c>
      <c r="B3287" s="61" t="s">
        <v>23</v>
      </c>
      <c r="C3287" s="62" t="s">
        <v>19</v>
      </c>
      <c r="D3287" s="63">
        <v>251.29057717991867</v>
      </c>
      <c r="E3287" s="79">
        <v>1358289</v>
      </c>
      <c r="F3287" s="80">
        <v>1327841.050847454</v>
      </c>
      <c r="G3287" s="66">
        <v>1619.0130043082522</v>
      </c>
      <c r="H3287" s="67">
        <v>1</v>
      </c>
      <c r="I3287" s="68" t="s">
        <v>20</v>
      </c>
      <c r="J3287" s="69">
        <v>40</v>
      </c>
      <c r="K3287" s="70">
        <v>1</v>
      </c>
      <c r="L3287" s="68">
        <v>1</v>
      </c>
      <c r="M3287" s="68">
        <f>_xlfn.XLOOKUP(Survey!$F3287,sections[Start],sections[Test Section],,-1,1)</f>
        <v>9</v>
      </c>
      <c r="N3287" s="55">
        <f>_xlfn.XLOOKUP(Survey!$K3287,pipedata[ID],pipedata[WT])</f>
        <v>0.61699999999999999</v>
      </c>
      <c r="O3287" s="56">
        <f>_xlfn.XLOOKUP(Survey!$K3287,pipedata[ID],pipedata[104%])</f>
        <v>2138.9333333333334</v>
      </c>
      <c r="P3287" s="57">
        <f t="shared" si="51"/>
        <v>1850</v>
      </c>
      <c r="Q3287" s="58">
        <f>_xlfn.MAXIFS(Survey!$G$2:$G$3647,Survey!$M$2:$M$3647,Survey!$M3287)-Survey!$G3287</f>
        <v>447.32714199716929</v>
      </c>
      <c r="R3287" s="59">
        <f>Survey!$P3287+(Survey!$Q3287*0.433)</f>
        <v>2043.6926524847743</v>
      </c>
    </row>
    <row r="3288" spans="1:18" x14ac:dyDescent="0.25">
      <c r="A3288" s="71" t="s">
        <v>17</v>
      </c>
      <c r="B3288" s="72" t="s">
        <v>23</v>
      </c>
      <c r="C3288" s="73" t="s">
        <v>19</v>
      </c>
      <c r="D3288" s="74">
        <v>251.29724434109707</v>
      </c>
      <c r="E3288" s="81">
        <v>1358329</v>
      </c>
      <c r="F3288" s="82">
        <v>1327880.1271186403</v>
      </c>
      <c r="G3288" s="75">
        <v>1615.7651493977571</v>
      </c>
      <c r="H3288" s="76">
        <v>1</v>
      </c>
      <c r="I3288" s="54" t="s">
        <v>20</v>
      </c>
      <c r="J3288" s="77">
        <v>40</v>
      </c>
      <c r="K3288" s="78">
        <v>1</v>
      </c>
      <c r="L3288" s="54">
        <v>1</v>
      </c>
      <c r="M3288" s="54">
        <f>_xlfn.XLOOKUP(Survey!$F3288,sections[Start],sections[Test Section],,-1,1)</f>
        <v>9</v>
      </c>
      <c r="N3288" s="55">
        <f>_xlfn.XLOOKUP(Survey!$K3288,pipedata[ID],pipedata[WT])</f>
        <v>0.61699999999999999</v>
      </c>
      <c r="O3288" s="56">
        <f>_xlfn.XLOOKUP(Survey!$K3288,pipedata[ID],pipedata[104%])</f>
        <v>2138.9333333333334</v>
      </c>
      <c r="P3288" s="57">
        <f t="shared" si="51"/>
        <v>1850</v>
      </c>
      <c r="Q3288" s="58">
        <f>_xlfn.MAXIFS(Survey!$G$2:$G$3647,Survey!$M$2:$M$3647,Survey!$M3288)-Survey!$G3288</f>
        <v>450.5749969076644</v>
      </c>
      <c r="R3288" s="59">
        <f>Survey!$P3288+(Survey!$Q3288*0.433)</f>
        <v>2045.0989736610186</v>
      </c>
    </row>
    <row r="3289" spans="1:18" x14ac:dyDescent="0.25">
      <c r="A3289" s="60" t="s">
        <v>17</v>
      </c>
      <c r="B3289" s="61" t="s">
        <v>23</v>
      </c>
      <c r="C3289" s="62" t="s">
        <v>19</v>
      </c>
      <c r="D3289" s="63">
        <v>251.30510109319451</v>
      </c>
      <c r="E3289" s="79">
        <v>1358369</v>
      </c>
      <c r="F3289" s="80">
        <v>1327919.2033898267</v>
      </c>
      <c r="G3289" s="66">
        <v>1608.7498006792368</v>
      </c>
      <c r="H3289" s="67">
        <v>1</v>
      </c>
      <c r="I3289" s="68" t="s">
        <v>20</v>
      </c>
      <c r="J3289" s="69">
        <v>40</v>
      </c>
      <c r="K3289" s="70">
        <v>1</v>
      </c>
      <c r="L3289" s="68">
        <v>1</v>
      </c>
      <c r="M3289" s="68">
        <f>_xlfn.XLOOKUP(Survey!$F3289,sections[Start],sections[Test Section],,-1,1)</f>
        <v>9</v>
      </c>
      <c r="N3289" s="55">
        <f>_xlfn.XLOOKUP(Survey!$K3289,pipedata[ID],pipedata[WT])</f>
        <v>0.61699999999999999</v>
      </c>
      <c r="O3289" s="56">
        <f>_xlfn.XLOOKUP(Survey!$K3289,pipedata[ID],pipedata[104%])</f>
        <v>2138.9333333333334</v>
      </c>
      <c r="P3289" s="57">
        <f t="shared" si="51"/>
        <v>1850</v>
      </c>
      <c r="Q3289" s="58">
        <f>_xlfn.MAXIFS(Survey!$G$2:$G$3647,Survey!$M$2:$M$3647,Survey!$M3289)-Survey!$G3289</f>
        <v>457.59034562618467</v>
      </c>
      <c r="R3289" s="59">
        <f>Survey!$P3289+(Survey!$Q3289*0.433)</f>
        <v>2048.136619656138</v>
      </c>
    </row>
    <row r="3290" spans="1:18" x14ac:dyDescent="0.25">
      <c r="A3290" s="71" t="s">
        <v>17</v>
      </c>
      <c r="B3290" s="72" t="s">
        <v>23</v>
      </c>
      <c r="C3290" s="73" t="s">
        <v>19</v>
      </c>
      <c r="D3290" s="74">
        <v>251.31366906318118</v>
      </c>
      <c r="E3290" s="81">
        <v>1358409</v>
      </c>
      <c r="F3290" s="82">
        <v>1327958.279661013</v>
      </c>
      <c r="G3290" s="75">
        <v>1603.6258616994899</v>
      </c>
      <c r="H3290" s="76">
        <v>1</v>
      </c>
      <c r="I3290" s="54" t="s">
        <v>20</v>
      </c>
      <c r="J3290" s="77">
        <v>40</v>
      </c>
      <c r="K3290" s="78">
        <v>1</v>
      </c>
      <c r="L3290" s="54">
        <v>1</v>
      </c>
      <c r="M3290" s="54">
        <f>_xlfn.XLOOKUP(Survey!$F3290,sections[Start],sections[Test Section],,-1,1)</f>
        <v>9</v>
      </c>
      <c r="N3290" s="55">
        <f>_xlfn.XLOOKUP(Survey!$K3290,pipedata[ID],pipedata[WT])</f>
        <v>0.61699999999999999</v>
      </c>
      <c r="O3290" s="56">
        <f>_xlfn.XLOOKUP(Survey!$K3290,pipedata[ID],pipedata[104%])</f>
        <v>2138.9333333333334</v>
      </c>
      <c r="P3290" s="57">
        <f t="shared" si="51"/>
        <v>1850</v>
      </c>
      <c r="Q3290" s="58">
        <f>_xlfn.MAXIFS(Survey!$G$2:$G$3647,Survey!$M$2:$M$3647,Survey!$M3290)-Survey!$G3290</f>
        <v>462.71428460593165</v>
      </c>
      <c r="R3290" s="59">
        <f>Survey!$P3290+(Survey!$Q3290*0.433)</f>
        <v>2050.3552852343682</v>
      </c>
    </row>
    <row r="3291" spans="1:18" x14ac:dyDescent="0.25">
      <c r="A3291" s="60" t="s">
        <v>17</v>
      </c>
      <c r="B3291" s="61" t="s">
        <v>23</v>
      </c>
      <c r="C3291" s="62" t="s">
        <v>19</v>
      </c>
      <c r="D3291" s="63">
        <v>251.32084549098164</v>
      </c>
      <c r="E3291" s="79">
        <v>1358449</v>
      </c>
      <c r="F3291" s="80">
        <v>1327997.3559321994</v>
      </c>
      <c r="G3291" s="66">
        <v>1597.8698354333353</v>
      </c>
      <c r="H3291" s="67">
        <v>1</v>
      </c>
      <c r="I3291" s="68" t="s">
        <v>20</v>
      </c>
      <c r="J3291" s="69">
        <v>40</v>
      </c>
      <c r="K3291" s="70">
        <v>1</v>
      </c>
      <c r="L3291" s="68">
        <v>1</v>
      </c>
      <c r="M3291" s="68">
        <f>_xlfn.XLOOKUP(Survey!$F3291,sections[Start],sections[Test Section],,-1,1)</f>
        <v>9</v>
      </c>
      <c r="N3291" s="55">
        <f>_xlfn.XLOOKUP(Survey!$K3291,pipedata[ID],pipedata[WT])</f>
        <v>0.61699999999999999</v>
      </c>
      <c r="O3291" s="56">
        <f>_xlfn.XLOOKUP(Survey!$K3291,pipedata[ID],pipedata[104%])</f>
        <v>2138.9333333333334</v>
      </c>
      <c r="P3291" s="57">
        <f t="shared" si="51"/>
        <v>1850</v>
      </c>
      <c r="Q3291" s="58">
        <f>_xlfn.MAXIFS(Survey!$G$2:$G$3647,Survey!$M$2:$M$3647,Survey!$M3291)-Survey!$G3291</f>
        <v>468.4703108720862</v>
      </c>
      <c r="R3291" s="59">
        <f>Survey!$P3291+(Survey!$Q3291*0.433)</f>
        <v>2052.8476446076133</v>
      </c>
    </row>
    <row r="3292" spans="1:18" x14ac:dyDescent="0.25">
      <c r="A3292" s="71" t="s">
        <v>17</v>
      </c>
      <c r="B3292" s="72" t="s">
        <v>23</v>
      </c>
      <c r="C3292" s="73" t="s">
        <v>19</v>
      </c>
      <c r="D3292" s="74">
        <v>251.32825023863742</v>
      </c>
      <c r="E3292" s="81">
        <v>1358489</v>
      </c>
      <c r="F3292" s="82">
        <v>1328036.4322033857</v>
      </c>
      <c r="G3292" s="75">
        <v>1595.0727703633718</v>
      </c>
      <c r="H3292" s="76">
        <v>1</v>
      </c>
      <c r="I3292" s="54" t="s">
        <v>20</v>
      </c>
      <c r="J3292" s="77">
        <v>40</v>
      </c>
      <c r="K3292" s="78">
        <v>1</v>
      </c>
      <c r="L3292" s="54">
        <v>1</v>
      </c>
      <c r="M3292" s="54">
        <f>_xlfn.XLOOKUP(Survey!$F3292,sections[Start],sections[Test Section],,-1,1)</f>
        <v>9</v>
      </c>
      <c r="N3292" s="55">
        <f>_xlfn.XLOOKUP(Survey!$K3292,pipedata[ID],pipedata[WT])</f>
        <v>0.61699999999999999</v>
      </c>
      <c r="O3292" s="56">
        <f>_xlfn.XLOOKUP(Survey!$K3292,pipedata[ID],pipedata[104%])</f>
        <v>2138.9333333333334</v>
      </c>
      <c r="P3292" s="57">
        <f t="shared" si="51"/>
        <v>1850</v>
      </c>
      <c r="Q3292" s="58">
        <f>_xlfn.MAXIFS(Survey!$G$2:$G$3647,Survey!$M$2:$M$3647,Survey!$M3292)-Survey!$G3292</f>
        <v>471.26737594204974</v>
      </c>
      <c r="R3292" s="59">
        <f>Survey!$P3292+(Survey!$Q3292*0.433)</f>
        <v>2054.0587737829073</v>
      </c>
    </row>
    <row r="3293" spans="1:18" x14ac:dyDescent="0.25">
      <c r="A3293" s="60" t="s">
        <v>17</v>
      </c>
      <c r="B3293" s="61" t="s">
        <v>23</v>
      </c>
      <c r="C3293" s="62" t="s">
        <v>19</v>
      </c>
      <c r="D3293" s="63">
        <v>251.3359666204517</v>
      </c>
      <c r="E3293" s="79">
        <v>1358529</v>
      </c>
      <c r="F3293" s="80">
        <v>1328075.5084745721</v>
      </c>
      <c r="G3293" s="66">
        <v>1594.6953114645733</v>
      </c>
      <c r="H3293" s="67">
        <v>1</v>
      </c>
      <c r="I3293" s="68" t="s">
        <v>20</v>
      </c>
      <c r="J3293" s="69">
        <v>40</v>
      </c>
      <c r="K3293" s="70">
        <v>1</v>
      </c>
      <c r="L3293" s="68">
        <v>1</v>
      </c>
      <c r="M3293" s="68">
        <f>_xlfn.XLOOKUP(Survey!$F3293,sections[Start],sections[Test Section],,-1,1)</f>
        <v>9</v>
      </c>
      <c r="N3293" s="55">
        <f>_xlfn.XLOOKUP(Survey!$K3293,pipedata[ID],pipedata[WT])</f>
        <v>0.61699999999999999</v>
      </c>
      <c r="O3293" s="56">
        <f>_xlfn.XLOOKUP(Survey!$K3293,pipedata[ID],pipedata[104%])</f>
        <v>2138.9333333333334</v>
      </c>
      <c r="P3293" s="57">
        <f t="shared" si="51"/>
        <v>1850</v>
      </c>
      <c r="Q3293" s="58">
        <f>_xlfn.MAXIFS(Survey!$G$2:$G$3647,Survey!$M$2:$M$3647,Survey!$M3293)-Survey!$G3293</f>
        <v>471.64483484084826</v>
      </c>
      <c r="R3293" s="59">
        <f>Survey!$P3293+(Survey!$Q3293*0.433)</f>
        <v>2054.2222134860872</v>
      </c>
    </row>
    <row r="3294" spans="1:18" x14ac:dyDescent="0.25">
      <c r="A3294" s="71" t="s">
        <v>17</v>
      </c>
      <c r="B3294" s="72" t="s">
        <v>23</v>
      </c>
      <c r="C3294" s="73" t="s">
        <v>19</v>
      </c>
      <c r="D3294" s="74">
        <v>251.34368300226598</v>
      </c>
      <c r="E3294" s="81">
        <v>1358569</v>
      </c>
      <c r="F3294" s="82">
        <v>1328114.5847457584</v>
      </c>
      <c r="G3294" s="75">
        <v>1594.8425886799866</v>
      </c>
      <c r="H3294" s="76">
        <v>1</v>
      </c>
      <c r="I3294" s="54" t="s">
        <v>20</v>
      </c>
      <c r="J3294" s="77">
        <v>40</v>
      </c>
      <c r="K3294" s="78">
        <v>1</v>
      </c>
      <c r="L3294" s="54">
        <v>1</v>
      </c>
      <c r="M3294" s="54">
        <f>_xlfn.XLOOKUP(Survey!$F3294,sections[Start],sections[Test Section],,-1,1)</f>
        <v>9</v>
      </c>
      <c r="N3294" s="55">
        <f>_xlfn.XLOOKUP(Survey!$K3294,pipedata[ID],pipedata[WT])</f>
        <v>0.61699999999999999</v>
      </c>
      <c r="O3294" s="56">
        <f>_xlfn.XLOOKUP(Survey!$K3294,pipedata[ID],pipedata[104%])</f>
        <v>2138.9333333333334</v>
      </c>
      <c r="P3294" s="57">
        <f t="shared" si="51"/>
        <v>1850</v>
      </c>
      <c r="Q3294" s="58">
        <f>_xlfn.MAXIFS(Survey!$G$2:$G$3647,Survey!$M$2:$M$3647,Survey!$M3294)-Survey!$G3294</f>
        <v>471.49755762543487</v>
      </c>
      <c r="R3294" s="59">
        <f>Survey!$P3294+(Survey!$Q3294*0.433)</f>
        <v>2054.1584424518132</v>
      </c>
    </row>
    <row r="3295" spans="1:18" x14ac:dyDescent="0.25">
      <c r="A3295" s="60" t="s">
        <v>17</v>
      </c>
      <c r="B3295" s="61" t="s">
        <v>23</v>
      </c>
      <c r="C3295" s="62" t="s">
        <v>19</v>
      </c>
      <c r="D3295" s="63">
        <v>251.35139938408031</v>
      </c>
      <c r="E3295" s="79">
        <v>1358609</v>
      </c>
      <c r="F3295" s="80">
        <v>1328153.6610169448</v>
      </c>
      <c r="G3295" s="66">
        <v>1593.5079535786128</v>
      </c>
      <c r="H3295" s="67">
        <v>1</v>
      </c>
      <c r="I3295" s="68" t="s">
        <v>20</v>
      </c>
      <c r="J3295" s="69">
        <v>40</v>
      </c>
      <c r="K3295" s="70">
        <v>1</v>
      </c>
      <c r="L3295" s="68">
        <v>1</v>
      </c>
      <c r="M3295" s="68">
        <f>_xlfn.XLOOKUP(Survey!$F3295,sections[Start],sections[Test Section],,-1,1)</f>
        <v>9</v>
      </c>
      <c r="N3295" s="55">
        <f>_xlfn.XLOOKUP(Survey!$K3295,pipedata[ID],pipedata[WT])</f>
        <v>0.61699999999999999</v>
      </c>
      <c r="O3295" s="56">
        <f>_xlfn.XLOOKUP(Survey!$K3295,pipedata[ID],pipedata[104%])</f>
        <v>2138.9333333333334</v>
      </c>
      <c r="P3295" s="57">
        <f t="shared" si="51"/>
        <v>1850</v>
      </c>
      <c r="Q3295" s="58">
        <f>_xlfn.MAXIFS(Survey!$G$2:$G$3647,Survey!$M$2:$M$3647,Survey!$M3295)-Survey!$G3295</f>
        <v>472.83219272680867</v>
      </c>
      <c r="R3295" s="59">
        <f>Survey!$P3295+(Survey!$Q3295*0.433)</f>
        <v>2054.7363394507083</v>
      </c>
    </row>
    <row r="3296" spans="1:18" x14ac:dyDescent="0.25">
      <c r="A3296" s="71" t="s">
        <v>17</v>
      </c>
      <c r="B3296" s="72" t="s">
        <v>23</v>
      </c>
      <c r="C3296" s="73" t="s">
        <v>19</v>
      </c>
      <c r="D3296" s="74">
        <v>251.35718667044111</v>
      </c>
      <c r="E3296" s="81">
        <v>1358649</v>
      </c>
      <c r="F3296" s="82">
        <v>1328192.7372881311</v>
      </c>
      <c r="G3296" s="75">
        <v>1592.1381307191557</v>
      </c>
      <c r="H3296" s="76">
        <v>1</v>
      </c>
      <c r="I3296" s="54" t="s">
        <v>20</v>
      </c>
      <c r="J3296" s="77">
        <v>40</v>
      </c>
      <c r="K3296" s="78">
        <v>1</v>
      </c>
      <c r="L3296" s="54">
        <v>1</v>
      </c>
      <c r="M3296" s="54">
        <f>_xlfn.XLOOKUP(Survey!$F3296,sections[Start],sections[Test Section],,-1,1)</f>
        <v>9</v>
      </c>
      <c r="N3296" s="55">
        <f>_xlfn.XLOOKUP(Survey!$K3296,pipedata[ID],pipedata[WT])</f>
        <v>0.61699999999999999</v>
      </c>
      <c r="O3296" s="56">
        <f>_xlfn.XLOOKUP(Survey!$K3296,pipedata[ID],pipedata[104%])</f>
        <v>2138.9333333333334</v>
      </c>
      <c r="P3296" s="57">
        <f t="shared" si="51"/>
        <v>1850</v>
      </c>
      <c r="Q3296" s="58">
        <f>_xlfn.MAXIFS(Survey!$G$2:$G$3647,Survey!$M$2:$M$3647,Survey!$M3296)-Survey!$G3296</f>
        <v>474.20201558626582</v>
      </c>
      <c r="R3296" s="59">
        <f>Survey!$P3296+(Survey!$Q3296*0.433)</f>
        <v>2055.3294727488533</v>
      </c>
    </row>
    <row r="3297" spans="1:18" x14ac:dyDescent="0.25">
      <c r="A3297" s="60" t="s">
        <v>17</v>
      </c>
      <c r="B3297" s="61" t="s">
        <v>23</v>
      </c>
      <c r="C3297" s="62" t="s">
        <v>19</v>
      </c>
      <c r="D3297" s="63">
        <v>251.36546343752985</v>
      </c>
      <c r="E3297" s="64">
        <v>1358689</v>
      </c>
      <c r="F3297" s="65">
        <v>1328231.8135593175</v>
      </c>
      <c r="G3297" s="66">
        <v>1592.5216340578302</v>
      </c>
      <c r="H3297" s="67">
        <v>1</v>
      </c>
      <c r="I3297" s="68" t="s">
        <v>20</v>
      </c>
      <c r="J3297" s="69">
        <v>40</v>
      </c>
      <c r="K3297" s="70">
        <v>1</v>
      </c>
      <c r="L3297" s="68">
        <v>1</v>
      </c>
      <c r="M3297" s="68">
        <f>_xlfn.XLOOKUP(Survey!$F3297,sections[Start],sections[Test Section],,-1,1)</f>
        <v>9</v>
      </c>
      <c r="N3297" s="55">
        <f>_xlfn.XLOOKUP(Survey!$K3297,pipedata[ID],pipedata[WT])</f>
        <v>0.61699999999999999</v>
      </c>
      <c r="O3297" s="56">
        <f>_xlfn.XLOOKUP(Survey!$K3297,pipedata[ID],pipedata[104%])</f>
        <v>2138.9333333333334</v>
      </c>
      <c r="P3297" s="57">
        <f t="shared" si="51"/>
        <v>1850</v>
      </c>
      <c r="Q3297" s="58">
        <f>_xlfn.MAXIFS(Survey!$G$2:$G$3647,Survey!$M$2:$M$3647,Survey!$M3297)-Survey!$G3297</f>
        <v>473.81851224759134</v>
      </c>
      <c r="R3297" s="59">
        <f>Survey!$P3297+(Survey!$Q3297*0.433)</f>
        <v>2055.163415803207</v>
      </c>
    </row>
    <row r="3298" spans="1:18" x14ac:dyDescent="0.25">
      <c r="A3298" s="71" t="s">
        <v>17</v>
      </c>
      <c r="B3298" s="72" t="s">
        <v>23</v>
      </c>
      <c r="C3298" s="73" t="s">
        <v>19</v>
      </c>
      <c r="D3298" s="74">
        <v>251.37230921063093</v>
      </c>
      <c r="E3298" s="64">
        <v>1358729</v>
      </c>
      <c r="F3298" s="65">
        <v>1328270.8898305038</v>
      </c>
      <c r="G3298" s="75">
        <v>1591.2284063271049</v>
      </c>
      <c r="H3298" s="76">
        <v>1</v>
      </c>
      <c r="I3298" s="54" t="s">
        <v>20</v>
      </c>
      <c r="J3298" s="77">
        <v>40</v>
      </c>
      <c r="K3298" s="78">
        <v>1</v>
      </c>
      <c r="L3298" s="54">
        <v>1</v>
      </c>
      <c r="M3298" s="54">
        <f>_xlfn.XLOOKUP(Survey!$F3298,sections[Start],sections[Test Section],,-1,1)</f>
        <v>9</v>
      </c>
      <c r="N3298" s="55">
        <f>_xlfn.XLOOKUP(Survey!$K3298,pipedata[ID],pipedata[WT])</f>
        <v>0.61699999999999999</v>
      </c>
      <c r="O3298" s="56">
        <f>_xlfn.XLOOKUP(Survey!$K3298,pipedata[ID],pipedata[104%])</f>
        <v>2138.9333333333334</v>
      </c>
      <c r="P3298" s="57">
        <f t="shared" si="51"/>
        <v>1850</v>
      </c>
      <c r="Q3298" s="58">
        <f>_xlfn.MAXIFS(Survey!$G$2:$G$3647,Survey!$M$2:$M$3647,Survey!$M3298)-Survey!$G3298</f>
        <v>475.11173997831656</v>
      </c>
      <c r="R3298" s="59">
        <f>Survey!$P3298+(Survey!$Q3298*0.433)</f>
        <v>2055.7233834106109</v>
      </c>
    </row>
    <row r="3299" spans="1:18" x14ac:dyDescent="0.25">
      <c r="A3299" s="60" t="s">
        <v>17</v>
      </c>
      <c r="B3299" s="61" t="s">
        <v>23</v>
      </c>
      <c r="C3299" s="62" t="s">
        <v>19</v>
      </c>
      <c r="D3299" s="63">
        <v>251.38143690809886</v>
      </c>
      <c r="E3299" s="64">
        <v>1358769</v>
      </c>
      <c r="F3299" s="65">
        <v>1328309.9661016902</v>
      </c>
      <c r="G3299" s="66">
        <v>1587.8355054419005</v>
      </c>
      <c r="H3299" s="67">
        <v>1</v>
      </c>
      <c r="I3299" s="68" t="s">
        <v>20</v>
      </c>
      <c r="J3299" s="69">
        <v>40</v>
      </c>
      <c r="K3299" s="70">
        <v>1</v>
      </c>
      <c r="L3299" s="68">
        <v>1</v>
      </c>
      <c r="M3299" s="68">
        <f>_xlfn.XLOOKUP(Survey!$F3299,sections[Start],sections[Test Section],,-1,1)</f>
        <v>9</v>
      </c>
      <c r="N3299" s="55">
        <f>_xlfn.XLOOKUP(Survey!$K3299,pipedata[ID],pipedata[WT])</f>
        <v>0.61699999999999999</v>
      </c>
      <c r="O3299" s="56">
        <f>_xlfn.XLOOKUP(Survey!$K3299,pipedata[ID],pipedata[104%])</f>
        <v>2138.9333333333334</v>
      </c>
      <c r="P3299" s="57">
        <f t="shared" si="51"/>
        <v>1850</v>
      </c>
      <c r="Q3299" s="58">
        <f>_xlfn.MAXIFS(Survey!$G$2:$G$3647,Survey!$M$2:$M$3647,Survey!$M3299)-Survey!$G3299</f>
        <v>478.50464086352099</v>
      </c>
      <c r="R3299" s="59">
        <f>Survey!$P3299+(Survey!$Q3299*0.433)</f>
        <v>2057.1925094939047</v>
      </c>
    </row>
    <row r="3300" spans="1:18" x14ac:dyDescent="0.25">
      <c r="A3300" s="71" t="s">
        <v>17</v>
      </c>
      <c r="B3300" s="72" t="s">
        <v>23</v>
      </c>
      <c r="C3300" s="73" t="s">
        <v>19</v>
      </c>
      <c r="D3300" s="74">
        <v>251.38872155514673</v>
      </c>
      <c r="E3300" s="81">
        <v>1358809</v>
      </c>
      <c r="F3300" s="82">
        <v>1328349.0423728765</v>
      </c>
      <c r="G3300" s="75">
        <v>1584.6615106312661</v>
      </c>
      <c r="H3300" s="76">
        <v>1</v>
      </c>
      <c r="I3300" s="54" t="s">
        <v>20</v>
      </c>
      <c r="J3300" s="77">
        <v>40</v>
      </c>
      <c r="K3300" s="78">
        <v>1</v>
      </c>
      <c r="L3300" s="54">
        <v>1</v>
      </c>
      <c r="M3300" s="54">
        <f>_xlfn.XLOOKUP(Survey!$F3300,sections[Start],sections[Test Section],,-1,1)</f>
        <v>9</v>
      </c>
      <c r="N3300" s="55">
        <f>_xlfn.XLOOKUP(Survey!$K3300,pipedata[ID],pipedata[WT])</f>
        <v>0.61699999999999999</v>
      </c>
      <c r="O3300" s="56">
        <f>_xlfn.XLOOKUP(Survey!$K3300,pipedata[ID],pipedata[104%])</f>
        <v>2138.9333333333334</v>
      </c>
      <c r="P3300" s="57">
        <f t="shared" si="51"/>
        <v>1850</v>
      </c>
      <c r="Q3300" s="58">
        <f>_xlfn.MAXIFS(Survey!$G$2:$G$3647,Survey!$M$2:$M$3647,Survey!$M3300)-Survey!$G3300</f>
        <v>481.67863567415543</v>
      </c>
      <c r="R3300" s="59">
        <f>Survey!$P3300+(Survey!$Q3300*0.433)</f>
        <v>2058.5668492469094</v>
      </c>
    </row>
    <row r="3301" spans="1:18" x14ac:dyDescent="0.25">
      <c r="A3301" s="60" t="s">
        <v>17</v>
      </c>
      <c r="B3301" s="61" t="s">
        <v>23</v>
      </c>
      <c r="C3301" s="62" t="s">
        <v>19</v>
      </c>
      <c r="D3301" s="63">
        <v>251.3962124059359</v>
      </c>
      <c r="E3301" s="64">
        <v>1358849</v>
      </c>
      <c r="F3301" s="65">
        <v>1328388.1186440629</v>
      </c>
      <c r="G3301" s="66">
        <v>1580.5376399957293</v>
      </c>
      <c r="H3301" s="67">
        <v>1</v>
      </c>
      <c r="I3301" s="68" t="s">
        <v>20</v>
      </c>
      <c r="J3301" s="69">
        <v>40</v>
      </c>
      <c r="K3301" s="70">
        <v>1</v>
      </c>
      <c r="L3301" s="68">
        <v>1</v>
      </c>
      <c r="M3301" s="68">
        <f>_xlfn.XLOOKUP(Survey!$F3301,sections[Start],sections[Test Section],,-1,1)</f>
        <v>9</v>
      </c>
      <c r="N3301" s="55">
        <f>_xlfn.XLOOKUP(Survey!$K3301,pipedata[ID],pipedata[WT])</f>
        <v>0.61699999999999999</v>
      </c>
      <c r="O3301" s="56">
        <f>_xlfn.XLOOKUP(Survey!$K3301,pipedata[ID],pipedata[104%])</f>
        <v>2138.9333333333334</v>
      </c>
      <c r="P3301" s="57">
        <f t="shared" si="51"/>
        <v>1850</v>
      </c>
      <c r="Q3301" s="58">
        <f>_xlfn.MAXIFS(Survey!$G$2:$G$3647,Survey!$M$2:$M$3647,Survey!$M3301)-Survey!$G3301</f>
        <v>485.80250630969226</v>
      </c>
      <c r="R3301" s="59">
        <f>Survey!$P3301+(Survey!$Q3301*0.433)</f>
        <v>2060.3524852320966</v>
      </c>
    </row>
    <row r="3302" spans="1:18" x14ac:dyDescent="0.25">
      <c r="A3302" s="71" t="s">
        <v>17</v>
      </c>
      <c r="B3302" s="72" t="s">
        <v>23</v>
      </c>
      <c r="C3302" s="73" t="s">
        <v>19</v>
      </c>
      <c r="D3302" s="74">
        <v>251.40330253159738</v>
      </c>
      <c r="E3302" s="81">
        <v>1358889</v>
      </c>
      <c r="F3302" s="82">
        <v>1328427.1949152492</v>
      </c>
      <c r="G3302" s="75">
        <v>1577.8535371000894</v>
      </c>
      <c r="H3302" s="76">
        <v>1</v>
      </c>
      <c r="I3302" s="54" t="s">
        <v>20</v>
      </c>
      <c r="J3302" s="77">
        <v>40</v>
      </c>
      <c r="K3302" s="78">
        <v>1</v>
      </c>
      <c r="L3302" s="54">
        <v>1</v>
      </c>
      <c r="M3302" s="54">
        <f>_xlfn.XLOOKUP(Survey!$F3302,sections[Start],sections[Test Section],,-1,1)</f>
        <v>9</v>
      </c>
      <c r="N3302" s="55">
        <f>_xlfn.XLOOKUP(Survey!$K3302,pipedata[ID],pipedata[WT])</f>
        <v>0.61699999999999999</v>
      </c>
      <c r="O3302" s="56">
        <f>_xlfn.XLOOKUP(Survey!$K3302,pipedata[ID],pipedata[104%])</f>
        <v>2138.9333333333334</v>
      </c>
      <c r="P3302" s="57">
        <f t="shared" si="51"/>
        <v>1850</v>
      </c>
      <c r="Q3302" s="58">
        <f>_xlfn.MAXIFS(Survey!$G$2:$G$3647,Survey!$M$2:$M$3647,Survey!$M3302)-Survey!$G3302</f>
        <v>488.48660920533212</v>
      </c>
      <c r="R3302" s="59">
        <f>Survey!$P3302+(Survey!$Q3302*0.433)</f>
        <v>2061.514701785909</v>
      </c>
    </row>
    <row r="3303" spans="1:18" x14ac:dyDescent="0.25">
      <c r="A3303" s="60" t="s">
        <v>17</v>
      </c>
      <c r="B3303" s="61" t="s">
        <v>23</v>
      </c>
      <c r="C3303" s="62" t="s">
        <v>19</v>
      </c>
      <c r="D3303" s="63">
        <v>251.41162815603664</v>
      </c>
      <c r="E3303" s="79">
        <v>1358929</v>
      </c>
      <c r="F3303" s="80">
        <v>1328466.2711864356</v>
      </c>
      <c r="G3303" s="66">
        <v>1577.4591252027938</v>
      </c>
      <c r="H3303" s="67">
        <v>1</v>
      </c>
      <c r="I3303" s="68" t="s">
        <v>20</v>
      </c>
      <c r="J3303" s="69">
        <v>40</v>
      </c>
      <c r="K3303" s="70">
        <v>1</v>
      </c>
      <c r="L3303" s="68">
        <v>1</v>
      </c>
      <c r="M3303" s="68">
        <f>_xlfn.XLOOKUP(Survey!$F3303,sections[Start],sections[Test Section],,-1,1)</f>
        <v>9</v>
      </c>
      <c r="N3303" s="55">
        <f>_xlfn.XLOOKUP(Survey!$K3303,pipedata[ID],pipedata[WT])</f>
        <v>0.61699999999999999</v>
      </c>
      <c r="O3303" s="56">
        <f>_xlfn.XLOOKUP(Survey!$K3303,pipedata[ID],pipedata[104%])</f>
        <v>2138.9333333333334</v>
      </c>
      <c r="P3303" s="57">
        <f t="shared" si="51"/>
        <v>1850</v>
      </c>
      <c r="Q3303" s="58">
        <f>_xlfn.MAXIFS(Survey!$G$2:$G$3647,Survey!$M$2:$M$3647,Survey!$M3303)-Survey!$G3303</f>
        <v>488.88102110262776</v>
      </c>
      <c r="R3303" s="59">
        <f>Survey!$P3303+(Survey!$Q3303*0.433)</f>
        <v>2061.6854821374377</v>
      </c>
    </row>
    <row r="3304" spans="1:18" x14ac:dyDescent="0.25">
      <c r="A3304" s="71" t="s">
        <v>17</v>
      </c>
      <c r="B3304" s="72" t="s">
        <v>23</v>
      </c>
      <c r="C3304" s="73" t="s">
        <v>19</v>
      </c>
      <c r="D3304" s="74">
        <v>251.41878581803164</v>
      </c>
      <c r="E3304" s="81">
        <v>1358969</v>
      </c>
      <c r="F3304" s="82">
        <v>1328505.3474576219</v>
      </c>
      <c r="G3304" s="75">
        <v>1572.2892493919394</v>
      </c>
      <c r="H3304" s="76">
        <v>1</v>
      </c>
      <c r="I3304" s="54" t="s">
        <v>20</v>
      </c>
      <c r="J3304" s="77">
        <v>40</v>
      </c>
      <c r="K3304" s="78">
        <v>1</v>
      </c>
      <c r="L3304" s="54">
        <v>1</v>
      </c>
      <c r="M3304" s="54">
        <f>_xlfn.XLOOKUP(Survey!$F3304,sections[Start],sections[Test Section],,-1,1)</f>
        <v>9</v>
      </c>
      <c r="N3304" s="55">
        <f>_xlfn.XLOOKUP(Survey!$K3304,pipedata[ID],pipedata[WT])</f>
        <v>0.61699999999999999</v>
      </c>
      <c r="O3304" s="56">
        <f>_xlfn.XLOOKUP(Survey!$K3304,pipedata[ID],pipedata[104%])</f>
        <v>2138.9333333333334</v>
      </c>
      <c r="P3304" s="57">
        <f t="shared" si="51"/>
        <v>1850</v>
      </c>
      <c r="Q3304" s="58">
        <f>_xlfn.MAXIFS(Survey!$G$2:$G$3647,Survey!$M$2:$M$3647,Survey!$M3304)-Survey!$G3304</f>
        <v>494.05089691348212</v>
      </c>
      <c r="R3304" s="59">
        <f>Survey!$P3304+(Survey!$Q3304*0.433)</f>
        <v>2063.9240383635379</v>
      </c>
    </row>
    <row r="3305" spans="1:18" x14ac:dyDescent="0.25">
      <c r="A3305" s="60" t="s">
        <v>17</v>
      </c>
      <c r="B3305" s="61" t="s">
        <v>23</v>
      </c>
      <c r="C3305" s="62" t="s">
        <v>19</v>
      </c>
      <c r="D3305" s="63">
        <v>251.4266075114142</v>
      </c>
      <c r="E3305" s="79">
        <v>1359009</v>
      </c>
      <c r="F3305" s="80">
        <v>1328544.4237288083</v>
      </c>
      <c r="G3305" s="66">
        <v>1566.7677751879555</v>
      </c>
      <c r="H3305" s="67">
        <v>1</v>
      </c>
      <c r="I3305" s="68" t="s">
        <v>20</v>
      </c>
      <c r="J3305" s="69">
        <v>40</v>
      </c>
      <c r="K3305" s="70">
        <v>1</v>
      </c>
      <c r="L3305" s="68">
        <v>1</v>
      </c>
      <c r="M3305" s="68">
        <f>_xlfn.XLOOKUP(Survey!$F3305,sections[Start],sections[Test Section],,-1,1)</f>
        <v>9</v>
      </c>
      <c r="N3305" s="55">
        <f>_xlfn.XLOOKUP(Survey!$K3305,pipedata[ID],pipedata[WT])</f>
        <v>0.61699999999999999</v>
      </c>
      <c r="O3305" s="56">
        <f>_xlfn.XLOOKUP(Survey!$K3305,pipedata[ID],pipedata[104%])</f>
        <v>2138.9333333333334</v>
      </c>
      <c r="P3305" s="57">
        <f t="shared" si="51"/>
        <v>1850</v>
      </c>
      <c r="Q3305" s="58">
        <f>_xlfn.MAXIFS(Survey!$G$2:$G$3647,Survey!$M$2:$M$3647,Survey!$M3305)-Survey!$G3305</f>
        <v>499.57237111746599</v>
      </c>
      <c r="R3305" s="59">
        <f>Survey!$P3305+(Survey!$Q3305*0.433)</f>
        <v>2066.3148366938626</v>
      </c>
    </row>
    <row r="3306" spans="1:18" x14ac:dyDescent="0.25">
      <c r="A3306" s="71" t="s">
        <v>17</v>
      </c>
      <c r="B3306" s="72" t="s">
        <v>23</v>
      </c>
      <c r="C3306" s="73" t="s">
        <v>19</v>
      </c>
      <c r="D3306" s="74">
        <v>251.43324453833105</v>
      </c>
      <c r="E3306" s="81">
        <v>1359049</v>
      </c>
      <c r="F3306" s="82">
        <v>1328583.4999999946</v>
      </c>
      <c r="G3306" s="75">
        <v>1560.710341803556</v>
      </c>
      <c r="H3306" s="76">
        <v>1</v>
      </c>
      <c r="I3306" s="54" t="s">
        <v>20</v>
      </c>
      <c r="J3306" s="77">
        <v>40</v>
      </c>
      <c r="K3306" s="78">
        <v>1</v>
      </c>
      <c r="L3306" s="54">
        <v>1</v>
      </c>
      <c r="M3306" s="54">
        <f>_xlfn.XLOOKUP(Survey!$F3306,sections[Start],sections[Test Section],,-1,1)</f>
        <v>9</v>
      </c>
      <c r="N3306" s="55">
        <f>_xlfn.XLOOKUP(Survey!$K3306,pipedata[ID],pipedata[WT])</f>
        <v>0.61699999999999999</v>
      </c>
      <c r="O3306" s="56">
        <f>_xlfn.XLOOKUP(Survey!$K3306,pipedata[ID],pipedata[104%])</f>
        <v>2138.9333333333334</v>
      </c>
      <c r="P3306" s="57">
        <f t="shared" si="51"/>
        <v>1850</v>
      </c>
      <c r="Q3306" s="58">
        <f>_xlfn.MAXIFS(Survey!$G$2:$G$3647,Survey!$M$2:$M$3647,Survey!$M3306)-Survey!$G3306</f>
        <v>505.62980450186546</v>
      </c>
      <c r="R3306" s="59">
        <f>Survey!$P3306+(Survey!$Q3306*0.433)</f>
        <v>2068.9377053493076</v>
      </c>
    </row>
    <row r="3307" spans="1:18" x14ac:dyDescent="0.25">
      <c r="A3307" s="60" t="s">
        <v>17</v>
      </c>
      <c r="B3307" s="61" t="s">
        <v>23</v>
      </c>
      <c r="C3307" s="62" t="s">
        <v>19</v>
      </c>
      <c r="D3307" s="63">
        <v>251.44092346403323</v>
      </c>
      <c r="E3307" s="79">
        <v>1359089</v>
      </c>
      <c r="F3307" s="80">
        <v>1328622.576271181</v>
      </c>
      <c r="G3307" s="66">
        <v>1558.0542304149726</v>
      </c>
      <c r="H3307" s="67">
        <v>1</v>
      </c>
      <c r="I3307" s="68" t="s">
        <v>20</v>
      </c>
      <c r="J3307" s="69">
        <v>40</v>
      </c>
      <c r="K3307" s="70">
        <v>1</v>
      </c>
      <c r="L3307" s="68">
        <v>1</v>
      </c>
      <c r="M3307" s="68">
        <f>_xlfn.XLOOKUP(Survey!$F3307,sections[Start],sections[Test Section],,-1,1)</f>
        <v>9</v>
      </c>
      <c r="N3307" s="55">
        <f>_xlfn.XLOOKUP(Survey!$K3307,pipedata[ID],pipedata[WT])</f>
        <v>0.61699999999999999</v>
      </c>
      <c r="O3307" s="56">
        <f>_xlfn.XLOOKUP(Survey!$K3307,pipedata[ID],pipedata[104%])</f>
        <v>2138.9333333333334</v>
      </c>
      <c r="P3307" s="57">
        <f t="shared" si="51"/>
        <v>1850</v>
      </c>
      <c r="Q3307" s="58">
        <f>_xlfn.MAXIFS(Survey!$G$2:$G$3647,Survey!$M$2:$M$3647,Survey!$M3307)-Survey!$G3307</f>
        <v>508.2859158904489</v>
      </c>
      <c r="R3307" s="59">
        <f>Survey!$P3307+(Survey!$Q3307*0.433)</f>
        <v>2070.0878015805642</v>
      </c>
    </row>
    <row r="3308" spans="1:18" x14ac:dyDescent="0.25">
      <c r="A3308" s="71" t="s">
        <v>17</v>
      </c>
      <c r="B3308" s="72" t="s">
        <v>23</v>
      </c>
      <c r="C3308" s="73" t="s">
        <v>19</v>
      </c>
      <c r="D3308" s="74">
        <v>251.44922290574442</v>
      </c>
      <c r="E3308" s="81">
        <v>1359129</v>
      </c>
      <c r="F3308" s="82">
        <v>1328661.6525423673</v>
      </c>
      <c r="G3308" s="75">
        <v>1556.5851578290883</v>
      </c>
      <c r="H3308" s="76">
        <v>1</v>
      </c>
      <c r="I3308" s="54" t="s">
        <v>20</v>
      </c>
      <c r="J3308" s="77">
        <v>40</v>
      </c>
      <c r="K3308" s="78">
        <v>1</v>
      </c>
      <c r="L3308" s="54">
        <v>1</v>
      </c>
      <c r="M3308" s="54">
        <f>_xlfn.XLOOKUP(Survey!$F3308,sections[Start],sections[Test Section],,-1,1)</f>
        <v>9</v>
      </c>
      <c r="N3308" s="55">
        <f>_xlfn.XLOOKUP(Survey!$K3308,pipedata[ID],pipedata[WT])</f>
        <v>0.61699999999999999</v>
      </c>
      <c r="O3308" s="56">
        <f>_xlfn.XLOOKUP(Survey!$K3308,pipedata[ID],pipedata[104%])</f>
        <v>2138.9333333333334</v>
      </c>
      <c r="P3308" s="57">
        <f t="shared" si="51"/>
        <v>1850</v>
      </c>
      <c r="Q3308" s="58">
        <f>_xlfn.MAXIFS(Survey!$G$2:$G$3647,Survey!$M$2:$M$3647,Survey!$M3308)-Survey!$G3308</f>
        <v>509.75498847633321</v>
      </c>
      <c r="R3308" s="59">
        <f>Survey!$P3308+(Survey!$Q3308*0.433)</f>
        <v>2070.7239100102524</v>
      </c>
    </row>
    <row r="3309" spans="1:18" x14ac:dyDescent="0.25">
      <c r="A3309" s="60" t="s">
        <v>17</v>
      </c>
      <c r="B3309" s="61" t="s">
        <v>23</v>
      </c>
      <c r="C3309" s="62" t="s">
        <v>19</v>
      </c>
      <c r="D3309" s="63">
        <v>251.45679844143027</v>
      </c>
      <c r="E3309" s="79">
        <v>1359169</v>
      </c>
      <c r="F3309" s="80">
        <v>1328700.7288135537</v>
      </c>
      <c r="G3309" s="66">
        <v>1558.7275653830281</v>
      </c>
      <c r="H3309" s="67">
        <v>1</v>
      </c>
      <c r="I3309" s="68" t="s">
        <v>20</v>
      </c>
      <c r="J3309" s="69">
        <v>40</v>
      </c>
      <c r="K3309" s="70">
        <v>1</v>
      </c>
      <c r="L3309" s="68">
        <v>1</v>
      </c>
      <c r="M3309" s="68">
        <f>_xlfn.XLOOKUP(Survey!$F3309,sections[Start],sections[Test Section],,-1,1)</f>
        <v>9</v>
      </c>
      <c r="N3309" s="55">
        <f>_xlfn.XLOOKUP(Survey!$K3309,pipedata[ID],pipedata[WT])</f>
        <v>0.61699999999999999</v>
      </c>
      <c r="O3309" s="56">
        <f>_xlfn.XLOOKUP(Survey!$K3309,pipedata[ID],pipedata[104%])</f>
        <v>2138.9333333333334</v>
      </c>
      <c r="P3309" s="57">
        <f t="shared" si="51"/>
        <v>1850</v>
      </c>
      <c r="Q3309" s="58">
        <f>_xlfn.MAXIFS(Survey!$G$2:$G$3647,Survey!$M$2:$M$3647,Survey!$M3309)-Survey!$G3309</f>
        <v>507.61258092239336</v>
      </c>
      <c r="R3309" s="59">
        <f>Survey!$P3309+(Survey!$Q3309*0.433)</f>
        <v>2069.7962475393965</v>
      </c>
    </row>
    <row r="3310" spans="1:18" x14ac:dyDescent="0.25">
      <c r="A3310" s="71" t="s">
        <v>17</v>
      </c>
      <c r="B3310" s="72" t="s">
        <v>23</v>
      </c>
      <c r="C3310" s="73" t="s">
        <v>19</v>
      </c>
      <c r="D3310" s="74">
        <v>251.46462542159151</v>
      </c>
      <c r="E3310" s="81">
        <v>1359209</v>
      </c>
      <c r="F3310" s="82">
        <v>1328739.80508474</v>
      </c>
      <c r="G3310" s="75">
        <v>1563.0429560348709</v>
      </c>
      <c r="H3310" s="76">
        <v>1</v>
      </c>
      <c r="I3310" s="54" t="s">
        <v>20</v>
      </c>
      <c r="J3310" s="77">
        <v>40</v>
      </c>
      <c r="K3310" s="78">
        <v>1</v>
      </c>
      <c r="L3310" s="54">
        <v>1</v>
      </c>
      <c r="M3310" s="54">
        <f>_xlfn.XLOOKUP(Survey!$F3310,sections[Start],sections[Test Section],,-1,1)</f>
        <v>9</v>
      </c>
      <c r="N3310" s="55">
        <f>_xlfn.XLOOKUP(Survey!$K3310,pipedata[ID],pipedata[WT])</f>
        <v>0.61699999999999999</v>
      </c>
      <c r="O3310" s="56">
        <f>_xlfn.XLOOKUP(Survey!$K3310,pipedata[ID],pipedata[104%])</f>
        <v>2138.9333333333334</v>
      </c>
      <c r="P3310" s="57">
        <f t="shared" si="51"/>
        <v>1850</v>
      </c>
      <c r="Q3310" s="58">
        <f>_xlfn.MAXIFS(Survey!$G$2:$G$3647,Survey!$M$2:$M$3647,Survey!$M3310)-Survey!$G3310</f>
        <v>503.29719027055057</v>
      </c>
      <c r="R3310" s="59">
        <f>Survey!$P3310+(Survey!$Q3310*0.433)</f>
        <v>2067.9276833871486</v>
      </c>
    </row>
    <row r="3311" spans="1:18" x14ac:dyDescent="0.25">
      <c r="A3311" s="60" t="s">
        <v>17</v>
      </c>
      <c r="B3311" s="61" t="s">
        <v>23</v>
      </c>
      <c r="C3311" s="62" t="s">
        <v>19</v>
      </c>
      <c r="D3311" s="63">
        <v>251.47111540389315</v>
      </c>
      <c r="E3311" s="79">
        <v>1359249</v>
      </c>
      <c r="F3311" s="80">
        <v>1328778.8813559264</v>
      </c>
      <c r="G3311" s="66">
        <v>1568.3902474213392</v>
      </c>
      <c r="H3311" s="67">
        <v>1</v>
      </c>
      <c r="I3311" s="68" t="s">
        <v>20</v>
      </c>
      <c r="J3311" s="69">
        <v>40</v>
      </c>
      <c r="K3311" s="70">
        <v>1</v>
      </c>
      <c r="L3311" s="68">
        <v>1</v>
      </c>
      <c r="M3311" s="68">
        <f>_xlfn.XLOOKUP(Survey!$F3311,sections[Start],sections[Test Section],,-1,1)</f>
        <v>9</v>
      </c>
      <c r="N3311" s="55">
        <f>_xlfn.XLOOKUP(Survey!$K3311,pipedata[ID],pipedata[WT])</f>
        <v>0.61699999999999999</v>
      </c>
      <c r="O3311" s="56">
        <f>_xlfn.XLOOKUP(Survey!$K3311,pipedata[ID],pipedata[104%])</f>
        <v>2138.9333333333334</v>
      </c>
      <c r="P3311" s="57">
        <f t="shared" si="51"/>
        <v>1850</v>
      </c>
      <c r="Q3311" s="58">
        <f>_xlfn.MAXIFS(Survey!$G$2:$G$3647,Survey!$M$2:$M$3647,Survey!$M3311)-Survey!$G3311</f>
        <v>497.94989888408236</v>
      </c>
      <c r="R3311" s="59">
        <f>Survey!$P3311+(Survey!$Q3311*0.433)</f>
        <v>2065.6123062168076</v>
      </c>
    </row>
    <row r="3312" spans="1:18" x14ac:dyDescent="0.25">
      <c r="A3312" s="71" t="s">
        <v>17</v>
      </c>
      <c r="B3312" s="72" t="s">
        <v>23</v>
      </c>
      <c r="C3312" s="73" t="s">
        <v>19</v>
      </c>
      <c r="D3312" s="74">
        <v>251.47904603396469</v>
      </c>
      <c r="E3312" s="81">
        <v>1359289</v>
      </c>
      <c r="F3312" s="82">
        <v>1328817.9576271127</v>
      </c>
      <c r="G3312" s="75">
        <v>1572.4981788020505</v>
      </c>
      <c r="H3312" s="76">
        <v>1</v>
      </c>
      <c r="I3312" s="54" t="s">
        <v>20</v>
      </c>
      <c r="J3312" s="77">
        <v>40</v>
      </c>
      <c r="K3312" s="78">
        <v>1</v>
      </c>
      <c r="L3312" s="54">
        <v>1</v>
      </c>
      <c r="M3312" s="54">
        <f>_xlfn.XLOOKUP(Survey!$F3312,sections[Start],sections[Test Section],,-1,1)</f>
        <v>9</v>
      </c>
      <c r="N3312" s="55">
        <f>_xlfn.XLOOKUP(Survey!$K3312,pipedata[ID],pipedata[WT])</f>
        <v>0.61699999999999999</v>
      </c>
      <c r="O3312" s="56">
        <f>_xlfn.XLOOKUP(Survey!$K3312,pipedata[ID],pipedata[104%])</f>
        <v>2138.9333333333334</v>
      </c>
      <c r="P3312" s="57">
        <f t="shared" si="51"/>
        <v>1850</v>
      </c>
      <c r="Q3312" s="58">
        <f>_xlfn.MAXIFS(Survey!$G$2:$G$3647,Survey!$M$2:$M$3647,Survey!$M3312)-Survey!$G3312</f>
        <v>493.84196750337105</v>
      </c>
      <c r="R3312" s="59">
        <f>Survey!$P3312+(Survey!$Q3312*0.433)</f>
        <v>2063.8335719289598</v>
      </c>
    </row>
    <row r="3313" spans="1:18" x14ac:dyDescent="0.25">
      <c r="A3313" s="60" t="s">
        <v>17</v>
      </c>
      <c r="B3313" s="61" t="s">
        <v>23</v>
      </c>
      <c r="C3313" s="62" t="s">
        <v>19</v>
      </c>
      <c r="D3313" s="63">
        <v>251.48697666403672</v>
      </c>
      <c r="E3313" s="79">
        <v>1359329</v>
      </c>
      <c r="F3313" s="80">
        <v>1328857.0338982991</v>
      </c>
      <c r="G3313" s="66">
        <v>1578.5094506137541</v>
      </c>
      <c r="H3313" s="67">
        <v>1</v>
      </c>
      <c r="I3313" s="68" t="s">
        <v>20</v>
      </c>
      <c r="J3313" s="69">
        <v>40</v>
      </c>
      <c r="K3313" s="70">
        <v>1</v>
      </c>
      <c r="L3313" s="68">
        <v>1</v>
      </c>
      <c r="M3313" s="68">
        <f>_xlfn.XLOOKUP(Survey!$F3313,sections[Start],sections[Test Section],,-1,1)</f>
        <v>9</v>
      </c>
      <c r="N3313" s="55">
        <f>_xlfn.XLOOKUP(Survey!$K3313,pipedata[ID],pipedata[WT])</f>
        <v>0.61699999999999999</v>
      </c>
      <c r="O3313" s="56">
        <f>_xlfn.XLOOKUP(Survey!$K3313,pipedata[ID],pipedata[104%])</f>
        <v>2138.9333333333334</v>
      </c>
      <c r="P3313" s="57">
        <f t="shared" si="51"/>
        <v>1850</v>
      </c>
      <c r="Q3313" s="58">
        <f>_xlfn.MAXIFS(Survey!$G$2:$G$3647,Survey!$M$2:$M$3647,Survey!$M3313)-Survey!$G3313</f>
        <v>487.83069569166742</v>
      </c>
      <c r="R3313" s="59">
        <f>Survey!$P3313+(Survey!$Q3313*0.433)</f>
        <v>2061.230691234492</v>
      </c>
    </row>
    <row r="3314" spans="1:18" x14ac:dyDescent="0.25">
      <c r="A3314" s="71" t="s">
        <v>17</v>
      </c>
      <c r="B3314" s="72" t="s">
        <v>23</v>
      </c>
      <c r="C3314" s="73" t="s">
        <v>19</v>
      </c>
      <c r="D3314" s="74">
        <v>251.49436794620436</v>
      </c>
      <c r="E3314" s="81">
        <v>1359369</v>
      </c>
      <c r="F3314" s="82">
        <v>1328896.1101694854</v>
      </c>
      <c r="G3314" s="75">
        <v>1585.0136946296855</v>
      </c>
      <c r="H3314" s="76">
        <v>1</v>
      </c>
      <c r="I3314" s="54" t="s">
        <v>20</v>
      </c>
      <c r="J3314" s="77">
        <v>40</v>
      </c>
      <c r="K3314" s="78">
        <v>1</v>
      </c>
      <c r="L3314" s="54">
        <v>1</v>
      </c>
      <c r="M3314" s="54">
        <f>_xlfn.XLOOKUP(Survey!$F3314,sections[Start],sections[Test Section],,-1,1)</f>
        <v>9</v>
      </c>
      <c r="N3314" s="55">
        <f>_xlfn.XLOOKUP(Survey!$K3314,pipedata[ID],pipedata[WT])</f>
        <v>0.61699999999999999</v>
      </c>
      <c r="O3314" s="56">
        <f>_xlfn.XLOOKUP(Survey!$K3314,pipedata[ID],pipedata[104%])</f>
        <v>2138.9333333333334</v>
      </c>
      <c r="P3314" s="57">
        <f t="shared" si="51"/>
        <v>1850</v>
      </c>
      <c r="Q3314" s="58">
        <f>_xlfn.MAXIFS(Survey!$G$2:$G$3647,Survey!$M$2:$M$3647,Survey!$M3314)-Survey!$G3314</f>
        <v>481.32645167573605</v>
      </c>
      <c r="R3314" s="59">
        <f>Survey!$P3314+(Survey!$Q3314*0.433)</f>
        <v>2058.4143535755939</v>
      </c>
    </row>
    <row r="3315" spans="1:18" x14ac:dyDescent="0.25">
      <c r="A3315" s="60" t="s">
        <v>17</v>
      </c>
      <c r="B3315" s="61" t="s">
        <v>23</v>
      </c>
      <c r="C3315" s="62" t="s">
        <v>19</v>
      </c>
      <c r="D3315" s="63">
        <v>251.50203679451644</v>
      </c>
      <c r="E3315" s="79">
        <v>1359409</v>
      </c>
      <c r="F3315" s="80">
        <v>1328935.1864406718</v>
      </c>
      <c r="G3315" s="66">
        <v>1590.1575993969311</v>
      </c>
      <c r="H3315" s="67">
        <v>1</v>
      </c>
      <c r="I3315" s="68" t="s">
        <v>20</v>
      </c>
      <c r="J3315" s="69">
        <v>40</v>
      </c>
      <c r="K3315" s="70">
        <v>1</v>
      </c>
      <c r="L3315" s="68">
        <v>1</v>
      </c>
      <c r="M3315" s="68">
        <f>_xlfn.XLOOKUP(Survey!$F3315,sections[Start],sections[Test Section],,-1,1)</f>
        <v>9</v>
      </c>
      <c r="N3315" s="55">
        <f>_xlfn.XLOOKUP(Survey!$K3315,pipedata[ID],pipedata[WT])</f>
        <v>0.61699999999999999</v>
      </c>
      <c r="O3315" s="56">
        <f>_xlfn.XLOOKUP(Survey!$K3315,pipedata[ID],pipedata[104%])</f>
        <v>2138.9333333333334</v>
      </c>
      <c r="P3315" s="57">
        <f t="shared" si="51"/>
        <v>1850</v>
      </c>
      <c r="Q3315" s="58">
        <f>_xlfn.MAXIFS(Survey!$G$2:$G$3647,Survey!$M$2:$M$3647,Survey!$M3315)-Survey!$G3315</f>
        <v>476.18254690849039</v>
      </c>
      <c r="R3315" s="59">
        <f>Survey!$P3315+(Survey!$Q3315*0.433)</f>
        <v>2056.1870428113762</v>
      </c>
    </row>
    <row r="3316" spans="1:18" x14ac:dyDescent="0.25">
      <c r="A3316" s="71" t="s">
        <v>17</v>
      </c>
      <c r="B3316" s="72" t="s">
        <v>23</v>
      </c>
      <c r="C3316" s="73" t="s">
        <v>19</v>
      </c>
      <c r="D3316" s="74">
        <v>251.50845651049428</v>
      </c>
      <c r="E3316" s="81">
        <v>1359449</v>
      </c>
      <c r="F3316" s="82">
        <v>1328974.2627118581</v>
      </c>
      <c r="G3316" s="75">
        <v>1590.2251119219893</v>
      </c>
      <c r="H3316" s="76">
        <v>1</v>
      </c>
      <c r="I3316" s="54" t="s">
        <v>20</v>
      </c>
      <c r="J3316" s="77">
        <v>40</v>
      </c>
      <c r="K3316" s="78">
        <v>1</v>
      </c>
      <c r="L3316" s="54">
        <v>1</v>
      </c>
      <c r="M3316" s="54">
        <f>_xlfn.XLOOKUP(Survey!$F3316,sections[Start],sections[Test Section],,-1,1)</f>
        <v>9</v>
      </c>
      <c r="N3316" s="55">
        <f>_xlfn.XLOOKUP(Survey!$K3316,pipedata[ID],pipedata[WT])</f>
        <v>0.61699999999999999</v>
      </c>
      <c r="O3316" s="56">
        <f>_xlfn.XLOOKUP(Survey!$K3316,pipedata[ID],pipedata[104%])</f>
        <v>2138.9333333333334</v>
      </c>
      <c r="P3316" s="57">
        <f t="shared" si="51"/>
        <v>1850</v>
      </c>
      <c r="Q3316" s="58">
        <f>_xlfn.MAXIFS(Survey!$G$2:$G$3647,Survey!$M$2:$M$3647,Survey!$M3316)-Survey!$G3316</f>
        <v>476.1150343834322</v>
      </c>
      <c r="R3316" s="59">
        <f>Survey!$P3316+(Survey!$Q3316*0.433)</f>
        <v>2056.1578098880263</v>
      </c>
    </row>
    <row r="3317" spans="1:18" x14ac:dyDescent="0.25">
      <c r="A3317" s="60" t="s">
        <v>17</v>
      </c>
      <c r="B3317" s="61" t="s">
        <v>23</v>
      </c>
      <c r="C3317" s="62" t="s">
        <v>19</v>
      </c>
      <c r="D3317" s="63">
        <v>251.51579169231974</v>
      </c>
      <c r="E3317" s="79">
        <v>1359489</v>
      </c>
      <c r="F3317" s="80">
        <v>1329013.3389830445</v>
      </c>
      <c r="G3317" s="66">
        <v>1588.0236861693963</v>
      </c>
      <c r="H3317" s="67">
        <v>1</v>
      </c>
      <c r="I3317" s="68" t="s">
        <v>20</v>
      </c>
      <c r="J3317" s="69">
        <v>40</v>
      </c>
      <c r="K3317" s="70">
        <v>1</v>
      </c>
      <c r="L3317" s="68">
        <v>1</v>
      </c>
      <c r="M3317" s="68">
        <f>_xlfn.XLOOKUP(Survey!$F3317,sections[Start],sections[Test Section],,-1,1)</f>
        <v>9</v>
      </c>
      <c r="N3317" s="55">
        <f>_xlfn.XLOOKUP(Survey!$K3317,pipedata[ID],pipedata[WT])</f>
        <v>0.61699999999999999</v>
      </c>
      <c r="O3317" s="56">
        <f>_xlfn.XLOOKUP(Survey!$K3317,pipedata[ID],pipedata[104%])</f>
        <v>2138.9333333333334</v>
      </c>
      <c r="P3317" s="57">
        <f t="shared" si="51"/>
        <v>1850</v>
      </c>
      <c r="Q3317" s="58">
        <f>_xlfn.MAXIFS(Survey!$G$2:$G$3647,Survey!$M$2:$M$3647,Survey!$M3317)-Survey!$G3317</f>
        <v>478.31646013602517</v>
      </c>
      <c r="R3317" s="59">
        <f>Survey!$P3317+(Survey!$Q3317*0.433)</f>
        <v>2057.1110272388987</v>
      </c>
    </row>
    <row r="3318" spans="1:18" x14ac:dyDescent="0.25">
      <c r="A3318" s="71" t="s">
        <v>17</v>
      </c>
      <c r="B3318" s="72" t="s">
        <v>23</v>
      </c>
      <c r="C3318" s="73" t="s">
        <v>19</v>
      </c>
      <c r="D3318" s="74">
        <v>251.524440711539</v>
      </c>
      <c r="E3318" s="81">
        <v>1359529</v>
      </c>
      <c r="F3318" s="82">
        <v>1329052.4152542308</v>
      </c>
      <c r="G3318" s="75">
        <v>1585.5492975052139</v>
      </c>
      <c r="H3318" s="76">
        <v>1</v>
      </c>
      <c r="I3318" s="54" t="s">
        <v>20</v>
      </c>
      <c r="J3318" s="77">
        <v>40</v>
      </c>
      <c r="K3318" s="78">
        <v>1</v>
      </c>
      <c r="L3318" s="54">
        <v>1</v>
      </c>
      <c r="M3318" s="54">
        <f>_xlfn.XLOOKUP(Survey!$F3318,sections[Start],sections[Test Section],,-1,1)</f>
        <v>9</v>
      </c>
      <c r="N3318" s="55">
        <f>_xlfn.XLOOKUP(Survey!$K3318,pipedata[ID],pipedata[WT])</f>
        <v>0.61699999999999999</v>
      </c>
      <c r="O3318" s="56">
        <f>_xlfn.XLOOKUP(Survey!$K3318,pipedata[ID],pipedata[104%])</f>
        <v>2138.9333333333334</v>
      </c>
      <c r="P3318" s="57">
        <f t="shared" si="51"/>
        <v>1850</v>
      </c>
      <c r="Q3318" s="58">
        <f>_xlfn.MAXIFS(Survey!$G$2:$G$3647,Survey!$M$2:$M$3647,Survey!$M3318)-Survey!$G3318</f>
        <v>480.79084880020764</v>
      </c>
      <c r="R3318" s="59">
        <f>Survey!$P3318+(Survey!$Q3318*0.433)</f>
        <v>2058.18243753049</v>
      </c>
    </row>
    <row r="3319" spans="1:18" x14ac:dyDescent="0.25">
      <c r="A3319" s="60" t="s">
        <v>17</v>
      </c>
      <c r="B3319" s="61" t="s">
        <v>23</v>
      </c>
      <c r="C3319" s="62" t="s">
        <v>19</v>
      </c>
      <c r="D3319" s="63">
        <v>251.53180538906886</v>
      </c>
      <c r="E3319" s="64">
        <v>1359569</v>
      </c>
      <c r="F3319" s="65">
        <v>1329091.4915254172</v>
      </c>
      <c r="G3319" s="66">
        <v>1582.8727098395175</v>
      </c>
      <c r="H3319" s="67">
        <v>1</v>
      </c>
      <c r="I3319" s="68" t="s">
        <v>20</v>
      </c>
      <c r="J3319" s="69">
        <v>40</v>
      </c>
      <c r="K3319" s="70">
        <v>1</v>
      </c>
      <c r="L3319" s="68">
        <v>1</v>
      </c>
      <c r="M3319" s="68">
        <f>_xlfn.XLOOKUP(Survey!$F3319,sections[Start],sections[Test Section],,-1,1)</f>
        <v>9</v>
      </c>
      <c r="N3319" s="55">
        <f>_xlfn.XLOOKUP(Survey!$K3319,pipedata[ID],pipedata[WT])</f>
        <v>0.61699999999999999</v>
      </c>
      <c r="O3319" s="56">
        <f>_xlfn.XLOOKUP(Survey!$K3319,pipedata[ID],pipedata[104%])</f>
        <v>2138.9333333333334</v>
      </c>
      <c r="P3319" s="57">
        <f t="shared" si="51"/>
        <v>1850</v>
      </c>
      <c r="Q3319" s="58">
        <f>_xlfn.MAXIFS(Survey!$G$2:$G$3647,Survey!$M$2:$M$3647,Survey!$M3319)-Survey!$G3319</f>
        <v>483.46743646590403</v>
      </c>
      <c r="R3319" s="59">
        <f>Survey!$P3319+(Survey!$Q3319*0.433)</f>
        <v>2059.3413999897366</v>
      </c>
    </row>
    <row r="3320" spans="1:18" x14ac:dyDescent="0.25">
      <c r="A3320" s="71" t="s">
        <v>17</v>
      </c>
      <c r="B3320" s="72" t="s">
        <v>23</v>
      </c>
      <c r="C3320" s="73" t="s">
        <v>19</v>
      </c>
      <c r="D3320" s="74">
        <v>251.53913122931232</v>
      </c>
      <c r="E3320" s="64">
        <v>1359609</v>
      </c>
      <c r="F3320" s="65">
        <v>1329130.5677966035</v>
      </c>
      <c r="G3320" s="75">
        <v>1578.0354258421901</v>
      </c>
      <c r="H3320" s="76">
        <v>1</v>
      </c>
      <c r="I3320" s="54" t="s">
        <v>20</v>
      </c>
      <c r="J3320" s="77">
        <v>40</v>
      </c>
      <c r="K3320" s="78">
        <v>1</v>
      </c>
      <c r="L3320" s="54">
        <v>1</v>
      </c>
      <c r="M3320" s="54">
        <f>_xlfn.XLOOKUP(Survey!$F3320,sections[Start],sections[Test Section],,-1,1)</f>
        <v>9</v>
      </c>
      <c r="N3320" s="55">
        <f>_xlfn.XLOOKUP(Survey!$K3320,pipedata[ID],pipedata[WT])</f>
        <v>0.61699999999999999</v>
      </c>
      <c r="O3320" s="56">
        <f>_xlfn.XLOOKUP(Survey!$K3320,pipedata[ID],pipedata[104%])</f>
        <v>2138.9333333333334</v>
      </c>
      <c r="P3320" s="57">
        <f t="shared" si="51"/>
        <v>1850</v>
      </c>
      <c r="Q3320" s="58">
        <f>_xlfn.MAXIFS(Survey!$G$2:$G$3647,Survey!$M$2:$M$3647,Survey!$M3320)-Survey!$G3320</f>
        <v>488.30472046323143</v>
      </c>
      <c r="R3320" s="59">
        <f>Survey!$P3320+(Survey!$Q3320*0.433)</f>
        <v>2061.4359439605792</v>
      </c>
    </row>
    <row r="3321" spans="1:18" x14ac:dyDescent="0.25">
      <c r="A3321" s="60" t="s">
        <v>17</v>
      </c>
      <c r="B3321" s="61" t="s">
        <v>23</v>
      </c>
      <c r="C3321" s="62" t="s">
        <v>19</v>
      </c>
      <c r="D3321" s="63">
        <v>251.54664528804588</v>
      </c>
      <c r="E3321" s="79">
        <v>1359649</v>
      </c>
      <c r="F3321" s="80">
        <v>1329169.6440677899</v>
      </c>
      <c r="G3321" s="66">
        <v>1571.8503177449106</v>
      </c>
      <c r="H3321" s="67">
        <v>1</v>
      </c>
      <c r="I3321" s="68" t="s">
        <v>20</v>
      </c>
      <c r="J3321" s="69">
        <v>40</v>
      </c>
      <c r="K3321" s="70">
        <v>1</v>
      </c>
      <c r="L3321" s="68">
        <v>1</v>
      </c>
      <c r="M3321" s="68">
        <f>_xlfn.XLOOKUP(Survey!$F3321,sections[Start],sections[Test Section],,-1,1)</f>
        <v>9</v>
      </c>
      <c r="N3321" s="55">
        <f>_xlfn.XLOOKUP(Survey!$K3321,pipedata[ID],pipedata[WT])</f>
        <v>0.61699999999999999</v>
      </c>
      <c r="O3321" s="56">
        <f>_xlfn.XLOOKUP(Survey!$K3321,pipedata[ID],pipedata[104%])</f>
        <v>2138.9333333333334</v>
      </c>
      <c r="P3321" s="57">
        <f t="shared" si="51"/>
        <v>1850</v>
      </c>
      <c r="Q3321" s="58">
        <f>_xlfn.MAXIFS(Survey!$G$2:$G$3647,Survey!$M$2:$M$3647,Survey!$M3321)-Survey!$G3321</f>
        <v>494.48982856051089</v>
      </c>
      <c r="R3321" s="59">
        <f>Survey!$P3321+(Survey!$Q3321*0.433)</f>
        <v>2064.1140957667012</v>
      </c>
    </row>
    <row r="3322" spans="1:18" x14ac:dyDescent="0.25">
      <c r="A3322" s="71" t="s">
        <v>17</v>
      </c>
      <c r="B3322" s="72" t="s">
        <v>23</v>
      </c>
      <c r="C3322" s="73" t="s">
        <v>19</v>
      </c>
      <c r="D3322" s="74">
        <v>251.55369722965781</v>
      </c>
      <c r="E3322" s="81">
        <v>1359689</v>
      </c>
      <c r="F3322" s="82">
        <v>1329208.7203389762</v>
      </c>
      <c r="G3322" s="75">
        <v>1567.5985084427334</v>
      </c>
      <c r="H3322" s="76">
        <v>1</v>
      </c>
      <c r="I3322" s="54" t="s">
        <v>20</v>
      </c>
      <c r="J3322" s="77">
        <v>40</v>
      </c>
      <c r="K3322" s="78">
        <v>1</v>
      </c>
      <c r="L3322" s="54">
        <v>1</v>
      </c>
      <c r="M3322" s="54">
        <f>_xlfn.XLOOKUP(Survey!$F3322,sections[Start],sections[Test Section],,-1,1)</f>
        <v>9</v>
      </c>
      <c r="N3322" s="55">
        <f>_xlfn.XLOOKUP(Survey!$K3322,pipedata[ID],pipedata[WT])</f>
        <v>0.61699999999999999</v>
      </c>
      <c r="O3322" s="56">
        <f>_xlfn.XLOOKUP(Survey!$K3322,pipedata[ID],pipedata[104%])</f>
        <v>2138.9333333333334</v>
      </c>
      <c r="P3322" s="57">
        <f t="shared" si="51"/>
        <v>1850</v>
      </c>
      <c r="Q3322" s="58">
        <f>_xlfn.MAXIFS(Survey!$G$2:$G$3647,Survey!$M$2:$M$3647,Survey!$M3322)-Survey!$G3322</f>
        <v>498.74163786268809</v>
      </c>
      <c r="R3322" s="59">
        <f>Survey!$P3322+(Survey!$Q3322*0.433)</f>
        <v>2065.955129194544</v>
      </c>
    </row>
    <row r="3323" spans="1:18" x14ac:dyDescent="0.25">
      <c r="A3323" s="60" t="s">
        <v>17</v>
      </c>
      <c r="B3323" s="61" t="s">
        <v>23</v>
      </c>
      <c r="C3323" s="62" t="s">
        <v>19</v>
      </c>
      <c r="D3323" s="63">
        <v>251.56212758289783</v>
      </c>
      <c r="E3323" s="79">
        <v>1359729</v>
      </c>
      <c r="F3323" s="80">
        <v>1329247.7966101626</v>
      </c>
      <c r="G3323" s="66">
        <v>1563.2573802778516</v>
      </c>
      <c r="H3323" s="67">
        <v>1</v>
      </c>
      <c r="I3323" s="68" t="s">
        <v>20</v>
      </c>
      <c r="J3323" s="69">
        <v>40</v>
      </c>
      <c r="K3323" s="70">
        <v>1</v>
      </c>
      <c r="L3323" s="68">
        <v>1</v>
      </c>
      <c r="M3323" s="68">
        <f>_xlfn.XLOOKUP(Survey!$F3323,sections[Start],sections[Test Section],,-1,1)</f>
        <v>9</v>
      </c>
      <c r="N3323" s="55">
        <f>_xlfn.XLOOKUP(Survey!$K3323,pipedata[ID],pipedata[WT])</f>
        <v>0.61699999999999999</v>
      </c>
      <c r="O3323" s="56">
        <f>_xlfn.XLOOKUP(Survey!$K3323,pipedata[ID],pipedata[104%])</f>
        <v>2138.9333333333334</v>
      </c>
      <c r="P3323" s="57">
        <f t="shared" si="51"/>
        <v>1850</v>
      </c>
      <c r="Q3323" s="58">
        <f>_xlfn.MAXIFS(Survey!$G$2:$G$3647,Survey!$M$2:$M$3647,Survey!$M3323)-Survey!$G3323</f>
        <v>503.08276602756996</v>
      </c>
      <c r="R3323" s="59">
        <f>Survey!$P3323+(Survey!$Q3323*0.433)</f>
        <v>2067.8348376899376</v>
      </c>
    </row>
    <row r="3324" spans="1:18" x14ac:dyDescent="0.25">
      <c r="A3324" s="71" t="s">
        <v>17</v>
      </c>
      <c r="B3324" s="72" t="s">
        <v>23</v>
      </c>
      <c r="C3324" s="73" t="s">
        <v>19</v>
      </c>
      <c r="D3324" s="74">
        <v>251.56936530716951</v>
      </c>
      <c r="E3324" s="81">
        <v>1359769</v>
      </c>
      <c r="F3324" s="82">
        <v>1329286.8728813489</v>
      </c>
      <c r="G3324" s="75">
        <v>1557.8953529261316</v>
      </c>
      <c r="H3324" s="76">
        <v>1</v>
      </c>
      <c r="I3324" s="54" t="s">
        <v>20</v>
      </c>
      <c r="J3324" s="77">
        <v>40</v>
      </c>
      <c r="K3324" s="78">
        <v>1</v>
      </c>
      <c r="L3324" s="54">
        <v>1</v>
      </c>
      <c r="M3324" s="54">
        <f>_xlfn.XLOOKUP(Survey!$F3324,sections[Start],sections[Test Section],,-1,1)</f>
        <v>9</v>
      </c>
      <c r="N3324" s="55">
        <f>_xlfn.XLOOKUP(Survey!$K3324,pipedata[ID],pipedata[WT])</f>
        <v>0.61699999999999999</v>
      </c>
      <c r="O3324" s="56">
        <f>_xlfn.XLOOKUP(Survey!$K3324,pipedata[ID],pipedata[104%])</f>
        <v>2138.9333333333334</v>
      </c>
      <c r="P3324" s="57">
        <f t="shared" si="51"/>
        <v>1850</v>
      </c>
      <c r="Q3324" s="58">
        <f>_xlfn.MAXIFS(Survey!$G$2:$G$3647,Survey!$M$2:$M$3647,Survey!$M3324)-Survey!$G3324</f>
        <v>508.44479337928988</v>
      </c>
      <c r="R3324" s="59">
        <f>Survey!$P3324+(Survey!$Q3324*0.433)</f>
        <v>2070.1565955332326</v>
      </c>
    </row>
    <row r="3325" spans="1:18" x14ac:dyDescent="0.25">
      <c r="A3325" s="60" t="s">
        <v>17</v>
      </c>
      <c r="B3325" s="61" t="s">
        <v>23</v>
      </c>
      <c r="C3325" s="62" t="s">
        <v>19</v>
      </c>
      <c r="D3325" s="63">
        <v>251.57632508599994</v>
      </c>
      <c r="E3325" s="79">
        <v>1359809</v>
      </c>
      <c r="F3325" s="80">
        <v>1329325.9491525353</v>
      </c>
      <c r="G3325" s="66">
        <v>1553.6054644416179</v>
      </c>
      <c r="H3325" s="67">
        <v>1</v>
      </c>
      <c r="I3325" s="68" t="s">
        <v>20</v>
      </c>
      <c r="J3325" s="69">
        <v>40</v>
      </c>
      <c r="K3325" s="70">
        <v>1</v>
      </c>
      <c r="L3325" s="68">
        <v>1</v>
      </c>
      <c r="M3325" s="68">
        <f>_xlfn.XLOOKUP(Survey!$F3325,sections[Start],sections[Test Section],,-1,1)</f>
        <v>9</v>
      </c>
      <c r="N3325" s="55">
        <f>_xlfn.XLOOKUP(Survey!$K3325,pipedata[ID],pipedata[WT])</f>
        <v>0.61699999999999999</v>
      </c>
      <c r="O3325" s="56">
        <f>_xlfn.XLOOKUP(Survey!$K3325,pipedata[ID],pipedata[104%])</f>
        <v>2138.9333333333334</v>
      </c>
      <c r="P3325" s="57">
        <f t="shared" si="51"/>
        <v>1850</v>
      </c>
      <c r="Q3325" s="58">
        <f>_xlfn.MAXIFS(Survey!$G$2:$G$3647,Survey!$M$2:$M$3647,Survey!$M3325)-Survey!$G3325</f>
        <v>512.73468186380364</v>
      </c>
      <c r="R3325" s="59">
        <f>Survey!$P3325+(Survey!$Q3325*0.433)</f>
        <v>2072.0141172470271</v>
      </c>
    </row>
    <row r="3326" spans="1:18" x14ac:dyDescent="0.25">
      <c r="A3326" s="71" t="s">
        <v>17</v>
      </c>
      <c r="B3326" s="72" t="s">
        <v>23</v>
      </c>
      <c r="C3326" s="73" t="s">
        <v>19</v>
      </c>
      <c r="D3326" s="74">
        <v>251.58480502827265</v>
      </c>
      <c r="E3326" s="81">
        <v>1359849</v>
      </c>
      <c r="F3326" s="82">
        <v>1329365.0254237216</v>
      </c>
      <c r="G3326" s="75">
        <v>1549.0985525816288</v>
      </c>
      <c r="H3326" s="76">
        <v>1</v>
      </c>
      <c r="I3326" s="54" t="s">
        <v>20</v>
      </c>
      <c r="J3326" s="77">
        <v>40</v>
      </c>
      <c r="K3326" s="78">
        <v>1</v>
      </c>
      <c r="L3326" s="54">
        <v>1</v>
      </c>
      <c r="M3326" s="54">
        <f>_xlfn.XLOOKUP(Survey!$F3326,sections[Start],sections[Test Section],,-1,1)</f>
        <v>9</v>
      </c>
      <c r="N3326" s="55">
        <f>_xlfn.XLOOKUP(Survey!$K3326,pipedata[ID],pipedata[WT])</f>
        <v>0.61699999999999999</v>
      </c>
      <c r="O3326" s="56">
        <f>_xlfn.XLOOKUP(Survey!$K3326,pipedata[ID],pipedata[104%])</f>
        <v>2138.9333333333334</v>
      </c>
      <c r="P3326" s="57">
        <f t="shared" si="51"/>
        <v>1850</v>
      </c>
      <c r="Q3326" s="58">
        <f>_xlfn.MAXIFS(Survey!$G$2:$G$3647,Survey!$M$2:$M$3647,Survey!$M3326)-Survey!$G3326</f>
        <v>517.24159372379268</v>
      </c>
      <c r="R3326" s="59">
        <f>Survey!$P3326+(Survey!$Q3326*0.433)</f>
        <v>2073.9656100824022</v>
      </c>
    </row>
    <row r="3327" spans="1:18" x14ac:dyDescent="0.25">
      <c r="A3327" s="60" t="s">
        <v>17</v>
      </c>
      <c r="B3327" s="61" t="s">
        <v>23</v>
      </c>
      <c r="C3327" s="62" t="s">
        <v>19</v>
      </c>
      <c r="D3327" s="63">
        <v>251.59163381923906</v>
      </c>
      <c r="E3327" s="79">
        <v>1359889</v>
      </c>
      <c r="F3327" s="80">
        <v>1329404.101694908</v>
      </c>
      <c r="G3327" s="66">
        <v>1545.1399913219377</v>
      </c>
      <c r="H3327" s="67">
        <v>1</v>
      </c>
      <c r="I3327" s="68" t="s">
        <v>20</v>
      </c>
      <c r="J3327" s="69">
        <v>40</v>
      </c>
      <c r="K3327" s="70">
        <v>1</v>
      </c>
      <c r="L3327" s="68">
        <v>1</v>
      </c>
      <c r="M3327" s="68">
        <f>_xlfn.XLOOKUP(Survey!$F3327,sections[Start],sections[Test Section],,-1,1)</f>
        <v>9</v>
      </c>
      <c r="N3327" s="55">
        <f>_xlfn.XLOOKUP(Survey!$K3327,pipedata[ID],pipedata[WT])</f>
        <v>0.61699999999999999</v>
      </c>
      <c r="O3327" s="56">
        <f>_xlfn.XLOOKUP(Survey!$K3327,pipedata[ID],pipedata[104%])</f>
        <v>2138.9333333333334</v>
      </c>
      <c r="P3327" s="57">
        <f t="shared" si="51"/>
        <v>1850</v>
      </c>
      <c r="Q3327" s="58">
        <f>_xlfn.MAXIFS(Survey!$G$2:$G$3647,Survey!$M$2:$M$3647,Survey!$M3327)-Survey!$G3327</f>
        <v>521.2001549834838</v>
      </c>
      <c r="R3327" s="59">
        <f>Survey!$P3327+(Survey!$Q3327*0.433)</f>
        <v>2075.6796671078487</v>
      </c>
    </row>
    <row r="3328" spans="1:18" x14ac:dyDescent="0.25">
      <c r="A3328" s="71" t="s">
        <v>17</v>
      </c>
      <c r="B3328" s="72" t="s">
        <v>23</v>
      </c>
      <c r="C3328" s="73" t="s">
        <v>19</v>
      </c>
      <c r="D3328" s="74">
        <v>251.59964492724981</v>
      </c>
      <c r="E3328" s="81">
        <v>1359929</v>
      </c>
      <c r="F3328" s="82">
        <v>1329443.1779660943</v>
      </c>
      <c r="G3328" s="75">
        <v>1540.2978318604735</v>
      </c>
      <c r="H3328" s="76">
        <v>1</v>
      </c>
      <c r="I3328" s="54" t="s">
        <v>20</v>
      </c>
      <c r="J3328" s="77">
        <v>40</v>
      </c>
      <c r="K3328" s="78">
        <v>1</v>
      </c>
      <c r="L3328" s="54">
        <v>1</v>
      </c>
      <c r="M3328" s="54">
        <f>_xlfn.XLOOKUP(Survey!$F3328,sections[Start],sections[Test Section],,-1,1)</f>
        <v>9</v>
      </c>
      <c r="N3328" s="55">
        <f>_xlfn.XLOOKUP(Survey!$K3328,pipedata[ID],pipedata[WT])</f>
        <v>0.61699999999999999</v>
      </c>
      <c r="O3328" s="56">
        <f>_xlfn.XLOOKUP(Survey!$K3328,pipedata[ID],pipedata[104%])</f>
        <v>2138.9333333333334</v>
      </c>
      <c r="P3328" s="57">
        <f t="shared" si="51"/>
        <v>1850</v>
      </c>
      <c r="Q3328" s="58">
        <f>_xlfn.MAXIFS(Survey!$G$2:$G$3647,Survey!$M$2:$M$3647,Survey!$M3328)-Survey!$G3328</f>
        <v>526.04231444494803</v>
      </c>
      <c r="R3328" s="59">
        <f>Survey!$P3328+(Survey!$Q3328*0.433)</f>
        <v>2077.7763221546625</v>
      </c>
    </row>
    <row r="3329" spans="1:18" x14ac:dyDescent="0.25">
      <c r="A3329" s="60" t="s">
        <v>17</v>
      </c>
      <c r="B3329" s="61" t="s">
        <v>23</v>
      </c>
      <c r="C3329" s="62" t="s">
        <v>19</v>
      </c>
      <c r="D3329" s="63">
        <v>251.6060048839542</v>
      </c>
      <c r="E3329" s="79">
        <v>1359969</v>
      </c>
      <c r="F3329" s="80">
        <v>1329482.2542372807</v>
      </c>
      <c r="G3329" s="66">
        <v>1536.2490520420747</v>
      </c>
      <c r="H3329" s="67">
        <v>1</v>
      </c>
      <c r="I3329" s="68" t="s">
        <v>20</v>
      </c>
      <c r="J3329" s="69">
        <v>40</v>
      </c>
      <c r="K3329" s="70">
        <v>1</v>
      </c>
      <c r="L3329" s="68">
        <v>1</v>
      </c>
      <c r="M3329" s="68">
        <f>_xlfn.XLOOKUP(Survey!$F3329,sections[Start],sections[Test Section],,-1,1)</f>
        <v>9</v>
      </c>
      <c r="N3329" s="55">
        <f>_xlfn.XLOOKUP(Survey!$K3329,pipedata[ID],pipedata[WT])</f>
        <v>0.61699999999999999</v>
      </c>
      <c r="O3329" s="56">
        <f>_xlfn.XLOOKUP(Survey!$K3329,pipedata[ID],pipedata[104%])</f>
        <v>2138.9333333333334</v>
      </c>
      <c r="P3329" s="57">
        <f t="shared" si="51"/>
        <v>1850</v>
      </c>
      <c r="Q3329" s="58">
        <f>_xlfn.MAXIFS(Survey!$G$2:$G$3647,Survey!$M$2:$M$3647,Survey!$M3329)-Survey!$G3329</f>
        <v>530.0910942633468</v>
      </c>
      <c r="R3329" s="59">
        <f>Survey!$P3329+(Survey!$Q3329*0.433)</f>
        <v>2079.529443816029</v>
      </c>
    </row>
    <row r="3330" spans="1:18" x14ac:dyDescent="0.25">
      <c r="A3330" s="71" t="s">
        <v>17</v>
      </c>
      <c r="B3330" s="72" t="s">
        <v>23</v>
      </c>
      <c r="C3330" s="73" t="s">
        <v>19</v>
      </c>
      <c r="D3330" s="74">
        <v>251.61448482622686</v>
      </c>
      <c r="E3330" s="81">
        <v>1360009</v>
      </c>
      <c r="F3330" s="82">
        <v>1329521.330508467</v>
      </c>
      <c r="G3330" s="75">
        <v>1534.2929122824664</v>
      </c>
      <c r="H3330" s="76">
        <v>1</v>
      </c>
      <c r="I3330" s="54" t="s">
        <v>20</v>
      </c>
      <c r="J3330" s="77">
        <v>40</v>
      </c>
      <c r="K3330" s="78">
        <v>1</v>
      </c>
      <c r="L3330" s="54">
        <v>1</v>
      </c>
      <c r="M3330" s="54">
        <f>_xlfn.XLOOKUP(Survey!$F3330,sections[Start],sections[Test Section],,-1,1)</f>
        <v>9</v>
      </c>
      <c r="N3330" s="55">
        <f>_xlfn.XLOOKUP(Survey!$K3330,pipedata[ID],pipedata[WT])</f>
        <v>0.61699999999999999</v>
      </c>
      <c r="O3330" s="56">
        <f>_xlfn.XLOOKUP(Survey!$K3330,pipedata[ID],pipedata[104%])</f>
        <v>2138.9333333333334</v>
      </c>
      <c r="P3330" s="57">
        <f t="shared" ref="P3330:P3393" si="52">IF(L3330=1,1850,IF(L3330=2,1850,2220))</f>
        <v>1850</v>
      </c>
      <c r="Q3330" s="58">
        <f>_xlfn.MAXIFS(Survey!$G$2:$G$3647,Survey!$M$2:$M$3647,Survey!$M3330)-Survey!$G3330</f>
        <v>532.04723402295508</v>
      </c>
      <c r="R3330" s="59">
        <f>Survey!$P3330+(Survey!$Q3330*0.433)</f>
        <v>2080.3764523319396</v>
      </c>
    </row>
    <row r="3331" spans="1:18" x14ac:dyDescent="0.25">
      <c r="A3331" s="60" t="s">
        <v>17</v>
      </c>
      <c r="B3331" s="61" t="s">
        <v>23</v>
      </c>
      <c r="C3331" s="62" t="s">
        <v>19</v>
      </c>
      <c r="D3331" s="63">
        <v>251.62114005557987</v>
      </c>
      <c r="E3331" s="79">
        <v>1360049</v>
      </c>
      <c r="F3331" s="80">
        <v>1329560.4067796534</v>
      </c>
      <c r="G3331" s="66">
        <v>1532.0586495494051</v>
      </c>
      <c r="H3331" s="67">
        <v>1</v>
      </c>
      <c r="I3331" s="68" t="s">
        <v>20</v>
      </c>
      <c r="J3331" s="69">
        <v>40</v>
      </c>
      <c r="K3331" s="70">
        <v>1</v>
      </c>
      <c r="L3331" s="68">
        <v>1</v>
      </c>
      <c r="M3331" s="68">
        <f>_xlfn.XLOOKUP(Survey!$F3331,sections[Start],sections[Test Section],,-1,1)</f>
        <v>9</v>
      </c>
      <c r="N3331" s="55">
        <f>_xlfn.XLOOKUP(Survey!$K3331,pipedata[ID],pipedata[WT])</f>
        <v>0.61699999999999999</v>
      </c>
      <c r="O3331" s="56">
        <f>_xlfn.XLOOKUP(Survey!$K3331,pipedata[ID],pipedata[104%])</f>
        <v>2138.9333333333334</v>
      </c>
      <c r="P3331" s="57">
        <f t="shared" si="52"/>
        <v>1850</v>
      </c>
      <c r="Q3331" s="58">
        <f>_xlfn.MAXIFS(Survey!$G$2:$G$3647,Survey!$M$2:$M$3647,Survey!$M3331)-Survey!$G3331</f>
        <v>534.2814967560164</v>
      </c>
      <c r="R3331" s="59">
        <f>Survey!$P3331+(Survey!$Q3331*0.433)</f>
        <v>2081.3438880953549</v>
      </c>
    </row>
    <row r="3332" spans="1:18" x14ac:dyDescent="0.25">
      <c r="A3332" s="71" t="s">
        <v>17</v>
      </c>
      <c r="B3332" s="72" t="s">
        <v>23</v>
      </c>
      <c r="C3332" s="73" t="s">
        <v>19</v>
      </c>
      <c r="D3332" s="74">
        <v>251.62902096250892</v>
      </c>
      <c r="E3332" s="81">
        <v>1360089</v>
      </c>
      <c r="F3332" s="82">
        <v>1329638.5593220261</v>
      </c>
      <c r="G3332" s="75">
        <v>1524.7597992721521</v>
      </c>
      <c r="H3332" s="76">
        <v>1</v>
      </c>
      <c r="I3332" s="54" t="s">
        <v>20</v>
      </c>
      <c r="J3332" s="77">
        <v>40</v>
      </c>
      <c r="K3332" s="78">
        <v>1</v>
      </c>
      <c r="L3332" s="54">
        <v>1</v>
      </c>
      <c r="M3332" s="54">
        <f>_xlfn.XLOOKUP(Survey!$F3332,sections[Start],sections[Test Section],,-1,1)</f>
        <v>9</v>
      </c>
      <c r="N3332" s="55">
        <f>_xlfn.XLOOKUP(Survey!$K3332,pipedata[ID],pipedata[WT])</f>
        <v>0.61699999999999999</v>
      </c>
      <c r="O3332" s="56">
        <f>_xlfn.XLOOKUP(Survey!$K3332,pipedata[ID],pipedata[104%])</f>
        <v>2138.9333333333334</v>
      </c>
      <c r="P3332" s="57">
        <f t="shared" si="52"/>
        <v>1850</v>
      </c>
      <c r="Q3332" s="58">
        <f>_xlfn.MAXIFS(Survey!$G$2:$G$3647,Survey!$M$2:$M$3647,Survey!$M3332)-Survey!$G3332</f>
        <v>541.58034703326939</v>
      </c>
      <c r="R3332" s="59">
        <f>Survey!$P3332+(Survey!$Q3332*0.433)</f>
        <v>2084.5042902654059</v>
      </c>
    </row>
    <row r="3333" spans="1:18" x14ac:dyDescent="0.25">
      <c r="A3333" s="60" t="s">
        <v>17</v>
      </c>
      <c r="B3333" s="61" t="s">
        <v>23</v>
      </c>
      <c r="C3333" s="62" t="s">
        <v>19</v>
      </c>
      <c r="D3333" s="63">
        <v>251.63772163774971</v>
      </c>
      <c r="E3333" s="79">
        <v>1360129</v>
      </c>
      <c r="F3333" s="80">
        <v>1329677.6355932124</v>
      </c>
      <c r="G3333" s="66">
        <v>1521.5353084462872</v>
      </c>
      <c r="H3333" s="67">
        <v>1</v>
      </c>
      <c r="I3333" s="68" t="s">
        <v>20</v>
      </c>
      <c r="J3333" s="69">
        <v>40</v>
      </c>
      <c r="K3333" s="70">
        <v>1</v>
      </c>
      <c r="L3333" s="68">
        <v>1</v>
      </c>
      <c r="M3333" s="68">
        <f>_xlfn.XLOOKUP(Survey!$F3333,sections[Start],sections[Test Section],,-1,1)</f>
        <v>9</v>
      </c>
      <c r="N3333" s="55">
        <f>_xlfn.XLOOKUP(Survey!$K3333,pipedata[ID],pipedata[WT])</f>
        <v>0.61699999999999999</v>
      </c>
      <c r="O3333" s="56">
        <f>_xlfn.XLOOKUP(Survey!$K3333,pipedata[ID],pipedata[104%])</f>
        <v>2138.9333333333334</v>
      </c>
      <c r="P3333" s="57">
        <f t="shared" si="52"/>
        <v>1850</v>
      </c>
      <c r="Q3333" s="58">
        <f>_xlfn.MAXIFS(Survey!$G$2:$G$3647,Survey!$M$2:$M$3647,Survey!$M3333)-Survey!$G3333</f>
        <v>544.8048378591343</v>
      </c>
      <c r="R3333" s="59">
        <f>Survey!$P3333+(Survey!$Q3333*0.433)</f>
        <v>2085.9004947930052</v>
      </c>
    </row>
    <row r="3334" spans="1:18" x14ac:dyDescent="0.25">
      <c r="A3334" s="71" t="s">
        <v>17</v>
      </c>
      <c r="B3334" s="72" t="s">
        <v>23</v>
      </c>
      <c r="C3334" s="73" t="s">
        <v>19</v>
      </c>
      <c r="D3334" s="74">
        <v>251.64501690355524</v>
      </c>
      <c r="E3334" s="64">
        <v>1360169</v>
      </c>
      <c r="F3334" s="65">
        <v>1329716.7118643988</v>
      </c>
      <c r="G3334" s="75">
        <v>1517.5073135577925</v>
      </c>
      <c r="H3334" s="76">
        <v>1</v>
      </c>
      <c r="I3334" s="54" t="s">
        <v>20</v>
      </c>
      <c r="J3334" s="77">
        <v>40</v>
      </c>
      <c r="K3334" s="78">
        <v>1</v>
      </c>
      <c r="L3334" s="54">
        <v>1</v>
      </c>
      <c r="M3334" s="54">
        <f>_xlfn.XLOOKUP(Survey!$F3334,sections[Start],sections[Test Section],,-1,1)</f>
        <v>9</v>
      </c>
      <c r="N3334" s="55">
        <f>_xlfn.XLOOKUP(Survey!$K3334,pipedata[ID],pipedata[WT])</f>
        <v>0.61699999999999999</v>
      </c>
      <c r="O3334" s="56">
        <f>_xlfn.XLOOKUP(Survey!$K3334,pipedata[ID],pipedata[104%])</f>
        <v>2138.9333333333334</v>
      </c>
      <c r="P3334" s="57">
        <f t="shared" si="52"/>
        <v>1850</v>
      </c>
      <c r="Q3334" s="58">
        <f>_xlfn.MAXIFS(Survey!$G$2:$G$3647,Survey!$M$2:$M$3647,Survey!$M3334)-Survey!$G3334</f>
        <v>548.83283274762903</v>
      </c>
      <c r="R3334" s="59">
        <f>Survey!$P3334+(Survey!$Q3334*0.433)</f>
        <v>2087.6446165797233</v>
      </c>
    </row>
    <row r="3335" spans="1:18" x14ac:dyDescent="0.25">
      <c r="A3335" s="60" t="s">
        <v>17</v>
      </c>
      <c r="B3335" s="61" t="s">
        <v>23</v>
      </c>
      <c r="C3335" s="62" t="s">
        <v>19</v>
      </c>
      <c r="D3335" s="63">
        <v>251.6517722955389</v>
      </c>
      <c r="E3335" s="64">
        <v>1360209</v>
      </c>
      <c r="F3335" s="65">
        <v>1329755.7881355851</v>
      </c>
      <c r="G3335" s="66">
        <v>1515.7856399545819</v>
      </c>
      <c r="H3335" s="67">
        <v>1</v>
      </c>
      <c r="I3335" s="68" t="s">
        <v>20</v>
      </c>
      <c r="J3335" s="69">
        <v>40</v>
      </c>
      <c r="K3335" s="70">
        <v>1</v>
      </c>
      <c r="L3335" s="68">
        <v>1</v>
      </c>
      <c r="M3335" s="68">
        <f>_xlfn.XLOOKUP(Survey!$F3335,sections[Start],sections[Test Section],,-1,1)</f>
        <v>9</v>
      </c>
      <c r="N3335" s="55">
        <f>_xlfn.XLOOKUP(Survey!$K3335,pipedata[ID],pipedata[WT])</f>
        <v>0.61699999999999999</v>
      </c>
      <c r="O3335" s="56">
        <f>_xlfn.XLOOKUP(Survey!$K3335,pipedata[ID],pipedata[104%])</f>
        <v>2138.9333333333334</v>
      </c>
      <c r="P3335" s="57">
        <f t="shared" si="52"/>
        <v>1850</v>
      </c>
      <c r="Q3335" s="58">
        <f>_xlfn.MAXIFS(Survey!$G$2:$G$3647,Survey!$M$2:$M$3647,Survey!$M3335)-Survey!$G3335</f>
        <v>550.55450635083957</v>
      </c>
      <c r="R3335" s="59">
        <f>Survey!$P3335+(Survey!$Q3335*0.433)</f>
        <v>2088.3901012499136</v>
      </c>
    </row>
    <row r="3336" spans="1:18" x14ac:dyDescent="0.25">
      <c r="A3336" s="71" t="s">
        <v>17</v>
      </c>
      <c r="B3336" s="72" t="s">
        <v>23</v>
      </c>
      <c r="C3336" s="73" t="s">
        <v>19</v>
      </c>
      <c r="D3336" s="74">
        <v>251.65901335197077</v>
      </c>
      <c r="E3336" s="81">
        <v>1360249</v>
      </c>
      <c r="F3336" s="82">
        <v>1329794.8644067715</v>
      </c>
      <c r="G3336" s="75">
        <v>1512.686834795041</v>
      </c>
      <c r="H3336" s="76">
        <v>1</v>
      </c>
      <c r="I3336" s="54" t="s">
        <v>20</v>
      </c>
      <c r="J3336" s="77">
        <v>40</v>
      </c>
      <c r="K3336" s="78">
        <v>1</v>
      </c>
      <c r="L3336" s="54">
        <v>1</v>
      </c>
      <c r="M3336" s="54">
        <f>_xlfn.XLOOKUP(Survey!$F3336,sections[Start],sections[Test Section],,-1,1)</f>
        <v>9</v>
      </c>
      <c r="N3336" s="55">
        <f>_xlfn.XLOOKUP(Survey!$K3336,pipedata[ID],pipedata[WT])</f>
        <v>0.61699999999999999</v>
      </c>
      <c r="O3336" s="56">
        <f>_xlfn.XLOOKUP(Survey!$K3336,pipedata[ID],pipedata[104%])</f>
        <v>2138.9333333333334</v>
      </c>
      <c r="P3336" s="57">
        <f t="shared" si="52"/>
        <v>1850</v>
      </c>
      <c r="Q3336" s="58">
        <f>_xlfn.MAXIFS(Survey!$G$2:$G$3647,Survey!$M$2:$M$3647,Survey!$M3336)-Survey!$G3336</f>
        <v>553.65331151038049</v>
      </c>
      <c r="R3336" s="59">
        <f>Survey!$P3336+(Survey!$Q3336*0.433)</f>
        <v>2089.7318838839947</v>
      </c>
    </row>
    <row r="3337" spans="1:18" x14ac:dyDescent="0.25">
      <c r="A3337" s="60" t="s">
        <v>17</v>
      </c>
      <c r="B3337" s="61" t="s">
        <v>23</v>
      </c>
      <c r="C3337" s="62" t="s">
        <v>19</v>
      </c>
      <c r="D3337" s="63">
        <v>251.6672577828852</v>
      </c>
      <c r="E3337" s="79">
        <v>1360289</v>
      </c>
      <c r="F3337" s="80">
        <v>1329833.9406779578</v>
      </c>
      <c r="G3337" s="66">
        <v>1509.7265544930549</v>
      </c>
      <c r="H3337" s="67">
        <v>1</v>
      </c>
      <c r="I3337" s="68" t="s">
        <v>20</v>
      </c>
      <c r="J3337" s="69">
        <v>40</v>
      </c>
      <c r="K3337" s="70">
        <v>1</v>
      </c>
      <c r="L3337" s="68">
        <v>1</v>
      </c>
      <c r="M3337" s="68">
        <f>_xlfn.XLOOKUP(Survey!$F3337,sections[Start],sections[Test Section],,-1,1)</f>
        <v>9</v>
      </c>
      <c r="N3337" s="55">
        <f>_xlfn.XLOOKUP(Survey!$K3337,pipedata[ID],pipedata[WT])</f>
        <v>0.61699999999999999</v>
      </c>
      <c r="O3337" s="56">
        <f>_xlfn.XLOOKUP(Survey!$K3337,pipedata[ID],pipedata[104%])</f>
        <v>2138.9333333333334</v>
      </c>
      <c r="P3337" s="57">
        <f t="shared" si="52"/>
        <v>1850</v>
      </c>
      <c r="Q3337" s="58">
        <f>_xlfn.MAXIFS(Survey!$G$2:$G$3647,Survey!$M$2:$M$3647,Survey!$M3337)-Survey!$G3337</f>
        <v>556.61359181236662</v>
      </c>
      <c r="R3337" s="59">
        <f>Survey!$P3337+(Survey!$Q3337*0.433)</f>
        <v>2091.0136852547548</v>
      </c>
    </row>
    <row r="3338" spans="1:18" x14ac:dyDescent="0.25">
      <c r="A3338" s="71" t="s">
        <v>17</v>
      </c>
      <c r="B3338" s="72" t="s">
        <v>23</v>
      </c>
      <c r="C3338" s="73" t="s">
        <v>19</v>
      </c>
      <c r="D3338" s="74">
        <v>251.67481556593333</v>
      </c>
      <c r="E3338" s="81">
        <v>1360329</v>
      </c>
      <c r="F3338" s="82">
        <v>1329873.0169491442</v>
      </c>
      <c r="G3338" s="75">
        <v>1507.8807149622144</v>
      </c>
      <c r="H3338" s="76">
        <v>1</v>
      </c>
      <c r="I3338" s="54" t="s">
        <v>20</v>
      </c>
      <c r="J3338" s="77">
        <v>40</v>
      </c>
      <c r="K3338" s="78">
        <v>1</v>
      </c>
      <c r="L3338" s="54">
        <v>1</v>
      </c>
      <c r="M3338" s="54">
        <f>_xlfn.XLOOKUP(Survey!$F3338,sections[Start],sections[Test Section],,-1,1)</f>
        <v>9</v>
      </c>
      <c r="N3338" s="55">
        <f>_xlfn.XLOOKUP(Survey!$K3338,pipedata[ID],pipedata[WT])</f>
        <v>0.61699999999999999</v>
      </c>
      <c r="O3338" s="56">
        <f>_xlfn.XLOOKUP(Survey!$K3338,pipedata[ID],pipedata[104%])</f>
        <v>2138.9333333333334</v>
      </c>
      <c r="P3338" s="57">
        <f t="shared" si="52"/>
        <v>1850</v>
      </c>
      <c r="Q3338" s="58">
        <f>_xlfn.MAXIFS(Survey!$G$2:$G$3647,Survey!$M$2:$M$3647,Survey!$M3338)-Survey!$G3338</f>
        <v>558.45943134320714</v>
      </c>
      <c r="R3338" s="59">
        <f>Survey!$P3338+(Survey!$Q3338*0.433)</f>
        <v>2091.8129337716086</v>
      </c>
    </row>
    <row r="3339" spans="1:18" x14ac:dyDescent="0.25">
      <c r="A3339" s="60" t="s">
        <v>17</v>
      </c>
      <c r="B3339" s="61" t="s">
        <v>23</v>
      </c>
      <c r="C3339" s="62" t="s">
        <v>19</v>
      </c>
      <c r="D3339" s="63">
        <v>251.68239222524161</v>
      </c>
      <c r="E3339" s="79">
        <v>1360369</v>
      </c>
      <c r="F3339" s="80">
        <v>1329912.0932203305</v>
      </c>
      <c r="G3339" s="66">
        <v>1502.3133354970373</v>
      </c>
      <c r="H3339" s="67">
        <v>1</v>
      </c>
      <c r="I3339" s="68" t="s">
        <v>20</v>
      </c>
      <c r="J3339" s="69">
        <v>40</v>
      </c>
      <c r="K3339" s="70">
        <v>1</v>
      </c>
      <c r="L3339" s="68">
        <v>1</v>
      </c>
      <c r="M3339" s="68">
        <f>_xlfn.XLOOKUP(Survey!$F3339,sections[Start],sections[Test Section],,-1,1)</f>
        <v>9</v>
      </c>
      <c r="N3339" s="55">
        <f>_xlfn.XLOOKUP(Survey!$K3339,pipedata[ID],pipedata[WT])</f>
        <v>0.61699999999999999</v>
      </c>
      <c r="O3339" s="56">
        <f>_xlfn.XLOOKUP(Survey!$K3339,pipedata[ID],pipedata[104%])</f>
        <v>2138.9333333333334</v>
      </c>
      <c r="P3339" s="57">
        <f t="shared" si="52"/>
        <v>1850</v>
      </c>
      <c r="Q3339" s="58">
        <f>_xlfn.MAXIFS(Survey!$G$2:$G$3647,Survey!$M$2:$M$3647,Survey!$M3339)-Survey!$G3339</f>
        <v>564.0268108083842</v>
      </c>
      <c r="R3339" s="59">
        <f>Survey!$P3339+(Survey!$Q3339*0.433)</f>
        <v>2094.2236090800302</v>
      </c>
    </row>
    <row r="3340" spans="1:18" x14ac:dyDescent="0.25">
      <c r="A3340" s="71" t="s">
        <v>17</v>
      </c>
      <c r="B3340" s="72" t="s">
        <v>23</v>
      </c>
      <c r="C3340" s="73" t="s">
        <v>19</v>
      </c>
      <c r="D3340" s="74">
        <v>251.68996888454996</v>
      </c>
      <c r="E3340" s="81">
        <v>1360409</v>
      </c>
      <c r="F3340" s="82">
        <v>1329951.1694915169</v>
      </c>
      <c r="G3340" s="75">
        <v>1494.3410722341669</v>
      </c>
      <c r="H3340" s="76">
        <v>1</v>
      </c>
      <c r="I3340" s="54" t="s">
        <v>20</v>
      </c>
      <c r="J3340" s="77">
        <v>40</v>
      </c>
      <c r="K3340" s="78">
        <v>1</v>
      </c>
      <c r="L3340" s="54">
        <v>1</v>
      </c>
      <c r="M3340" s="54">
        <f>_xlfn.XLOOKUP(Survey!$F3340,sections[Start],sections[Test Section],,-1,1)</f>
        <v>9</v>
      </c>
      <c r="N3340" s="55">
        <f>_xlfn.XLOOKUP(Survey!$K3340,pipedata[ID],pipedata[WT])</f>
        <v>0.61699999999999999</v>
      </c>
      <c r="O3340" s="56">
        <f>_xlfn.XLOOKUP(Survey!$K3340,pipedata[ID],pipedata[104%])</f>
        <v>2138.9333333333334</v>
      </c>
      <c r="P3340" s="57">
        <f t="shared" si="52"/>
        <v>1850</v>
      </c>
      <c r="Q3340" s="58">
        <f>_xlfn.MAXIFS(Survey!$G$2:$G$3647,Survey!$M$2:$M$3647,Survey!$M3340)-Survey!$G3340</f>
        <v>571.99907407125465</v>
      </c>
      <c r="R3340" s="59">
        <f>Survey!$P3340+(Survey!$Q3340*0.433)</f>
        <v>2097.6755990728534</v>
      </c>
    </row>
    <row r="3341" spans="1:18" x14ac:dyDescent="0.25">
      <c r="A3341" s="60" t="s">
        <v>17</v>
      </c>
      <c r="B3341" s="61" t="s">
        <v>23</v>
      </c>
      <c r="C3341" s="62" t="s">
        <v>19</v>
      </c>
      <c r="D3341" s="63">
        <v>251.69754554385827</v>
      </c>
      <c r="E3341" s="79">
        <v>1360449</v>
      </c>
      <c r="F3341" s="80">
        <v>1329990.2457627032</v>
      </c>
      <c r="G3341" s="66">
        <v>1486.4080211305843</v>
      </c>
      <c r="H3341" s="67">
        <v>1</v>
      </c>
      <c r="I3341" s="68" t="s">
        <v>20</v>
      </c>
      <c r="J3341" s="69">
        <v>40</v>
      </c>
      <c r="K3341" s="70">
        <v>1</v>
      </c>
      <c r="L3341" s="68">
        <v>1</v>
      </c>
      <c r="M3341" s="68">
        <f>_xlfn.XLOOKUP(Survey!$F3341,sections[Start],sections[Test Section],,-1,1)</f>
        <v>9</v>
      </c>
      <c r="N3341" s="55">
        <f>_xlfn.XLOOKUP(Survey!$K3341,pipedata[ID],pipedata[WT])</f>
        <v>0.61699999999999999</v>
      </c>
      <c r="O3341" s="56">
        <f>_xlfn.XLOOKUP(Survey!$K3341,pipedata[ID],pipedata[104%])</f>
        <v>2138.9333333333334</v>
      </c>
      <c r="P3341" s="57">
        <f t="shared" si="52"/>
        <v>1850</v>
      </c>
      <c r="Q3341" s="58">
        <f>_xlfn.MAXIFS(Survey!$G$2:$G$3647,Survey!$M$2:$M$3647,Survey!$M3341)-Survey!$G3341</f>
        <v>579.93212517483721</v>
      </c>
      <c r="R3341" s="59">
        <f>Survey!$P3341+(Survey!$Q3341*0.433)</f>
        <v>2101.1106102007043</v>
      </c>
    </row>
    <row r="3342" spans="1:18" x14ac:dyDescent="0.25">
      <c r="A3342" s="71" t="s">
        <v>17</v>
      </c>
      <c r="B3342" s="72" t="s">
        <v>23</v>
      </c>
      <c r="C3342" s="73" t="s">
        <v>19</v>
      </c>
      <c r="D3342" s="74">
        <v>251.70512220316661</v>
      </c>
      <c r="E3342" s="81">
        <v>1360489</v>
      </c>
      <c r="F3342" s="82">
        <v>1330029.3220338896</v>
      </c>
      <c r="G3342" s="75">
        <v>1480.7619338197992</v>
      </c>
      <c r="H3342" s="76">
        <v>1</v>
      </c>
      <c r="I3342" s="54" t="s">
        <v>20</v>
      </c>
      <c r="J3342" s="77">
        <v>40</v>
      </c>
      <c r="K3342" s="78">
        <v>1</v>
      </c>
      <c r="L3342" s="54">
        <v>1</v>
      </c>
      <c r="M3342" s="54">
        <f>_xlfn.XLOOKUP(Survey!$F3342,sections[Start],sections[Test Section],,-1,1)</f>
        <v>9</v>
      </c>
      <c r="N3342" s="55">
        <f>_xlfn.XLOOKUP(Survey!$K3342,pipedata[ID],pipedata[WT])</f>
        <v>0.61699999999999999</v>
      </c>
      <c r="O3342" s="56">
        <f>_xlfn.XLOOKUP(Survey!$K3342,pipedata[ID],pipedata[104%])</f>
        <v>2138.9333333333334</v>
      </c>
      <c r="P3342" s="57">
        <f t="shared" si="52"/>
        <v>1850</v>
      </c>
      <c r="Q3342" s="58">
        <f>_xlfn.MAXIFS(Survey!$G$2:$G$3647,Survey!$M$2:$M$3647,Survey!$M3342)-Survey!$G3342</f>
        <v>585.57821248562232</v>
      </c>
      <c r="R3342" s="59">
        <f>Survey!$P3342+(Survey!$Q3342*0.433)</f>
        <v>2103.5553660062747</v>
      </c>
    </row>
    <row r="3343" spans="1:18" x14ac:dyDescent="0.25">
      <c r="A3343" s="60" t="s">
        <v>17</v>
      </c>
      <c r="B3343" s="61" t="s">
        <v>23</v>
      </c>
      <c r="C3343" s="62" t="s">
        <v>19</v>
      </c>
      <c r="D3343" s="63">
        <v>251.71275006589522</v>
      </c>
      <c r="E3343" s="79">
        <v>1360529</v>
      </c>
      <c r="F3343" s="80">
        <v>1330068.3983050759</v>
      </c>
      <c r="G3343" s="66">
        <v>1472.3115329609252</v>
      </c>
      <c r="H3343" s="67">
        <v>1</v>
      </c>
      <c r="I3343" s="68" t="s">
        <v>20</v>
      </c>
      <c r="J3343" s="69">
        <v>40</v>
      </c>
      <c r="K3343" s="70">
        <v>1</v>
      </c>
      <c r="L3343" s="68">
        <v>1</v>
      </c>
      <c r="M3343" s="68">
        <f>_xlfn.XLOOKUP(Survey!$F3343,sections[Start],sections[Test Section],,-1,1)</f>
        <v>9</v>
      </c>
      <c r="N3343" s="55">
        <f>_xlfn.XLOOKUP(Survey!$K3343,pipedata[ID],pipedata[WT])</f>
        <v>0.61699999999999999</v>
      </c>
      <c r="O3343" s="56">
        <f>_xlfn.XLOOKUP(Survey!$K3343,pipedata[ID],pipedata[104%])</f>
        <v>2138.9333333333334</v>
      </c>
      <c r="P3343" s="57">
        <f t="shared" si="52"/>
        <v>1850</v>
      </c>
      <c r="Q3343" s="58">
        <f>_xlfn.MAXIFS(Survey!$G$2:$G$3647,Survey!$M$2:$M$3647,Survey!$M3343)-Survey!$G3343</f>
        <v>594.02861334449631</v>
      </c>
      <c r="R3343" s="59">
        <f>Survey!$P3343+(Survey!$Q3343*0.433)</f>
        <v>2107.2143895781669</v>
      </c>
    </row>
    <row r="3344" spans="1:18" x14ac:dyDescent="0.25">
      <c r="A3344" s="71" t="s">
        <v>17</v>
      </c>
      <c r="B3344" s="72" t="s">
        <v>23</v>
      </c>
      <c r="C3344" s="73" t="s">
        <v>19</v>
      </c>
      <c r="D3344" s="74">
        <v>251.71852161285216</v>
      </c>
      <c r="E3344" s="81">
        <v>1360569</v>
      </c>
      <c r="F3344" s="82">
        <v>1330107.4745762623</v>
      </c>
      <c r="G3344" s="75">
        <v>1463.7502279748483</v>
      </c>
      <c r="H3344" s="76">
        <v>1</v>
      </c>
      <c r="I3344" s="54" t="s">
        <v>20</v>
      </c>
      <c r="J3344" s="77">
        <v>40</v>
      </c>
      <c r="K3344" s="78">
        <v>1</v>
      </c>
      <c r="L3344" s="54">
        <v>1</v>
      </c>
      <c r="M3344" s="54">
        <f>_xlfn.XLOOKUP(Survey!$F3344,sections[Start],sections[Test Section],,-1,1)</f>
        <v>9</v>
      </c>
      <c r="N3344" s="55">
        <f>_xlfn.XLOOKUP(Survey!$K3344,pipedata[ID],pipedata[WT])</f>
        <v>0.61699999999999999</v>
      </c>
      <c r="O3344" s="56">
        <f>_xlfn.XLOOKUP(Survey!$K3344,pipedata[ID],pipedata[104%])</f>
        <v>2138.9333333333334</v>
      </c>
      <c r="P3344" s="57">
        <f t="shared" si="52"/>
        <v>1850</v>
      </c>
      <c r="Q3344" s="58">
        <f>_xlfn.MAXIFS(Survey!$G$2:$G$3647,Survey!$M$2:$M$3647,Survey!$M3344)-Survey!$G3344</f>
        <v>602.58991833057325</v>
      </c>
      <c r="R3344" s="59">
        <f>Survey!$P3344+(Survey!$Q3344*0.433)</f>
        <v>2110.9214346371382</v>
      </c>
    </row>
    <row r="3345" spans="1:18" x14ac:dyDescent="0.25">
      <c r="A3345" s="60" t="s">
        <v>17</v>
      </c>
      <c r="B3345" s="61" t="s">
        <v>23</v>
      </c>
      <c r="C3345" s="62" t="s">
        <v>19</v>
      </c>
      <c r="D3345" s="63">
        <v>251.72621700879455</v>
      </c>
      <c r="E3345" s="79">
        <v>1360609</v>
      </c>
      <c r="F3345" s="80">
        <v>1330146.5508474486</v>
      </c>
      <c r="G3345" s="66">
        <v>1455.2953727754966</v>
      </c>
      <c r="H3345" s="67">
        <v>1</v>
      </c>
      <c r="I3345" s="68" t="s">
        <v>20</v>
      </c>
      <c r="J3345" s="69">
        <v>40</v>
      </c>
      <c r="K3345" s="70">
        <v>1</v>
      </c>
      <c r="L3345" s="68">
        <v>1</v>
      </c>
      <c r="M3345" s="68">
        <f>_xlfn.XLOOKUP(Survey!$F3345,sections[Start],sections[Test Section],,-1,1)</f>
        <v>9</v>
      </c>
      <c r="N3345" s="55">
        <f>_xlfn.XLOOKUP(Survey!$K3345,pipedata[ID],pipedata[WT])</f>
        <v>0.61699999999999999</v>
      </c>
      <c r="O3345" s="56">
        <f>_xlfn.XLOOKUP(Survey!$K3345,pipedata[ID],pipedata[104%])</f>
        <v>2138.9333333333334</v>
      </c>
      <c r="P3345" s="57">
        <f t="shared" si="52"/>
        <v>1850</v>
      </c>
      <c r="Q3345" s="58">
        <f>_xlfn.MAXIFS(Survey!$G$2:$G$3647,Survey!$M$2:$M$3647,Survey!$M3345)-Survey!$G3345</f>
        <v>611.0447735299249</v>
      </c>
      <c r="R3345" s="59">
        <f>Survey!$P3345+(Survey!$Q3345*0.433)</f>
        <v>2114.5823869384576</v>
      </c>
    </row>
    <row r="3346" spans="1:18" x14ac:dyDescent="0.25">
      <c r="A3346" s="71" t="s">
        <v>17</v>
      </c>
      <c r="B3346" s="72" t="s">
        <v>23</v>
      </c>
      <c r="C3346" s="73" t="s">
        <v>19</v>
      </c>
      <c r="D3346" s="74">
        <v>251.73356011873639</v>
      </c>
      <c r="E3346" s="81">
        <v>1360649</v>
      </c>
      <c r="F3346" s="82">
        <v>1330185.627118635</v>
      </c>
      <c r="G3346" s="75">
        <v>1447.9130417277615</v>
      </c>
      <c r="H3346" s="76">
        <v>1</v>
      </c>
      <c r="I3346" s="54" t="s">
        <v>20</v>
      </c>
      <c r="J3346" s="77">
        <v>40</v>
      </c>
      <c r="K3346" s="78">
        <v>1</v>
      </c>
      <c r="L3346" s="54">
        <v>1</v>
      </c>
      <c r="M3346" s="54">
        <f>_xlfn.XLOOKUP(Survey!$F3346,sections[Start],sections[Test Section],,-1,1)</f>
        <v>9</v>
      </c>
      <c r="N3346" s="55">
        <f>_xlfn.XLOOKUP(Survey!$K3346,pipedata[ID],pipedata[WT])</f>
        <v>0.61699999999999999</v>
      </c>
      <c r="O3346" s="56">
        <f>_xlfn.XLOOKUP(Survey!$K3346,pipedata[ID],pipedata[104%])</f>
        <v>2138.9333333333334</v>
      </c>
      <c r="P3346" s="57">
        <f t="shared" si="52"/>
        <v>1850</v>
      </c>
      <c r="Q3346" s="58">
        <f>_xlfn.MAXIFS(Survey!$G$2:$G$3647,Survey!$M$2:$M$3647,Survey!$M3346)-Survey!$G3346</f>
        <v>618.42710457765997</v>
      </c>
      <c r="R3346" s="59">
        <f>Survey!$P3346+(Survey!$Q3346*0.433)</f>
        <v>2117.7789362821268</v>
      </c>
    </row>
    <row r="3347" spans="1:18" x14ac:dyDescent="0.25">
      <c r="A3347" s="60" t="s">
        <v>17</v>
      </c>
      <c r="B3347" s="61" t="s">
        <v>23</v>
      </c>
      <c r="C3347" s="62" t="s">
        <v>19</v>
      </c>
      <c r="D3347" s="63">
        <v>251.74196369262529</v>
      </c>
      <c r="E3347" s="79">
        <v>1360689</v>
      </c>
      <c r="F3347" s="80">
        <v>1330224.7033898213</v>
      </c>
      <c r="G3347" s="66">
        <v>1441.4941099427574</v>
      </c>
      <c r="H3347" s="67">
        <v>1</v>
      </c>
      <c r="I3347" s="68" t="s">
        <v>20</v>
      </c>
      <c r="J3347" s="69">
        <v>40</v>
      </c>
      <c r="K3347" s="70">
        <v>1</v>
      </c>
      <c r="L3347" s="68">
        <v>1</v>
      </c>
      <c r="M3347" s="68">
        <f>_xlfn.XLOOKUP(Survey!$F3347,sections[Start],sections[Test Section],,-1,1)</f>
        <v>9</v>
      </c>
      <c r="N3347" s="55">
        <f>_xlfn.XLOOKUP(Survey!$K3347,pipedata[ID],pipedata[WT])</f>
        <v>0.61699999999999999</v>
      </c>
      <c r="O3347" s="56">
        <f>_xlfn.XLOOKUP(Survey!$K3347,pipedata[ID],pipedata[104%])</f>
        <v>2138.9333333333334</v>
      </c>
      <c r="P3347" s="57">
        <f t="shared" si="52"/>
        <v>1850</v>
      </c>
      <c r="Q3347" s="58">
        <f>_xlfn.MAXIFS(Survey!$G$2:$G$3647,Survey!$M$2:$M$3647,Survey!$M3347)-Survey!$G3347</f>
        <v>624.84603636266411</v>
      </c>
      <c r="R3347" s="59">
        <f>Survey!$P3347+(Survey!$Q3347*0.433)</f>
        <v>2120.5583337450335</v>
      </c>
    </row>
    <row r="3348" spans="1:18" x14ac:dyDescent="0.25">
      <c r="A3348" s="71" t="s">
        <v>17</v>
      </c>
      <c r="B3348" s="72" t="s">
        <v>23</v>
      </c>
      <c r="C3348" s="73" t="s">
        <v>19</v>
      </c>
      <c r="D3348" s="74">
        <v>251.7488258606686</v>
      </c>
      <c r="E3348" s="81">
        <v>1360729</v>
      </c>
      <c r="F3348" s="82">
        <v>1330263.7796610077</v>
      </c>
      <c r="G3348" s="75">
        <v>1436.4400803097899</v>
      </c>
      <c r="H3348" s="76">
        <v>1</v>
      </c>
      <c r="I3348" s="54" t="s">
        <v>20</v>
      </c>
      <c r="J3348" s="77">
        <v>40</v>
      </c>
      <c r="K3348" s="78">
        <v>1</v>
      </c>
      <c r="L3348" s="54">
        <v>1</v>
      </c>
      <c r="M3348" s="54">
        <f>_xlfn.XLOOKUP(Survey!$F3348,sections[Start],sections[Test Section],,-1,1)</f>
        <v>9</v>
      </c>
      <c r="N3348" s="55">
        <f>_xlfn.XLOOKUP(Survey!$K3348,pipedata[ID],pipedata[WT])</f>
        <v>0.61699999999999999</v>
      </c>
      <c r="O3348" s="56">
        <f>_xlfn.XLOOKUP(Survey!$K3348,pipedata[ID],pipedata[104%])</f>
        <v>2138.9333333333334</v>
      </c>
      <c r="P3348" s="57">
        <f t="shared" si="52"/>
        <v>1850</v>
      </c>
      <c r="Q3348" s="58">
        <f>_xlfn.MAXIFS(Survey!$G$2:$G$3647,Survey!$M$2:$M$3647,Survey!$M3348)-Survey!$G3348</f>
        <v>629.90006599563162</v>
      </c>
      <c r="R3348" s="59">
        <f>Survey!$P3348+(Survey!$Q3348*0.433)</f>
        <v>2122.7467285761086</v>
      </c>
    </row>
    <row r="3349" spans="1:18" x14ac:dyDescent="0.25">
      <c r="A3349" s="60" t="s">
        <v>17</v>
      </c>
      <c r="B3349" s="61" t="s">
        <v>23</v>
      </c>
      <c r="C3349" s="62" t="s">
        <v>19</v>
      </c>
      <c r="D3349" s="63">
        <v>251.75725630255246</v>
      </c>
      <c r="E3349" s="79">
        <v>1360769</v>
      </c>
      <c r="F3349" s="80">
        <v>1330302.855932194</v>
      </c>
      <c r="G3349" s="66">
        <v>1431.0290340917286</v>
      </c>
      <c r="H3349" s="67">
        <v>1</v>
      </c>
      <c r="I3349" s="68" t="s">
        <v>20</v>
      </c>
      <c r="J3349" s="69">
        <v>40</v>
      </c>
      <c r="K3349" s="70">
        <v>1</v>
      </c>
      <c r="L3349" s="68">
        <v>1</v>
      </c>
      <c r="M3349" s="68">
        <f>_xlfn.XLOOKUP(Survey!$F3349,sections[Start],sections[Test Section],,-1,1)</f>
        <v>9</v>
      </c>
      <c r="N3349" s="55">
        <f>_xlfn.XLOOKUP(Survey!$K3349,pipedata[ID],pipedata[WT])</f>
        <v>0.61699999999999999</v>
      </c>
      <c r="O3349" s="56">
        <f>_xlfn.XLOOKUP(Survey!$K3349,pipedata[ID],pipedata[104%])</f>
        <v>2138.9333333333334</v>
      </c>
      <c r="P3349" s="57">
        <f t="shared" si="52"/>
        <v>1850</v>
      </c>
      <c r="Q3349" s="58">
        <f>_xlfn.MAXIFS(Survey!$G$2:$G$3647,Survey!$M$2:$M$3647,Survey!$M3349)-Survey!$G3349</f>
        <v>635.31111221369292</v>
      </c>
      <c r="R3349" s="59">
        <f>Survey!$P3349+(Survey!$Q3349*0.433)</f>
        <v>2125.0897115885291</v>
      </c>
    </row>
    <row r="3350" spans="1:18" x14ac:dyDescent="0.25">
      <c r="A3350" s="71" t="s">
        <v>17</v>
      </c>
      <c r="B3350" s="72" t="s">
        <v>23</v>
      </c>
      <c r="C3350" s="73" t="s">
        <v>19</v>
      </c>
      <c r="D3350" s="74">
        <v>251.76409160260081</v>
      </c>
      <c r="E3350" s="81">
        <v>1360809</v>
      </c>
      <c r="F3350" s="82">
        <v>1330341.9322033804</v>
      </c>
      <c r="G3350" s="75">
        <v>1425.4611871736083</v>
      </c>
      <c r="H3350" s="76">
        <v>1</v>
      </c>
      <c r="I3350" s="54" t="s">
        <v>20</v>
      </c>
      <c r="J3350" s="77">
        <v>40</v>
      </c>
      <c r="K3350" s="78">
        <v>1</v>
      </c>
      <c r="L3350" s="54">
        <v>1</v>
      </c>
      <c r="M3350" s="54">
        <f>_xlfn.XLOOKUP(Survey!$F3350,sections[Start],sections[Test Section],,-1,1)</f>
        <v>9</v>
      </c>
      <c r="N3350" s="55">
        <f>_xlfn.XLOOKUP(Survey!$K3350,pipedata[ID],pipedata[WT])</f>
        <v>0.61699999999999999</v>
      </c>
      <c r="O3350" s="56">
        <f>_xlfn.XLOOKUP(Survey!$K3350,pipedata[ID],pipedata[104%])</f>
        <v>2138.9333333333334</v>
      </c>
      <c r="P3350" s="57">
        <f t="shared" si="52"/>
        <v>1850</v>
      </c>
      <c r="Q3350" s="58">
        <f>_xlfn.MAXIFS(Survey!$G$2:$G$3647,Survey!$M$2:$M$3647,Survey!$M3350)-Survey!$G3350</f>
        <v>640.87895913181319</v>
      </c>
      <c r="R3350" s="59">
        <f>Survey!$P3350+(Survey!$Q3350*0.433)</f>
        <v>2127.5005893040752</v>
      </c>
    </row>
    <row r="3351" spans="1:18" x14ac:dyDescent="0.25">
      <c r="A3351" s="60" t="s">
        <v>17</v>
      </c>
      <c r="B3351" s="61" t="s">
        <v>23</v>
      </c>
      <c r="C3351" s="62" t="s">
        <v>19</v>
      </c>
      <c r="D3351" s="63">
        <v>251.77254891247938</v>
      </c>
      <c r="E3351" s="79">
        <v>1360849</v>
      </c>
      <c r="F3351" s="80">
        <v>1330381.0084745667</v>
      </c>
      <c r="G3351" s="66">
        <v>1419.670475168379</v>
      </c>
      <c r="H3351" s="67">
        <v>1</v>
      </c>
      <c r="I3351" s="68" t="s">
        <v>20</v>
      </c>
      <c r="J3351" s="69">
        <v>40</v>
      </c>
      <c r="K3351" s="70">
        <v>1</v>
      </c>
      <c r="L3351" s="68">
        <v>1</v>
      </c>
      <c r="M3351" s="68">
        <f>_xlfn.XLOOKUP(Survey!$F3351,sections[Start],sections[Test Section],,-1,1)</f>
        <v>9</v>
      </c>
      <c r="N3351" s="55">
        <f>_xlfn.XLOOKUP(Survey!$K3351,pipedata[ID],pipedata[WT])</f>
        <v>0.61699999999999999</v>
      </c>
      <c r="O3351" s="56">
        <f>_xlfn.XLOOKUP(Survey!$K3351,pipedata[ID],pipedata[104%])</f>
        <v>2138.9333333333334</v>
      </c>
      <c r="P3351" s="57">
        <f t="shared" si="52"/>
        <v>1850</v>
      </c>
      <c r="Q3351" s="58">
        <f>_xlfn.MAXIFS(Survey!$G$2:$G$3647,Survey!$M$2:$M$3647,Survey!$M3351)-Survey!$G3351</f>
        <v>646.66967113704254</v>
      </c>
      <c r="R3351" s="59">
        <f>Survey!$P3351+(Survey!$Q3351*0.433)</f>
        <v>2130.0079676023392</v>
      </c>
    </row>
    <row r="3352" spans="1:18" x14ac:dyDescent="0.25">
      <c r="A3352" s="71" t="s">
        <v>17</v>
      </c>
      <c r="B3352" s="72" t="s">
        <v>23</v>
      </c>
      <c r="C3352" s="73" t="s">
        <v>19</v>
      </c>
      <c r="D3352" s="74">
        <v>251.77935734453308</v>
      </c>
      <c r="E3352" s="81">
        <v>1360889</v>
      </c>
      <c r="F3352" s="82">
        <v>1330420.0847457531</v>
      </c>
      <c r="G3352" s="75">
        <v>1413.7219993441777</v>
      </c>
      <c r="H3352" s="76">
        <v>1</v>
      </c>
      <c r="I3352" s="54" t="s">
        <v>20</v>
      </c>
      <c r="J3352" s="77">
        <v>40</v>
      </c>
      <c r="K3352" s="78">
        <v>1</v>
      </c>
      <c r="L3352" s="54">
        <v>1</v>
      </c>
      <c r="M3352" s="54">
        <f>_xlfn.XLOOKUP(Survey!$F3352,sections[Start],sections[Test Section],,-1,1)</f>
        <v>9</v>
      </c>
      <c r="N3352" s="55">
        <f>_xlfn.XLOOKUP(Survey!$K3352,pipedata[ID],pipedata[WT])</f>
        <v>0.61699999999999999</v>
      </c>
      <c r="O3352" s="56">
        <f>_xlfn.XLOOKUP(Survey!$K3352,pipedata[ID],pipedata[104%])</f>
        <v>2138.9333333333334</v>
      </c>
      <c r="P3352" s="57">
        <f t="shared" si="52"/>
        <v>1850</v>
      </c>
      <c r="Q3352" s="58">
        <f>_xlfn.MAXIFS(Survey!$G$2:$G$3647,Survey!$M$2:$M$3647,Survey!$M3352)-Survey!$G3352</f>
        <v>652.61814696124384</v>
      </c>
      <c r="R3352" s="59">
        <f>Survey!$P3352+(Survey!$Q3352*0.433)</f>
        <v>2132.5836576342185</v>
      </c>
    </row>
    <row r="3353" spans="1:18" x14ac:dyDescent="0.25">
      <c r="A3353" s="60" t="s">
        <v>17</v>
      </c>
      <c r="B3353" s="61" t="s">
        <v>23</v>
      </c>
      <c r="C3353" s="62" t="s">
        <v>19</v>
      </c>
      <c r="D3353" s="63">
        <v>251.78699021549917</v>
      </c>
      <c r="E3353" s="79">
        <v>1360929</v>
      </c>
      <c r="F3353" s="80">
        <v>1330459.1610169394</v>
      </c>
      <c r="G3353" s="66">
        <v>1408.6304004798437</v>
      </c>
      <c r="H3353" s="67">
        <v>1</v>
      </c>
      <c r="I3353" s="68" t="s">
        <v>20</v>
      </c>
      <c r="J3353" s="69">
        <v>40</v>
      </c>
      <c r="K3353" s="70">
        <v>1</v>
      </c>
      <c r="L3353" s="68">
        <v>1</v>
      </c>
      <c r="M3353" s="68">
        <f>_xlfn.XLOOKUP(Survey!$F3353,sections[Start],sections[Test Section],,-1,1)</f>
        <v>9</v>
      </c>
      <c r="N3353" s="55">
        <f>_xlfn.XLOOKUP(Survey!$K3353,pipedata[ID],pipedata[WT])</f>
        <v>0.61699999999999999</v>
      </c>
      <c r="O3353" s="56">
        <f>_xlfn.XLOOKUP(Survey!$K3353,pipedata[ID],pipedata[104%])</f>
        <v>2138.9333333333334</v>
      </c>
      <c r="P3353" s="57">
        <f t="shared" si="52"/>
        <v>1850</v>
      </c>
      <c r="Q3353" s="58">
        <f>_xlfn.MAXIFS(Survey!$G$2:$G$3647,Survey!$M$2:$M$3647,Survey!$M3353)-Survey!$G3353</f>
        <v>657.70974582557778</v>
      </c>
      <c r="R3353" s="59">
        <f>Survey!$P3353+(Survey!$Q3353*0.433)</f>
        <v>2134.788319942475</v>
      </c>
    </row>
    <row r="3354" spans="1:18" x14ac:dyDescent="0.25">
      <c r="A3354" s="71" t="s">
        <v>17</v>
      </c>
      <c r="B3354" s="72" t="s">
        <v>23</v>
      </c>
      <c r="C3354" s="73" t="s">
        <v>19</v>
      </c>
      <c r="D3354" s="74">
        <v>251.79476139707467</v>
      </c>
      <c r="E3354" s="81">
        <v>1360969</v>
      </c>
      <c r="F3354" s="82">
        <v>1330498.2372881258</v>
      </c>
      <c r="G3354" s="75">
        <v>1404.6510156325292</v>
      </c>
      <c r="H3354" s="76">
        <v>1</v>
      </c>
      <c r="I3354" s="54" t="s">
        <v>20</v>
      </c>
      <c r="J3354" s="77">
        <v>40</v>
      </c>
      <c r="K3354" s="78">
        <v>1</v>
      </c>
      <c r="L3354" s="54">
        <v>1</v>
      </c>
      <c r="M3354" s="54">
        <f>_xlfn.XLOOKUP(Survey!$F3354,sections[Start],sections[Test Section],,-1,1)</f>
        <v>9</v>
      </c>
      <c r="N3354" s="55">
        <f>_xlfn.XLOOKUP(Survey!$K3354,pipedata[ID],pipedata[WT])</f>
        <v>0.61699999999999999</v>
      </c>
      <c r="O3354" s="56">
        <f>_xlfn.XLOOKUP(Survey!$K3354,pipedata[ID],pipedata[104%])</f>
        <v>2138.9333333333334</v>
      </c>
      <c r="P3354" s="57">
        <f t="shared" si="52"/>
        <v>1850</v>
      </c>
      <c r="Q3354" s="58">
        <f>_xlfn.MAXIFS(Survey!$G$2:$G$3647,Survey!$M$2:$M$3647,Survey!$M3354)-Survey!$G3354</f>
        <v>661.68913067289236</v>
      </c>
      <c r="R3354" s="59">
        <f>Survey!$P3354+(Survey!$Q3354*0.433)</f>
        <v>2136.5113935813624</v>
      </c>
    </row>
    <row r="3355" spans="1:18" x14ac:dyDescent="0.25">
      <c r="A3355" s="60" t="s">
        <v>17</v>
      </c>
      <c r="B3355" s="61" t="s">
        <v>23</v>
      </c>
      <c r="C3355" s="62" t="s">
        <v>19</v>
      </c>
      <c r="D3355" s="63">
        <v>251.80225595743144</v>
      </c>
      <c r="E3355" s="79">
        <v>1361009</v>
      </c>
      <c r="F3355" s="80">
        <v>1330537.3135593121</v>
      </c>
      <c r="G3355" s="66">
        <v>1399.4107504339208</v>
      </c>
      <c r="H3355" s="67">
        <v>1</v>
      </c>
      <c r="I3355" s="68" t="s">
        <v>20</v>
      </c>
      <c r="J3355" s="69">
        <v>40</v>
      </c>
      <c r="K3355" s="70">
        <v>1</v>
      </c>
      <c r="L3355" s="68">
        <v>1</v>
      </c>
      <c r="M3355" s="68">
        <f>_xlfn.XLOOKUP(Survey!$F3355,sections[Start],sections[Test Section],,-1,1)</f>
        <v>9</v>
      </c>
      <c r="N3355" s="55">
        <f>_xlfn.XLOOKUP(Survey!$K3355,pipedata[ID],pipedata[WT])</f>
        <v>0.61699999999999999</v>
      </c>
      <c r="O3355" s="56">
        <f>_xlfn.XLOOKUP(Survey!$K3355,pipedata[ID],pipedata[104%])</f>
        <v>2138.9333333333334</v>
      </c>
      <c r="P3355" s="57">
        <f t="shared" si="52"/>
        <v>1850</v>
      </c>
      <c r="Q3355" s="58">
        <f>_xlfn.MAXIFS(Survey!$G$2:$G$3647,Survey!$M$2:$M$3647,Survey!$M3355)-Survey!$G3355</f>
        <v>666.92939587150067</v>
      </c>
      <c r="R3355" s="59">
        <f>Survey!$P3355+(Survey!$Q3355*0.433)</f>
        <v>2138.7804284123599</v>
      </c>
    </row>
    <row r="3356" spans="1:18" x14ac:dyDescent="0.25">
      <c r="A3356" s="71" t="s">
        <v>17</v>
      </c>
      <c r="B3356" s="72" t="s">
        <v>23</v>
      </c>
      <c r="C3356" s="73" t="s">
        <v>19</v>
      </c>
      <c r="D3356" s="74">
        <v>251.80993084785626</v>
      </c>
      <c r="E3356" s="81">
        <v>1361049</v>
      </c>
      <c r="F3356" s="82">
        <v>1330576.3898304985</v>
      </c>
      <c r="G3356" s="75">
        <v>1394.8575629191625</v>
      </c>
      <c r="H3356" s="76">
        <v>1</v>
      </c>
      <c r="I3356" s="54" t="s">
        <v>20</v>
      </c>
      <c r="J3356" s="77">
        <v>40</v>
      </c>
      <c r="K3356" s="78">
        <v>1</v>
      </c>
      <c r="L3356" s="54">
        <v>1</v>
      </c>
      <c r="M3356" s="54">
        <f>_xlfn.XLOOKUP(Survey!$F3356,sections[Start],sections[Test Section],,-1,1)</f>
        <v>9</v>
      </c>
      <c r="N3356" s="55">
        <f>_xlfn.XLOOKUP(Survey!$K3356,pipedata[ID],pipedata[WT])</f>
        <v>0.61699999999999999</v>
      </c>
      <c r="O3356" s="56">
        <f>_xlfn.XLOOKUP(Survey!$K3356,pipedata[ID],pipedata[104%])</f>
        <v>2138.9333333333334</v>
      </c>
      <c r="P3356" s="57">
        <f t="shared" si="52"/>
        <v>1850</v>
      </c>
      <c r="Q3356" s="58">
        <f>_xlfn.MAXIFS(Survey!$G$2:$G$3647,Survey!$M$2:$M$3647,Survey!$M3356)-Survey!$G3356</f>
        <v>671.48258338625897</v>
      </c>
      <c r="R3356" s="59">
        <f>Survey!$P3356+(Survey!$Q3356*0.433)</f>
        <v>2140.7519586062499</v>
      </c>
    </row>
    <row r="3357" spans="1:18" x14ac:dyDescent="0.25">
      <c r="A3357" s="60" t="s">
        <v>17</v>
      </c>
      <c r="B3357" s="61" t="s">
        <v>23</v>
      </c>
      <c r="C3357" s="62" t="s">
        <v>19</v>
      </c>
      <c r="D3357" s="63">
        <v>251.81752169936362</v>
      </c>
      <c r="E3357" s="79">
        <v>1361089</v>
      </c>
      <c r="F3357" s="80">
        <v>1330615.4661016848</v>
      </c>
      <c r="G3357" s="66">
        <v>1389.8137522092695</v>
      </c>
      <c r="H3357" s="67">
        <v>1</v>
      </c>
      <c r="I3357" s="68" t="s">
        <v>20</v>
      </c>
      <c r="J3357" s="69">
        <v>40</v>
      </c>
      <c r="K3357" s="70">
        <v>1</v>
      </c>
      <c r="L3357" s="68">
        <v>1</v>
      </c>
      <c r="M3357" s="68">
        <f>_xlfn.XLOOKUP(Survey!$F3357,sections[Start],sections[Test Section],,-1,1)</f>
        <v>9</v>
      </c>
      <c r="N3357" s="55">
        <f>_xlfn.XLOOKUP(Survey!$K3357,pipedata[ID],pipedata[WT])</f>
        <v>0.61699999999999999</v>
      </c>
      <c r="O3357" s="56">
        <f>_xlfn.XLOOKUP(Survey!$K3357,pipedata[ID],pipedata[104%])</f>
        <v>2138.9333333333334</v>
      </c>
      <c r="P3357" s="57">
        <f t="shared" si="52"/>
        <v>1850</v>
      </c>
      <c r="Q3357" s="58">
        <f>_xlfn.MAXIFS(Survey!$G$2:$G$3647,Survey!$M$2:$M$3647,Survey!$M3357)-Survey!$G3357</f>
        <v>676.52639409615199</v>
      </c>
      <c r="R3357" s="59">
        <f>Survey!$P3357+(Survey!$Q3357*0.433)</f>
        <v>2142.9359286436338</v>
      </c>
    </row>
    <row r="3358" spans="1:18" x14ac:dyDescent="0.25">
      <c r="A3358" s="71" t="s">
        <v>17</v>
      </c>
      <c r="B3358" s="72" t="s">
        <v>23</v>
      </c>
      <c r="C3358" s="73" t="s">
        <v>19</v>
      </c>
      <c r="D3358" s="74">
        <v>251.82478381216109</v>
      </c>
      <c r="E3358" s="81">
        <v>1361129</v>
      </c>
      <c r="F3358" s="82">
        <v>1330654.5423728712</v>
      </c>
      <c r="G3358" s="75">
        <v>1386.4742141302188</v>
      </c>
      <c r="H3358" s="76">
        <v>1</v>
      </c>
      <c r="I3358" s="54" t="s">
        <v>20</v>
      </c>
      <c r="J3358" s="77">
        <v>40</v>
      </c>
      <c r="K3358" s="78">
        <v>1</v>
      </c>
      <c r="L3358" s="54">
        <v>1</v>
      </c>
      <c r="M3358" s="54">
        <f>_xlfn.XLOOKUP(Survey!$F3358,sections[Start],sections[Test Section],,-1,1)</f>
        <v>9</v>
      </c>
      <c r="N3358" s="55">
        <f>_xlfn.XLOOKUP(Survey!$K3358,pipedata[ID],pipedata[WT])</f>
        <v>0.61699999999999999</v>
      </c>
      <c r="O3358" s="56">
        <f>_xlfn.XLOOKUP(Survey!$K3358,pipedata[ID],pipedata[104%])</f>
        <v>2138.9333333333334</v>
      </c>
      <c r="P3358" s="57">
        <f t="shared" si="52"/>
        <v>1850</v>
      </c>
      <c r="Q3358" s="58">
        <f>_xlfn.MAXIFS(Survey!$G$2:$G$3647,Survey!$M$2:$M$3647,Survey!$M3358)-Survey!$G3358</f>
        <v>679.86593217520272</v>
      </c>
      <c r="R3358" s="59">
        <f>Survey!$P3358+(Survey!$Q3358*0.433)</f>
        <v>2144.3819486318625</v>
      </c>
    </row>
    <row r="3359" spans="1:18" x14ac:dyDescent="0.25">
      <c r="A3359" s="60" t="s">
        <v>17</v>
      </c>
      <c r="B3359" s="61" t="s">
        <v>23</v>
      </c>
      <c r="C3359" s="62" t="s">
        <v>19</v>
      </c>
      <c r="D3359" s="63">
        <v>251.83243252197767</v>
      </c>
      <c r="E3359" s="79">
        <v>1361169</v>
      </c>
      <c r="F3359" s="80">
        <v>1330693.6186440575</v>
      </c>
      <c r="G3359" s="66">
        <v>1382.3543050654644</v>
      </c>
      <c r="H3359" s="67">
        <v>1</v>
      </c>
      <c r="I3359" s="68" t="s">
        <v>20</v>
      </c>
      <c r="J3359" s="69">
        <v>40</v>
      </c>
      <c r="K3359" s="70">
        <v>1</v>
      </c>
      <c r="L3359" s="68">
        <v>1</v>
      </c>
      <c r="M3359" s="68">
        <f>_xlfn.XLOOKUP(Survey!$F3359,sections[Start],sections[Test Section],,-1,1)</f>
        <v>9</v>
      </c>
      <c r="N3359" s="55">
        <f>_xlfn.XLOOKUP(Survey!$K3359,pipedata[ID],pipedata[WT])</f>
        <v>0.61699999999999999</v>
      </c>
      <c r="O3359" s="56">
        <f>_xlfn.XLOOKUP(Survey!$K3359,pipedata[ID],pipedata[104%])</f>
        <v>2138.9333333333334</v>
      </c>
      <c r="P3359" s="57">
        <f t="shared" si="52"/>
        <v>1850</v>
      </c>
      <c r="Q3359" s="58">
        <f>_xlfn.MAXIFS(Survey!$G$2:$G$3647,Survey!$M$2:$M$3647,Survey!$M3359)-Survey!$G3359</f>
        <v>683.98584123995715</v>
      </c>
      <c r="R3359" s="59">
        <f>Survey!$P3359+(Survey!$Q3359*0.433)</f>
        <v>2146.1658692569013</v>
      </c>
    </row>
    <row r="3360" spans="1:18" x14ac:dyDescent="0.25">
      <c r="A3360" s="71" t="s">
        <v>17</v>
      </c>
      <c r="B3360" s="72" t="s">
        <v>23</v>
      </c>
      <c r="C3360" s="73" t="s">
        <v>19</v>
      </c>
      <c r="D3360" s="74">
        <v>251.84005006788806</v>
      </c>
      <c r="E3360" s="81">
        <v>1361209</v>
      </c>
      <c r="F3360" s="82">
        <v>1330732.6949152439</v>
      </c>
      <c r="G3360" s="75">
        <v>1378.3626806134992</v>
      </c>
      <c r="H3360" s="76">
        <v>1</v>
      </c>
      <c r="I3360" s="54" t="s">
        <v>20</v>
      </c>
      <c r="J3360" s="77">
        <v>40</v>
      </c>
      <c r="K3360" s="78">
        <v>1</v>
      </c>
      <c r="L3360" s="54">
        <v>1</v>
      </c>
      <c r="M3360" s="54">
        <f>_xlfn.XLOOKUP(Survey!$F3360,sections[Start],sections[Test Section],,-1,1)</f>
        <v>9</v>
      </c>
      <c r="N3360" s="55">
        <f>_xlfn.XLOOKUP(Survey!$K3360,pipedata[ID],pipedata[WT])</f>
        <v>0.61699999999999999</v>
      </c>
      <c r="O3360" s="56">
        <f>_xlfn.XLOOKUP(Survey!$K3360,pipedata[ID],pipedata[104%])</f>
        <v>2138.9333333333334</v>
      </c>
      <c r="P3360" s="57">
        <f t="shared" si="52"/>
        <v>1850</v>
      </c>
      <c r="Q3360" s="58">
        <f>_xlfn.MAXIFS(Survey!$G$2:$G$3647,Survey!$M$2:$M$3647,Survey!$M3360)-Survey!$G3360</f>
        <v>687.97746569192236</v>
      </c>
      <c r="R3360" s="59">
        <f>Survey!$P3360+(Survey!$Q3360*0.433)</f>
        <v>2147.8942426446024</v>
      </c>
    </row>
    <row r="3361" spans="1:18" x14ac:dyDescent="0.25">
      <c r="A3361" s="60" t="s">
        <v>17</v>
      </c>
      <c r="B3361" s="61" t="s">
        <v>23</v>
      </c>
      <c r="C3361" s="62" t="s">
        <v>19</v>
      </c>
      <c r="D3361" s="63">
        <v>251.84778277878593</v>
      </c>
      <c r="E3361" s="79">
        <v>1361249</v>
      </c>
      <c r="F3361" s="80">
        <v>1330771.7711864302</v>
      </c>
      <c r="G3361" s="66">
        <v>1376.3789563069172</v>
      </c>
      <c r="H3361" s="67">
        <v>1</v>
      </c>
      <c r="I3361" s="68" t="s">
        <v>20</v>
      </c>
      <c r="J3361" s="69">
        <v>40</v>
      </c>
      <c r="K3361" s="70">
        <v>1</v>
      </c>
      <c r="L3361" s="68">
        <v>1</v>
      </c>
      <c r="M3361" s="68">
        <f>_xlfn.XLOOKUP(Survey!$F3361,sections[Start],sections[Test Section],,-1,1)</f>
        <v>9</v>
      </c>
      <c r="N3361" s="55">
        <f>_xlfn.XLOOKUP(Survey!$K3361,pipedata[ID],pipedata[WT])</f>
        <v>0.61699999999999999</v>
      </c>
      <c r="O3361" s="56">
        <f>_xlfn.XLOOKUP(Survey!$K3361,pipedata[ID],pipedata[104%])</f>
        <v>2138.9333333333334</v>
      </c>
      <c r="P3361" s="57">
        <f t="shared" si="52"/>
        <v>1850</v>
      </c>
      <c r="Q3361" s="58">
        <f>_xlfn.MAXIFS(Survey!$G$2:$G$3647,Survey!$M$2:$M$3647,Survey!$M3361)-Survey!$G3361</f>
        <v>689.96118999850432</v>
      </c>
      <c r="R3361" s="59">
        <f>Survey!$P3361+(Survey!$Q3361*0.433)</f>
        <v>2148.7531952693525</v>
      </c>
    </row>
    <row r="3362" spans="1:18" x14ac:dyDescent="0.25">
      <c r="A3362" s="71" t="s">
        <v>17</v>
      </c>
      <c r="B3362" s="72" t="s">
        <v>23</v>
      </c>
      <c r="C3362" s="73" t="s">
        <v>19</v>
      </c>
      <c r="D3362" s="74">
        <v>251.85531632361494</v>
      </c>
      <c r="E3362" s="81">
        <v>1361289</v>
      </c>
      <c r="F3362" s="82">
        <v>1330810.8474576166</v>
      </c>
      <c r="G3362" s="75">
        <v>1376.253489924871</v>
      </c>
      <c r="H3362" s="76">
        <v>1</v>
      </c>
      <c r="I3362" s="54" t="s">
        <v>20</v>
      </c>
      <c r="J3362" s="77">
        <v>34</v>
      </c>
      <c r="K3362" s="78">
        <v>1</v>
      </c>
      <c r="L3362" s="54">
        <v>1</v>
      </c>
      <c r="M3362" s="54">
        <f>_xlfn.XLOOKUP(Survey!$F3362,sections[Start],sections[Test Section],,-1,1)</f>
        <v>9</v>
      </c>
      <c r="N3362" s="55">
        <f>_xlfn.XLOOKUP(Survey!$K3362,pipedata[ID],pipedata[WT])</f>
        <v>0.61699999999999999</v>
      </c>
      <c r="O3362" s="56">
        <f>_xlfn.XLOOKUP(Survey!$K3362,pipedata[ID],pipedata[104%])</f>
        <v>2138.9333333333334</v>
      </c>
      <c r="P3362" s="57">
        <f t="shared" si="52"/>
        <v>1850</v>
      </c>
      <c r="Q3362" s="58">
        <f>_xlfn.MAXIFS(Survey!$G$2:$G$3647,Survey!$M$2:$M$3647,Survey!$M3362)-Survey!$G3362</f>
        <v>690.08665638055049</v>
      </c>
      <c r="R3362" s="59">
        <f>Survey!$P3362+(Survey!$Q3362*0.433)</f>
        <v>2148.8075222127782</v>
      </c>
    </row>
    <row r="3363" spans="1:18" x14ac:dyDescent="0.25">
      <c r="A3363" s="60" t="s">
        <v>17</v>
      </c>
      <c r="B3363" s="61" t="s">
        <v>23</v>
      </c>
      <c r="C3363" s="62" t="s">
        <v>19</v>
      </c>
      <c r="D3363" s="63">
        <v>251.86290585837585</v>
      </c>
      <c r="E3363" s="79">
        <v>1361323</v>
      </c>
      <c r="F3363" s="80">
        <v>1330889</v>
      </c>
      <c r="G3363" s="66">
        <v>1373.041598595418</v>
      </c>
      <c r="H3363" s="67">
        <v>1</v>
      </c>
      <c r="I3363" s="68" t="s">
        <v>21</v>
      </c>
      <c r="J3363" s="69">
        <v>40</v>
      </c>
      <c r="K3363" s="70">
        <v>6</v>
      </c>
      <c r="L3363" s="68">
        <v>1</v>
      </c>
      <c r="M3363" s="68">
        <f>_xlfn.XLOOKUP(Survey!$F3363,sections[Start],sections[Test Section],,-1,1)</f>
        <v>9</v>
      </c>
      <c r="N3363" s="55">
        <f>_xlfn.XLOOKUP(Survey!$K3363,pipedata[ID],pipedata[WT])</f>
        <v>0.61699999999999999</v>
      </c>
      <c r="O3363" s="56">
        <f>_xlfn.XLOOKUP(Survey!$K3363,pipedata[ID],pipedata[104%])</f>
        <v>2138.9333333333334</v>
      </c>
      <c r="P3363" s="57">
        <f t="shared" si="52"/>
        <v>1850</v>
      </c>
      <c r="Q3363" s="58">
        <f>_xlfn.MAXIFS(Survey!$G$2:$G$3647,Survey!$M$2:$M$3647,Survey!$M3363)-Survey!$G3363</f>
        <v>693.2985477100035</v>
      </c>
      <c r="R3363" s="59">
        <f>Survey!$P3363+(Survey!$Q3363*0.433)</f>
        <v>2150.1982711584315</v>
      </c>
    </row>
    <row r="3364" spans="1:18" x14ac:dyDescent="0.25">
      <c r="A3364" s="71" t="s">
        <v>17</v>
      </c>
      <c r="B3364" s="72" t="s">
        <v>23</v>
      </c>
      <c r="C3364" s="73" t="s">
        <v>19</v>
      </c>
      <c r="D3364" s="74">
        <v>251.86943585903245</v>
      </c>
      <c r="E3364" s="64">
        <v>1361363</v>
      </c>
      <c r="F3364" s="65">
        <v>1330929</v>
      </c>
      <c r="G3364" s="75">
        <v>1373.159981240914</v>
      </c>
      <c r="H3364" s="76">
        <v>1</v>
      </c>
      <c r="I3364" s="54" t="s">
        <v>20</v>
      </c>
      <c r="J3364" s="77">
        <v>46</v>
      </c>
      <c r="K3364" s="78">
        <v>1</v>
      </c>
      <c r="L3364" s="54">
        <v>1</v>
      </c>
      <c r="M3364" s="54">
        <f>_xlfn.XLOOKUP(Survey!$F3364,sections[Start],sections[Test Section],,-1,1)</f>
        <v>9</v>
      </c>
      <c r="N3364" s="55">
        <f>_xlfn.XLOOKUP(Survey!$K3364,pipedata[ID],pipedata[WT])</f>
        <v>0.61699999999999999</v>
      </c>
      <c r="O3364" s="56">
        <f>_xlfn.XLOOKUP(Survey!$K3364,pipedata[ID],pipedata[104%])</f>
        <v>2138.9333333333334</v>
      </c>
      <c r="P3364" s="57">
        <f t="shared" si="52"/>
        <v>1850</v>
      </c>
      <c r="Q3364" s="58">
        <f>_xlfn.MAXIFS(Survey!$G$2:$G$3647,Survey!$M$2:$M$3647,Survey!$M3364)-Survey!$G3364</f>
        <v>693.18016506450749</v>
      </c>
      <c r="R3364" s="59">
        <f>Survey!$P3364+(Survey!$Q3364*0.433)</f>
        <v>2150.1470114729318</v>
      </c>
    </row>
    <row r="3365" spans="1:18" x14ac:dyDescent="0.25">
      <c r="A3365" s="60" t="s">
        <v>17</v>
      </c>
      <c r="B3365" s="61" t="s">
        <v>23</v>
      </c>
      <c r="C3365" s="62" t="s">
        <v>19</v>
      </c>
      <c r="D3365" s="63">
        <v>251.87657400584041</v>
      </c>
      <c r="E3365" s="64">
        <v>1361409</v>
      </c>
      <c r="F3365" s="65">
        <v>1330966.9411764706</v>
      </c>
      <c r="G3365" s="66">
        <v>1378.1331876601837</v>
      </c>
      <c r="H3365" s="67">
        <v>1</v>
      </c>
      <c r="I3365" s="68" t="s">
        <v>20</v>
      </c>
      <c r="J3365" s="69">
        <v>40</v>
      </c>
      <c r="K3365" s="70">
        <v>1</v>
      </c>
      <c r="L3365" s="68">
        <v>1</v>
      </c>
      <c r="M3365" s="68">
        <f>_xlfn.XLOOKUP(Survey!$F3365,sections[Start],sections[Test Section],,-1,1)</f>
        <v>9</v>
      </c>
      <c r="N3365" s="55">
        <f>_xlfn.XLOOKUP(Survey!$K3365,pipedata[ID],pipedata[WT])</f>
        <v>0.61699999999999999</v>
      </c>
      <c r="O3365" s="56">
        <f>_xlfn.XLOOKUP(Survey!$K3365,pipedata[ID],pipedata[104%])</f>
        <v>2138.9333333333334</v>
      </c>
      <c r="P3365" s="57">
        <f t="shared" si="52"/>
        <v>1850</v>
      </c>
      <c r="Q3365" s="58">
        <f>_xlfn.MAXIFS(Survey!$G$2:$G$3647,Survey!$M$2:$M$3647,Survey!$M3365)-Survey!$G3365</f>
        <v>688.20695864523782</v>
      </c>
      <c r="R3365" s="59">
        <f>Survey!$P3365+(Survey!$Q3365*0.433)</f>
        <v>2147.9936130933879</v>
      </c>
    </row>
    <row r="3366" spans="1:18" x14ac:dyDescent="0.25">
      <c r="A3366" s="71" t="s">
        <v>17</v>
      </c>
      <c r="B3366" s="72" t="s">
        <v>23</v>
      </c>
      <c r="C3366" s="73" t="s">
        <v>19</v>
      </c>
      <c r="D3366" s="74">
        <v>251.88467252723098</v>
      </c>
      <c r="E3366" s="81">
        <v>1361449</v>
      </c>
      <c r="F3366" s="82">
        <v>1331004.8823529412</v>
      </c>
      <c r="G3366" s="75">
        <v>1378.2243083007752</v>
      </c>
      <c r="H3366" s="76">
        <v>1</v>
      </c>
      <c r="I3366" s="54" t="s">
        <v>20</v>
      </c>
      <c r="J3366" s="77">
        <v>40</v>
      </c>
      <c r="K3366" s="78">
        <v>1</v>
      </c>
      <c r="L3366" s="54">
        <v>1</v>
      </c>
      <c r="M3366" s="54">
        <f>_xlfn.XLOOKUP(Survey!$F3366,sections[Start],sections[Test Section],,-1,1)</f>
        <v>9</v>
      </c>
      <c r="N3366" s="55">
        <f>_xlfn.XLOOKUP(Survey!$K3366,pipedata[ID],pipedata[WT])</f>
        <v>0.61699999999999999</v>
      </c>
      <c r="O3366" s="56">
        <f>_xlfn.XLOOKUP(Survey!$K3366,pipedata[ID],pipedata[104%])</f>
        <v>2138.9333333333334</v>
      </c>
      <c r="P3366" s="57">
        <f t="shared" si="52"/>
        <v>1850</v>
      </c>
      <c r="Q3366" s="58">
        <f>_xlfn.MAXIFS(Survey!$G$2:$G$3647,Survey!$M$2:$M$3647,Survey!$M3366)-Survey!$G3366</f>
        <v>688.11583800464632</v>
      </c>
      <c r="R3366" s="59">
        <f>Survey!$P3366+(Survey!$Q3366*0.433)</f>
        <v>2147.954157856012</v>
      </c>
    </row>
    <row r="3367" spans="1:18" x14ac:dyDescent="0.25">
      <c r="A3367" s="60" t="s">
        <v>17</v>
      </c>
      <c r="B3367" s="61" t="s">
        <v>23</v>
      </c>
      <c r="C3367" s="62" t="s">
        <v>19</v>
      </c>
      <c r="D3367" s="63">
        <v>251.89157368096605</v>
      </c>
      <c r="E3367" s="79">
        <v>1361489</v>
      </c>
      <c r="F3367" s="80">
        <v>1331042.8235294118</v>
      </c>
      <c r="G3367" s="66">
        <v>1379.483970201049</v>
      </c>
      <c r="H3367" s="67">
        <v>1</v>
      </c>
      <c r="I3367" s="68" t="s">
        <v>20</v>
      </c>
      <c r="J3367" s="69">
        <v>40</v>
      </c>
      <c r="K3367" s="70">
        <v>1</v>
      </c>
      <c r="L3367" s="68">
        <v>1</v>
      </c>
      <c r="M3367" s="68">
        <f>_xlfn.XLOOKUP(Survey!$F3367,sections[Start],sections[Test Section],,-1,1)</f>
        <v>9</v>
      </c>
      <c r="N3367" s="55">
        <f>_xlfn.XLOOKUP(Survey!$K3367,pipedata[ID],pipedata[WT])</f>
        <v>0.61699999999999999</v>
      </c>
      <c r="O3367" s="56">
        <f>_xlfn.XLOOKUP(Survey!$K3367,pipedata[ID],pipedata[104%])</f>
        <v>2138.9333333333334</v>
      </c>
      <c r="P3367" s="57">
        <f t="shared" si="52"/>
        <v>1850</v>
      </c>
      <c r="Q3367" s="58">
        <f>_xlfn.MAXIFS(Survey!$G$2:$G$3647,Survey!$M$2:$M$3647,Survey!$M3367)-Survey!$G3367</f>
        <v>686.85617610437248</v>
      </c>
      <c r="R3367" s="59">
        <f>Survey!$P3367+(Survey!$Q3367*0.433)</f>
        <v>2147.4087242531932</v>
      </c>
    </row>
    <row r="3368" spans="1:18" x14ac:dyDescent="0.25">
      <c r="A3368" s="71" t="s">
        <v>17</v>
      </c>
      <c r="B3368" s="72" t="s">
        <v>23</v>
      </c>
      <c r="C3368" s="73" t="s">
        <v>19</v>
      </c>
      <c r="D3368" s="74">
        <v>251.89990919543035</v>
      </c>
      <c r="E3368" s="81">
        <v>1361529</v>
      </c>
      <c r="F3368" s="82">
        <v>1331080.7647058824</v>
      </c>
      <c r="G3368" s="75">
        <v>1381.9351907964051</v>
      </c>
      <c r="H3368" s="76">
        <v>1</v>
      </c>
      <c r="I3368" s="54" t="s">
        <v>20</v>
      </c>
      <c r="J3368" s="77">
        <v>40</v>
      </c>
      <c r="K3368" s="78">
        <v>1</v>
      </c>
      <c r="L3368" s="54">
        <v>1</v>
      </c>
      <c r="M3368" s="54">
        <f>_xlfn.XLOOKUP(Survey!$F3368,sections[Start],sections[Test Section],,-1,1)</f>
        <v>9</v>
      </c>
      <c r="N3368" s="55">
        <f>_xlfn.XLOOKUP(Survey!$K3368,pipedata[ID],pipedata[WT])</f>
        <v>0.61699999999999999</v>
      </c>
      <c r="O3368" s="56">
        <f>_xlfn.XLOOKUP(Survey!$K3368,pipedata[ID],pipedata[104%])</f>
        <v>2138.9333333333334</v>
      </c>
      <c r="P3368" s="57">
        <f t="shared" si="52"/>
        <v>1850</v>
      </c>
      <c r="Q3368" s="58">
        <f>_xlfn.MAXIFS(Survey!$G$2:$G$3647,Survey!$M$2:$M$3647,Survey!$M3368)-Survey!$G3368</f>
        <v>684.40495550901642</v>
      </c>
      <c r="R3368" s="59">
        <f>Survey!$P3368+(Survey!$Q3368*0.433)</f>
        <v>2146.3473457354039</v>
      </c>
    </row>
    <row r="3369" spans="1:18" x14ac:dyDescent="0.25">
      <c r="A3369" s="60" t="s">
        <v>17</v>
      </c>
      <c r="B3369" s="61" t="s">
        <v>23</v>
      </c>
      <c r="C3369" s="62" t="s">
        <v>19</v>
      </c>
      <c r="D3369" s="63">
        <v>251.90763438201969</v>
      </c>
      <c r="E3369" s="79">
        <v>1361569</v>
      </c>
      <c r="F3369" s="80">
        <v>1331118.705882353</v>
      </c>
      <c r="G3369" s="66">
        <v>1383.294166692621</v>
      </c>
      <c r="H3369" s="67">
        <v>1</v>
      </c>
      <c r="I3369" s="68" t="s">
        <v>20</v>
      </c>
      <c r="J3369" s="69">
        <v>40</v>
      </c>
      <c r="K3369" s="70">
        <v>1</v>
      </c>
      <c r="L3369" s="68">
        <v>1</v>
      </c>
      <c r="M3369" s="68">
        <f>_xlfn.XLOOKUP(Survey!$F3369,sections[Start],sections[Test Section],,-1,1)</f>
        <v>9</v>
      </c>
      <c r="N3369" s="55">
        <f>_xlfn.XLOOKUP(Survey!$K3369,pipedata[ID],pipedata[WT])</f>
        <v>0.61699999999999999</v>
      </c>
      <c r="O3369" s="56">
        <f>_xlfn.XLOOKUP(Survey!$K3369,pipedata[ID],pipedata[104%])</f>
        <v>2138.9333333333334</v>
      </c>
      <c r="P3369" s="57">
        <f t="shared" si="52"/>
        <v>1850</v>
      </c>
      <c r="Q3369" s="58">
        <f>_xlfn.MAXIFS(Survey!$G$2:$G$3647,Survey!$M$2:$M$3647,Survey!$M3369)-Survey!$G3369</f>
        <v>683.04597961280047</v>
      </c>
      <c r="R3369" s="59">
        <f>Survey!$P3369+(Survey!$Q3369*0.433)</f>
        <v>2145.7589091723426</v>
      </c>
    </row>
    <row r="3370" spans="1:18" x14ac:dyDescent="0.25">
      <c r="A3370" s="71" t="s">
        <v>17</v>
      </c>
      <c r="B3370" s="72" t="s">
        <v>23</v>
      </c>
      <c r="C3370" s="73" t="s">
        <v>19</v>
      </c>
      <c r="D3370" s="74">
        <v>251.91575578580517</v>
      </c>
      <c r="E3370" s="81">
        <v>1361609</v>
      </c>
      <c r="F3370" s="82">
        <v>1331156.6470588236</v>
      </c>
      <c r="G3370" s="75">
        <v>1385.1198158590719</v>
      </c>
      <c r="H3370" s="76">
        <v>1</v>
      </c>
      <c r="I3370" s="54" t="s">
        <v>20</v>
      </c>
      <c r="J3370" s="77">
        <v>40</v>
      </c>
      <c r="K3370" s="78">
        <v>1</v>
      </c>
      <c r="L3370" s="54">
        <v>1</v>
      </c>
      <c r="M3370" s="54">
        <f>_xlfn.XLOOKUP(Survey!$F3370,sections[Start],sections[Test Section],,-1,1)</f>
        <v>9</v>
      </c>
      <c r="N3370" s="55">
        <f>_xlfn.XLOOKUP(Survey!$K3370,pipedata[ID],pipedata[WT])</f>
        <v>0.61699999999999999</v>
      </c>
      <c r="O3370" s="56">
        <f>_xlfn.XLOOKUP(Survey!$K3370,pipedata[ID],pipedata[104%])</f>
        <v>2138.9333333333334</v>
      </c>
      <c r="P3370" s="57">
        <f t="shared" si="52"/>
        <v>1850</v>
      </c>
      <c r="Q3370" s="58">
        <f>_xlfn.MAXIFS(Survey!$G$2:$G$3647,Survey!$M$2:$M$3647,Survey!$M3370)-Survey!$G3370</f>
        <v>681.22033044634964</v>
      </c>
      <c r="R3370" s="59">
        <f>Survey!$P3370+(Survey!$Q3370*0.433)</f>
        <v>2144.9684030832695</v>
      </c>
    </row>
    <row r="3371" spans="1:18" x14ac:dyDescent="0.25">
      <c r="A3371" s="60" t="s">
        <v>17</v>
      </c>
      <c r="B3371" s="61" t="s">
        <v>23</v>
      </c>
      <c r="C3371" s="62" t="s">
        <v>19</v>
      </c>
      <c r="D3371" s="63">
        <v>251.92322243438142</v>
      </c>
      <c r="E3371" s="79">
        <v>1361649</v>
      </c>
      <c r="F3371" s="80">
        <v>1331194.5882352942</v>
      </c>
      <c r="G3371" s="66">
        <v>1386.9474212418093</v>
      </c>
      <c r="H3371" s="67">
        <v>1</v>
      </c>
      <c r="I3371" s="68" t="s">
        <v>20</v>
      </c>
      <c r="J3371" s="69">
        <v>40</v>
      </c>
      <c r="K3371" s="70">
        <v>1</v>
      </c>
      <c r="L3371" s="68">
        <v>1</v>
      </c>
      <c r="M3371" s="68">
        <f>_xlfn.XLOOKUP(Survey!$F3371,sections[Start],sections[Test Section],,-1,1)</f>
        <v>9</v>
      </c>
      <c r="N3371" s="55">
        <f>_xlfn.XLOOKUP(Survey!$K3371,pipedata[ID],pipedata[WT])</f>
        <v>0.61699999999999999</v>
      </c>
      <c r="O3371" s="56">
        <f>_xlfn.XLOOKUP(Survey!$K3371,pipedata[ID],pipedata[104%])</f>
        <v>2138.9333333333334</v>
      </c>
      <c r="P3371" s="57">
        <f t="shared" si="52"/>
        <v>1850</v>
      </c>
      <c r="Q3371" s="58">
        <f>_xlfn.MAXIFS(Survey!$G$2:$G$3647,Survey!$M$2:$M$3647,Survey!$M3371)-Survey!$G3371</f>
        <v>679.39272506361226</v>
      </c>
      <c r="R3371" s="59">
        <f>Survey!$P3371+(Survey!$Q3371*0.433)</f>
        <v>2144.1770499525442</v>
      </c>
    </row>
    <row r="3372" spans="1:18" x14ac:dyDescent="0.25">
      <c r="A3372" s="71" t="s">
        <v>17</v>
      </c>
      <c r="B3372" s="72" t="s">
        <v>23</v>
      </c>
      <c r="C3372" s="73" t="s">
        <v>19</v>
      </c>
      <c r="D3372" s="74">
        <v>251.92966979144134</v>
      </c>
      <c r="E3372" s="81">
        <v>1361689</v>
      </c>
      <c r="F3372" s="82">
        <v>1331232.5294117648</v>
      </c>
      <c r="G3372" s="75">
        <v>1389.3914753953461</v>
      </c>
      <c r="H3372" s="76">
        <v>1</v>
      </c>
      <c r="I3372" s="54" t="s">
        <v>20</v>
      </c>
      <c r="J3372" s="77">
        <v>40</v>
      </c>
      <c r="K3372" s="78">
        <v>1</v>
      </c>
      <c r="L3372" s="54">
        <v>1</v>
      </c>
      <c r="M3372" s="54">
        <f>_xlfn.XLOOKUP(Survey!$F3372,sections[Start],sections[Test Section],,-1,1)</f>
        <v>9</v>
      </c>
      <c r="N3372" s="55">
        <f>_xlfn.XLOOKUP(Survey!$K3372,pipedata[ID],pipedata[WT])</f>
        <v>0.61699999999999999</v>
      </c>
      <c r="O3372" s="56">
        <f>_xlfn.XLOOKUP(Survey!$K3372,pipedata[ID],pipedata[104%])</f>
        <v>2138.9333333333334</v>
      </c>
      <c r="P3372" s="57">
        <f t="shared" si="52"/>
        <v>1850</v>
      </c>
      <c r="Q3372" s="58">
        <f>_xlfn.MAXIFS(Survey!$G$2:$G$3647,Survey!$M$2:$M$3647,Survey!$M3372)-Survey!$G3372</f>
        <v>676.94867091007541</v>
      </c>
      <c r="R3372" s="59">
        <f>Survey!$P3372+(Survey!$Q3372*0.433)</f>
        <v>2143.1187745040625</v>
      </c>
    </row>
    <row r="3373" spans="1:18" x14ac:dyDescent="0.25">
      <c r="A3373" s="60" t="s">
        <v>17</v>
      </c>
      <c r="B3373" s="61" t="s">
        <v>23</v>
      </c>
      <c r="C3373" s="62" t="s">
        <v>19</v>
      </c>
      <c r="D3373" s="63">
        <v>251.93728245015183</v>
      </c>
      <c r="E3373" s="79">
        <v>1361729</v>
      </c>
      <c r="F3373" s="80">
        <v>1331270.4705882354</v>
      </c>
      <c r="G3373" s="66">
        <v>1392.2324670471082</v>
      </c>
      <c r="H3373" s="67">
        <v>1</v>
      </c>
      <c r="I3373" s="68" t="s">
        <v>20</v>
      </c>
      <c r="J3373" s="69">
        <v>40</v>
      </c>
      <c r="K3373" s="70">
        <v>1</v>
      </c>
      <c r="L3373" s="68">
        <v>1</v>
      </c>
      <c r="M3373" s="68">
        <f>_xlfn.XLOOKUP(Survey!$F3373,sections[Start],sections[Test Section],,-1,1)</f>
        <v>9</v>
      </c>
      <c r="N3373" s="55">
        <f>_xlfn.XLOOKUP(Survey!$K3373,pipedata[ID],pipedata[WT])</f>
        <v>0.61699999999999999</v>
      </c>
      <c r="O3373" s="56">
        <f>_xlfn.XLOOKUP(Survey!$K3373,pipedata[ID],pipedata[104%])</f>
        <v>2138.9333333333334</v>
      </c>
      <c r="P3373" s="57">
        <f t="shared" si="52"/>
        <v>1850</v>
      </c>
      <c r="Q3373" s="58">
        <f>_xlfn.MAXIFS(Survey!$G$2:$G$3647,Survey!$M$2:$M$3647,Survey!$M3373)-Survey!$G3373</f>
        <v>674.10767925831328</v>
      </c>
      <c r="R3373" s="59">
        <f>Survey!$P3373+(Survey!$Q3373*0.433)</f>
        <v>2141.8886251188496</v>
      </c>
    </row>
    <row r="3374" spans="1:18" x14ac:dyDescent="0.25">
      <c r="A3374" s="71" t="s">
        <v>17</v>
      </c>
      <c r="B3374" s="72" t="s">
        <v>23</v>
      </c>
      <c r="C3374" s="73" t="s">
        <v>19</v>
      </c>
      <c r="D3374" s="74">
        <v>251.94597859818214</v>
      </c>
      <c r="E3374" s="81">
        <v>1361769</v>
      </c>
      <c r="F3374" s="82">
        <v>1331308.411764706</v>
      </c>
      <c r="G3374" s="75">
        <v>1395.0604181722811</v>
      </c>
      <c r="H3374" s="76">
        <v>1</v>
      </c>
      <c r="I3374" s="54" t="s">
        <v>20</v>
      </c>
      <c r="J3374" s="77">
        <v>40</v>
      </c>
      <c r="K3374" s="78">
        <v>1</v>
      </c>
      <c r="L3374" s="54">
        <v>1</v>
      </c>
      <c r="M3374" s="54">
        <f>_xlfn.XLOOKUP(Survey!$F3374,sections[Start],sections[Test Section],,-1,1)</f>
        <v>9</v>
      </c>
      <c r="N3374" s="55">
        <f>_xlfn.XLOOKUP(Survey!$K3374,pipedata[ID],pipedata[WT])</f>
        <v>0.61699999999999999</v>
      </c>
      <c r="O3374" s="56">
        <f>_xlfn.XLOOKUP(Survey!$K3374,pipedata[ID],pipedata[104%])</f>
        <v>2138.9333333333334</v>
      </c>
      <c r="P3374" s="57">
        <f t="shared" si="52"/>
        <v>1850</v>
      </c>
      <c r="Q3374" s="58">
        <f>_xlfn.MAXIFS(Survey!$G$2:$G$3647,Survey!$M$2:$M$3647,Survey!$M3374)-Survey!$G3374</f>
        <v>671.27972813314045</v>
      </c>
      <c r="R3374" s="59">
        <f>Survey!$P3374+(Survey!$Q3374*0.433)</f>
        <v>2140.6641222816497</v>
      </c>
    </row>
    <row r="3375" spans="1:18" x14ac:dyDescent="0.25">
      <c r="A3375" s="60" t="s">
        <v>17</v>
      </c>
      <c r="B3375" s="61" t="s">
        <v>23</v>
      </c>
      <c r="C3375" s="62" t="s">
        <v>19</v>
      </c>
      <c r="D3375" s="63">
        <v>251.9526665332881</v>
      </c>
      <c r="E3375" s="79">
        <v>1361809</v>
      </c>
      <c r="F3375" s="80">
        <v>1331346.3529411766</v>
      </c>
      <c r="G3375" s="66">
        <v>1397.3516135329901</v>
      </c>
      <c r="H3375" s="67">
        <v>1</v>
      </c>
      <c r="I3375" s="68" t="s">
        <v>20</v>
      </c>
      <c r="J3375" s="69">
        <v>40</v>
      </c>
      <c r="K3375" s="70">
        <v>1</v>
      </c>
      <c r="L3375" s="68">
        <v>1</v>
      </c>
      <c r="M3375" s="68">
        <f>_xlfn.XLOOKUP(Survey!$F3375,sections[Start],sections[Test Section],,-1,1)</f>
        <v>9</v>
      </c>
      <c r="N3375" s="55">
        <f>_xlfn.XLOOKUP(Survey!$K3375,pipedata[ID],pipedata[WT])</f>
        <v>0.61699999999999999</v>
      </c>
      <c r="O3375" s="56">
        <f>_xlfn.XLOOKUP(Survey!$K3375,pipedata[ID],pipedata[104%])</f>
        <v>2138.9333333333334</v>
      </c>
      <c r="P3375" s="57">
        <f t="shared" si="52"/>
        <v>1850</v>
      </c>
      <c r="Q3375" s="58">
        <f>_xlfn.MAXIFS(Survey!$G$2:$G$3647,Survey!$M$2:$M$3647,Survey!$M3375)-Survey!$G3375</f>
        <v>668.98853277243143</v>
      </c>
      <c r="R3375" s="59">
        <f>Survey!$P3375+(Survey!$Q3375*0.433)</f>
        <v>2139.6720346904626</v>
      </c>
    </row>
    <row r="3376" spans="1:18" x14ac:dyDescent="0.25">
      <c r="A3376" s="71" t="s">
        <v>17</v>
      </c>
      <c r="B3376" s="72" t="s">
        <v>23</v>
      </c>
      <c r="C3376" s="73" t="s">
        <v>19</v>
      </c>
      <c r="D3376" s="74">
        <v>251.9601204262834</v>
      </c>
      <c r="E3376" s="81">
        <v>1361849</v>
      </c>
      <c r="F3376" s="82">
        <v>1331384.2941176472</v>
      </c>
      <c r="G3376" s="75">
        <v>1400.6771713174123</v>
      </c>
      <c r="H3376" s="76">
        <v>1</v>
      </c>
      <c r="I3376" s="54" t="s">
        <v>20</v>
      </c>
      <c r="J3376" s="77">
        <v>40</v>
      </c>
      <c r="K3376" s="78">
        <v>1</v>
      </c>
      <c r="L3376" s="54">
        <v>1</v>
      </c>
      <c r="M3376" s="54">
        <f>_xlfn.XLOOKUP(Survey!$F3376,sections[Start],sections[Test Section],,-1,1)</f>
        <v>9</v>
      </c>
      <c r="N3376" s="55">
        <f>_xlfn.XLOOKUP(Survey!$K3376,pipedata[ID],pipedata[WT])</f>
        <v>0.61699999999999999</v>
      </c>
      <c r="O3376" s="56">
        <f>_xlfn.XLOOKUP(Survey!$K3376,pipedata[ID],pipedata[104%])</f>
        <v>2138.9333333333334</v>
      </c>
      <c r="P3376" s="57">
        <f t="shared" si="52"/>
        <v>1850</v>
      </c>
      <c r="Q3376" s="58">
        <f>_xlfn.MAXIFS(Survey!$G$2:$G$3647,Survey!$M$2:$M$3647,Survey!$M3376)-Survey!$G3376</f>
        <v>665.66297498800918</v>
      </c>
      <c r="R3376" s="59">
        <f>Survey!$P3376+(Survey!$Q3376*0.433)</f>
        <v>2138.2320681698079</v>
      </c>
    </row>
    <row r="3377" spans="1:18" x14ac:dyDescent="0.25">
      <c r="A3377" s="60" t="s">
        <v>17</v>
      </c>
      <c r="B3377" s="61" t="s">
        <v>23</v>
      </c>
      <c r="C3377" s="62" t="s">
        <v>19</v>
      </c>
      <c r="D3377" s="63">
        <v>251.96825458565016</v>
      </c>
      <c r="E3377" s="79">
        <v>1361889</v>
      </c>
      <c r="F3377" s="80">
        <v>1331422.2352941178</v>
      </c>
      <c r="G3377" s="66">
        <v>1403.6439214890561</v>
      </c>
      <c r="H3377" s="67">
        <v>1</v>
      </c>
      <c r="I3377" s="68" t="s">
        <v>20</v>
      </c>
      <c r="J3377" s="69">
        <v>40</v>
      </c>
      <c r="K3377" s="70">
        <v>1</v>
      </c>
      <c r="L3377" s="68">
        <v>1</v>
      </c>
      <c r="M3377" s="68">
        <f>_xlfn.XLOOKUP(Survey!$F3377,sections[Start],sections[Test Section],,-1,1)</f>
        <v>9</v>
      </c>
      <c r="N3377" s="55">
        <f>_xlfn.XLOOKUP(Survey!$K3377,pipedata[ID],pipedata[WT])</f>
        <v>0.61699999999999999</v>
      </c>
      <c r="O3377" s="56">
        <f>_xlfn.XLOOKUP(Survey!$K3377,pipedata[ID],pipedata[104%])</f>
        <v>2138.9333333333334</v>
      </c>
      <c r="P3377" s="57">
        <f t="shared" si="52"/>
        <v>1850</v>
      </c>
      <c r="Q3377" s="58">
        <f>_xlfn.MAXIFS(Survey!$G$2:$G$3647,Survey!$M$2:$M$3647,Survey!$M3377)-Survey!$G3377</f>
        <v>662.69622481636543</v>
      </c>
      <c r="R3377" s="59">
        <f>Survey!$P3377+(Survey!$Q3377*0.433)</f>
        <v>2136.9474653454863</v>
      </c>
    </row>
    <row r="3378" spans="1:18" x14ac:dyDescent="0.25">
      <c r="A3378" s="71" t="s">
        <v>17</v>
      </c>
      <c r="B3378" s="72" t="s">
        <v>23</v>
      </c>
      <c r="C3378" s="73" t="s">
        <v>19</v>
      </c>
      <c r="D3378" s="74">
        <v>251.9753457437042</v>
      </c>
      <c r="E3378" s="81">
        <v>1361929</v>
      </c>
      <c r="F3378" s="82">
        <v>1331460.1764705884</v>
      </c>
      <c r="G3378" s="75">
        <v>1407.1628789349124</v>
      </c>
      <c r="H3378" s="76">
        <v>1</v>
      </c>
      <c r="I3378" s="54" t="s">
        <v>20</v>
      </c>
      <c r="J3378" s="77">
        <v>40</v>
      </c>
      <c r="K3378" s="78">
        <v>1</v>
      </c>
      <c r="L3378" s="54">
        <v>1</v>
      </c>
      <c r="M3378" s="54">
        <f>_xlfn.XLOOKUP(Survey!$F3378,sections[Start],sections[Test Section],,-1,1)</f>
        <v>9</v>
      </c>
      <c r="N3378" s="55">
        <f>_xlfn.XLOOKUP(Survey!$K3378,pipedata[ID],pipedata[WT])</f>
        <v>0.61699999999999999</v>
      </c>
      <c r="O3378" s="56">
        <f>_xlfn.XLOOKUP(Survey!$K3378,pipedata[ID],pipedata[104%])</f>
        <v>2138.9333333333334</v>
      </c>
      <c r="P3378" s="57">
        <f t="shared" si="52"/>
        <v>1850</v>
      </c>
      <c r="Q3378" s="58">
        <f>_xlfn.MAXIFS(Survey!$G$2:$G$3647,Survey!$M$2:$M$3647,Survey!$M3378)-Survey!$G3378</f>
        <v>659.17726737050907</v>
      </c>
      <c r="R3378" s="59">
        <f>Survey!$P3378+(Survey!$Q3378*0.433)</f>
        <v>2135.4237567714304</v>
      </c>
    </row>
    <row r="3379" spans="1:18" x14ac:dyDescent="0.25">
      <c r="A3379" s="60" t="s">
        <v>17</v>
      </c>
      <c r="B3379" s="61" t="s">
        <v>23</v>
      </c>
      <c r="C3379" s="62" t="s">
        <v>19</v>
      </c>
      <c r="D3379" s="63">
        <v>251.98295840241479</v>
      </c>
      <c r="E3379" s="79">
        <v>1361969</v>
      </c>
      <c r="F3379" s="80">
        <v>1331498.117647059</v>
      </c>
      <c r="G3379" s="66">
        <v>1410.7690191920287</v>
      </c>
      <c r="H3379" s="67">
        <v>1</v>
      </c>
      <c r="I3379" s="68" t="s">
        <v>20</v>
      </c>
      <c r="J3379" s="69">
        <v>40</v>
      </c>
      <c r="K3379" s="70">
        <v>1</v>
      </c>
      <c r="L3379" s="68">
        <v>1</v>
      </c>
      <c r="M3379" s="68">
        <f>_xlfn.XLOOKUP(Survey!$F3379,sections[Start],sections[Test Section],,-1,1)</f>
        <v>9</v>
      </c>
      <c r="N3379" s="55">
        <f>_xlfn.XLOOKUP(Survey!$K3379,pipedata[ID],pipedata[WT])</f>
        <v>0.61699999999999999</v>
      </c>
      <c r="O3379" s="56">
        <f>_xlfn.XLOOKUP(Survey!$K3379,pipedata[ID],pipedata[104%])</f>
        <v>2138.9333333333334</v>
      </c>
      <c r="P3379" s="57">
        <f t="shared" si="52"/>
        <v>1850</v>
      </c>
      <c r="Q3379" s="58">
        <f>_xlfn.MAXIFS(Survey!$G$2:$G$3647,Survey!$M$2:$M$3647,Survey!$M3379)-Survey!$G3379</f>
        <v>655.57112711339278</v>
      </c>
      <c r="R3379" s="59">
        <f>Survey!$P3379+(Survey!$Q3379*0.433)</f>
        <v>2133.8622980400992</v>
      </c>
    </row>
    <row r="3380" spans="1:18" x14ac:dyDescent="0.25">
      <c r="A3380" s="71" t="s">
        <v>17</v>
      </c>
      <c r="B3380" s="72" t="s">
        <v>23</v>
      </c>
      <c r="C3380" s="73" t="s">
        <v>19</v>
      </c>
      <c r="D3380" s="74">
        <v>251.99077066128419</v>
      </c>
      <c r="E3380" s="81">
        <v>1362009</v>
      </c>
      <c r="F3380" s="82">
        <v>1331574</v>
      </c>
      <c r="G3380" s="75">
        <v>1417.2115999999317</v>
      </c>
      <c r="H3380" s="76">
        <v>2</v>
      </c>
      <c r="I3380" s="54" t="s">
        <v>21</v>
      </c>
      <c r="J3380" s="77">
        <v>40</v>
      </c>
      <c r="K3380" s="78">
        <v>4</v>
      </c>
      <c r="L3380" s="54">
        <v>1</v>
      </c>
      <c r="M3380" s="54">
        <f>_xlfn.XLOOKUP(Survey!$F3380,sections[Start],sections[Test Section],,-1,1)</f>
        <v>9</v>
      </c>
      <c r="N3380" s="55">
        <f>_xlfn.XLOOKUP(Survey!$K3380,pipedata[ID],pipedata[WT])</f>
        <v>0.74</v>
      </c>
      <c r="O3380" s="56">
        <f>_xlfn.XLOOKUP(Survey!$K3380,pipedata[ID],pipedata[104%])</f>
        <v>2565.3333333333335</v>
      </c>
      <c r="P3380" s="57">
        <f t="shared" si="52"/>
        <v>1850</v>
      </c>
      <c r="Q3380" s="58">
        <f>_xlfn.MAXIFS(Survey!$G$2:$G$3647,Survey!$M$2:$M$3647,Survey!$M3380)-Survey!$G3380</f>
        <v>649.12854630548986</v>
      </c>
      <c r="R3380" s="59">
        <f>Survey!$P3380+(Survey!$Q3380*0.433)</f>
        <v>2131.0726605502773</v>
      </c>
    </row>
    <row r="3381" spans="1:18" x14ac:dyDescent="0.25">
      <c r="A3381" s="60" t="s">
        <v>17</v>
      </c>
      <c r="B3381" s="61" t="s">
        <v>23</v>
      </c>
      <c r="C3381" s="62" t="s">
        <v>19</v>
      </c>
      <c r="D3381" s="63">
        <v>251.99818371983579</v>
      </c>
      <c r="E3381" s="79">
        <v>1362049</v>
      </c>
      <c r="F3381" s="80">
        <v>1331614</v>
      </c>
      <c r="G3381" s="66">
        <v>1425.33</v>
      </c>
      <c r="H3381" s="67">
        <v>2</v>
      </c>
      <c r="I3381" s="68" t="s">
        <v>21</v>
      </c>
      <c r="J3381" s="69">
        <v>40</v>
      </c>
      <c r="K3381" s="70">
        <v>4</v>
      </c>
      <c r="L3381" s="68">
        <v>1</v>
      </c>
      <c r="M3381" s="68">
        <f>_xlfn.XLOOKUP(Survey!$F3381,sections[Start],sections[Test Section],,-1,1)</f>
        <v>9</v>
      </c>
      <c r="N3381" s="55">
        <f>_xlfn.XLOOKUP(Survey!$K3381,pipedata[ID],pipedata[WT])</f>
        <v>0.74</v>
      </c>
      <c r="O3381" s="56">
        <f>_xlfn.XLOOKUP(Survey!$K3381,pipedata[ID],pipedata[104%])</f>
        <v>2565.3333333333335</v>
      </c>
      <c r="P3381" s="57">
        <f t="shared" si="52"/>
        <v>1850</v>
      </c>
      <c r="Q3381" s="58">
        <f>_xlfn.MAXIFS(Survey!$G$2:$G$3647,Survey!$M$2:$M$3647,Survey!$M3381)-Survey!$G3381</f>
        <v>641.01014630542159</v>
      </c>
      <c r="R3381" s="59">
        <f>Survey!$P3381+(Survey!$Q3381*0.433)</f>
        <v>2127.5573933502474</v>
      </c>
    </row>
    <row r="3382" spans="1:18" x14ac:dyDescent="0.25">
      <c r="A3382" s="71" t="s">
        <v>17</v>
      </c>
      <c r="B3382" s="72" t="s">
        <v>23</v>
      </c>
      <c r="C3382" s="73" t="s">
        <v>19</v>
      </c>
      <c r="D3382" s="74">
        <v>252.00590094414838</v>
      </c>
      <c r="E3382" s="81">
        <v>1362089</v>
      </c>
      <c r="F3382" s="82">
        <v>1331654</v>
      </c>
      <c r="G3382" s="75">
        <v>1436.1746084883457</v>
      </c>
      <c r="H3382" s="76">
        <v>1</v>
      </c>
      <c r="I3382" s="54" t="s">
        <v>20</v>
      </c>
      <c r="J3382" s="77">
        <v>40</v>
      </c>
      <c r="K3382" s="78">
        <v>1</v>
      </c>
      <c r="L3382" s="54">
        <v>1</v>
      </c>
      <c r="M3382" s="54">
        <f>_xlfn.XLOOKUP(Survey!$F3382,sections[Start],sections[Test Section],,-1,1)</f>
        <v>9</v>
      </c>
      <c r="N3382" s="55">
        <f>_xlfn.XLOOKUP(Survey!$K3382,pipedata[ID],pipedata[WT])</f>
        <v>0.61699999999999999</v>
      </c>
      <c r="O3382" s="56">
        <f>_xlfn.XLOOKUP(Survey!$K3382,pipedata[ID],pipedata[104%])</f>
        <v>2138.9333333333334</v>
      </c>
      <c r="P3382" s="57">
        <f t="shared" si="52"/>
        <v>1850</v>
      </c>
      <c r="Q3382" s="58">
        <f>_xlfn.MAXIFS(Survey!$G$2:$G$3647,Survey!$M$2:$M$3647,Survey!$M3382)-Survey!$G3382</f>
        <v>630.1655378170758</v>
      </c>
      <c r="R3382" s="59">
        <f>Survey!$P3382+(Survey!$Q3382*0.433)</f>
        <v>2122.8616778747937</v>
      </c>
    </row>
    <row r="3383" spans="1:18" x14ac:dyDescent="0.25">
      <c r="A3383" s="60" t="s">
        <v>17</v>
      </c>
      <c r="B3383" s="61" t="s">
        <v>23</v>
      </c>
      <c r="C3383" s="62" t="s">
        <v>19</v>
      </c>
      <c r="D3383" s="63">
        <v>252.01262264767257</v>
      </c>
      <c r="E3383" s="79">
        <v>1362129</v>
      </c>
      <c r="F3383" s="80">
        <v>1331691.8382352942</v>
      </c>
      <c r="G3383" s="66">
        <v>1450.5676055679992</v>
      </c>
      <c r="H3383" s="67">
        <v>1</v>
      </c>
      <c r="I3383" s="68" t="s">
        <v>20</v>
      </c>
      <c r="J3383" s="69">
        <v>40</v>
      </c>
      <c r="K3383" s="70">
        <v>1</v>
      </c>
      <c r="L3383" s="68">
        <v>1</v>
      </c>
      <c r="M3383" s="68">
        <f>_xlfn.XLOOKUP(Survey!$F3383,sections[Start],sections[Test Section],,-1,1)</f>
        <v>9</v>
      </c>
      <c r="N3383" s="55">
        <f>_xlfn.XLOOKUP(Survey!$K3383,pipedata[ID],pipedata[WT])</f>
        <v>0.61699999999999999</v>
      </c>
      <c r="O3383" s="56">
        <f>_xlfn.XLOOKUP(Survey!$K3383,pipedata[ID],pipedata[104%])</f>
        <v>2138.9333333333334</v>
      </c>
      <c r="P3383" s="57">
        <f t="shared" si="52"/>
        <v>1850</v>
      </c>
      <c r="Q3383" s="58">
        <f>_xlfn.MAXIFS(Survey!$G$2:$G$3647,Survey!$M$2:$M$3647,Survey!$M3383)-Survey!$G3383</f>
        <v>615.77254073742233</v>
      </c>
      <c r="R3383" s="59">
        <f>Survey!$P3383+(Survey!$Q3383*0.433)</f>
        <v>2116.6295101393039</v>
      </c>
    </row>
    <row r="3384" spans="1:18" x14ac:dyDescent="0.25">
      <c r="A3384" s="71" t="s">
        <v>17</v>
      </c>
      <c r="B3384" s="72" t="s">
        <v>23</v>
      </c>
      <c r="C3384" s="73" t="s">
        <v>19</v>
      </c>
      <c r="D3384" s="74">
        <v>252.01999795003019</v>
      </c>
      <c r="E3384" s="81">
        <v>1362169</v>
      </c>
      <c r="F3384" s="82">
        <v>1331729.6764705884</v>
      </c>
      <c r="G3384" s="75">
        <v>1462.9072838517307</v>
      </c>
      <c r="H3384" s="76">
        <v>1</v>
      </c>
      <c r="I3384" s="54" t="s">
        <v>20</v>
      </c>
      <c r="J3384" s="77">
        <v>40</v>
      </c>
      <c r="K3384" s="78">
        <v>1</v>
      </c>
      <c r="L3384" s="54">
        <v>1</v>
      </c>
      <c r="M3384" s="54">
        <f>_xlfn.XLOOKUP(Survey!$F3384,sections[Start],sections[Test Section],,-1,1)</f>
        <v>9</v>
      </c>
      <c r="N3384" s="55">
        <f>_xlfn.XLOOKUP(Survey!$K3384,pipedata[ID],pipedata[WT])</f>
        <v>0.61699999999999999</v>
      </c>
      <c r="O3384" s="56">
        <f>_xlfn.XLOOKUP(Survey!$K3384,pipedata[ID],pipedata[104%])</f>
        <v>2138.9333333333334</v>
      </c>
      <c r="P3384" s="57">
        <f t="shared" si="52"/>
        <v>1850</v>
      </c>
      <c r="Q3384" s="58">
        <f>_xlfn.MAXIFS(Survey!$G$2:$G$3647,Survey!$M$2:$M$3647,Survey!$M3384)-Survey!$G3384</f>
        <v>603.43286245369086</v>
      </c>
      <c r="R3384" s="59">
        <f>Survey!$P3384+(Survey!$Q3384*0.433)</f>
        <v>2111.286429442448</v>
      </c>
    </row>
    <row r="3385" spans="1:18" x14ac:dyDescent="0.25">
      <c r="A3385" s="60" t="s">
        <v>17</v>
      </c>
      <c r="B3385" s="61" t="s">
        <v>23</v>
      </c>
      <c r="C3385" s="62" t="s">
        <v>19</v>
      </c>
      <c r="D3385" s="63">
        <v>252.02731019421486</v>
      </c>
      <c r="E3385" s="79">
        <v>1362209</v>
      </c>
      <c r="F3385" s="80">
        <v>1331767.5147058826</v>
      </c>
      <c r="G3385" s="66">
        <v>1478.2414999258629</v>
      </c>
      <c r="H3385" s="67">
        <v>1</v>
      </c>
      <c r="I3385" s="68" t="s">
        <v>20</v>
      </c>
      <c r="J3385" s="69">
        <v>40</v>
      </c>
      <c r="K3385" s="70">
        <v>1</v>
      </c>
      <c r="L3385" s="68">
        <v>1</v>
      </c>
      <c r="M3385" s="68">
        <f>_xlfn.XLOOKUP(Survey!$F3385,sections[Start],sections[Test Section],,-1,1)</f>
        <v>9</v>
      </c>
      <c r="N3385" s="55">
        <f>_xlfn.XLOOKUP(Survey!$K3385,pipedata[ID],pipedata[WT])</f>
        <v>0.61699999999999999</v>
      </c>
      <c r="O3385" s="56">
        <f>_xlfn.XLOOKUP(Survey!$K3385,pipedata[ID],pipedata[104%])</f>
        <v>2138.9333333333334</v>
      </c>
      <c r="P3385" s="57">
        <f t="shared" si="52"/>
        <v>1850</v>
      </c>
      <c r="Q3385" s="58">
        <f>_xlfn.MAXIFS(Survey!$G$2:$G$3647,Survey!$M$2:$M$3647,Survey!$M3385)-Survey!$G3385</f>
        <v>588.09864637955866</v>
      </c>
      <c r="R3385" s="59">
        <f>Survey!$P3385+(Survey!$Q3385*0.433)</f>
        <v>2104.6467138823491</v>
      </c>
    </row>
    <row r="3386" spans="1:18" x14ac:dyDescent="0.25">
      <c r="A3386" s="71" t="s">
        <v>17</v>
      </c>
      <c r="B3386" s="72" t="s">
        <v>23</v>
      </c>
      <c r="C3386" s="73" t="s">
        <v>19</v>
      </c>
      <c r="D3386" s="74">
        <v>252.03397442777805</v>
      </c>
      <c r="E3386" s="81">
        <v>1362249</v>
      </c>
      <c r="F3386" s="82">
        <v>1331805.3529411769</v>
      </c>
      <c r="G3386" s="75">
        <v>1488.6200934421774</v>
      </c>
      <c r="H3386" s="76">
        <v>1</v>
      </c>
      <c r="I3386" s="54" t="s">
        <v>20</v>
      </c>
      <c r="J3386" s="77">
        <v>40</v>
      </c>
      <c r="K3386" s="78">
        <v>1</v>
      </c>
      <c r="L3386" s="54">
        <v>1</v>
      </c>
      <c r="M3386" s="54">
        <f>_xlfn.XLOOKUP(Survey!$F3386,sections[Start],sections[Test Section],,-1,1)</f>
        <v>9</v>
      </c>
      <c r="N3386" s="55">
        <f>_xlfn.XLOOKUP(Survey!$K3386,pipedata[ID],pipedata[WT])</f>
        <v>0.61699999999999999</v>
      </c>
      <c r="O3386" s="56">
        <f>_xlfn.XLOOKUP(Survey!$K3386,pipedata[ID],pipedata[104%])</f>
        <v>2138.9333333333334</v>
      </c>
      <c r="P3386" s="57">
        <f t="shared" si="52"/>
        <v>1850</v>
      </c>
      <c r="Q3386" s="58">
        <f>_xlfn.MAXIFS(Survey!$G$2:$G$3647,Survey!$M$2:$M$3647,Survey!$M3386)-Survey!$G3386</f>
        <v>577.72005286324406</v>
      </c>
      <c r="R3386" s="59">
        <f>Survey!$P3386+(Survey!$Q3386*0.433)</f>
        <v>2100.1527828897847</v>
      </c>
    </row>
    <row r="3387" spans="1:18" x14ac:dyDescent="0.25">
      <c r="A3387" s="60" t="s">
        <v>17</v>
      </c>
      <c r="B3387" s="61" t="s">
        <v>23</v>
      </c>
      <c r="C3387" s="62" t="s">
        <v>19</v>
      </c>
      <c r="D3387" s="63">
        <v>252.04200028377434</v>
      </c>
      <c r="E3387" s="79">
        <v>1362289</v>
      </c>
      <c r="F3387" s="80">
        <v>1331843.1911764711</v>
      </c>
      <c r="G3387" s="66">
        <v>1499.6753172808426</v>
      </c>
      <c r="H3387" s="67">
        <v>1</v>
      </c>
      <c r="I3387" s="68" t="s">
        <v>20</v>
      </c>
      <c r="J3387" s="69">
        <v>40</v>
      </c>
      <c r="K3387" s="70">
        <v>1</v>
      </c>
      <c r="L3387" s="68">
        <v>1</v>
      </c>
      <c r="M3387" s="68">
        <f>_xlfn.XLOOKUP(Survey!$F3387,sections[Start],sections[Test Section],,-1,1)</f>
        <v>9</v>
      </c>
      <c r="N3387" s="55">
        <f>_xlfn.XLOOKUP(Survey!$K3387,pipedata[ID],pipedata[WT])</f>
        <v>0.61699999999999999</v>
      </c>
      <c r="O3387" s="56">
        <f>_xlfn.XLOOKUP(Survey!$K3387,pipedata[ID],pipedata[104%])</f>
        <v>2138.9333333333334</v>
      </c>
      <c r="P3387" s="57">
        <f t="shared" si="52"/>
        <v>1850</v>
      </c>
      <c r="Q3387" s="58">
        <f>_xlfn.MAXIFS(Survey!$G$2:$G$3647,Survey!$M$2:$M$3647,Survey!$M3387)-Survey!$G3387</f>
        <v>566.66482902457892</v>
      </c>
      <c r="R3387" s="59">
        <f>Survey!$P3387+(Survey!$Q3387*0.433)</f>
        <v>2095.3658709676429</v>
      </c>
    </row>
    <row r="3388" spans="1:18" x14ac:dyDescent="0.25">
      <c r="A3388" s="71" t="s">
        <v>17</v>
      </c>
      <c r="B3388" s="72" t="s">
        <v>23</v>
      </c>
      <c r="C3388" s="73" t="s">
        <v>19</v>
      </c>
      <c r="D3388" s="74">
        <v>252.04829240356079</v>
      </c>
      <c r="E3388" s="81">
        <v>1362329</v>
      </c>
      <c r="F3388" s="82">
        <v>1331881.0294117653</v>
      </c>
      <c r="G3388" s="75">
        <v>1511.7958297506796</v>
      </c>
      <c r="H3388" s="76">
        <v>1</v>
      </c>
      <c r="I3388" s="54" t="s">
        <v>20</v>
      </c>
      <c r="J3388" s="77">
        <v>40</v>
      </c>
      <c r="K3388" s="78">
        <v>1</v>
      </c>
      <c r="L3388" s="54">
        <v>1</v>
      </c>
      <c r="M3388" s="54">
        <f>_xlfn.XLOOKUP(Survey!$F3388,sections[Start],sections[Test Section],,-1,1)</f>
        <v>9</v>
      </c>
      <c r="N3388" s="55">
        <f>_xlfn.XLOOKUP(Survey!$K3388,pipedata[ID],pipedata[WT])</f>
        <v>0.61699999999999999</v>
      </c>
      <c r="O3388" s="56">
        <f>_xlfn.XLOOKUP(Survey!$K3388,pipedata[ID],pipedata[104%])</f>
        <v>2138.9333333333334</v>
      </c>
      <c r="P3388" s="57">
        <f t="shared" si="52"/>
        <v>1850</v>
      </c>
      <c r="Q3388" s="58">
        <f>_xlfn.MAXIFS(Survey!$G$2:$G$3647,Survey!$M$2:$M$3647,Survey!$M3388)-Survey!$G3388</f>
        <v>554.54431655474195</v>
      </c>
      <c r="R3388" s="59">
        <f>Survey!$P3388+(Survey!$Q3388*0.433)</f>
        <v>2090.1176890682032</v>
      </c>
    </row>
    <row r="3389" spans="1:18" x14ac:dyDescent="0.25">
      <c r="A3389" s="60" t="s">
        <v>17</v>
      </c>
      <c r="B3389" s="61" t="s">
        <v>23</v>
      </c>
      <c r="C3389" s="62" t="s">
        <v>19</v>
      </c>
      <c r="D3389" s="63">
        <v>252.05520168401947</v>
      </c>
      <c r="E3389" s="79">
        <v>1362369</v>
      </c>
      <c r="F3389" s="80">
        <v>1331918.8676470595</v>
      </c>
      <c r="G3389" s="66">
        <v>1520.8740749835074</v>
      </c>
      <c r="H3389" s="67">
        <v>1</v>
      </c>
      <c r="I3389" s="68" t="s">
        <v>20</v>
      </c>
      <c r="J3389" s="69">
        <v>40</v>
      </c>
      <c r="K3389" s="70">
        <v>1</v>
      </c>
      <c r="L3389" s="68">
        <v>1</v>
      </c>
      <c r="M3389" s="68">
        <f>_xlfn.XLOOKUP(Survey!$F3389,sections[Start],sections[Test Section],,-1,1)</f>
        <v>9</v>
      </c>
      <c r="N3389" s="55">
        <f>_xlfn.XLOOKUP(Survey!$K3389,pipedata[ID],pipedata[WT])</f>
        <v>0.61699999999999999</v>
      </c>
      <c r="O3389" s="56">
        <f>_xlfn.XLOOKUP(Survey!$K3389,pipedata[ID],pipedata[104%])</f>
        <v>2138.9333333333334</v>
      </c>
      <c r="P3389" s="57">
        <f t="shared" si="52"/>
        <v>1850</v>
      </c>
      <c r="Q3389" s="58">
        <f>_xlfn.MAXIFS(Survey!$G$2:$G$3647,Survey!$M$2:$M$3647,Survey!$M3389)-Survey!$G3389</f>
        <v>545.46607132191411</v>
      </c>
      <c r="R3389" s="59">
        <f>Survey!$P3389+(Survey!$Q3389*0.433)</f>
        <v>2086.186808882389</v>
      </c>
    </row>
    <row r="3390" spans="1:18" x14ac:dyDescent="0.25">
      <c r="A3390" s="71" t="s">
        <v>17</v>
      </c>
      <c r="B3390" s="72" t="s">
        <v>23</v>
      </c>
      <c r="C3390" s="73" t="s">
        <v>19</v>
      </c>
      <c r="D3390" s="74">
        <v>252.06348554589601</v>
      </c>
      <c r="E3390" s="81">
        <v>1362409</v>
      </c>
      <c r="F3390" s="82">
        <v>1331956.7058823537</v>
      </c>
      <c r="G3390" s="75">
        <v>1522.7838751611841</v>
      </c>
      <c r="H3390" s="76">
        <v>1</v>
      </c>
      <c r="I3390" s="54" t="s">
        <v>20</v>
      </c>
      <c r="J3390" s="77">
        <v>40</v>
      </c>
      <c r="K3390" s="78">
        <v>1</v>
      </c>
      <c r="L3390" s="54">
        <v>1</v>
      </c>
      <c r="M3390" s="54">
        <f>_xlfn.XLOOKUP(Survey!$F3390,sections[Start],sections[Test Section],,-1,1)</f>
        <v>9</v>
      </c>
      <c r="N3390" s="55">
        <f>_xlfn.XLOOKUP(Survey!$K3390,pipedata[ID],pipedata[WT])</f>
        <v>0.61699999999999999</v>
      </c>
      <c r="O3390" s="56">
        <f>_xlfn.XLOOKUP(Survey!$K3390,pipedata[ID],pipedata[104%])</f>
        <v>2138.9333333333334</v>
      </c>
      <c r="P3390" s="57">
        <f t="shared" si="52"/>
        <v>1850</v>
      </c>
      <c r="Q3390" s="58">
        <f>_xlfn.MAXIFS(Survey!$G$2:$G$3647,Survey!$M$2:$M$3647,Survey!$M3390)-Survey!$G3390</f>
        <v>543.55627114423737</v>
      </c>
      <c r="R3390" s="59">
        <f>Survey!$P3390+(Survey!$Q3390*0.433)</f>
        <v>2085.3598654054549</v>
      </c>
    </row>
    <row r="3391" spans="1:18" x14ac:dyDescent="0.25">
      <c r="A3391" s="60" t="s">
        <v>17</v>
      </c>
      <c r="B3391" s="61" t="s">
        <v>23</v>
      </c>
      <c r="C3391" s="62" t="s">
        <v>19</v>
      </c>
      <c r="D3391" s="63">
        <v>252.07082711673385</v>
      </c>
      <c r="E3391" s="79">
        <v>1362449</v>
      </c>
      <c r="F3391" s="80">
        <v>1331994.5441176479</v>
      </c>
      <c r="G3391" s="66">
        <v>1511.4290802437151</v>
      </c>
      <c r="H3391" s="67">
        <v>1</v>
      </c>
      <c r="I3391" s="68" t="s">
        <v>20</v>
      </c>
      <c r="J3391" s="69">
        <v>40</v>
      </c>
      <c r="K3391" s="70">
        <v>1</v>
      </c>
      <c r="L3391" s="68">
        <v>1</v>
      </c>
      <c r="M3391" s="68">
        <f>_xlfn.XLOOKUP(Survey!$F3391,sections[Start],sections[Test Section],,-1,1)</f>
        <v>9</v>
      </c>
      <c r="N3391" s="55">
        <f>_xlfn.XLOOKUP(Survey!$K3391,pipedata[ID],pipedata[WT])</f>
        <v>0.61699999999999999</v>
      </c>
      <c r="O3391" s="56">
        <f>_xlfn.XLOOKUP(Survey!$K3391,pipedata[ID],pipedata[104%])</f>
        <v>2138.9333333333334</v>
      </c>
      <c r="P3391" s="57">
        <f t="shared" si="52"/>
        <v>1850</v>
      </c>
      <c r="Q3391" s="58">
        <f>_xlfn.MAXIFS(Survey!$G$2:$G$3647,Survey!$M$2:$M$3647,Survey!$M3391)-Survey!$G3391</f>
        <v>554.91106606170638</v>
      </c>
      <c r="R3391" s="59">
        <f>Survey!$P3391+(Survey!$Q3391*0.433)</f>
        <v>2090.276491604719</v>
      </c>
    </row>
    <row r="3392" spans="1:18" x14ac:dyDescent="0.25">
      <c r="A3392" s="71" t="s">
        <v>17</v>
      </c>
      <c r="B3392" s="72" t="s">
        <v>23</v>
      </c>
      <c r="C3392" s="73" t="s">
        <v>19</v>
      </c>
      <c r="D3392" s="74">
        <v>252.07852224273643</v>
      </c>
      <c r="E3392" s="81">
        <v>1362489</v>
      </c>
      <c r="F3392" s="82">
        <v>1332032.3823529421</v>
      </c>
      <c r="G3392" s="75">
        <v>1490.5963818641901</v>
      </c>
      <c r="H3392" s="76">
        <v>1</v>
      </c>
      <c r="I3392" s="54" t="s">
        <v>20</v>
      </c>
      <c r="J3392" s="77">
        <v>40</v>
      </c>
      <c r="K3392" s="78">
        <v>1</v>
      </c>
      <c r="L3392" s="54">
        <v>1</v>
      </c>
      <c r="M3392" s="54">
        <f>_xlfn.XLOOKUP(Survey!$F3392,sections[Start],sections[Test Section],,-1,1)</f>
        <v>9</v>
      </c>
      <c r="N3392" s="55">
        <f>_xlfn.XLOOKUP(Survey!$K3392,pipedata[ID],pipedata[WT])</f>
        <v>0.61699999999999999</v>
      </c>
      <c r="O3392" s="56">
        <f>_xlfn.XLOOKUP(Survey!$K3392,pipedata[ID],pipedata[104%])</f>
        <v>2138.9333333333334</v>
      </c>
      <c r="P3392" s="57">
        <f t="shared" si="52"/>
        <v>1850</v>
      </c>
      <c r="Q3392" s="58">
        <f>_xlfn.MAXIFS(Survey!$G$2:$G$3647,Survey!$M$2:$M$3647,Survey!$M3392)-Survey!$G3392</f>
        <v>575.74376444123141</v>
      </c>
      <c r="R3392" s="59">
        <f>Survey!$P3392+(Survey!$Q3392*0.433)</f>
        <v>2099.2970500030533</v>
      </c>
    </row>
    <row r="3393" spans="1:18" x14ac:dyDescent="0.25">
      <c r="A3393" s="60" t="s">
        <v>17</v>
      </c>
      <c r="B3393" s="61" t="s">
        <v>23</v>
      </c>
      <c r="C3393" s="62" t="s">
        <v>19</v>
      </c>
      <c r="D3393" s="63">
        <v>252.08491080800925</v>
      </c>
      <c r="E3393" s="79">
        <v>1362529</v>
      </c>
      <c r="F3393" s="80">
        <v>1332070.2205882363</v>
      </c>
      <c r="G3393" s="66">
        <v>1469.2510754839316</v>
      </c>
      <c r="H3393" s="67">
        <v>1</v>
      </c>
      <c r="I3393" s="68" t="s">
        <v>20</v>
      </c>
      <c r="J3393" s="69">
        <v>40</v>
      </c>
      <c r="K3393" s="70">
        <v>1</v>
      </c>
      <c r="L3393" s="68">
        <v>1</v>
      </c>
      <c r="M3393" s="68">
        <f>_xlfn.XLOOKUP(Survey!$F3393,sections[Start],sections[Test Section],,-1,1)</f>
        <v>9</v>
      </c>
      <c r="N3393" s="55">
        <f>_xlfn.XLOOKUP(Survey!$K3393,pipedata[ID],pipedata[WT])</f>
        <v>0.61699999999999999</v>
      </c>
      <c r="O3393" s="56">
        <f>_xlfn.XLOOKUP(Survey!$K3393,pipedata[ID],pipedata[104%])</f>
        <v>2138.9333333333334</v>
      </c>
      <c r="P3393" s="57">
        <f t="shared" si="52"/>
        <v>1850</v>
      </c>
      <c r="Q3393" s="58">
        <f>_xlfn.MAXIFS(Survey!$G$2:$G$3647,Survey!$M$2:$M$3647,Survey!$M3393)-Survey!$G3393</f>
        <v>597.08907082148994</v>
      </c>
      <c r="R3393" s="59">
        <f>Survey!$P3393+(Survey!$Q3393*0.433)</f>
        <v>2108.5395676657054</v>
      </c>
    </row>
    <row r="3394" spans="1:18" x14ac:dyDescent="0.25">
      <c r="A3394" s="71" t="s">
        <v>17</v>
      </c>
      <c r="B3394" s="72" t="s">
        <v>23</v>
      </c>
      <c r="C3394" s="73" t="s">
        <v>19</v>
      </c>
      <c r="D3394" s="74">
        <v>252.0918182183585</v>
      </c>
      <c r="E3394" s="81">
        <v>1362569</v>
      </c>
      <c r="F3394" s="82">
        <v>1332108.0588235306</v>
      </c>
      <c r="G3394" s="75">
        <v>1446.2583609460337</v>
      </c>
      <c r="H3394" s="76">
        <v>1</v>
      </c>
      <c r="I3394" s="54" t="s">
        <v>20</v>
      </c>
      <c r="J3394" s="77">
        <v>40</v>
      </c>
      <c r="K3394" s="78">
        <v>1</v>
      </c>
      <c r="L3394" s="54">
        <v>1</v>
      </c>
      <c r="M3394" s="54">
        <f>_xlfn.XLOOKUP(Survey!$F3394,sections[Start],sections[Test Section],,-1,1)</f>
        <v>9</v>
      </c>
      <c r="N3394" s="55">
        <f>_xlfn.XLOOKUP(Survey!$K3394,pipedata[ID],pipedata[WT])</f>
        <v>0.61699999999999999</v>
      </c>
      <c r="O3394" s="56">
        <f>_xlfn.XLOOKUP(Survey!$K3394,pipedata[ID],pipedata[104%])</f>
        <v>2138.9333333333334</v>
      </c>
      <c r="P3394" s="57">
        <f t="shared" ref="P3394:P3457" si="53">IF(L3394=1,1850,IF(L3394=2,1850,2220))</f>
        <v>1850</v>
      </c>
      <c r="Q3394" s="58">
        <f>_xlfn.MAXIFS(Survey!$G$2:$G$3647,Survey!$M$2:$M$3647,Survey!$M3394)-Survey!$G3394</f>
        <v>620.08178535938782</v>
      </c>
      <c r="R3394" s="59">
        <f>Survey!$P3394+(Survey!$Q3394*0.433)</f>
        <v>2118.4954130606147</v>
      </c>
    </row>
    <row r="3395" spans="1:18" x14ac:dyDescent="0.25">
      <c r="A3395" s="60" t="s">
        <v>17</v>
      </c>
      <c r="B3395" s="61" t="s">
        <v>23</v>
      </c>
      <c r="C3395" s="62" t="s">
        <v>19</v>
      </c>
      <c r="D3395" s="63">
        <v>252.0979708093233</v>
      </c>
      <c r="E3395" s="79">
        <v>1362609</v>
      </c>
      <c r="F3395" s="80">
        <v>1332145.8970588248</v>
      </c>
      <c r="G3395" s="66">
        <v>1433.7084674867876</v>
      </c>
      <c r="H3395" s="67">
        <v>1</v>
      </c>
      <c r="I3395" s="68" t="s">
        <v>20</v>
      </c>
      <c r="J3395" s="69">
        <v>40</v>
      </c>
      <c r="K3395" s="70">
        <v>1</v>
      </c>
      <c r="L3395" s="68">
        <v>1</v>
      </c>
      <c r="M3395" s="68">
        <f>_xlfn.XLOOKUP(Survey!$F3395,sections[Start],sections[Test Section],,-1,1)</f>
        <v>9</v>
      </c>
      <c r="N3395" s="55">
        <f>_xlfn.XLOOKUP(Survey!$K3395,pipedata[ID],pipedata[WT])</f>
        <v>0.61699999999999999</v>
      </c>
      <c r="O3395" s="56">
        <f>_xlfn.XLOOKUP(Survey!$K3395,pipedata[ID],pipedata[104%])</f>
        <v>2138.9333333333334</v>
      </c>
      <c r="P3395" s="57">
        <f t="shared" si="53"/>
        <v>1850</v>
      </c>
      <c r="Q3395" s="58">
        <f>_xlfn.MAXIFS(Survey!$G$2:$G$3647,Survey!$M$2:$M$3647,Survey!$M3395)-Survey!$G3395</f>
        <v>632.63167881863387</v>
      </c>
      <c r="R3395" s="59">
        <f>Survey!$P3395+(Survey!$Q3395*0.433)</f>
        <v>2123.9295169284683</v>
      </c>
    </row>
    <row r="3396" spans="1:18" x14ac:dyDescent="0.25">
      <c r="A3396" s="71" t="s">
        <v>17</v>
      </c>
      <c r="B3396" s="72" t="s">
        <v>23</v>
      </c>
      <c r="C3396" s="73" t="s">
        <v>19</v>
      </c>
      <c r="D3396" s="74">
        <v>252.1051761921195</v>
      </c>
      <c r="E3396" s="81">
        <v>1362649</v>
      </c>
      <c r="F3396" s="82">
        <v>1332183.735294119</v>
      </c>
      <c r="G3396" s="75">
        <v>1436.1314095502159</v>
      </c>
      <c r="H3396" s="76">
        <v>1</v>
      </c>
      <c r="I3396" s="54" t="s">
        <v>20</v>
      </c>
      <c r="J3396" s="77">
        <v>40</v>
      </c>
      <c r="K3396" s="78">
        <v>1</v>
      </c>
      <c r="L3396" s="54">
        <v>1</v>
      </c>
      <c r="M3396" s="54">
        <f>_xlfn.XLOOKUP(Survey!$F3396,sections[Start],sections[Test Section],,-1,1)</f>
        <v>9</v>
      </c>
      <c r="N3396" s="55">
        <f>_xlfn.XLOOKUP(Survey!$K3396,pipedata[ID],pipedata[WT])</f>
        <v>0.61699999999999999</v>
      </c>
      <c r="O3396" s="56">
        <f>_xlfn.XLOOKUP(Survey!$K3396,pipedata[ID],pipedata[104%])</f>
        <v>2138.9333333333334</v>
      </c>
      <c r="P3396" s="57">
        <f t="shared" si="53"/>
        <v>1850</v>
      </c>
      <c r="Q3396" s="58">
        <f>_xlfn.MAXIFS(Survey!$G$2:$G$3647,Survey!$M$2:$M$3647,Survey!$M3396)-Survey!$G3396</f>
        <v>630.20873675520556</v>
      </c>
      <c r="R3396" s="59">
        <f>Survey!$P3396+(Survey!$Q3396*0.433)</f>
        <v>2122.8803830150041</v>
      </c>
    </row>
    <row r="3397" spans="1:18" x14ac:dyDescent="0.25">
      <c r="A3397" s="60" t="s">
        <v>17</v>
      </c>
      <c r="B3397" s="61" t="s">
        <v>23</v>
      </c>
      <c r="C3397" s="62" t="s">
        <v>19</v>
      </c>
      <c r="D3397" s="63">
        <v>252.11103081063703</v>
      </c>
      <c r="E3397" s="79">
        <v>1362689</v>
      </c>
      <c r="F3397" s="80">
        <v>1332221.5735294132</v>
      </c>
      <c r="G3397" s="66">
        <v>1445.1044426747394</v>
      </c>
      <c r="H3397" s="67">
        <v>1</v>
      </c>
      <c r="I3397" s="68" t="s">
        <v>20</v>
      </c>
      <c r="J3397" s="69">
        <v>40</v>
      </c>
      <c r="K3397" s="70">
        <v>1</v>
      </c>
      <c r="L3397" s="68">
        <v>1</v>
      </c>
      <c r="M3397" s="68">
        <f>_xlfn.XLOOKUP(Survey!$F3397,sections[Start],sections[Test Section],,-1,1)</f>
        <v>9</v>
      </c>
      <c r="N3397" s="55">
        <f>_xlfn.XLOOKUP(Survey!$K3397,pipedata[ID],pipedata[WT])</f>
        <v>0.61699999999999999</v>
      </c>
      <c r="O3397" s="56">
        <f>_xlfn.XLOOKUP(Survey!$K3397,pipedata[ID],pipedata[104%])</f>
        <v>2138.9333333333334</v>
      </c>
      <c r="P3397" s="57">
        <f t="shared" si="53"/>
        <v>1850</v>
      </c>
      <c r="Q3397" s="58">
        <f>_xlfn.MAXIFS(Survey!$G$2:$G$3647,Survey!$M$2:$M$3647,Survey!$M3397)-Survey!$G3397</f>
        <v>621.23570363068211</v>
      </c>
      <c r="R3397" s="59">
        <f>Survey!$P3397+(Survey!$Q3397*0.433)</f>
        <v>2118.9950596720855</v>
      </c>
    </row>
    <row r="3398" spans="1:18" x14ac:dyDescent="0.25">
      <c r="A3398" s="71" t="s">
        <v>17</v>
      </c>
      <c r="B3398" s="72" t="s">
        <v>23</v>
      </c>
      <c r="C3398" s="73" t="s">
        <v>19</v>
      </c>
      <c r="D3398" s="74">
        <v>252.11973747817876</v>
      </c>
      <c r="E3398" s="81">
        <v>1362729</v>
      </c>
      <c r="F3398" s="82">
        <v>1332259.4117647074</v>
      </c>
      <c r="G3398" s="75">
        <v>1457.1112722737462</v>
      </c>
      <c r="H3398" s="76">
        <v>1</v>
      </c>
      <c r="I3398" s="54" t="s">
        <v>20</v>
      </c>
      <c r="J3398" s="77">
        <v>40</v>
      </c>
      <c r="K3398" s="78">
        <v>1</v>
      </c>
      <c r="L3398" s="54">
        <v>1</v>
      </c>
      <c r="M3398" s="54">
        <f>_xlfn.XLOOKUP(Survey!$F3398,sections[Start],sections[Test Section],,-1,1)</f>
        <v>9</v>
      </c>
      <c r="N3398" s="55">
        <f>_xlfn.XLOOKUP(Survey!$K3398,pipedata[ID],pipedata[WT])</f>
        <v>0.61699999999999999</v>
      </c>
      <c r="O3398" s="56">
        <f>_xlfn.XLOOKUP(Survey!$K3398,pipedata[ID],pipedata[104%])</f>
        <v>2138.9333333333334</v>
      </c>
      <c r="P3398" s="57">
        <f t="shared" si="53"/>
        <v>1850</v>
      </c>
      <c r="Q3398" s="58">
        <f>_xlfn.MAXIFS(Survey!$G$2:$G$3647,Survey!$M$2:$M$3647,Survey!$M3398)-Survey!$G3398</f>
        <v>609.22887403167533</v>
      </c>
      <c r="R3398" s="59">
        <f>Survey!$P3398+(Survey!$Q3398*0.433)</f>
        <v>2113.7961024557153</v>
      </c>
    </row>
    <row r="3399" spans="1:18" x14ac:dyDescent="0.25">
      <c r="A3399" s="60" t="s">
        <v>17</v>
      </c>
      <c r="B3399" s="61" t="s">
        <v>23</v>
      </c>
      <c r="C3399" s="62" t="s">
        <v>19</v>
      </c>
      <c r="D3399" s="63">
        <v>252.12626747883562</v>
      </c>
      <c r="E3399" s="79">
        <v>1362769</v>
      </c>
      <c r="F3399" s="80">
        <v>1332297.2500000016</v>
      </c>
      <c r="G3399" s="66">
        <v>1466.5007743475308</v>
      </c>
      <c r="H3399" s="67">
        <v>1</v>
      </c>
      <c r="I3399" s="68" t="s">
        <v>20</v>
      </c>
      <c r="J3399" s="69">
        <v>40</v>
      </c>
      <c r="K3399" s="70">
        <v>1</v>
      </c>
      <c r="L3399" s="68">
        <v>1</v>
      </c>
      <c r="M3399" s="68">
        <f>_xlfn.XLOOKUP(Survey!$F3399,sections[Start],sections[Test Section],,-1,1)</f>
        <v>9</v>
      </c>
      <c r="N3399" s="55">
        <f>_xlfn.XLOOKUP(Survey!$K3399,pipedata[ID],pipedata[WT])</f>
        <v>0.61699999999999999</v>
      </c>
      <c r="O3399" s="56">
        <f>_xlfn.XLOOKUP(Survey!$K3399,pipedata[ID],pipedata[104%])</f>
        <v>2138.9333333333334</v>
      </c>
      <c r="P3399" s="57">
        <f t="shared" si="53"/>
        <v>1850</v>
      </c>
      <c r="Q3399" s="58">
        <f>_xlfn.MAXIFS(Survey!$G$2:$G$3647,Survey!$M$2:$M$3647,Survey!$M3399)-Survey!$G3399</f>
        <v>599.83937195789076</v>
      </c>
      <c r="R3399" s="59">
        <f>Survey!$P3399+(Survey!$Q3399*0.433)</f>
        <v>2109.7304480577668</v>
      </c>
    </row>
    <row r="3400" spans="1:18" x14ac:dyDescent="0.25">
      <c r="A3400" s="71" t="s">
        <v>17</v>
      </c>
      <c r="B3400" s="72" t="s">
        <v>23</v>
      </c>
      <c r="C3400" s="73" t="s">
        <v>19</v>
      </c>
      <c r="D3400" s="74">
        <v>252.13380042160733</v>
      </c>
      <c r="E3400" s="81">
        <v>1362809</v>
      </c>
      <c r="F3400" s="82">
        <v>1332335.0882352958</v>
      </c>
      <c r="G3400" s="75">
        <v>1471.2144340105542</v>
      </c>
      <c r="H3400" s="76">
        <v>1</v>
      </c>
      <c r="I3400" s="54" t="s">
        <v>20</v>
      </c>
      <c r="J3400" s="77">
        <v>40</v>
      </c>
      <c r="K3400" s="78">
        <v>1</v>
      </c>
      <c r="L3400" s="54">
        <v>1</v>
      </c>
      <c r="M3400" s="54">
        <f>_xlfn.XLOOKUP(Survey!$F3400,sections[Start],sections[Test Section],,-1,1)</f>
        <v>9</v>
      </c>
      <c r="N3400" s="55">
        <f>_xlfn.XLOOKUP(Survey!$K3400,pipedata[ID],pipedata[WT])</f>
        <v>0.61699999999999999</v>
      </c>
      <c r="O3400" s="56">
        <f>_xlfn.XLOOKUP(Survey!$K3400,pipedata[ID],pipedata[104%])</f>
        <v>2138.9333333333334</v>
      </c>
      <c r="P3400" s="57">
        <f t="shared" si="53"/>
        <v>1850</v>
      </c>
      <c r="Q3400" s="58">
        <f>_xlfn.MAXIFS(Survey!$G$2:$G$3647,Survey!$M$2:$M$3647,Survey!$M3400)-Survey!$G3400</f>
        <v>595.1257122948673</v>
      </c>
      <c r="R3400" s="59">
        <f>Survey!$P3400+(Survey!$Q3400*0.433)</f>
        <v>2107.6894334236777</v>
      </c>
    </row>
    <row r="3401" spans="1:18" x14ac:dyDescent="0.25">
      <c r="A3401" s="60" t="s">
        <v>17</v>
      </c>
      <c r="B3401" s="61" t="s">
        <v>23</v>
      </c>
      <c r="C3401" s="62" t="s">
        <v>19</v>
      </c>
      <c r="D3401" s="63">
        <v>252.14150414703428</v>
      </c>
      <c r="E3401" s="79">
        <v>1362849</v>
      </c>
      <c r="F3401" s="80">
        <v>1332372.9264705901</v>
      </c>
      <c r="G3401" s="66">
        <v>1464.9934234327663</v>
      </c>
      <c r="H3401" s="67">
        <v>1</v>
      </c>
      <c r="I3401" s="68" t="s">
        <v>20</v>
      </c>
      <c r="J3401" s="69">
        <v>40</v>
      </c>
      <c r="K3401" s="70">
        <v>1</v>
      </c>
      <c r="L3401" s="68">
        <v>1</v>
      </c>
      <c r="M3401" s="68">
        <f>_xlfn.XLOOKUP(Survey!$F3401,sections[Start],sections[Test Section],,-1,1)</f>
        <v>9</v>
      </c>
      <c r="N3401" s="55">
        <f>_xlfn.XLOOKUP(Survey!$K3401,pipedata[ID],pipedata[WT])</f>
        <v>0.61699999999999999</v>
      </c>
      <c r="O3401" s="56">
        <f>_xlfn.XLOOKUP(Survey!$K3401,pipedata[ID],pipedata[104%])</f>
        <v>2138.9333333333334</v>
      </c>
      <c r="P3401" s="57">
        <f t="shared" si="53"/>
        <v>1850</v>
      </c>
      <c r="Q3401" s="58">
        <f>_xlfn.MAXIFS(Survey!$G$2:$G$3647,Survey!$M$2:$M$3647,Survey!$M3401)-Survey!$G3401</f>
        <v>601.34672287265516</v>
      </c>
      <c r="R3401" s="59">
        <f>Survey!$P3401+(Survey!$Q3401*0.433)</f>
        <v>2110.3831310038595</v>
      </c>
    </row>
    <row r="3402" spans="1:18" x14ac:dyDescent="0.25">
      <c r="A3402" s="71" t="s">
        <v>17</v>
      </c>
      <c r="B3402" s="72" t="s">
        <v>23</v>
      </c>
      <c r="C3402" s="73" t="s">
        <v>19</v>
      </c>
      <c r="D3402" s="74">
        <v>252.14923788472166</v>
      </c>
      <c r="E3402" s="81">
        <v>1362889</v>
      </c>
      <c r="F3402" s="82">
        <v>1332410.7647058843</v>
      </c>
      <c r="G3402" s="75">
        <v>1452.1024345249834</v>
      </c>
      <c r="H3402" s="76">
        <v>1</v>
      </c>
      <c r="I3402" s="54" t="s">
        <v>20</v>
      </c>
      <c r="J3402" s="77">
        <v>40</v>
      </c>
      <c r="K3402" s="78">
        <v>1</v>
      </c>
      <c r="L3402" s="54">
        <v>1</v>
      </c>
      <c r="M3402" s="54">
        <f>_xlfn.XLOOKUP(Survey!$F3402,sections[Start],sections[Test Section],,-1,1)</f>
        <v>9</v>
      </c>
      <c r="N3402" s="55">
        <f>_xlfn.XLOOKUP(Survey!$K3402,pipedata[ID],pipedata[WT])</f>
        <v>0.61699999999999999</v>
      </c>
      <c r="O3402" s="56">
        <f>_xlfn.XLOOKUP(Survey!$K3402,pipedata[ID],pipedata[104%])</f>
        <v>2138.9333333333334</v>
      </c>
      <c r="P3402" s="57">
        <f t="shared" si="53"/>
        <v>1850</v>
      </c>
      <c r="Q3402" s="58">
        <f>_xlfn.MAXIFS(Survey!$G$2:$G$3647,Survey!$M$2:$M$3647,Survey!$M3402)-Survey!$G3402</f>
        <v>614.23771178043808</v>
      </c>
      <c r="R3402" s="59">
        <f>Survey!$P3402+(Survey!$Q3402*0.433)</f>
        <v>2115.9649292009299</v>
      </c>
    </row>
    <row r="3403" spans="1:18" x14ac:dyDescent="0.25">
      <c r="A3403" s="60" t="s">
        <v>17</v>
      </c>
      <c r="B3403" s="61" t="s">
        <v>23</v>
      </c>
      <c r="C3403" s="62" t="s">
        <v>19</v>
      </c>
      <c r="D3403" s="63">
        <v>252.15613223348609</v>
      </c>
      <c r="E3403" s="79">
        <v>1362929</v>
      </c>
      <c r="F3403" s="80">
        <v>1332448.6029411785</v>
      </c>
      <c r="G3403" s="66">
        <v>1442.415233066449</v>
      </c>
      <c r="H3403" s="67">
        <v>1</v>
      </c>
      <c r="I3403" s="68" t="s">
        <v>20</v>
      </c>
      <c r="J3403" s="69">
        <v>40</v>
      </c>
      <c r="K3403" s="70">
        <v>1</v>
      </c>
      <c r="L3403" s="68">
        <v>1</v>
      </c>
      <c r="M3403" s="68">
        <f>_xlfn.XLOOKUP(Survey!$F3403,sections[Start],sections[Test Section],,-1,1)</f>
        <v>9</v>
      </c>
      <c r="N3403" s="55">
        <f>_xlfn.XLOOKUP(Survey!$K3403,pipedata[ID],pipedata[WT])</f>
        <v>0.61699999999999999</v>
      </c>
      <c r="O3403" s="56">
        <f>_xlfn.XLOOKUP(Survey!$K3403,pipedata[ID],pipedata[104%])</f>
        <v>2138.9333333333334</v>
      </c>
      <c r="P3403" s="57">
        <f t="shared" si="53"/>
        <v>1850</v>
      </c>
      <c r="Q3403" s="58">
        <f>_xlfn.MAXIFS(Survey!$G$2:$G$3647,Survey!$M$2:$M$3647,Survey!$M3403)-Survey!$G3403</f>
        <v>623.92491323897252</v>
      </c>
      <c r="R3403" s="59">
        <f>Survey!$P3403+(Survey!$Q3403*0.433)</f>
        <v>2120.1594874324751</v>
      </c>
    </row>
    <row r="3404" spans="1:18" x14ac:dyDescent="0.25">
      <c r="A3404" s="71" t="s">
        <v>17</v>
      </c>
      <c r="B3404" s="72" t="s">
        <v>23</v>
      </c>
      <c r="C3404" s="73" t="s">
        <v>19</v>
      </c>
      <c r="D3404" s="74">
        <v>252.16396804842609</v>
      </c>
      <c r="E3404" s="81">
        <v>1362969</v>
      </c>
      <c r="F3404" s="82">
        <v>1332486.4411764727</v>
      </c>
      <c r="G3404" s="75">
        <v>1429.2664035622265</v>
      </c>
      <c r="H3404" s="76">
        <v>1</v>
      </c>
      <c r="I3404" s="54" t="s">
        <v>20</v>
      </c>
      <c r="J3404" s="77">
        <v>40</v>
      </c>
      <c r="K3404" s="78">
        <v>1</v>
      </c>
      <c r="L3404" s="54">
        <v>1</v>
      </c>
      <c r="M3404" s="54">
        <f>_xlfn.XLOOKUP(Survey!$F3404,sections[Start],sections[Test Section],,-1,1)</f>
        <v>9</v>
      </c>
      <c r="N3404" s="55">
        <f>_xlfn.XLOOKUP(Survey!$K3404,pipedata[ID],pipedata[WT])</f>
        <v>0.61699999999999999</v>
      </c>
      <c r="O3404" s="56">
        <f>_xlfn.XLOOKUP(Survey!$K3404,pipedata[ID],pipedata[104%])</f>
        <v>2138.9333333333334</v>
      </c>
      <c r="P3404" s="57">
        <f t="shared" si="53"/>
        <v>1850</v>
      </c>
      <c r="Q3404" s="58">
        <f>_xlfn.MAXIFS(Survey!$G$2:$G$3647,Survey!$M$2:$M$3647,Survey!$M3404)-Survey!$G3404</f>
        <v>637.073742743195</v>
      </c>
      <c r="R3404" s="59">
        <f>Survey!$P3404+(Survey!$Q3404*0.433)</f>
        <v>2125.8529306078035</v>
      </c>
    </row>
    <row r="3405" spans="1:18" x14ac:dyDescent="0.25">
      <c r="A3405" s="60" t="s">
        <v>17</v>
      </c>
      <c r="B3405" s="61" t="s">
        <v>23</v>
      </c>
      <c r="C3405" s="62" t="s">
        <v>19</v>
      </c>
      <c r="D3405" s="63">
        <v>252.17094157289372</v>
      </c>
      <c r="E3405" s="79">
        <v>1363009</v>
      </c>
      <c r="F3405" s="80">
        <v>1332524.2794117669</v>
      </c>
      <c r="G3405" s="66">
        <v>1421.0109395609452</v>
      </c>
      <c r="H3405" s="67">
        <v>1</v>
      </c>
      <c r="I3405" s="68" t="s">
        <v>20</v>
      </c>
      <c r="J3405" s="69">
        <v>40</v>
      </c>
      <c r="K3405" s="70">
        <v>1</v>
      </c>
      <c r="L3405" s="68">
        <v>1</v>
      </c>
      <c r="M3405" s="68">
        <f>_xlfn.XLOOKUP(Survey!$F3405,sections[Start],sections[Test Section],,-1,1)</f>
        <v>9</v>
      </c>
      <c r="N3405" s="55">
        <f>_xlfn.XLOOKUP(Survey!$K3405,pipedata[ID],pipedata[WT])</f>
        <v>0.61699999999999999</v>
      </c>
      <c r="O3405" s="56">
        <f>_xlfn.XLOOKUP(Survey!$K3405,pipedata[ID],pipedata[104%])</f>
        <v>2138.9333333333334</v>
      </c>
      <c r="P3405" s="57">
        <f t="shared" si="53"/>
        <v>1850</v>
      </c>
      <c r="Q3405" s="58">
        <f>_xlfn.MAXIFS(Survey!$G$2:$G$3647,Survey!$M$2:$M$3647,Survey!$M3405)-Survey!$G3405</f>
        <v>645.32920674447632</v>
      </c>
      <c r="R3405" s="59">
        <f>Survey!$P3405+(Survey!$Q3405*0.433)</f>
        <v>2129.4275465203582</v>
      </c>
    </row>
    <row r="3406" spans="1:18" x14ac:dyDescent="0.25">
      <c r="A3406" s="71" t="s">
        <v>17</v>
      </c>
      <c r="B3406" s="72" t="s">
        <v>23</v>
      </c>
      <c r="C3406" s="73" t="s">
        <v>19</v>
      </c>
      <c r="D3406" s="74">
        <v>252.17844773740759</v>
      </c>
      <c r="E3406" s="81">
        <v>1363049</v>
      </c>
      <c r="F3406" s="82">
        <v>1332562.1176470611</v>
      </c>
      <c r="G3406" s="75">
        <v>1433.1420142111926</v>
      </c>
      <c r="H3406" s="76">
        <v>1</v>
      </c>
      <c r="I3406" s="54" t="s">
        <v>20</v>
      </c>
      <c r="J3406" s="77">
        <v>40</v>
      </c>
      <c r="K3406" s="78">
        <v>1</v>
      </c>
      <c r="L3406" s="54">
        <v>1</v>
      </c>
      <c r="M3406" s="54">
        <f>_xlfn.XLOOKUP(Survey!$F3406,sections[Start],sections[Test Section],,-1,1)</f>
        <v>9</v>
      </c>
      <c r="N3406" s="55">
        <f>_xlfn.XLOOKUP(Survey!$K3406,pipedata[ID],pipedata[WT])</f>
        <v>0.61699999999999999</v>
      </c>
      <c r="O3406" s="56">
        <f>_xlfn.XLOOKUP(Survey!$K3406,pipedata[ID],pipedata[104%])</f>
        <v>2138.9333333333334</v>
      </c>
      <c r="P3406" s="57">
        <f t="shared" si="53"/>
        <v>1850</v>
      </c>
      <c r="Q3406" s="58">
        <f>_xlfn.MAXIFS(Survey!$G$2:$G$3647,Survey!$M$2:$M$3647,Survey!$M3406)-Survey!$G3406</f>
        <v>633.19813209422887</v>
      </c>
      <c r="R3406" s="59">
        <f>Survey!$P3406+(Survey!$Q3406*0.433)</f>
        <v>2124.1747911968009</v>
      </c>
    </row>
    <row r="3407" spans="1:18" x14ac:dyDescent="0.25">
      <c r="A3407" s="60" t="s">
        <v>17</v>
      </c>
      <c r="B3407" s="61" t="s">
        <v>23</v>
      </c>
      <c r="C3407" s="62" t="s">
        <v>19</v>
      </c>
      <c r="D3407" s="63">
        <v>252.18505528046566</v>
      </c>
      <c r="E3407" s="79">
        <v>1363089</v>
      </c>
      <c r="F3407" s="80">
        <v>1332599.9558823553</v>
      </c>
      <c r="G3407" s="66">
        <v>1448.5251204825804</v>
      </c>
      <c r="H3407" s="67">
        <v>1</v>
      </c>
      <c r="I3407" s="68" t="s">
        <v>20</v>
      </c>
      <c r="J3407" s="69">
        <v>40</v>
      </c>
      <c r="K3407" s="70">
        <v>1</v>
      </c>
      <c r="L3407" s="68">
        <v>1</v>
      </c>
      <c r="M3407" s="68">
        <f>_xlfn.XLOOKUP(Survey!$F3407,sections[Start],sections[Test Section],,-1,1)</f>
        <v>9</v>
      </c>
      <c r="N3407" s="55">
        <f>_xlfn.XLOOKUP(Survey!$K3407,pipedata[ID],pipedata[WT])</f>
        <v>0.61699999999999999</v>
      </c>
      <c r="O3407" s="56">
        <f>_xlfn.XLOOKUP(Survey!$K3407,pipedata[ID],pipedata[104%])</f>
        <v>2138.9333333333334</v>
      </c>
      <c r="P3407" s="57">
        <f t="shared" si="53"/>
        <v>1850</v>
      </c>
      <c r="Q3407" s="58">
        <f>_xlfn.MAXIFS(Survey!$G$2:$G$3647,Survey!$M$2:$M$3647,Survey!$M3407)-Survey!$G3407</f>
        <v>617.81502582284111</v>
      </c>
      <c r="R3407" s="59">
        <f>Survey!$P3407+(Survey!$Q3407*0.433)</f>
        <v>2117.5139061812902</v>
      </c>
    </row>
    <row r="3408" spans="1:18" x14ac:dyDescent="0.25">
      <c r="A3408" s="71" t="s">
        <v>17</v>
      </c>
      <c r="B3408" s="72" t="s">
        <v>23</v>
      </c>
      <c r="C3408" s="73" t="s">
        <v>19</v>
      </c>
      <c r="D3408" s="74">
        <v>252.19152234136459</v>
      </c>
      <c r="E3408" s="81">
        <v>1363129</v>
      </c>
      <c r="F3408" s="82">
        <v>1332637.7941176496</v>
      </c>
      <c r="G3408" s="75">
        <v>1460.2513104853592</v>
      </c>
      <c r="H3408" s="76">
        <v>1</v>
      </c>
      <c r="I3408" s="54" t="s">
        <v>20</v>
      </c>
      <c r="J3408" s="77">
        <v>40</v>
      </c>
      <c r="K3408" s="78">
        <v>1</v>
      </c>
      <c r="L3408" s="54">
        <v>1</v>
      </c>
      <c r="M3408" s="54">
        <f>_xlfn.XLOOKUP(Survey!$F3408,sections[Start],sections[Test Section],,-1,1)</f>
        <v>9</v>
      </c>
      <c r="N3408" s="55">
        <f>_xlfn.XLOOKUP(Survey!$K3408,pipedata[ID],pipedata[WT])</f>
        <v>0.61699999999999999</v>
      </c>
      <c r="O3408" s="56">
        <f>_xlfn.XLOOKUP(Survey!$K3408,pipedata[ID],pipedata[104%])</f>
        <v>2138.9333333333334</v>
      </c>
      <c r="P3408" s="57">
        <f t="shared" si="53"/>
        <v>1850</v>
      </c>
      <c r="Q3408" s="58">
        <f>_xlfn.MAXIFS(Survey!$G$2:$G$3647,Survey!$M$2:$M$3647,Survey!$M3408)-Survey!$G3408</f>
        <v>606.08883582006229</v>
      </c>
      <c r="R3408" s="59">
        <f>Survey!$P3408+(Survey!$Q3408*0.433)</f>
        <v>2112.436465910087</v>
      </c>
    </row>
    <row r="3409" spans="1:18" x14ac:dyDescent="0.25">
      <c r="A3409" s="60" t="s">
        <v>17</v>
      </c>
      <c r="B3409" s="61" t="s">
        <v>23</v>
      </c>
      <c r="C3409" s="62" t="s">
        <v>19</v>
      </c>
      <c r="D3409" s="63">
        <v>252.19805964334307</v>
      </c>
      <c r="E3409" s="79">
        <v>1363169</v>
      </c>
      <c r="F3409" s="80">
        <v>1332675.6323529438</v>
      </c>
      <c r="G3409" s="66">
        <v>1471.0663613170645</v>
      </c>
      <c r="H3409" s="67">
        <v>1</v>
      </c>
      <c r="I3409" s="68" t="s">
        <v>20</v>
      </c>
      <c r="J3409" s="69">
        <v>40</v>
      </c>
      <c r="K3409" s="70">
        <v>1</v>
      </c>
      <c r="L3409" s="68">
        <v>1</v>
      </c>
      <c r="M3409" s="68">
        <f>_xlfn.XLOOKUP(Survey!$F3409,sections[Start],sections[Test Section],,-1,1)</f>
        <v>9</v>
      </c>
      <c r="N3409" s="55">
        <f>_xlfn.XLOOKUP(Survey!$K3409,pipedata[ID],pipedata[WT])</f>
        <v>0.61699999999999999</v>
      </c>
      <c r="O3409" s="56">
        <f>_xlfn.XLOOKUP(Survey!$K3409,pipedata[ID],pipedata[104%])</f>
        <v>2138.9333333333334</v>
      </c>
      <c r="P3409" s="57">
        <f t="shared" si="53"/>
        <v>1850</v>
      </c>
      <c r="Q3409" s="58">
        <f>_xlfn.MAXIFS(Survey!$G$2:$G$3647,Survey!$M$2:$M$3647,Survey!$M3409)-Survey!$G3409</f>
        <v>595.27378498835697</v>
      </c>
      <c r="R3409" s="59">
        <f>Survey!$P3409+(Survey!$Q3409*0.433)</f>
        <v>2107.7535488999583</v>
      </c>
    </row>
    <row r="3410" spans="1:18" x14ac:dyDescent="0.25">
      <c r="A3410" s="71" t="s">
        <v>17</v>
      </c>
      <c r="B3410" s="72" t="s">
        <v>23</v>
      </c>
      <c r="C3410" s="73" t="s">
        <v>19</v>
      </c>
      <c r="D3410" s="74">
        <v>252.20677604598106</v>
      </c>
      <c r="E3410" s="81">
        <v>1363209</v>
      </c>
      <c r="F3410" s="82">
        <v>1332713.470588238</v>
      </c>
      <c r="G3410" s="75">
        <v>1480.5107063815092</v>
      </c>
      <c r="H3410" s="76">
        <v>1</v>
      </c>
      <c r="I3410" s="54" t="s">
        <v>20</v>
      </c>
      <c r="J3410" s="77">
        <v>40</v>
      </c>
      <c r="K3410" s="78">
        <v>1</v>
      </c>
      <c r="L3410" s="54">
        <v>1</v>
      </c>
      <c r="M3410" s="54">
        <f>_xlfn.XLOOKUP(Survey!$F3410,sections[Start],sections[Test Section],,-1,1)</f>
        <v>9</v>
      </c>
      <c r="N3410" s="55">
        <f>_xlfn.XLOOKUP(Survey!$K3410,pipedata[ID],pipedata[WT])</f>
        <v>0.61699999999999999</v>
      </c>
      <c r="O3410" s="56">
        <f>_xlfn.XLOOKUP(Survey!$K3410,pipedata[ID],pipedata[104%])</f>
        <v>2138.9333333333334</v>
      </c>
      <c r="P3410" s="57">
        <f t="shared" si="53"/>
        <v>1850</v>
      </c>
      <c r="Q3410" s="58">
        <f>_xlfn.MAXIFS(Survey!$G$2:$G$3647,Survey!$M$2:$M$3647,Survey!$M3410)-Survey!$G3410</f>
        <v>585.82943992391233</v>
      </c>
      <c r="R3410" s="59">
        <f>Survey!$P3410+(Survey!$Q3410*0.433)</f>
        <v>2103.6641474870539</v>
      </c>
    </row>
    <row r="3411" spans="1:18" x14ac:dyDescent="0.25">
      <c r="A3411" s="60" t="s">
        <v>17</v>
      </c>
      <c r="B3411" s="61" t="s">
        <v>23</v>
      </c>
      <c r="C3411" s="62" t="s">
        <v>19</v>
      </c>
      <c r="D3411" s="63">
        <v>252.21331334795937</v>
      </c>
      <c r="E3411" s="79">
        <v>1363249</v>
      </c>
      <c r="F3411" s="80">
        <v>1332751.3088235322</v>
      </c>
      <c r="G3411" s="66">
        <v>1491.8308993480857</v>
      </c>
      <c r="H3411" s="67">
        <v>1</v>
      </c>
      <c r="I3411" s="68" t="s">
        <v>20</v>
      </c>
      <c r="J3411" s="69">
        <v>40</v>
      </c>
      <c r="K3411" s="70">
        <v>1</v>
      </c>
      <c r="L3411" s="68">
        <v>1</v>
      </c>
      <c r="M3411" s="68">
        <f>_xlfn.XLOOKUP(Survey!$F3411,sections[Start],sections[Test Section],,-1,1)</f>
        <v>9</v>
      </c>
      <c r="N3411" s="55">
        <f>_xlfn.XLOOKUP(Survey!$K3411,pipedata[ID],pipedata[WT])</f>
        <v>0.61699999999999999</v>
      </c>
      <c r="O3411" s="56">
        <f>_xlfn.XLOOKUP(Survey!$K3411,pipedata[ID],pipedata[104%])</f>
        <v>2138.9333333333334</v>
      </c>
      <c r="P3411" s="57">
        <f t="shared" si="53"/>
        <v>1850</v>
      </c>
      <c r="Q3411" s="58">
        <f>_xlfn.MAXIFS(Survey!$G$2:$G$3647,Survey!$M$2:$M$3647,Survey!$M3411)-Survey!$G3411</f>
        <v>574.50924695733579</v>
      </c>
      <c r="R3411" s="59">
        <f>Survey!$P3411+(Survey!$Q3411*0.433)</f>
        <v>2098.7625039325262</v>
      </c>
    </row>
    <row r="3412" spans="1:18" x14ac:dyDescent="0.25">
      <c r="A3412" s="71" t="s">
        <v>17</v>
      </c>
      <c r="B3412" s="72" t="s">
        <v>23</v>
      </c>
      <c r="C3412" s="73" t="s">
        <v>19</v>
      </c>
      <c r="D3412" s="74">
        <v>252.22107497169199</v>
      </c>
      <c r="E3412" s="81">
        <v>1363289</v>
      </c>
      <c r="F3412" s="82">
        <v>1332789.1470588264</v>
      </c>
      <c r="G3412" s="75">
        <v>1500.2936296593491</v>
      </c>
      <c r="H3412" s="76">
        <v>1</v>
      </c>
      <c r="I3412" s="54" t="s">
        <v>20</v>
      </c>
      <c r="J3412" s="77">
        <v>40</v>
      </c>
      <c r="K3412" s="78">
        <v>1</v>
      </c>
      <c r="L3412" s="54">
        <v>1</v>
      </c>
      <c r="M3412" s="54">
        <f>_xlfn.XLOOKUP(Survey!$F3412,sections[Start],sections[Test Section],,-1,1)</f>
        <v>9</v>
      </c>
      <c r="N3412" s="55">
        <f>_xlfn.XLOOKUP(Survey!$K3412,pipedata[ID],pipedata[WT])</f>
        <v>0.61699999999999999</v>
      </c>
      <c r="O3412" s="56">
        <f>_xlfn.XLOOKUP(Survey!$K3412,pipedata[ID],pipedata[104%])</f>
        <v>2138.9333333333334</v>
      </c>
      <c r="P3412" s="57">
        <f t="shared" si="53"/>
        <v>1850</v>
      </c>
      <c r="Q3412" s="58">
        <f>_xlfn.MAXIFS(Survey!$G$2:$G$3647,Survey!$M$2:$M$3647,Survey!$M3412)-Survey!$G3412</f>
        <v>566.0465166460724</v>
      </c>
      <c r="R3412" s="59">
        <f>Survey!$P3412+(Survey!$Q3412*0.433)</f>
        <v>2095.0981417077492</v>
      </c>
    </row>
    <row r="3413" spans="1:18" x14ac:dyDescent="0.25">
      <c r="A3413" s="60" t="s">
        <v>17</v>
      </c>
      <c r="B3413" s="61" t="s">
        <v>23</v>
      </c>
      <c r="C3413" s="62" t="s">
        <v>19</v>
      </c>
      <c r="D3413" s="63">
        <v>252.2285670525755</v>
      </c>
      <c r="E3413" s="79">
        <v>1363329</v>
      </c>
      <c r="F3413" s="80">
        <v>1332826.9852941206</v>
      </c>
      <c r="G3413" s="66">
        <v>1508.1001355110604</v>
      </c>
      <c r="H3413" s="67">
        <v>1</v>
      </c>
      <c r="I3413" s="68" t="s">
        <v>20</v>
      </c>
      <c r="J3413" s="69">
        <v>40</v>
      </c>
      <c r="K3413" s="70">
        <v>1</v>
      </c>
      <c r="L3413" s="68">
        <v>1</v>
      </c>
      <c r="M3413" s="68">
        <f>_xlfn.XLOOKUP(Survey!$F3413,sections[Start],sections[Test Section],,-1,1)</f>
        <v>9</v>
      </c>
      <c r="N3413" s="55">
        <f>_xlfn.XLOOKUP(Survey!$K3413,pipedata[ID],pipedata[WT])</f>
        <v>0.61699999999999999</v>
      </c>
      <c r="O3413" s="56">
        <f>_xlfn.XLOOKUP(Survey!$K3413,pipedata[ID],pipedata[104%])</f>
        <v>2138.9333333333334</v>
      </c>
      <c r="P3413" s="57">
        <f t="shared" si="53"/>
        <v>1850</v>
      </c>
      <c r="Q3413" s="58">
        <f>_xlfn.MAXIFS(Survey!$G$2:$G$3647,Survey!$M$2:$M$3647,Survey!$M3413)-Survey!$G3413</f>
        <v>558.24001079436107</v>
      </c>
      <c r="R3413" s="59">
        <f>Survey!$P3413+(Survey!$Q3413*0.433)</f>
        <v>2091.7179246739584</v>
      </c>
    </row>
    <row r="3414" spans="1:18" x14ac:dyDescent="0.25">
      <c r="A3414" s="71" t="s">
        <v>17</v>
      </c>
      <c r="B3414" s="72" t="s">
        <v>23</v>
      </c>
      <c r="C3414" s="73" t="s">
        <v>19</v>
      </c>
      <c r="D3414" s="74">
        <v>252.23466771386933</v>
      </c>
      <c r="E3414" s="81">
        <v>1363369</v>
      </c>
      <c r="F3414" s="82">
        <v>1332864.8235294148</v>
      </c>
      <c r="G3414" s="75">
        <v>1515.6878388570995</v>
      </c>
      <c r="H3414" s="76">
        <v>1</v>
      </c>
      <c r="I3414" s="54" t="s">
        <v>20</v>
      </c>
      <c r="J3414" s="77">
        <v>40</v>
      </c>
      <c r="K3414" s="78">
        <v>1</v>
      </c>
      <c r="L3414" s="54">
        <v>1</v>
      </c>
      <c r="M3414" s="54">
        <f>_xlfn.XLOOKUP(Survey!$F3414,sections[Start],sections[Test Section],,-1,1)</f>
        <v>9</v>
      </c>
      <c r="N3414" s="55">
        <f>_xlfn.XLOOKUP(Survey!$K3414,pipedata[ID],pipedata[WT])</f>
        <v>0.61699999999999999</v>
      </c>
      <c r="O3414" s="56">
        <f>_xlfn.XLOOKUP(Survey!$K3414,pipedata[ID],pipedata[104%])</f>
        <v>2138.9333333333334</v>
      </c>
      <c r="P3414" s="57">
        <f t="shared" si="53"/>
        <v>1850</v>
      </c>
      <c r="Q3414" s="58">
        <f>_xlfn.MAXIFS(Survey!$G$2:$G$3647,Survey!$M$2:$M$3647,Survey!$M3414)-Survey!$G3414</f>
        <v>550.65230744832206</v>
      </c>
      <c r="R3414" s="59">
        <f>Survey!$P3414+(Survey!$Q3414*0.433)</f>
        <v>2088.4324491251236</v>
      </c>
    </row>
    <row r="3415" spans="1:18" x14ac:dyDescent="0.25">
      <c r="A3415" s="60" t="s">
        <v>17</v>
      </c>
      <c r="B3415" s="61" t="s">
        <v>23</v>
      </c>
      <c r="C3415" s="62" t="s">
        <v>19</v>
      </c>
      <c r="D3415" s="63">
        <v>252.24286442868006</v>
      </c>
      <c r="E3415" s="79">
        <v>1363409</v>
      </c>
      <c r="F3415" s="80">
        <v>1332902.661764709</v>
      </c>
      <c r="G3415" s="66">
        <v>1523.4945335166233</v>
      </c>
      <c r="H3415" s="67">
        <v>1</v>
      </c>
      <c r="I3415" s="68" t="s">
        <v>20</v>
      </c>
      <c r="J3415" s="69">
        <v>40</v>
      </c>
      <c r="K3415" s="70">
        <v>1</v>
      </c>
      <c r="L3415" s="68">
        <v>1</v>
      </c>
      <c r="M3415" s="68">
        <f>_xlfn.XLOOKUP(Survey!$F3415,sections[Start],sections[Test Section],,-1,1)</f>
        <v>9</v>
      </c>
      <c r="N3415" s="55">
        <f>_xlfn.XLOOKUP(Survey!$K3415,pipedata[ID],pipedata[WT])</f>
        <v>0.61699999999999999</v>
      </c>
      <c r="O3415" s="56">
        <f>_xlfn.XLOOKUP(Survey!$K3415,pipedata[ID],pipedata[104%])</f>
        <v>2138.9333333333334</v>
      </c>
      <c r="P3415" s="57">
        <f t="shared" si="53"/>
        <v>1850</v>
      </c>
      <c r="Q3415" s="58">
        <f>_xlfn.MAXIFS(Survey!$G$2:$G$3647,Survey!$M$2:$M$3647,Survey!$M3415)-Survey!$G3415</f>
        <v>542.84561278879823</v>
      </c>
      <c r="R3415" s="59">
        <f>Survey!$P3415+(Survey!$Q3415*0.433)</f>
        <v>2085.0521503375494</v>
      </c>
    </row>
    <row r="3416" spans="1:18" x14ac:dyDescent="0.25">
      <c r="A3416" s="71" t="s">
        <v>17</v>
      </c>
      <c r="B3416" s="72" t="s">
        <v>23</v>
      </c>
      <c r="C3416" s="73" t="s">
        <v>19</v>
      </c>
      <c r="D3416" s="74">
        <v>252.25082281130025</v>
      </c>
      <c r="E3416" s="81">
        <v>1363449</v>
      </c>
      <c r="F3416" s="82">
        <v>1332940.5000000033</v>
      </c>
      <c r="G3416" s="75">
        <v>1529.0204573896522</v>
      </c>
      <c r="H3416" s="76">
        <v>1</v>
      </c>
      <c r="I3416" s="54" t="s">
        <v>20</v>
      </c>
      <c r="J3416" s="77">
        <v>40</v>
      </c>
      <c r="K3416" s="78">
        <v>1</v>
      </c>
      <c r="L3416" s="54">
        <v>1</v>
      </c>
      <c r="M3416" s="54">
        <f>_xlfn.XLOOKUP(Survey!$F3416,sections[Start],sections[Test Section],,-1,1)</f>
        <v>9</v>
      </c>
      <c r="N3416" s="55">
        <f>_xlfn.XLOOKUP(Survey!$K3416,pipedata[ID],pipedata[WT])</f>
        <v>0.61699999999999999</v>
      </c>
      <c r="O3416" s="56">
        <f>_xlfn.XLOOKUP(Survey!$K3416,pipedata[ID],pipedata[104%])</f>
        <v>2138.9333333333334</v>
      </c>
      <c r="P3416" s="57">
        <f t="shared" si="53"/>
        <v>1850</v>
      </c>
      <c r="Q3416" s="58">
        <f>_xlfn.MAXIFS(Survey!$G$2:$G$3647,Survey!$M$2:$M$3647,Survey!$M3416)-Survey!$G3416</f>
        <v>537.31968891576935</v>
      </c>
      <c r="R3416" s="59">
        <f>Survey!$P3416+(Survey!$Q3416*0.433)</f>
        <v>2082.6594253005283</v>
      </c>
    </row>
    <row r="3417" spans="1:18" x14ac:dyDescent="0.25">
      <c r="A3417" s="60" t="s">
        <v>17</v>
      </c>
      <c r="B3417" s="61" t="s">
        <v>23</v>
      </c>
      <c r="C3417" s="62" t="s">
        <v>19</v>
      </c>
      <c r="D3417" s="63">
        <v>252.256880972837</v>
      </c>
      <c r="E3417" s="79">
        <v>1363489</v>
      </c>
      <c r="F3417" s="80">
        <v>1332978.3382352975</v>
      </c>
      <c r="G3417" s="66">
        <v>1536.0090961993037</v>
      </c>
      <c r="H3417" s="67">
        <v>1</v>
      </c>
      <c r="I3417" s="68" t="s">
        <v>20</v>
      </c>
      <c r="J3417" s="69">
        <v>40</v>
      </c>
      <c r="K3417" s="70">
        <v>1</v>
      </c>
      <c r="L3417" s="68">
        <v>1</v>
      </c>
      <c r="M3417" s="68">
        <f>_xlfn.XLOOKUP(Survey!$F3417,sections[Start],sections[Test Section],,-1,1)</f>
        <v>9</v>
      </c>
      <c r="N3417" s="55">
        <f>_xlfn.XLOOKUP(Survey!$K3417,pipedata[ID],pipedata[WT])</f>
        <v>0.61699999999999999</v>
      </c>
      <c r="O3417" s="56">
        <f>_xlfn.XLOOKUP(Survey!$K3417,pipedata[ID],pipedata[104%])</f>
        <v>2138.9333333333334</v>
      </c>
      <c r="P3417" s="57">
        <f t="shared" si="53"/>
        <v>1850</v>
      </c>
      <c r="Q3417" s="58">
        <f>_xlfn.MAXIFS(Survey!$G$2:$G$3647,Survey!$M$2:$M$3647,Survey!$M3417)-Survey!$G3417</f>
        <v>530.3310501061178</v>
      </c>
      <c r="R3417" s="59">
        <f>Survey!$P3417+(Survey!$Q3417*0.433)</f>
        <v>2079.6333446959488</v>
      </c>
    </row>
    <row r="3418" spans="1:18" x14ac:dyDescent="0.25">
      <c r="A3418" s="71" t="s">
        <v>17</v>
      </c>
      <c r="B3418" s="72" t="s">
        <v>23</v>
      </c>
      <c r="C3418" s="73" t="s">
        <v>19</v>
      </c>
      <c r="D3418" s="74">
        <v>252.26530014492093</v>
      </c>
      <c r="E3418" s="81">
        <v>1363529</v>
      </c>
      <c r="F3418" s="82">
        <v>1333016.1764705917</v>
      </c>
      <c r="G3418" s="75">
        <v>1542.2721073067039</v>
      </c>
      <c r="H3418" s="76">
        <v>1</v>
      </c>
      <c r="I3418" s="54" t="s">
        <v>20</v>
      </c>
      <c r="J3418" s="77">
        <v>40</v>
      </c>
      <c r="K3418" s="78">
        <v>1</v>
      </c>
      <c r="L3418" s="54">
        <v>1</v>
      </c>
      <c r="M3418" s="54">
        <f>_xlfn.XLOOKUP(Survey!$F3418,sections[Start],sections[Test Section],,-1,1)</f>
        <v>9</v>
      </c>
      <c r="N3418" s="55">
        <f>_xlfn.XLOOKUP(Survey!$K3418,pipedata[ID],pipedata[WT])</f>
        <v>0.61699999999999999</v>
      </c>
      <c r="O3418" s="56">
        <f>_xlfn.XLOOKUP(Survey!$K3418,pipedata[ID],pipedata[104%])</f>
        <v>2138.9333333333334</v>
      </c>
      <c r="P3418" s="57">
        <f t="shared" si="53"/>
        <v>1850</v>
      </c>
      <c r="Q3418" s="58">
        <f>_xlfn.MAXIFS(Survey!$G$2:$G$3647,Survey!$M$2:$M$3647,Survey!$M3418)-Survey!$G3418</f>
        <v>524.06803899871761</v>
      </c>
      <c r="R3418" s="59">
        <f>Survey!$P3418+(Survey!$Q3418*0.433)</f>
        <v>2076.9214608864449</v>
      </c>
    </row>
    <row r="3419" spans="1:18" x14ac:dyDescent="0.25">
      <c r="A3419" s="60" t="s">
        <v>17</v>
      </c>
      <c r="B3419" s="61" t="s">
        <v>23</v>
      </c>
      <c r="C3419" s="62" t="s">
        <v>19</v>
      </c>
      <c r="D3419" s="63">
        <v>252.27285115621856</v>
      </c>
      <c r="E3419" s="79">
        <v>1363569</v>
      </c>
      <c r="F3419" s="80">
        <v>1333054.0147058859</v>
      </c>
      <c r="G3419" s="66">
        <v>1548.1986082611083</v>
      </c>
      <c r="H3419" s="67">
        <v>1</v>
      </c>
      <c r="I3419" s="68" t="s">
        <v>20</v>
      </c>
      <c r="J3419" s="69">
        <v>40</v>
      </c>
      <c r="K3419" s="70">
        <v>1</v>
      </c>
      <c r="L3419" s="68">
        <v>1</v>
      </c>
      <c r="M3419" s="68">
        <f>_xlfn.XLOOKUP(Survey!$F3419,sections[Start],sections[Test Section],,-1,1)</f>
        <v>9</v>
      </c>
      <c r="N3419" s="55">
        <f>_xlfn.XLOOKUP(Survey!$K3419,pipedata[ID],pipedata[WT])</f>
        <v>0.61699999999999999</v>
      </c>
      <c r="O3419" s="56">
        <f>_xlfn.XLOOKUP(Survey!$K3419,pipedata[ID],pipedata[104%])</f>
        <v>2138.9333333333334</v>
      </c>
      <c r="P3419" s="57">
        <f t="shared" si="53"/>
        <v>1850</v>
      </c>
      <c r="Q3419" s="58">
        <f>_xlfn.MAXIFS(Survey!$G$2:$G$3647,Survey!$M$2:$M$3647,Survey!$M3419)-Survey!$G3419</f>
        <v>518.14153804431317</v>
      </c>
      <c r="R3419" s="59">
        <f>Survey!$P3419+(Survey!$Q3419*0.433)</f>
        <v>2074.3552859731876</v>
      </c>
    </row>
    <row r="3420" spans="1:18" x14ac:dyDescent="0.25">
      <c r="A3420" s="71" t="s">
        <v>17</v>
      </c>
      <c r="B3420" s="72" t="s">
        <v>23</v>
      </c>
      <c r="C3420" s="73" t="s">
        <v>19</v>
      </c>
      <c r="D3420" s="74">
        <v>252.28087882907306</v>
      </c>
      <c r="E3420" s="81">
        <v>1363609</v>
      </c>
      <c r="F3420" s="82">
        <v>1333091.8529411801</v>
      </c>
      <c r="G3420" s="75">
        <v>1551.5556367159038</v>
      </c>
      <c r="H3420" s="76">
        <v>1</v>
      </c>
      <c r="I3420" s="54" t="s">
        <v>20</v>
      </c>
      <c r="J3420" s="77">
        <v>40</v>
      </c>
      <c r="K3420" s="78">
        <v>1</v>
      </c>
      <c r="L3420" s="54">
        <v>1</v>
      </c>
      <c r="M3420" s="54">
        <f>_xlfn.XLOOKUP(Survey!$F3420,sections[Start],sections[Test Section],,-1,1)</f>
        <v>9</v>
      </c>
      <c r="N3420" s="55">
        <f>_xlfn.XLOOKUP(Survey!$K3420,pipedata[ID],pipedata[WT])</f>
        <v>0.61699999999999999</v>
      </c>
      <c r="O3420" s="56">
        <f>_xlfn.XLOOKUP(Survey!$K3420,pipedata[ID],pipedata[104%])</f>
        <v>2138.9333333333334</v>
      </c>
      <c r="P3420" s="57">
        <f t="shared" si="53"/>
        <v>1850</v>
      </c>
      <c r="Q3420" s="58">
        <f>_xlfn.MAXIFS(Survey!$G$2:$G$3647,Survey!$M$2:$M$3647,Survey!$M3420)-Survey!$G3420</f>
        <v>514.78450958951771</v>
      </c>
      <c r="R3420" s="59">
        <f>Survey!$P3420+(Survey!$Q3420*0.433)</f>
        <v>2072.9016926522613</v>
      </c>
    </row>
    <row r="3421" spans="1:18" x14ac:dyDescent="0.25">
      <c r="A3421" s="60" t="s">
        <v>17</v>
      </c>
      <c r="B3421" s="61" t="s">
        <v>23</v>
      </c>
      <c r="C3421" s="62" t="s">
        <v>19</v>
      </c>
      <c r="D3421" s="63">
        <v>252.28823993568943</v>
      </c>
      <c r="E3421" s="79">
        <v>1363649</v>
      </c>
      <c r="F3421" s="80">
        <v>1333129.6911764743</v>
      </c>
      <c r="G3421" s="66">
        <v>1549.955324305296</v>
      </c>
      <c r="H3421" s="67">
        <v>1</v>
      </c>
      <c r="I3421" s="68" t="s">
        <v>20</v>
      </c>
      <c r="J3421" s="69">
        <v>40</v>
      </c>
      <c r="K3421" s="70">
        <v>1</v>
      </c>
      <c r="L3421" s="68">
        <v>1</v>
      </c>
      <c r="M3421" s="68">
        <f>_xlfn.XLOOKUP(Survey!$F3421,sections[Start],sections[Test Section],,-1,1)</f>
        <v>9</v>
      </c>
      <c r="N3421" s="55">
        <f>_xlfn.XLOOKUP(Survey!$K3421,pipedata[ID],pipedata[WT])</f>
        <v>0.61699999999999999</v>
      </c>
      <c r="O3421" s="56">
        <f>_xlfn.XLOOKUP(Survey!$K3421,pipedata[ID],pipedata[104%])</f>
        <v>2138.9333333333334</v>
      </c>
      <c r="P3421" s="57">
        <f t="shared" si="53"/>
        <v>1850</v>
      </c>
      <c r="Q3421" s="58">
        <f>_xlfn.MAXIFS(Survey!$G$2:$G$3647,Survey!$M$2:$M$3647,Survey!$M3421)-Survey!$G3421</f>
        <v>516.3848220001255</v>
      </c>
      <c r="R3421" s="59">
        <f>Survey!$P3421+(Survey!$Q3421*0.433)</f>
        <v>2073.5946279260543</v>
      </c>
    </row>
    <row r="3422" spans="1:18" x14ac:dyDescent="0.25">
      <c r="A3422" s="71" t="s">
        <v>17</v>
      </c>
      <c r="B3422" s="72" t="s">
        <v>23</v>
      </c>
      <c r="C3422" s="73" t="s">
        <v>19</v>
      </c>
      <c r="D3422" s="74">
        <v>252.29529523669697</v>
      </c>
      <c r="E3422" s="81">
        <v>1363689</v>
      </c>
      <c r="F3422" s="82">
        <v>1333167.5294117685</v>
      </c>
      <c r="G3422" s="75">
        <v>1540.172319020927</v>
      </c>
      <c r="H3422" s="76">
        <v>1</v>
      </c>
      <c r="I3422" s="54" t="s">
        <v>20</v>
      </c>
      <c r="J3422" s="77">
        <v>40</v>
      </c>
      <c r="K3422" s="78">
        <v>1</v>
      </c>
      <c r="L3422" s="54">
        <v>1</v>
      </c>
      <c r="M3422" s="54">
        <f>_xlfn.XLOOKUP(Survey!$F3422,sections[Start],sections[Test Section],,-1,1)</f>
        <v>9</v>
      </c>
      <c r="N3422" s="55">
        <f>_xlfn.XLOOKUP(Survey!$K3422,pipedata[ID],pipedata[WT])</f>
        <v>0.61699999999999999</v>
      </c>
      <c r="O3422" s="56">
        <f>_xlfn.XLOOKUP(Survey!$K3422,pipedata[ID],pipedata[104%])</f>
        <v>2138.9333333333334</v>
      </c>
      <c r="P3422" s="57">
        <f t="shared" si="53"/>
        <v>1850</v>
      </c>
      <c r="Q3422" s="58">
        <f>_xlfn.MAXIFS(Survey!$G$2:$G$3647,Survey!$M$2:$M$3647,Survey!$M3422)-Survey!$G3422</f>
        <v>526.16782728449448</v>
      </c>
      <c r="R3422" s="59">
        <f>Survey!$P3422+(Survey!$Q3422*0.433)</f>
        <v>2077.8306692141859</v>
      </c>
    </row>
    <row r="3423" spans="1:18" x14ac:dyDescent="0.25">
      <c r="A3423" s="60" t="s">
        <v>17</v>
      </c>
      <c r="B3423" s="61" t="s">
        <v>23</v>
      </c>
      <c r="C3423" s="62" t="s">
        <v>19</v>
      </c>
      <c r="D3423" s="63">
        <v>252.30250344050887</v>
      </c>
      <c r="E3423" s="79">
        <v>1363729</v>
      </c>
      <c r="F3423" s="80">
        <v>1333205.3676470628</v>
      </c>
      <c r="G3423" s="66">
        <v>1526.4424270568863</v>
      </c>
      <c r="H3423" s="67">
        <v>1</v>
      </c>
      <c r="I3423" s="68" t="s">
        <v>20</v>
      </c>
      <c r="J3423" s="69">
        <v>40</v>
      </c>
      <c r="K3423" s="70">
        <v>1</v>
      </c>
      <c r="L3423" s="68">
        <v>1</v>
      </c>
      <c r="M3423" s="68">
        <f>_xlfn.XLOOKUP(Survey!$F3423,sections[Start],sections[Test Section],,-1,1)</f>
        <v>9</v>
      </c>
      <c r="N3423" s="55">
        <f>_xlfn.XLOOKUP(Survey!$K3423,pipedata[ID],pipedata[WT])</f>
        <v>0.61699999999999999</v>
      </c>
      <c r="O3423" s="56">
        <f>_xlfn.XLOOKUP(Survey!$K3423,pipedata[ID],pipedata[104%])</f>
        <v>2138.9333333333334</v>
      </c>
      <c r="P3423" s="57">
        <f t="shared" si="53"/>
        <v>1850</v>
      </c>
      <c r="Q3423" s="58">
        <f>_xlfn.MAXIFS(Survey!$G$2:$G$3647,Survey!$M$2:$M$3647,Survey!$M3423)-Survey!$G3423</f>
        <v>539.89771924853517</v>
      </c>
      <c r="R3423" s="59">
        <f>Survey!$P3423+(Survey!$Q3423*0.433)</f>
        <v>2083.7757124346158</v>
      </c>
    </row>
    <row r="3424" spans="1:18" x14ac:dyDescent="0.25">
      <c r="A3424" s="71" t="s">
        <v>17</v>
      </c>
      <c r="B3424" s="72" t="s">
        <v>23</v>
      </c>
      <c r="C3424" s="73" t="s">
        <v>19</v>
      </c>
      <c r="D3424" s="74">
        <v>252.30978422694872</v>
      </c>
      <c r="E3424" s="81">
        <v>1363769</v>
      </c>
      <c r="F3424" s="82">
        <v>1333243.205882357</v>
      </c>
      <c r="G3424" s="75">
        <v>1512.2789133116435</v>
      </c>
      <c r="H3424" s="76">
        <v>1</v>
      </c>
      <c r="I3424" s="54" t="s">
        <v>20</v>
      </c>
      <c r="J3424" s="77">
        <v>40</v>
      </c>
      <c r="K3424" s="78">
        <v>1</v>
      </c>
      <c r="L3424" s="54">
        <v>1</v>
      </c>
      <c r="M3424" s="54">
        <f>_xlfn.XLOOKUP(Survey!$F3424,sections[Start],sections[Test Section],,-1,1)</f>
        <v>9</v>
      </c>
      <c r="N3424" s="55">
        <f>_xlfn.XLOOKUP(Survey!$K3424,pipedata[ID],pipedata[WT])</f>
        <v>0.61699999999999999</v>
      </c>
      <c r="O3424" s="56">
        <f>_xlfn.XLOOKUP(Survey!$K3424,pipedata[ID],pipedata[104%])</f>
        <v>2138.9333333333334</v>
      </c>
      <c r="P3424" s="57">
        <f t="shared" si="53"/>
        <v>1850</v>
      </c>
      <c r="Q3424" s="58">
        <f>_xlfn.MAXIFS(Survey!$G$2:$G$3647,Survey!$M$2:$M$3647,Survey!$M3424)-Survey!$G3424</f>
        <v>554.06123299377805</v>
      </c>
      <c r="R3424" s="59">
        <f>Survey!$P3424+(Survey!$Q3424*0.433)</f>
        <v>2089.9085138863061</v>
      </c>
    </row>
    <row r="3425" spans="1:18" x14ac:dyDescent="0.25">
      <c r="A3425" s="60" t="s">
        <v>17</v>
      </c>
      <c r="B3425" s="61" t="s">
        <v>23</v>
      </c>
      <c r="C3425" s="62" t="s">
        <v>19</v>
      </c>
      <c r="D3425" s="63">
        <v>252.31676723711018</v>
      </c>
      <c r="E3425" s="79">
        <v>1363809</v>
      </c>
      <c r="F3425" s="80">
        <v>1333281.0441176512</v>
      </c>
      <c r="G3425" s="66">
        <v>1494.91395568653</v>
      </c>
      <c r="H3425" s="67">
        <v>1</v>
      </c>
      <c r="I3425" s="68" t="s">
        <v>20</v>
      </c>
      <c r="J3425" s="69">
        <v>40</v>
      </c>
      <c r="K3425" s="70">
        <v>1</v>
      </c>
      <c r="L3425" s="68">
        <v>1</v>
      </c>
      <c r="M3425" s="68">
        <f>_xlfn.XLOOKUP(Survey!$F3425,sections[Start],sections[Test Section],,-1,1)</f>
        <v>9</v>
      </c>
      <c r="N3425" s="55">
        <f>_xlfn.XLOOKUP(Survey!$K3425,pipedata[ID],pipedata[WT])</f>
        <v>0.61699999999999999</v>
      </c>
      <c r="O3425" s="56">
        <f>_xlfn.XLOOKUP(Survey!$K3425,pipedata[ID],pipedata[104%])</f>
        <v>2138.9333333333334</v>
      </c>
      <c r="P3425" s="57">
        <f t="shared" si="53"/>
        <v>1850</v>
      </c>
      <c r="Q3425" s="58">
        <f>_xlfn.MAXIFS(Survey!$G$2:$G$3647,Survey!$M$2:$M$3647,Survey!$M3425)-Survey!$G3425</f>
        <v>571.4261906188915</v>
      </c>
      <c r="R3425" s="59">
        <f>Survey!$P3425+(Survey!$Q3425*0.433)</f>
        <v>2097.4275405379799</v>
      </c>
    </row>
    <row r="3426" spans="1:18" x14ac:dyDescent="0.25">
      <c r="A3426" s="71" t="s">
        <v>17</v>
      </c>
      <c r="B3426" s="72" t="s">
        <v>23</v>
      </c>
      <c r="C3426" s="73" t="s">
        <v>19</v>
      </c>
      <c r="D3426" s="74">
        <v>252.32288064284114</v>
      </c>
      <c r="E3426" s="81">
        <v>1363849</v>
      </c>
      <c r="F3426" s="82">
        <v>1333318.8823529454</v>
      </c>
      <c r="G3426" s="75">
        <v>1472.3471898375171</v>
      </c>
      <c r="H3426" s="76">
        <v>1</v>
      </c>
      <c r="I3426" s="54" t="s">
        <v>20</v>
      </c>
      <c r="J3426" s="77">
        <v>40</v>
      </c>
      <c r="K3426" s="78">
        <v>1</v>
      </c>
      <c r="L3426" s="54">
        <v>1</v>
      </c>
      <c r="M3426" s="54">
        <f>_xlfn.XLOOKUP(Survey!$F3426,sections[Start],sections[Test Section],,-1,1)</f>
        <v>9</v>
      </c>
      <c r="N3426" s="55">
        <f>_xlfn.XLOOKUP(Survey!$K3426,pipedata[ID],pipedata[WT])</f>
        <v>0.61699999999999999</v>
      </c>
      <c r="O3426" s="56">
        <f>_xlfn.XLOOKUP(Survey!$K3426,pipedata[ID],pipedata[104%])</f>
        <v>2138.9333333333334</v>
      </c>
      <c r="P3426" s="57">
        <f t="shared" si="53"/>
        <v>1850</v>
      </c>
      <c r="Q3426" s="58">
        <f>_xlfn.MAXIFS(Survey!$G$2:$G$3647,Survey!$M$2:$M$3647,Survey!$M3426)-Survey!$G3426</f>
        <v>593.99295646790438</v>
      </c>
      <c r="R3426" s="59">
        <f>Survey!$P3426+(Survey!$Q3426*0.433)</f>
        <v>2107.1989501506027</v>
      </c>
    </row>
    <row r="3427" spans="1:18" x14ac:dyDescent="0.25">
      <c r="A3427" s="60" t="s">
        <v>17</v>
      </c>
      <c r="B3427" s="61" t="s">
        <v>23</v>
      </c>
      <c r="C3427" s="62" t="s">
        <v>19</v>
      </c>
      <c r="D3427" s="63">
        <v>252.3296087825814</v>
      </c>
      <c r="E3427" s="79">
        <v>1363889</v>
      </c>
      <c r="F3427" s="80">
        <v>1333356.7205882396</v>
      </c>
      <c r="G3427" s="66">
        <v>1454.837962980816</v>
      </c>
      <c r="H3427" s="67">
        <v>1</v>
      </c>
      <c r="I3427" s="68" t="s">
        <v>20</v>
      </c>
      <c r="J3427" s="69">
        <v>40</v>
      </c>
      <c r="K3427" s="70">
        <v>1</v>
      </c>
      <c r="L3427" s="68">
        <v>1</v>
      </c>
      <c r="M3427" s="68">
        <f>_xlfn.XLOOKUP(Survey!$F3427,sections[Start],sections[Test Section],,-1,1)</f>
        <v>9</v>
      </c>
      <c r="N3427" s="55">
        <f>_xlfn.XLOOKUP(Survey!$K3427,pipedata[ID],pipedata[WT])</f>
        <v>0.61699999999999999</v>
      </c>
      <c r="O3427" s="56">
        <f>_xlfn.XLOOKUP(Survey!$K3427,pipedata[ID],pipedata[104%])</f>
        <v>2138.9333333333334</v>
      </c>
      <c r="P3427" s="57">
        <f t="shared" si="53"/>
        <v>1850</v>
      </c>
      <c r="Q3427" s="58">
        <f>_xlfn.MAXIFS(Survey!$G$2:$G$3647,Survey!$M$2:$M$3647,Survey!$M3427)-Survey!$G3427</f>
        <v>611.50218332460554</v>
      </c>
      <c r="R3427" s="59">
        <f>Survey!$P3427+(Survey!$Q3427*0.433)</f>
        <v>2114.7804453795543</v>
      </c>
    </row>
    <row r="3428" spans="1:18" x14ac:dyDescent="0.25">
      <c r="A3428" s="71" t="s">
        <v>17</v>
      </c>
      <c r="B3428" s="72" t="s">
        <v>23</v>
      </c>
      <c r="C3428" s="73" t="s">
        <v>19</v>
      </c>
      <c r="D3428" s="74">
        <v>252.33766400596619</v>
      </c>
      <c r="E3428" s="81">
        <v>1363929</v>
      </c>
      <c r="F3428" s="82">
        <v>1333394.5588235338</v>
      </c>
      <c r="G3428" s="75">
        <v>1442.2555370829627</v>
      </c>
      <c r="H3428" s="76">
        <v>1</v>
      </c>
      <c r="I3428" s="54" t="s">
        <v>20</v>
      </c>
      <c r="J3428" s="77">
        <v>40</v>
      </c>
      <c r="K3428" s="78">
        <v>1</v>
      </c>
      <c r="L3428" s="54">
        <v>1</v>
      </c>
      <c r="M3428" s="54">
        <f>_xlfn.XLOOKUP(Survey!$F3428,sections[Start],sections[Test Section],,-1,1)</f>
        <v>9</v>
      </c>
      <c r="N3428" s="55">
        <f>_xlfn.XLOOKUP(Survey!$K3428,pipedata[ID],pipedata[WT])</f>
        <v>0.61699999999999999</v>
      </c>
      <c r="O3428" s="56">
        <f>_xlfn.XLOOKUP(Survey!$K3428,pipedata[ID],pipedata[104%])</f>
        <v>2138.9333333333334</v>
      </c>
      <c r="P3428" s="57">
        <f t="shared" si="53"/>
        <v>1850</v>
      </c>
      <c r="Q3428" s="58">
        <f>_xlfn.MAXIFS(Survey!$G$2:$G$3647,Survey!$M$2:$M$3647,Survey!$M3428)-Survey!$G3428</f>
        <v>624.08460922245877</v>
      </c>
      <c r="R3428" s="59">
        <f>Survey!$P3428+(Survey!$Q3428*0.433)</f>
        <v>2120.2286357933244</v>
      </c>
    </row>
    <row r="3429" spans="1:18" x14ac:dyDescent="0.25">
      <c r="A3429" s="60" t="s">
        <v>17</v>
      </c>
      <c r="B3429" s="61" t="s">
        <v>23</v>
      </c>
      <c r="C3429" s="62" t="s">
        <v>19</v>
      </c>
      <c r="D3429" s="63">
        <v>252.34399973301981</v>
      </c>
      <c r="E3429" s="79">
        <v>1363969</v>
      </c>
      <c r="F3429" s="80">
        <v>1333432.397058828</v>
      </c>
      <c r="G3429" s="66">
        <v>1442.0531915074494</v>
      </c>
      <c r="H3429" s="67">
        <v>1</v>
      </c>
      <c r="I3429" s="68" t="s">
        <v>20</v>
      </c>
      <c r="J3429" s="69">
        <v>40</v>
      </c>
      <c r="K3429" s="70">
        <v>1</v>
      </c>
      <c r="L3429" s="68">
        <v>1</v>
      </c>
      <c r="M3429" s="68">
        <f>_xlfn.XLOOKUP(Survey!$F3429,sections[Start],sections[Test Section],,-1,1)</f>
        <v>9</v>
      </c>
      <c r="N3429" s="55">
        <f>_xlfn.XLOOKUP(Survey!$K3429,pipedata[ID],pipedata[WT])</f>
        <v>0.61699999999999999</v>
      </c>
      <c r="O3429" s="56">
        <f>_xlfn.XLOOKUP(Survey!$K3429,pipedata[ID],pipedata[104%])</f>
        <v>2138.9333333333334</v>
      </c>
      <c r="P3429" s="57">
        <f t="shared" si="53"/>
        <v>1850</v>
      </c>
      <c r="Q3429" s="58">
        <f>_xlfn.MAXIFS(Survey!$G$2:$G$3647,Survey!$M$2:$M$3647,Survey!$M3429)-Survey!$G3429</f>
        <v>624.28695479797216</v>
      </c>
      <c r="R3429" s="59">
        <f>Survey!$P3429+(Survey!$Q3429*0.433)</f>
        <v>2120.3162514275218</v>
      </c>
    </row>
    <row r="3430" spans="1:18" x14ac:dyDescent="0.25">
      <c r="A3430" s="71" t="s">
        <v>17</v>
      </c>
      <c r="B3430" s="72" t="s">
        <v>23</v>
      </c>
      <c r="C3430" s="73" t="s">
        <v>19</v>
      </c>
      <c r="D3430" s="74">
        <v>252.3520062013136</v>
      </c>
      <c r="E3430" s="81">
        <v>1364009</v>
      </c>
      <c r="F3430" s="82">
        <v>1333470.2352941222</v>
      </c>
      <c r="G3430" s="75">
        <v>1452.7343889621645</v>
      </c>
      <c r="H3430" s="76">
        <v>1</v>
      </c>
      <c r="I3430" s="54" t="s">
        <v>20</v>
      </c>
      <c r="J3430" s="77">
        <v>40</v>
      </c>
      <c r="K3430" s="78">
        <v>1</v>
      </c>
      <c r="L3430" s="54">
        <v>1</v>
      </c>
      <c r="M3430" s="54">
        <f>_xlfn.XLOOKUP(Survey!$F3430,sections[Start],sections[Test Section],,-1,1)</f>
        <v>9</v>
      </c>
      <c r="N3430" s="55">
        <f>_xlfn.XLOOKUP(Survey!$K3430,pipedata[ID],pipedata[WT])</f>
        <v>0.61699999999999999</v>
      </c>
      <c r="O3430" s="56">
        <f>_xlfn.XLOOKUP(Survey!$K3430,pipedata[ID],pipedata[104%])</f>
        <v>2138.9333333333334</v>
      </c>
      <c r="P3430" s="57">
        <f t="shared" si="53"/>
        <v>1850</v>
      </c>
      <c r="Q3430" s="58">
        <f>_xlfn.MAXIFS(Survey!$G$2:$G$3647,Survey!$M$2:$M$3647,Survey!$M3430)-Survey!$G3430</f>
        <v>613.60575734325698</v>
      </c>
      <c r="R3430" s="59">
        <f>Survey!$P3430+(Survey!$Q3430*0.433)</f>
        <v>2115.6912929296304</v>
      </c>
    </row>
    <row r="3431" spans="1:18" x14ac:dyDescent="0.25">
      <c r="A3431" s="60" t="s">
        <v>17</v>
      </c>
      <c r="B3431" s="61" t="s">
        <v>23</v>
      </c>
      <c r="C3431" s="62" t="s">
        <v>19</v>
      </c>
      <c r="D3431" s="63">
        <v>252.35901301561924</v>
      </c>
      <c r="E3431" s="79">
        <v>1364049</v>
      </c>
      <c r="F3431" s="80">
        <v>1333508.0735294165</v>
      </c>
      <c r="G3431" s="66">
        <v>1465.8749316472738</v>
      </c>
      <c r="H3431" s="67">
        <v>1</v>
      </c>
      <c r="I3431" s="68" t="s">
        <v>20</v>
      </c>
      <c r="J3431" s="69">
        <v>40</v>
      </c>
      <c r="K3431" s="70">
        <v>1</v>
      </c>
      <c r="L3431" s="68">
        <v>1</v>
      </c>
      <c r="M3431" s="68">
        <f>_xlfn.XLOOKUP(Survey!$F3431,sections[Start],sections[Test Section],,-1,1)</f>
        <v>9</v>
      </c>
      <c r="N3431" s="55">
        <f>_xlfn.XLOOKUP(Survey!$K3431,pipedata[ID],pipedata[WT])</f>
        <v>0.61699999999999999</v>
      </c>
      <c r="O3431" s="56">
        <f>_xlfn.XLOOKUP(Survey!$K3431,pipedata[ID],pipedata[104%])</f>
        <v>2138.9333333333334</v>
      </c>
      <c r="P3431" s="57">
        <f t="shared" si="53"/>
        <v>1850</v>
      </c>
      <c r="Q3431" s="58">
        <f>_xlfn.MAXIFS(Survey!$G$2:$G$3647,Survey!$M$2:$M$3647,Survey!$M3431)-Survey!$G3431</f>
        <v>600.46521465814772</v>
      </c>
      <c r="R3431" s="59">
        <f>Survey!$P3431+(Survey!$Q3431*0.433)</f>
        <v>2110.0014379469781</v>
      </c>
    </row>
    <row r="3432" spans="1:18" x14ac:dyDescent="0.25">
      <c r="A3432" s="71" t="s">
        <v>17</v>
      </c>
      <c r="B3432" s="72" t="s">
        <v>23</v>
      </c>
      <c r="C3432" s="73" t="s">
        <v>19</v>
      </c>
      <c r="D3432" s="74">
        <v>252.36653460086356</v>
      </c>
      <c r="E3432" s="81">
        <v>1364089</v>
      </c>
      <c r="F3432" s="82">
        <v>1333545.9117647107</v>
      </c>
      <c r="G3432" s="75">
        <v>1476.0966200000182</v>
      </c>
      <c r="H3432" s="76">
        <v>1</v>
      </c>
      <c r="I3432" s="54" t="s">
        <v>20</v>
      </c>
      <c r="J3432" s="77">
        <v>40</v>
      </c>
      <c r="K3432" s="78">
        <v>1</v>
      </c>
      <c r="L3432" s="54">
        <v>1</v>
      </c>
      <c r="M3432" s="54">
        <f>_xlfn.XLOOKUP(Survey!$F3432,sections[Start],sections[Test Section],,-1,1)</f>
        <v>9</v>
      </c>
      <c r="N3432" s="55">
        <f>_xlfn.XLOOKUP(Survey!$K3432,pipedata[ID],pipedata[WT])</f>
        <v>0.61699999999999999</v>
      </c>
      <c r="O3432" s="56">
        <f>_xlfn.XLOOKUP(Survey!$K3432,pipedata[ID],pipedata[104%])</f>
        <v>2138.9333333333334</v>
      </c>
      <c r="P3432" s="57">
        <f t="shared" si="53"/>
        <v>1850</v>
      </c>
      <c r="Q3432" s="58">
        <f>_xlfn.MAXIFS(Survey!$G$2:$G$3647,Survey!$M$2:$M$3647,Survey!$M3432)-Survey!$G3432</f>
        <v>590.24352630540329</v>
      </c>
      <c r="R3432" s="59">
        <f>Survey!$P3432+(Survey!$Q3432*0.433)</f>
        <v>2105.5754468902396</v>
      </c>
    </row>
    <row r="3433" spans="1:18" x14ac:dyDescent="0.25">
      <c r="A3433" s="60" t="s">
        <v>17</v>
      </c>
      <c r="B3433" s="61" t="s">
        <v>23</v>
      </c>
      <c r="C3433" s="62" t="s">
        <v>19</v>
      </c>
      <c r="D3433" s="63">
        <v>252.37393405325244</v>
      </c>
      <c r="E3433" s="79">
        <v>1364129</v>
      </c>
      <c r="F3433" s="80">
        <v>1333583.7500000049</v>
      </c>
      <c r="G3433" s="66">
        <v>1472.8619783874569</v>
      </c>
      <c r="H3433" s="67">
        <v>1</v>
      </c>
      <c r="I3433" s="68" t="s">
        <v>20</v>
      </c>
      <c r="J3433" s="69">
        <v>40</v>
      </c>
      <c r="K3433" s="70">
        <v>1</v>
      </c>
      <c r="L3433" s="68">
        <v>1</v>
      </c>
      <c r="M3433" s="68">
        <f>_xlfn.XLOOKUP(Survey!$F3433,sections[Start],sections[Test Section],,-1,1)</f>
        <v>9</v>
      </c>
      <c r="N3433" s="55">
        <f>_xlfn.XLOOKUP(Survey!$K3433,pipedata[ID],pipedata[WT])</f>
        <v>0.61699999999999999</v>
      </c>
      <c r="O3433" s="56">
        <f>_xlfn.XLOOKUP(Survey!$K3433,pipedata[ID],pipedata[104%])</f>
        <v>2138.9333333333334</v>
      </c>
      <c r="P3433" s="57">
        <f t="shared" si="53"/>
        <v>1850</v>
      </c>
      <c r="Q3433" s="58">
        <f>_xlfn.MAXIFS(Survey!$G$2:$G$3647,Survey!$M$2:$M$3647,Survey!$M3433)-Survey!$G3433</f>
        <v>593.47816791796458</v>
      </c>
      <c r="R3433" s="59">
        <f>Survey!$P3433+(Survey!$Q3433*0.433)</f>
        <v>2106.9760467084789</v>
      </c>
    </row>
    <row r="3434" spans="1:18" x14ac:dyDescent="0.25">
      <c r="A3434" s="71" t="s">
        <v>17</v>
      </c>
      <c r="B3434" s="72" t="s">
        <v>23</v>
      </c>
      <c r="C3434" s="73" t="s">
        <v>19</v>
      </c>
      <c r="D3434" s="74">
        <v>252.3816967748345</v>
      </c>
      <c r="E3434" s="81">
        <v>1364169</v>
      </c>
      <c r="F3434" s="82">
        <v>1333621.5882352991</v>
      </c>
      <c r="G3434" s="75">
        <v>1466.0820557328545</v>
      </c>
      <c r="H3434" s="76">
        <v>1</v>
      </c>
      <c r="I3434" s="54" t="s">
        <v>20</v>
      </c>
      <c r="J3434" s="77">
        <v>40</v>
      </c>
      <c r="K3434" s="78">
        <v>1</v>
      </c>
      <c r="L3434" s="54">
        <v>1</v>
      </c>
      <c r="M3434" s="54">
        <f>_xlfn.XLOOKUP(Survey!$F3434,sections[Start],sections[Test Section],,-1,1)</f>
        <v>9</v>
      </c>
      <c r="N3434" s="55">
        <f>_xlfn.XLOOKUP(Survey!$K3434,pipedata[ID],pipedata[WT])</f>
        <v>0.61699999999999999</v>
      </c>
      <c r="O3434" s="56">
        <f>_xlfn.XLOOKUP(Survey!$K3434,pipedata[ID],pipedata[104%])</f>
        <v>2138.9333333333334</v>
      </c>
      <c r="P3434" s="57">
        <f t="shared" si="53"/>
        <v>1850</v>
      </c>
      <c r="Q3434" s="58">
        <f>_xlfn.MAXIFS(Survey!$G$2:$G$3647,Survey!$M$2:$M$3647,Survey!$M3434)-Survey!$G3434</f>
        <v>600.25809057256697</v>
      </c>
      <c r="R3434" s="59">
        <f>Survey!$P3434+(Survey!$Q3434*0.433)</f>
        <v>2109.9117532179216</v>
      </c>
    </row>
    <row r="3435" spans="1:18" x14ac:dyDescent="0.25">
      <c r="A3435" s="60" t="s">
        <v>17</v>
      </c>
      <c r="B3435" s="61" t="s">
        <v>23</v>
      </c>
      <c r="C3435" s="62" t="s">
        <v>19</v>
      </c>
      <c r="D3435" s="63">
        <v>252.38799768520954</v>
      </c>
      <c r="E3435" s="79">
        <v>1364209</v>
      </c>
      <c r="F3435" s="80">
        <v>1333659.4264705933</v>
      </c>
      <c r="G3435" s="66">
        <v>1457.751010410424</v>
      </c>
      <c r="H3435" s="67">
        <v>1</v>
      </c>
      <c r="I3435" s="68" t="s">
        <v>20</v>
      </c>
      <c r="J3435" s="69">
        <v>40</v>
      </c>
      <c r="K3435" s="70">
        <v>1</v>
      </c>
      <c r="L3435" s="68">
        <v>1</v>
      </c>
      <c r="M3435" s="68">
        <f>_xlfn.XLOOKUP(Survey!$F3435,sections[Start],sections[Test Section],,-1,1)</f>
        <v>9</v>
      </c>
      <c r="N3435" s="55">
        <f>_xlfn.XLOOKUP(Survey!$K3435,pipedata[ID],pipedata[WT])</f>
        <v>0.61699999999999999</v>
      </c>
      <c r="O3435" s="56">
        <f>_xlfn.XLOOKUP(Survey!$K3435,pipedata[ID],pipedata[104%])</f>
        <v>2138.9333333333334</v>
      </c>
      <c r="P3435" s="57">
        <f t="shared" si="53"/>
        <v>1850</v>
      </c>
      <c r="Q3435" s="58">
        <f>_xlfn.MAXIFS(Survey!$G$2:$G$3647,Survey!$M$2:$M$3647,Survey!$M3435)-Survey!$G3435</f>
        <v>608.58913589499753</v>
      </c>
      <c r="R3435" s="59">
        <f>Survey!$P3435+(Survey!$Q3435*0.433)</f>
        <v>2113.5190958425337</v>
      </c>
    </row>
    <row r="3436" spans="1:18" x14ac:dyDescent="0.25">
      <c r="A3436" s="71" t="s">
        <v>17</v>
      </c>
      <c r="B3436" s="72" t="s">
        <v>23</v>
      </c>
      <c r="C3436" s="73" t="s">
        <v>19</v>
      </c>
      <c r="D3436" s="74">
        <v>252.39612034247469</v>
      </c>
      <c r="E3436" s="81">
        <v>1364249</v>
      </c>
      <c r="F3436" s="82">
        <v>1333697.2647058875</v>
      </c>
      <c r="G3436" s="75">
        <v>1446.5357306746246</v>
      </c>
      <c r="H3436" s="76">
        <v>1</v>
      </c>
      <c r="I3436" s="54" t="s">
        <v>20</v>
      </c>
      <c r="J3436" s="77">
        <v>40</v>
      </c>
      <c r="K3436" s="78">
        <v>1</v>
      </c>
      <c r="L3436" s="54">
        <v>1</v>
      </c>
      <c r="M3436" s="54">
        <f>_xlfn.XLOOKUP(Survey!$F3436,sections[Start],sections[Test Section],,-1,1)</f>
        <v>9</v>
      </c>
      <c r="N3436" s="55">
        <f>_xlfn.XLOOKUP(Survey!$K3436,pipedata[ID],pipedata[WT])</f>
        <v>0.61699999999999999</v>
      </c>
      <c r="O3436" s="56">
        <f>_xlfn.XLOOKUP(Survey!$K3436,pipedata[ID],pipedata[104%])</f>
        <v>2138.9333333333334</v>
      </c>
      <c r="P3436" s="57">
        <f t="shared" si="53"/>
        <v>1850</v>
      </c>
      <c r="Q3436" s="58">
        <f>_xlfn.MAXIFS(Survey!$G$2:$G$3647,Survey!$M$2:$M$3647,Survey!$M3436)-Survey!$G3436</f>
        <v>619.80441563079694</v>
      </c>
      <c r="R3436" s="59">
        <f>Survey!$P3436+(Survey!$Q3436*0.433)</f>
        <v>2118.3753119681351</v>
      </c>
    </row>
    <row r="3437" spans="1:18" x14ac:dyDescent="0.25">
      <c r="A3437" s="60" t="s">
        <v>17</v>
      </c>
      <c r="B3437" s="61" t="s">
        <v>23</v>
      </c>
      <c r="C3437" s="62" t="s">
        <v>19</v>
      </c>
      <c r="D3437" s="63">
        <v>252.40185992637646</v>
      </c>
      <c r="E3437" s="79">
        <v>1364289</v>
      </c>
      <c r="F3437" s="80">
        <v>1333735.1029411817</v>
      </c>
      <c r="G3437" s="66">
        <v>1444.8611778376569</v>
      </c>
      <c r="H3437" s="67">
        <v>1</v>
      </c>
      <c r="I3437" s="68" t="s">
        <v>20</v>
      </c>
      <c r="J3437" s="69">
        <v>40</v>
      </c>
      <c r="K3437" s="70">
        <v>1</v>
      </c>
      <c r="L3437" s="68">
        <v>1</v>
      </c>
      <c r="M3437" s="68">
        <f>_xlfn.XLOOKUP(Survey!$F3437,sections[Start],sections[Test Section],,-1,1)</f>
        <v>9</v>
      </c>
      <c r="N3437" s="55">
        <f>_xlfn.XLOOKUP(Survey!$K3437,pipedata[ID],pipedata[WT])</f>
        <v>0.61699999999999999</v>
      </c>
      <c r="O3437" s="56">
        <f>_xlfn.XLOOKUP(Survey!$K3437,pipedata[ID],pipedata[104%])</f>
        <v>2138.9333333333334</v>
      </c>
      <c r="P3437" s="57">
        <f t="shared" si="53"/>
        <v>1850</v>
      </c>
      <c r="Q3437" s="58">
        <f>_xlfn.MAXIFS(Survey!$G$2:$G$3647,Survey!$M$2:$M$3647,Survey!$M3437)-Survey!$G3437</f>
        <v>621.47896846776462</v>
      </c>
      <c r="R3437" s="59">
        <f>Survey!$P3437+(Survey!$Q3437*0.433)</f>
        <v>2119.1003933465422</v>
      </c>
    </row>
    <row r="3438" spans="1:18" x14ac:dyDescent="0.25">
      <c r="A3438" s="71" t="s">
        <v>17</v>
      </c>
      <c r="B3438" s="72" t="s">
        <v>23</v>
      </c>
      <c r="C3438" s="73" t="s">
        <v>19</v>
      </c>
      <c r="D3438" s="74">
        <v>252.410050871522</v>
      </c>
      <c r="E3438" s="81">
        <v>1364329</v>
      </c>
      <c r="F3438" s="82">
        <v>1333772.941176476</v>
      </c>
      <c r="G3438" s="75">
        <v>1460.3585500739375</v>
      </c>
      <c r="H3438" s="76">
        <v>1</v>
      </c>
      <c r="I3438" s="54" t="s">
        <v>20</v>
      </c>
      <c r="J3438" s="77">
        <v>40</v>
      </c>
      <c r="K3438" s="78">
        <v>1</v>
      </c>
      <c r="L3438" s="54">
        <v>1</v>
      </c>
      <c r="M3438" s="54">
        <f>_xlfn.XLOOKUP(Survey!$F3438,sections[Start],sections[Test Section],,-1,1)</f>
        <v>9</v>
      </c>
      <c r="N3438" s="55">
        <f>_xlfn.XLOOKUP(Survey!$K3438,pipedata[ID],pipedata[WT])</f>
        <v>0.61699999999999999</v>
      </c>
      <c r="O3438" s="56">
        <f>_xlfn.XLOOKUP(Survey!$K3438,pipedata[ID],pipedata[104%])</f>
        <v>2138.9333333333334</v>
      </c>
      <c r="P3438" s="57">
        <f t="shared" si="53"/>
        <v>1850</v>
      </c>
      <c r="Q3438" s="58">
        <f>_xlfn.MAXIFS(Survey!$G$2:$G$3647,Survey!$M$2:$M$3647,Survey!$M3438)-Survey!$G3438</f>
        <v>605.98159623148399</v>
      </c>
      <c r="R3438" s="59">
        <f>Survey!$P3438+(Survey!$Q3438*0.433)</f>
        <v>2112.3900311682328</v>
      </c>
    </row>
    <row r="3439" spans="1:18" x14ac:dyDescent="0.25">
      <c r="A3439" s="60" t="s">
        <v>17</v>
      </c>
      <c r="B3439" s="61" t="s">
        <v>23</v>
      </c>
      <c r="C3439" s="62" t="s">
        <v>19</v>
      </c>
      <c r="D3439" s="63">
        <v>252.41635178189736</v>
      </c>
      <c r="E3439" s="79">
        <v>1364369</v>
      </c>
      <c r="F3439" s="80">
        <v>1333810.7794117702</v>
      </c>
      <c r="G3439" s="66">
        <v>1473.3210465166717</v>
      </c>
      <c r="H3439" s="67">
        <v>1</v>
      </c>
      <c r="I3439" s="68" t="s">
        <v>20</v>
      </c>
      <c r="J3439" s="69">
        <v>40</v>
      </c>
      <c r="K3439" s="70">
        <v>1</v>
      </c>
      <c r="L3439" s="68">
        <v>1</v>
      </c>
      <c r="M3439" s="68">
        <f>_xlfn.XLOOKUP(Survey!$F3439,sections[Start],sections[Test Section],,-1,1)</f>
        <v>9</v>
      </c>
      <c r="N3439" s="55">
        <f>_xlfn.XLOOKUP(Survey!$K3439,pipedata[ID],pipedata[WT])</f>
        <v>0.61699999999999999</v>
      </c>
      <c r="O3439" s="56">
        <f>_xlfn.XLOOKUP(Survey!$K3439,pipedata[ID],pipedata[104%])</f>
        <v>2138.9333333333334</v>
      </c>
      <c r="P3439" s="57">
        <f t="shared" si="53"/>
        <v>1850</v>
      </c>
      <c r="Q3439" s="58">
        <f>_xlfn.MAXIFS(Survey!$G$2:$G$3647,Survey!$M$2:$M$3647,Survey!$M3439)-Survey!$G3439</f>
        <v>593.01909978874983</v>
      </c>
      <c r="R3439" s="59">
        <f>Survey!$P3439+(Survey!$Q3439*0.433)</f>
        <v>2106.7772702085285</v>
      </c>
    </row>
    <row r="3440" spans="1:18" x14ac:dyDescent="0.25">
      <c r="A3440" s="71" t="s">
        <v>17</v>
      </c>
      <c r="B3440" s="72" t="s">
        <v>23</v>
      </c>
      <c r="C3440" s="73" t="s">
        <v>19</v>
      </c>
      <c r="D3440" s="74">
        <v>252.42438334863633</v>
      </c>
      <c r="E3440" s="81">
        <v>1364409</v>
      </c>
      <c r="F3440" s="82">
        <v>1333848.6176470644</v>
      </c>
      <c r="G3440" s="75">
        <v>1485.008014936112</v>
      </c>
      <c r="H3440" s="76">
        <v>1</v>
      </c>
      <c r="I3440" s="54" t="s">
        <v>20</v>
      </c>
      <c r="J3440" s="77">
        <v>40</v>
      </c>
      <c r="K3440" s="78">
        <v>1</v>
      </c>
      <c r="L3440" s="54">
        <v>1</v>
      </c>
      <c r="M3440" s="54">
        <f>_xlfn.XLOOKUP(Survey!$F3440,sections[Start],sections[Test Section],,-1,1)</f>
        <v>9</v>
      </c>
      <c r="N3440" s="55">
        <f>_xlfn.XLOOKUP(Survey!$K3440,pipedata[ID],pipedata[WT])</f>
        <v>0.61699999999999999</v>
      </c>
      <c r="O3440" s="56">
        <f>_xlfn.XLOOKUP(Survey!$K3440,pipedata[ID],pipedata[104%])</f>
        <v>2138.9333333333334</v>
      </c>
      <c r="P3440" s="57">
        <f t="shared" si="53"/>
        <v>1850</v>
      </c>
      <c r="Q3440" s="58">
        <f>_xlfn.MAXIFS(Survey!$G$2:$G$3647,Survey!$M$2:$M$3647,Survey!$M3440)-Survey!$G3440</f>
        <v>581.33213136930954</v>
      </c>
      <c r="R3440" s="59">
        <f>Survey!$P3440+(Survey!$Q3440*0.433)</f>
        <v>2101.7168128829112</v>
      </c>
    </row>
    <row r="3441" spans="1:18" x14ac:dyDescent="0.25">
      <c r="A3441" s="60" t="s">
        <v>17</v>
      </c>
      <c r="B3441" s="61" t="s">
        <v>23</v>
      </c>
      <c r="C3441" s="62" t="s">
        <v>19</v>
      </c>
      <c r="D3441" s="63">
        <v>252.4319808087329</v>
      </c>
      <c r="E3441" s="79">
        <v>1364449</v>
      </c>
      <c r="F3441" s="80">
        <v>1333886.4558823586</v>
      </c>
      <c r="G3441" s="66">
        <v>1492.2364976132894</v>
      </c>
      <c r="H3441" s="67">
        <v>1</v>
      </c>
      <c r="I3441" s="68" t="s">
        <v>20</v>
      </c>
      <c r="J3441" s="69">
        <v>40</v>
      </c>
      <c r="K3441" s="70">
        <v>1</v>
      </c>
      <c r="L3441" s="68">
        <v>1</v>
      </c>
      <c r="M3441" s="68">
        <f>_xlfn.XLOOKUP(Survey!$F3441,sections[Start],sections[Test Section],,-1,1)</f>
        <v>9</v>
      </c>
      <c r="N3441" s="55">
        <f>_xlfn.XLOOKUP(Survey!$K3441,pipedata[ID],pipedata[WT])</f>
        <v>0.61699999999999999</v>
      </c>
      <c r="O3441" s="56">
        <f>_xlfn.XLOOKUP(Survey!$K3441,pipedata[ID],pipedata[104%])</f>
        <v>2138.9333333333334</v>
      </c>
      <c r="P3441" s="57">
        <f t="shared" si="53"/>
        <v>1850</v>
      </c>
      <c r="Q3441" s="58">
        <f>_xlfn.MAXIFS(Survey!$G$2:$G$3647,Survey!$M$2:$M$3647,Survey!$M3441)-Survey!$G3441</f>
        <v>574.10364869213208</v>
      </c>
      <c r="R3441" s="59">
        <f>Survey!$P3441+(Survey!$Q3441*0.433)</f>
        <v>2098.5868798836932</v>
      </c>
    </row>
    <row r="3442" spans="1:18" x14ac:dyDescent="0.25">
      <c r="A3442" s="71" t="s">
        <v>17</v>
      </c>
      <c r="B3442" s="72" t="s">
        <v>23</v>
      </c>
      <c r="C3442" s="73" t="s">
        <v>19</v>
      </c>
      <c r="D3442" s="74">
        <v>252.43957826882934</v>
      </c>
      <c r="E3442" s="81">
        <v>1364489</v>
      </c>
      <c r="F3442" s="82">
        <v>1333924.2941176528</v>
      </c>
      <c r="G3442" s="75">
        <v>1497.7144499873125</v>
      </c>
      <c r="H3442" s="76">
        <v>1</v>
      </c>
      <c r="I3442" s="54" t="s">
        <v>20</v>
      </c>
      <c r="J3442" s="77">
        <v>40</v>
      </c>
      <c r="K3442" s="78">
        <v>1</v>
      </c>
      <c r="L3442" s="54">
        <v>1</v>
      </c>
      <c r="M3442" s="54">
        <f>_xlfn.XLOOKUP(Survey!$F3442,sections[Start],sections[Test Section],,-1,1)</f>
        <v>9</v>
      </c>
      <c r="N3442" s="55">
        <f>_xlfn.XLOOKUP(Survey!$K3442,pipedata[ID],pipedata[WT])</f>
        <v>0.61699999999999999</v>
      </c>
      <c r="O3442" s="56">
        <f>_xlfn.XLOOKUP(Survey!$K3442,pipedata[ID],pipedata[104%])</f>
        <v>2138.9333333333334</v>
      </c>
      <c r="P3442" s="57">
        <f t="shared" si="53"/>
        <v>1850</v>
      </c>
      <c r="Q3442" s="58">
        <f>_xlfn.MAXIFS(Survey!$G$2:$G$3647,Survey!$M$2:$M$3647,Survey!$M3442)-Survey!$G3442</f>
        <v>568.62569631810902</v>
      </c>
      <c r="R3442" s="59">
        <f>Survey!$P3442+(Survey!$Q3442*0.433)</f>
        <v>2096.214926505741</v>
      </c>
    </row>
    <row r="3443" spans="1:18" x14ac:dyDescent="0.25">
      <c r="A3443" s="60" t="s">
        <v>17</v>
      </c>
      <c r="B3443" s="61" t="s">
        <v>23</v>
      </c>
      <c r="C3443" s="62" t="s">
        <v>19</v>
      </c>
      <c r="D3443" s="63">
        <v>252.4471757289258</v>
      </c>
      <c r="E3443" s="79">
        <v>1364529</v>
      </c>
      <c r="F3443" s="80">
        <v>1333962.132352947</v>
      </c>
      <c r="G3443" s="66">
        <v>1500.9317842534108</v>
      </c>
      <c r="H3443" s="67">
        <v>1</v>
      </c>
      <c r="I3443" s="68" t="s">
        <v>20</v>
      </c>
      <c r="J3443" s="69">
        <v>40</v>
      </c>
      <c r="K3443" s="70">
        <v>1</v>
      </c>
      <c r="L3443" s="68">
        <v>1</v>
      </c>
      <c r="M3443" s="68">
        <f>_xlfn.XLOOKUP(Survey!$F3443,sections[Start],sections[Test Section],,-1,1)</f>
        <v>9</v>
      </c>
      <c r="N3443" s="55">
        <f>_xlfn.XLOOKUP(Survey!$K3443,pipedata[ID],pipedata[WT])</f>
        <v>0.61699999999999999</v>
      </c>
      <c r="O3443" s="56">
        <f>_xlfn.XLOOKUP(Survey!$K3443,pipedata[ID],pipedata[104%])</f>
        <v>2138.9333333333334</v>
      </c>
      <c r="P3443" s="57">
        <f t="shared" si="53"/>
        <v>1850</v>
      </c>
      <c r="Q3443" s="58">
        <f>_xlfn.MAXIFS(Survey!$G$2:$G$3647,Survey!$M$2:$M$3647,Survey!$M3443)-Survey!$G3443</f>
        <v>565.40836205201072</v>
      </c>
      <c r="R3443" s="59">
        <f>Survey!$P3443+(Survey!$Q3443*0.433)</f>
        <v>2094.8218207685204</v>
      </c>
    </row>
    <row r="3444" spans="1:18" x14ac:dyDescent="0.25">
      <c r="A3444" s="71" t="s">
        <v>17</v>
      </c>
      <c r="B3444" s="72" t="s">
        <v>23</v>
      </c>
      <c r="C3444" s="73" t="s">
        <v>19</v>
      </c>
      <c r="D3444" s="74">
        <v>252.45410872638149</v>
      </c>
      <c r="E3444" s="81">
        <v>1364569</v>
      </c>
      <c r="F3444" s="82">
        <v>1333999.9705882412</v>
      </c>
      <c r="G3444" s="75">
        <v>1504.1266770436057</v>
      </c>
      <c r="H3444" s="76">
        <v>1</v>
      </c>
      <c r="I3444" s="54" t="s">
        <v>20</v>
      </c>
      <c r="J3444" s="77">
        <v>40</v>
      </c>
      <c r="K3444" s="78">
        <v>1</v>
      </c>
      <c r="L3444" s="54">
        <v>1</v>
      </c>
      <c r="M3444" s="54">
        <f>_xlfn.XLOOKUP(Survey!$F3444,sections[Start],sections[Test Section],,-1,1)</f>
        <v>9</v>
      </c>
      <c r="N3444" s="55">
        <f>_xlfn.XLOOKUP(Survey!$K3444,pipedata[ID],pipedata[WT])</f>
        <v>0.61699999999999999</v>
      </c>
      <c r="O3444" s="56">
        <f>_xlfn.XLOOKUP(Survey!$K3444,pipedata[ID],pipedata[104%])</f>
        <v>2138.9333333333334</v>
      </c>
      <c r="P3444" s="57">
        <f t="shared" si="53"/>
        <v>1850</v>
      </c>
      <c r="Q3444" s="58">
        <f>_xlfn.MAXIFS(Survey!$G$2:$G$3647,Survey!$M$2:$M$3647,Survey!$M3444)-Survey!$G3444</f>
        <v>562.21346926181582</v>
      </c>
      <c r="R3444" s="59">
        <f>Survey!$P3444+(Survey!$Q3444*0.433)</f>
        <v>2093.4384321903663</v>
      </c>
    </row>
    <row r="3445" spans="1:18" x14ac:dyDescent="0.25">
      <c r="A3445" s="60" t="s">
        <v>17</v>
      </c>
      <c r="B3445" s="61" t="s">
        <v>23</v>
      </c>
      <c r="C3445" s="62" t="s">
        <v>19</v>
      </c>
      <c r="D3445" s="63">
        <v>252.46090673022823</v>
      </c>
      <c r="E3445" s="79">
        <v>1364609</v>
      </c>
      <c r="F3445" s="80">
        <v>1334037.8088235355</v>
      </c>
      <c r="G3445" s="66">
        <v>1510.1303956763168</v>
      </c>
      <c r="H3445" s="67">
        <v>1</v>
      </c>
      <c r="I3445" s="68" t="s">
        <v>20</v>
      </c>
      <c r="J3445" s="69">
        <v>40</v>
      </c>
      <c r="K3445" s="70">
        <v>1</v>
      </c>
      <c r="L3445" s="68">
        <v>1</v>
      </c>
      <c r="M3445" s="68">
        <f>_xlfn.XLOOKUP(Survey!$F3445,sections[Start],sections[Test Section],,-1,1)</f>
        <v>9</v>
      </c>
      <c r="N3445" s="55">
        <f>_xlfn.XLOOKUP(Survey!$K3445,pipedata[ID],pipedata[WT])</f>
        <v>0.61699999999999999</v>
      </c>
      <c r="O3445" s="56">
        <f>_xlfn.XLOOKUP(Survey!$K3445,pipedata[ID],pipedata[104%])</f>
        <v>2138.9333333333334</v>
      </c>
      <c r="P3445" s="57">
        <f t="shared" si="53"/>
        <v>1850</v>
      </c>
      <c r="Q3445" s="58">
        <f>_xlfn.MAXIFS(Survey!$G$2:$G$3647,Survey!$M$2:$M$3647,Survey!$M3445)-Survey!$G3445</f>
        <v>556.20975062910475</v>
      </c>
      <c r="R3445" s="59">
        <f>Survey!$P3445+(Survey!$Q3445*0.433)</f>
        <v>2090.8388220224024</v>
      </c>
    </row>
    <row r="3446" spans="1:18" x14ac:dyDescent="0.25">
      <c r="A3446" s="71" t="s">
        <v>17</v>
      </c>
      <c r="B3446" s="72" t="s">
        <v>23</v>
      </c>
      <c r="C3446" s="73" t="s">
        <v>19</v>
      </c>
      <c r="D3446" s="74">
        <v>252.46880296805497</v>
      </c>
      <c r="E3446" s="81">
        <v>1364649</v>
      </c>
      <c r="F3446" s="82">
        <v>1334075.6470588297</v>
      </c>
      <c r="G3446" s="75">
        <v>1515.9199146512003</v>
      </c>
      <c r="H3446" s="76">
        <v>1</v>
      </c>
      <c r="I3446" s="54" t="s">
        <v>20</v>
      </c>
      <c r="J3446" s="77">
        <v>40</v>
      </c>
      <c r="K3446" s="78">
        <v>1</v>
      </c>
      <c r="L3446" s="54">
        <v>1</v>
      </c>
      <c r="M3446" s="54">
        <f>_xlfn.XLOOKUP(Survey!$F3446,sections[Start],sections[Test Section],,-1,1)</f>
        <v>9</v>
      </c>
      <c r="N3446" s="55">
        <f>_xlfn.XLOOKUP(Survey!$K3446,pipedata[ID],pipedata[WT])</f>
        <v>0.61699999999999999</v>
      </c>
      <c r="O3446" s="56">
        <f>_xlfn.XLOOKUP(Survey!$K3446,pipedata[ID],pipedata[104%])</f>
        <v>2138.9333333333334</v>
      </c>
      <c r="P3446" s="57">
        <f t="shared" si="53"/>
        <v>1850</v>
      </c>
      <c r="Q3446" s="58">
        <f>_xlfn.MAXIFS(Survey!$G$2:$G$3647,Survey!$M$2:$M$3647,Survey!$M3446)-Survey!$G3446</f>
        <v>550.4202316542212</v>
      </c>
      <c r="R3446" s="59">
        <f>Survey!$P3446+(Survey!$Q3446*0.433)</f>
        <v>2088.3319603062778</v>
      </c>
    </row>
    <row r="3447" spans="1:18" x14ac:dyDescent="0.25">
      <c r="A3447" s="60" t="s">
        <v>17</v>
      </c>
      <c r="B3447" s="61" t="s">
        <v>23</v>
      </c>
      <c r="C3447" s="62" t="s">
        <v>19</v>
      </c>
      <c r="D3447" s="63">
        <v>252.47723649186256</v>
      </c>
      <c r="E3447" s="79">
        <v>1364689</v>
      </c>
      <c r="F3447" s="80">
        <v>1334113.4852941239</v>
      </c>
      <c r="G3447" s="66">
        <v>1522.1505011968686</v>
      </c>
      <c r="H3447" s="67">
        <v>1</v>
      </c>
      <c r="I3447" s="68" t="s">
        <v>20</v>
      </c>
      <c r="J3447" s="69">
        <v>40</v>
      </c>
      <c r="K3447" s="70">
        <v>1</v>
      </c>
      <c r="L3447" s="68">
        <v>1</v>
      </c>
      <c r="M3447" s="68">
        <f>_xlfn.XLOOKUP(Survey!$F3447,sections[Start],sections[Test Section],,-1,1)</f>
        <v>9</v>
      </c>
      <c r="N3447" s="55">
        <f>_xlfn.XLOOKUP(Survey!$K3447,pipedata[ID],pipedata[WT])</f>
        <v>0.61699999999999999</v>
      </c>
      <c r="O3447" s="56">
        <f>_xlfn.XLOOKUP(Survey!$K3447,pipedata[ID],pipedata[104%])</f>
        <v>2138.9333333333334</v>
      </c>
      <c r="P3447" s="57">
        <f t="shared" si="53"/>
        <v>1850</v>
      </c>
      <c r="Q3447" s="58">
        <f>_xlfn.MAXIFS(Survey!$G$2:$G$3647,Survey!$M$2:$M$3647,Survey!$M3447)-Survey!$G3447</f>
        <v>544.1896451085529</v>
      </c>
      <c r="R3447" s="59">
        <f>Survey!$P3447+(Survey!$Q3447*0.433)</f>
        <v>2085.6341163320035</v>
      </c>
    </row>
    <row r="3448" spans="1:18" x14ac:dyDescent="0.25">
      <c r="A3448" s="71" t="s">
        <v>17</v>
      </c>
      <c r="B3448" s="72" t="s">
        <v>23</v>
      </c>
      <c r="C3448" s="73" t="s">
        <v>19</v>
      </c>
      <c r="D3448" s="74">
        <v>252.48459544370849</v>
      </c>
      <c r="E3448" s="81">
        <v>1364729</v>
      </c>
      <c r="F3448" s="82">
        <v>1334151.3235294181</v>
      </c>
      <c r="G3448" s="75">
        <v>1528.0389843035528</v>
      </c>
      <c r="H3448" s="76">
        <v>1</v>
      </c>
      <c r="I3448" s="54" t="s">
        <v>20</v>
      </c>
      <c r="J3448" s="77">
        <v>40</v>
      </c>
      <c r="K3448" s="78">
        <v>1</v>
      </c>
      <c r="L3448" s="54">
        <v>1</v>
      </c>
      <c r="M3448" s="54">
        <f>_xlfn.XLOOKUP(Survey!$F3448,sections[Start],sections[Test Section],,-1,1)</f>
        <v>9</v>
      </c>
      <c r="N3448" s="55">
        <f>_xlfn.XLOOKUP(Survey!$K3448,pipedata[ID],pipedata[WT])</f>
        <v>0.61699999999999999</v>
      </c>
      <c r="O3448" s="56">
        <f>_xlfn.XLOOKUP(Survey!$K3448,pipedata[ID],pipedata[104%])</f>
        <v>2138.9333333333334</v>
      </c>
      <c r="P3448" s="57">
        <f t="shared" si="53"/>
        <v>1850</v>
      </c>
      <c r="Q3448" s="58">
        <f>_xlfn.MAXIFS(Survey!$G$2:$G$3647,Survey!$M$2:$M$3647,Survey!$M3448)-Survey!$G3448</f>
        <v>538.30116200186876</v>
      </c>
      <c r="R3448" s="59">
        <f>Survey!$P3448+(Survey!$Q3448*0.433)</f>
        <v>2083.0844031468091</v>
      </c>
    </row>
    <row r="3449" spans="1:18" x14ac:dyDescent="0.25">
      <c r="A3449" s="60" t="s">
        <v>17</v>
      </c>
      <c r="B3449" s="61" t="s">
        <v>23</v>
      </c>
      <c r="C3449" s="62" t="s">
        <v>19</v>
      </c>
      <c r="D3449" s="63">
        <v>252.49066854785815</v>
      </c>
      <c r="E3449" s="79">
        <v>1364769</v>
      </c>
      <c r="F3449" s="80">
        <v>1334189.1617647123</v>
      </c>
      <c r="G3449" s="66">
        <v>1535.0624761309327</v>
      </c>
      <c r="H3449" s="67">
        <v>1</v>
      </c>
      <c r="I3449" s="68" t="s">
        <v>20</v>
      </c>
      <c r="J3449" s="69">
        <v>10</v>
      </c>
      <c r="K3449" s="70">
        <v>1</v>
      </c>
      <c r="L3449" s="68">
        <v>1</v>
      </c>
      <c r="M3449" s="68">
        <f>_xlfn.XLOOKUP(Survey!$F3449,sections[Start],sections[Test Section],,-1,1)</f>
        <v>9</v>
      </c>
      <c r="N3449" s="55">
        <f>_xlfn.XLOOKUP(Survey!$K3449,pipedata[ID],pipedata[WT])</f>
        <v>0.61699999999999999</v>
      </c>
      <c r="O3449" s="56">
        <f>_xlfn.XLOOKUP(Survey!$K3449,pipedata[ID],pipedata[104%])</f>
        <v>2138.9333333333334</v>
      </c>
      <c r="P3449" s="57">
        <f t="shared" si="53"/>
        <v>1850</v>
      </c>
      <c r="Q3449" s="58">
        <f>_xlfn.MAXIFS(Survey!$G$2:$G$3647,Survey!$M$2:$M$3647,Survey!$M3449)-Survey!$G3449</f>
        <v>531.27767017448878</v>
      </c>
      <c r="R3449" s="59">
        <f>Survey!$P3449+(Survey!$Q3449*0.433)</f>
        <v>2080.0432311855539</v>
      </c>
    </row>
    <row r="3450" spans="1:18" x14ac:dyDescent="0.25">
      <c r="A3450" s="71" t="s">
        <v>17</v>
      </c>
      <c r="B3450" s="72" t="s">
        <v>23</v>
      </c>
      <c r="C3450" s="73" t="s">
        <v>19</v>
      </c>
      <c r="D3450" s="74">
        <v>252.49884234606986</v>
      </c>
      <c r="E3450" s="81">
        <v>1364779</v>
      </c>
      <c r="F3450" s="82">
        <v>1334227</v>
      </c>
      <c r="G3450" s="75">
        <v>1540.4593930575531</v>
      </c>
      <c r="H3450" s="76">
        <v>2</v>
      </c>
      <c r="I3450" s="54" t="s">
        <v>21</v>
      </c>
      <c r="J3450" s="77">
        <v>70</v>
      </c>
      <c r="K3450" s="78">
        <v>4</v>
      </c>
      <c r="L3450" s="54">
        <v>1</v>
      </c>
      <c r="M3450" s="54">
        <f>_xlfn.XLOOKUP(Survey!$F3450,sections[Start],sections[Test Section],,-1,1)</f>
        <v>9</v>
      </c>
      <c r="N3450" s="55">
        <f>_xlfn.XLOOKUP(Survey!$K3450,pipedata[ID],pipedata[WT])</f>
        <v>0.74</v>
      </c>
      <c r="O3450" s="56">
        <f>_xlfn.XLOOKUP(Survey!$K3450,pipedata[ID],pipedata[104%])</f>
        <v>2565.3333333333335</v>
      </c>
      <c r="P3450" s="57">
        <f t="shared" si="53"/>
        <v>1850</v>
      </c>
      <c r="Q3450" s="58">
        <f>_xlfn.MAXIFS(Survey!$G$2:$G$3647,Survey!$M$2:$M$3647,Survey!$M3450)-Survey!$G3450</f>
        <v>525.88075324786837</v>
      </c>
      <c r="R3450" s="59">
        <f>Survey!$P3450+(Survey!$Q3450*0.433)</f>
        <v>2077.706366156327</v>
      </c>
    </row>
    <row r="3451" spans="1:18" x14ac:dyDescent="0.25">
      <c r="A3451" s="60" t="s">
        <v>17</v>
      </c>
      <c r="B3451" s="61" t="s">
        <v>23</v>
      </c>
      <c r="C3451" s="62" t="s">
        <v>19</v>
      </c>
      <c r="D3451" s="63">
        <v>252.5067189214609</v>
      </c>
      <c r="E3451" s="79">
        <v>1364849</v>
      </c>
      <c r="F3451" s="80">
        <v>1334267</v>
      </c>
      <c r="G3451" s="66">
        <v>1550.4240083435598</v>
      </c>
      <c r="H3451" s="67">
        <v>2</v>
      </c>
      <c r="I3451" s="68" t="s">
        <v>21</v>
      </c>
      <c r="J3451" s="69">
        <v>10</v>
      </c>
      <c r="K3451" s="70">
        <v>4</v>
      </c>
      <c r="L3451" s="68">
        <v>1</v>
      </c>
      <c r="M3451" s="68">
        <f>_xlfn.XLOOKUP(Survey!$F3451,sections[Start],sections[Test Section],,-1,1)</f>
        <v>9</v>
      </c>
      <c r="N3451" s="55">
        <f>_xlfn.XLOOKUP(Survey!$K3451,pipedata[ID],pipedata[WT])</f>
        <v>0.74</v>
      </c>
      <c r="O3451" s="56">
        <f>_xlfn.XLOOKUP(Survey!$K3451,pipedata[ID],pipedata[104%])</f>
        <v>2565.3333333333335</v>
      </c>
      <c r="P3451" s="57">
        <f t="shared" si="53"/>
        <v>1850</v>
      </c>
      <c r="Q3451" s="58">
        <f>_xlfn.MAXIFS(Survey!$G$2:$G$3647,Survey!$M$2:$M$3647,Survey!$M3451)-Survey!$G3451</f>
        <v>515.91613796186175</v>
      </c>
      <c r="R3451" s="59">
        <f>Survey!$P3451+(Survey!$Q3451*0.433)</f>
        <v>2073.3916877374863</v>
      </c>
    </row>
    <row r="3452" spans="1:18" x14ac:dyDescent="0.25">
      <c r="A3452" s="71" t="s">
        <v>17</v>
      </c>
      <c r="B3452" s="72" t="s">
        <v>23</v>
      </c>
      <c r="C3452" s="73" t="s">
        <v>19</v>
      </c>
      <c r="D3452" s="74">
        <v>252.5139105353702</v>
      </c>
      <c r="E3452" s="81">
        <v>1364859</v>
      </c>
      <c r="F3452" s="82">
        <v>1334307</v>
      </c>
      <c r="G3452" s="75">
        <v>1555.4357347783166</v>
      </c>
      <c r="H3452" s="76">
        <v>3</v>
      </c>
      <c r="I3452" s="54" t="s">
        <v>20</v>
      </c>
      <c r="J3452" s="77">
        <v>70</v>
      </c>
      <c r="K3452" s="78">
        <v>3</v>
      </c>
      <c r="L3452" s="54">
        <v>1</v>
      </c>
      <c r="M3452" s="54">
        <f>_xlfn.XLOOKUP(Survey!$F3452,sections[Start],sections[Test Section],,-1,1)</f>
        <v>9</v>
      </c>
      <c r="N3452" s="55">
        <f>_xlfn.XLOOKUP(Survey!$K3452,pipedata[ID],pipedata[WT])</f>
        <v>0.88800000000000001</v>
      </c>
      <c r="O3452" s="56">
        <f>_xlfn.XLOOKUP(Survey!$K3452,pipedata[ID],pipedata[104%])</f>
        <v>3078.4</v>
      </c>
      <c r="P3452" s="57">
        <f t="shared" si="53"/>
        <v>1850</v>
      </c>
      <c r="Q3452" s="58">
        <f>_xlfn.MAXIFS(Survey!$G$2:$G$3647,Survey!$M$2:$M$3647,Survey!$M3452)-Survey!$G3452</f>
        <v>510.90441152710491</v>
      </c>
      <c r="R3452" s="59">
        <f>Survey!$P3452+(Survey!$Q3452*0.433)</f>
        <v>2071.2216101912363</v>
      </c>
    </row>
    <row r="3453" spans="1:18" x14ac:dyDescent="0.25">
      <c r="A3453" s="60" t="s">
        <v>17</v>
      </c>
      <c r="B3453" s="61" t="s">
        <v>23</v>
      </c>
      <c r="C3453" s="62" t="s">
        <v>19</v>
      </c>
      <c r="D3453" s="63">
        <v>252.52183523703002</v>
      </c>
      <c r="E3453" s="79">
        <v>1364929</v>
      </c>
      <c r="F3453" s="80">
        <v>1334334.4761948329</v>
      </c>
      <c r="G3453" s="66">
        <v>1555.479215641087</v>
      </c>
      <c r="H3453" s="67">
        <v>3</v>
      </c>
      <c r="I3453" s="68" t="s">
        <v>20</v>
      </c>
      <c r="J3453" s="69">
        <v>10</v>
      </c>
      <c r="K3453" s="70">
        <v>3</v>
      </c>
      <c r="L3453" s="68">
        <v>1</v>
      </c>
      <c r="M3453" s="68">
        <f>_xlfn.XLOOKUP(Survey!$F3453,sections[Start],sections[Test Section],,-1,1)</f>
        <v>9</v>
      </c>
      <c r="N3453" s="55">
        <f>_xlfn.XLOOKUP(Survey!$K3453,pipedata[ID],pipedata[WT])</f>
        <v>0.88800000000000001</v>
      </c>
      <c r="O3453" s="56">
        <f>_xlfn.XLOOKUP(Survey!$K3453,pipedata[ID],pipedata[104%])</f>
        <v>3078.4</v>
      </c>
      <c r="P3453" s="57">
        <f t="shared" si="53"/>
        <v>1850</v>
      </c>
      <c r="Q3453" s="58">
        <f>_xlfn.MAXIFS(Survey!$G$2:$G$3647,Survey!$M$2:$M$3647,Survey!$M3453)-Survey!$G3453</f>
        <v>510.86093066433455</v>
      </c>
      <c r="R3453" s="59">
        <f>Survey!$P3453+(Survey!$Q3453*0.433)</f>
        <v>2071.2027829776571</v>
      </c>
    </row>
    <row r="3454" spans="1:18" x14ac:dyDescent="0.25">
      <c r="A3454" s="71" t="s">
        <v>17</v>
      </c>
      <c r="B3454" s="72" t="s">
        <v>23</v>
      </c>
      <c r="C3454" s="73" t="s">
        <v>19</v>
      </c>
      <c r="D3454" s="74">
        <v>252.52934704349738</v>
      </c>
      <c r="E3454" s="81">
        <v>1364939</v>
      </c>
      <c r="F3454" s="82">
        <v>1334361.9523896661</v>
      </c>
      <c r="G3454" s="75">
        <v>1555.3947293144186</v>
      </c>
      <c r="H3454" s="76">
        <v>2</v>
      </c>
      <c r="I3454" s="54" t="s">
        <v>20</v>
      </c>
      <c r="J3454" s="77">
        <v>40</v>
      </c>
      <c r="K3454" s="78">
        <v>2</v>
      </c>
      <c r="L3454" s="54">
        <v>1</v>
      </c>
      <c r="M3454" s="54">
        <f>_xlfn.XLOOKUP(Survey!$F3454,sections[Start],sections[Test Section],,-1,1)</f>
        <v>9</v>
      </c>
      <c r="N3454" s="55">
        <f>_xlfn.XLOOKUP(Survey!$K3454,pipedata[ID],pipedata[WT])</f>
        <v>0.74</v>
      </c>
      <c r="O3454" s="56">
        <f>_xlfn.XLOOKUP(Survey!$K3454,pipedata[ID],pipedata[104%])</f>
        <v>2565.3333333333335</v>
      </c>
      <c r="P3454" s="57">
        <f t="shared" si="53"/>
        <v>1850</v>
      </c>
      <c r="Q3454" s="58">
        <f>_xlfn.MAXIFS(Survey!$G$2:$G$3647,Survey!$M$2:$M$3647,Survey!$M3454)-Survey!$G3454</f>
        <v>510.94541699100296</v>
      </c>
      <c r="R3454" s="59">
        <f>Survey!$P3454+(Survey!$Q3454*0.433)</f>
        <v>2071.2393655571041</v>
      </c>
    </row>
    <row r="3455" spans="1:18" x14ac:dyDescent="0.25">
      <c r="A3455" s="60" t="s">
        <v>17</v>
      </c>
      <c r="B3455" s="61" t="s">
        <v>23</v>
      </c>
      <c r="C3455" s="62" t="s">
        <v>19</v>
      </c>
      <c r="D3455" s="63">
        <v>252.5371389564917</v>
      </c>
      <c r="E3455" s="79">
        <v>1364979</v>
      </c>
      <c r="F3455" s="80">
        <v>1334427</v>
      </c>
      <c r="G3455" s="66">
        <v>1550.8398993597998</v>
      </c>
      <c r="H3455" s="67">
        <v>1</v>
      </c>
      <c r="I3455" s="68" t="s">
        <v>20</v>
      </c>
      <c r="J3455" s="69">
        <v>70</v>
      </c>
      <c r="K3455" s="70">
        <v>2</v>
      </c>
      <c r="L3455" s="68">
        <v>1</v>
      </c>
      <c r="M3455" s="68">
        <f>_xlfn.XLOOKUP(Survey!$F3455,sections[Start],sections[Test Section],,-1,1)</f>
        <v>9</v>
      </c>
      <c r="N3455" s="55">
        <f>_xlfn.XLOOKUP(Survey!$K3455,pipedata[ID],pipedata[WT])</f>
        <v>0.74</v>
      </c>
      <c r="O3455" s="56">
        <f>_xlfn.XLOOKUP(Survey!$K3455,pipedata[ID],pipedata[104%])</f>
        <v>2565.3333333333335</v>
      </c>
      <c r="P3455" s="57">
        <f t="shared" si="53"/>
        <v>1850</v>
      </c>
      <c r="Q3455" s="58">
        <f>_xlfn.MAXIFS(Survey!$G$2:$G$3647,Survey!$M$2:$M$3647,Survey!$M3455)-Survey!$G3455</f>
        <v>515.50024694562171</v>
      </c>
      <c r="R3455" s="59">
        <f>Survey!$P3455+(Survey!$Q3455*0.433)</f>
        <v>2073.2116069274543</v>
      </c>
    </row>
    <row r="3456" spans="1:18" x14ac:dyDescent="0.25">
      <c r="A3456" s="71" t="s">
        <v>17</v>
      </c>
      <c r="B3456" s="72" t="s">
        <v>23</v>
      </c>
      <c r="C3456" s="73" t="s">
        <v>19</v>
      </c>
      <c r="D3456" s="74">
        <v>252.54331945047193</v>
      </c>
      <c r="E3456" s="81">
        <v>1365049</v>
      </c>
      <c r="F3456" s="82">
        <v>1334466.8999999999</v>
      </c>
      <c r="G3456" s="75">
        <v>1541.7756382440216</v>
      </c>
      <c r="H3456" s="76">
        <v>1</v>
      </c>
      <c r="I3456" s="54" t="s">
        <v>20</v>
      </c>
      <c r="J3456" s="77">
        <v>40</v>
      </c>
      <c r="K3456" s="78">
        <v>1</v>
      </c>
      <c r="L3456" s="54">
        <v>1</v>
      </c>
      <c r="M3456" s="54">
        <f>_xlfn.XLOOKUP(Survey!$F3456,sections[Start],sections[Test Section],,-1,1)</f>
        <v>9</v>
      </c>
      <c r="N3456" s="55">
        <f>_xlfn.XLOOKUP(Survey!$K3456,pipedata[ID],pipedata[WT])</f>
        <v>0.61699999999999999</v>
      </c>
      <c r="O3456" s="56">
        <f>_xlfn.XLOOKUP(Survey!$K3456,pipedata[ID],pipedata[104%])</f>
        <v>2138.9333333333334</v>
      </c>
      <c r="P3456" s="57">
        <f t="shared" si="53"/>
        <v>1850</v>
      </c>
      <c r="Q3456" s="58">
        <f>_xlfn.MAXIFS(Survey!$G$2:$G$3647,Survey!$M$2:$M$3647,Survey!$M3456)-Survey!$G3456</f>
        <v>524.56450806139992</v>
      </c>
      <c r="R3456" s="59">
        <f>Survey!$P3456+(Survey!$Q3456*0.433)</f>
        <v>2077.1364319905861</v>
      </c>
    </row>
    <row r="3457" spans="1:18" x14ac:dyDescent="0.25">
      <c r="A3457" s="60" t="s">
        <v>17</v>
      </c>
      <c r="B3457" s="61" t="s">
        <v>23</v>
      </c>
      <c r="C3457" s="62" t="s">
        <v>19</v>
      </c>
      <c r="D3457" s="63">
        <v>252.55141643086478</v>
      </c>
      <c r="E3457" s="79">
        <v>1365089</v>
      </c>
      <c r="F3457" s="80">
        <v>1334506.7999999998</v>
      </c>
      <c r="G3457" s="66">
        <v>1531.2792003886698</v>
      </c>
      <c r="H3457" s="67">
        <v>1</v>
      </c>
      <c r="I3457" s="68" t="s">
        <v>20</v>
      </c>
      <c r="J3457" s="69">
        <v>40</v>
      </c>
      <c r="K3457" s="70">
        <v>1</v>
      </c>
      <c r="L3457" s="68">
        <v>1</v>
      </c>
      <c r="M3457" s="68">
        <f>_xlfn.XLOOKUP(Survey!$F3457,sections[Start],sections[Test Section],,-1,1)</f>
        <v>9</v>
      </c>
      <c r="N3457" s="55">
        <f>_xlfn.XLOOKUP(Survey!$K3457,pipedata[ID],pipedata[WT])</f>
        <v>0.61699999999999999</v>
      </c>
      <c r="O3457" s="56">
        <f>_xlfn.XLOOKUP(Survey!$K3457,pipedata[ID],pipedata[104%])</f>
        <v>2138.9333333333334</v>
      </c>
      <c r="P3457" s="57">
        <f t="shared" si="53"/>
        <v>1850</v>
      </c>
      <c r="Q3457" s="58">
        <f>_xlfn.MAXIFS(Survey!$G$2:$G$3647,Survey!$M$2:$M$3647,Survey!$M3457)-Survey!$G3457</f>
        <v>535.06094591675173</v>
      </c>
      <c r="R3457" s="59">
        <f>Survey!$P3457+(Survey!$Q3457*0.433)</f>
        <v>2081.6813895819537</v>
      </c>
    </row>
    <row r="3458" spans="1:18" x14ac:dyDescent="0.25">
      <c r="A3458" s="71" t="s">
        <v>17</v>
      </c>
      <c r="B3458" s="72" t="s">
        <v>23</v>
      </c>
      <c r="C3458" s="73" t="s">
        <v>19</v>
      </c>
      <c r="D3458" s="74">
        <v>252.5585667172258</v>
      </c>
      <c r="E3458" s="81">
        <v>1365129</v>
      </c>
      <c r="F3458" s="82">
        <v>1334546.6999999997</v>
      </c>
      <c r="G3458" s="75">
        <v>1528.1648481129894</v>
      </c>
      <c r="H3458" s="76">
        <v>1</v>
      </c>
      <c r="I3458" s="54" t="s">
        <v>20</v>
      </c>
      <c r="J3458" s="77">
        <v>40</v>
      </c>
      <c r="K3458" s="78">
        <v>1</v>
      </c>
      <c r="L3458" s="54">
        <v>1</v>
      </c>
      <c r="M3458" s="54">
        <f>_xlfn.XLOOKUP(Survey!$F3458,sections[Start],sections[Test Section],,-1,1)</f>
        <v>9</v>
      </c>
      <c r="N3458" s="55">
        <f>_xlfn.XLOOKUP(Survey!$K3458,pipedata[ID],pipedata[WT])</f>
        <v>0.61699999999999999</v>
      </c>
      <c r="O3458" s="56">
        <f>_xlfn.XLOOKUP(Survey!$K3458,pipedata[ID],pipedata[104%])</f>
        <v>2138.9333333333334</v>
      </c>
      <c r="P3458" s="57">
        <f t="shared" ref="P3458:P3521" si="54">IF(L3458=1,1850,IF(L3458=2,1850,2220))</f>
        <v>1850</v>
      </c>
      <c r="Q3458" s="58">
        <f>_xlfn.MAXIFS(Survey!$G$2:$G$3647,Survey!$M$2:$M$3647,Survey!$M3458)-Survey!$G3458</f>
        <v>538.17529819243214</v>
      </c>
      <c r="R3458" s="59">
        <f>Survey!$P3458+(Survey!$Q3458*0.433)</f>
        <v>2083.029904117323</v>
      </c>
    </row>
    <row r="3459" spans="1:18" x14ac:dyDescent="0.25">
      <c r="A3459" s="60" t="s">
        <v>17</v>
      </c>
      <c r="B3459" s="61" t="s">
        <v>23</v>
      </c>
      <c r="C3459" s="62" t="s">
        <v>19</v>
      </c>
      <c r="D3459" s="63">
        <v>252.56635863021984</v>
      </c>
      <c r="E3459" s="79">
        <v>1365169</v>
      </c>
      <c r="F3459" s="80">
        <v>1334586.5999999996</v>
      </c>
      <c r="G3459" s="66">
        <v>1528.3280121135351</v>
      </c>
      <c r="H3459" s="67">
        <v>1</v>
      </c>
      <c r="I3459" s="68" t="s">
        <v>20</v>
      </c>
      <c r="J3459" s="69">
        <v>40</v>
      </c>
      <c r="K3459" s="70">
        <v>1</v>
      </c>
      <c r="L3459" s="68">
        <v>1</v>
      </c>
      <c r="M3459" s="68">
        <f>_xlfn.XLOOKUP(Survey!$F3459,sections[Start],sections[Test Section],,-1,1)</f>
        <v>9</v>
      </c>
      <c r="N3459" s="55">
        <f>_xlfn.XLOOKUP(Survey!$K3459,pipedata[ID],pipedata[WT])</f>
        <v>0.61699999999999999</v>
      </c>
      <c r="O3459" s="56">
        <f>_xlfn.XLOOKUP(Survey!$K3459,pipedata[ID],pipedata[104%])</f>
        <v>2138.9333333333334</v>
      </c>
      <c r="P3459" s="57">
        <f t="shared" si="54"/>
        <v>1850</v>
      </c>
      <c r="Q3459" s="58">
        <f>_xlfn.MAXIFS(Survey!$G$2:$G$3647,Survey!$M$2:$M$3647,Survey!$M3459)-Survey!$G3459</f>
        <v>538.01213419188639</v>
      </c>
      <c r="R3459" s="59">
        <f>Survey!$P3459+(Survey!$Q3459*0.433)</f>
        <v>2082.959254105087</v>
      </c>
    </row>
    <row r="3460" spans="1:18" x14ac:dyDescent="0.25">
      <c r="A3460" s="71" t="s">
        <v>17</v>
      </c>
      <c r="B3460" s="72" t="s">
        <v>23</v>
      </c>
      <c r="C3460" s="73" t="s">
        <v>19</v>
      </c>
      <c r="D3460" s="74">
        <v>252.57415054321402</v>
      </c>
      <c r="E3460" s="81">
        <v>1365209</v>
      </c>
      <c r="F3460" s="82">
        <v>1334626.4999999995</v>
      </c>
      <c r="G3460" s="75">
        <v>1530.0000000000696</v>
      </c>
      <c r="H3460" s="76">
        <v>1</v>
      </c>
      <c r="I3460" s="54" t="s">
        <v>20</v>
      </c>
      <c r="J3460" s="77">
        <v>40</v>
      </c>
      <c r="K3460" s="78">
        <v>1</v>
      </c>
      <c r="L3460" s="54">
        <v>1</v>
      </c>
      <c r="M3460" s="54">
        <f>_xlfn.XLOOKUP(Survey!$F3460,sections[Start],sections[Test Section],,-1,1)</f>
        <v>9</v>
      </c>
      <c r="N3460" s="55">
        <f>_xlfn.XLOOKUP(Survey!$K3460,pipedata[ID],pipedata[WT])</f>
        <v>0.61699999999999999</v>
      </c>
      <c r="O3460" s="56">
        <f>_xlfn.XLOOKUP(Survey!$K3460,pipedata[ID],pipedata[104%])</f>
        <v>2138.9333333333334</v>
      </c>
      <c r="P3460" s="57">
        <f t="shared" si="54"/>
        <v>1850</v>
      </c>
      <c r="Q3460" s="58">
        <f>_xlfn.MAXIFS(Survey!$G$2:$G$3647,Survey!$M$2:$M$3647,Survey!$M3460)-Survey!$G3460</f>
        <v>536.34014630535194</v>
      </c>
      <c r="R3460" s="59">
        <f>Survey!$P3460+(Survey!$Q3460*0.433)</f>
        <v>2082.2352833502173</v>
      </c>
    </row>
    <row r="3461" spans="1:18" x14ac:dyDescent="0.25">
      <c r="A3461" s="60" t="s">
        <v>17</v>
      </c>
      <c r="B3461" s="61" t="s">
        <v>23</v>
      </c>
      <c r="C3461" s="62" t="s">
        <v>19</v>
      </c>
      <c r="D3461" s="63">
        <v>252.58099049518967</v>
      </c>
      <c r="E3461" s="79">
        <v>1365249</v>
      </c>
      <c r="F3461" s="80">
        <v>1334666.3999999994</v>
      </c>
      <c r="G3461" s="66">
        <v>1526.3253368167634</v>
      </c>
      <c r="H3461" s="67">
        <v>1</v>
      </c>
      <c r="I3461" s="68" t="s">
        <v>20</v>
      </c>
      <c r="J3461" s="69">
        <v>40</v>
      </c>
      <c r="K3461" s="70">
        <v>1</v>
      </c>
      <c r="L3461" s="68">
        <v>1</v>
      </c>
      <c r="M3461" s="68">
        <f>_xlfn.XLOOKUP(Survey!$F3461,sections[Start],sections[Test Section],,-1,1)</f>
        <v>9</v>
      </c>
      <c r="N3461" s="55">
        <f>_xlfn.XLOOKUP(Survey!$K3461,pipedata[ID],pipedata[WT])</f>
        <v>0.61699999999999999</v>
      </c>
      <c r="O3461" s="56">
        <f>_xlfn.XLOOKUP(Survey!$K3461,pipedata[ID],pipedata[104%])</f>
        <v>2138.9333333333334</v>
      </c>
      <c r="P3461" s="57">
        <f t="shared" si="54"/>
        <v>1850</v>
      </c>
      <c r="Q3461" s="58">
        <f>_xlfn.MAXIFS(Survey!$G$2:$G$3647,Survey!$M$2:$M$3647,Survey!$M3461)-Survey!$G3461</f>
        <v>540.0148094886581</v>
      </c>
      <c r="R3461" s="59">
        <f>Survey!$P3461+(Survey!$Q3461*0.433)</f>
        <v>2083.8264125085889</v>
      </c>
    </row>
    <row r="3462" spans="1:18" x14ac:dyDescent="0.25">
      <c r="A3462" s="71" t="s">
        <v>17</v>
      </c>
      <c r="B3462" s="72" t="s">
        <v>23</v>
      </c>
      <c r="C3462" s="73" t="s">
        <v>19</v>
      </c>
      <c r="D3462" s="74">
        <v>252.58906127408119</v>
      </c>
      <c r="E3462" s="81">
        <v>1365289</v>
      </c>
      <c r="F3462" s="82">
        <v>1334706.2999999993</v>
      </c>
      <c r="G3462" s="75">
        <v>1521.7305243241435</v>
      </c>
      <c r="H3462" s="76">
        <v>1</v>
      </c>
      <c r="I3462" s="54" t="s">
        <v>20</v>
      </c>
      <c r="J3462" s="77">
        <v>40</v>
      </c>
      <c r="K3462" s="78">
        <v>1</v>
      </c>
      <c r="L3462" s="54">
        <v>1</v>
      </c>
      <c r="M3462" s="54">
        <f>_xlfn.XLOOKUP(Survey!$F3462,sections[Start],sections[Test Section],,-1,1)</f>
        <v>9</v>
      </c>
      <c r="N3462" s="55">
        <f>_xlfn.XLOOKUP(Survey!$K3462,pipedata[ID],pipedata[WT])</f>
        <v>0.61699999999999999</v>
      </c>
      <c r="O3462" s="56">
        <f>_xlfn.XLOOKUP(Survey!$K3462,pipedata[ID],pipedata[104%])</f>
        <v>2138.9333333333334</v>
      </c>
      <c r="P3462" s="57">
        <f t="shared" si="54"/>
        <v>1850</v>
      </c>
      <c r="Q3462" s="58">
        <f>_xlfn.MAXIFS(Survey!$G$2:$G$3647,Survey!$M$2:$M$3647,Survey!$M3462)-Survey!$G3462</f>
        <v>544.609621981278</v>
      </c>
      <c r="R3462" s="59">
        <f>Survey!$P3462+(Survey!$Q3462*0.433)</f>
        <v>2085.8159663178935</v>
      </c>
    </row>
    <row r="3463" spans="1:18" x14ac:dyDescent="0.25">
      <c r="A3463" s="60" t="s">
        <v>17</v>
      </c>
      <c r="B3463" s="61" t="s">
        <v>23</v>
      </c>
      <c r="C3463" s="62" t="s">
        <v>19</v>
      </c>
      <c r="D3463" s="63">
        <v>252.59712235066144</v>
      </c>
      <c r="E3463" s="79">
        <v>1365329</v>
      </c>
      <c r="F3463" s="80">
        <v>1334746.1999999993</v>
      </c>
      <c r="G3463" s="66">
        <v>1515.504764512099</v>
      </c>
      <c r="H3463" s="67">
        <v>1</v>
      </c>
      <c r="I3463" s="68" t="s">
        <v>20</v>
      </c>
      <c r="J3463" s="69">
        <v>54</v>
      </c>
      <c r="K3463" s="70">
        <v>1</v>
      </c>
      <c r="L3463" s="68">
        <v>1</v>
      </c>
      <c r="M3463" s="68">
        <f>_xlfn.XLOOKUP(Survey!$F3463,sections[Start],sections[Test Section],,-1,1)</f>
        <v>9</v>
      </c>
      <c r="N3463" s="55">
        <f>_xlfn.XLOOKUP(Survey!$K3463,pipedata[ID],pipedata[WT])</f>
        <v>0.61699999999999999</v>
      </c>
      <c r="O3463" s="56">
        <f>_xlfn.XLOOKUP(Survey!$K3463,pipedata[ID],pipedata[104%])</f>
        <v>2138.9333333333334</v>
      </c>
      <c r="P3463" s="57">
        <f t="shared" si="54"/>
        <v>1850</v>
      </c>
      <c r="Q3463" s="58">
        <f>_xlfn.MAXIFS(Survey!$G$2:$G$3647,Survey!$M$2:$M$3647,Survey!$M3463)-Survey!$G3463</f>
        <v>550.83538179332254</v>
      </c>
      <c r="R3463" s="59">
        <f>Survey!$P3463+(Survey!$Q3463*0.433)</f>
        <v>2088.5117203165087</v>
      </c>
    </row>
    <row r="3464" spans="1:18" x14ac:dyDescent="0.25">
      <c r="A3464" s="71" t="s">
        <v>17</v>
      </c>
      <c r="B3464" s="72" t="s">
        <v>23</v>
      </c>
      <c r="C3464" s="73" t="s">
        <v>19</v>
      </c>
      <c r="D3464" s="74">
        <v>252.60455080053632</v>
      </c>
      <c r="E3464" s="81">
        <v>1365383</v>
      </c>
      <c r="F3464" s="82">
        <v>1334826</v>
      </c>
      <c r="G3464" s="75">
        <v>1509.5749924565293</v>
      </c>
      <c r="H3464" s="76">
        <v>1</v>
      </c>
      <c r="I3464" s="54" t="s">
        <v>21</v>
      </c>
      <c r="J3464" s="77">
        <v>40</v>
      </c>
      <c r="K3464" s="78">
        <v>6</v>
      </c>
      <c r="L3464" s="54">
        <v>1</v>
      </c>
      <c r="M3464" s="54">
        <f>_xlfn.XLOOKUP(Survey!$F3464,sections[Start],sections[Test Section],,-1,1)</f>
        <v>9</v>
      </c>
      <c r="N3464" s="55">
        <f>_xlfn.XLOOKUP(Survey!$K3464,pipedata[ID],pipedata[WT])</f>
        <v>0.61699999999999999</v>
      </c>
      <c r="O3464" s="56">
        <f>_xlfn.XLOOKUP(Survey!$K3464,pipedata[ID],pipedata[104%])</f>
        <v>2138.9333333333334</v>
      </c>
      <c r="P3464" s="57">
        <f t="shared" si="54"/>
        <v>1850</v>
      </c>
      <c r="Q3464" s="58">
        <f>_xlfn.MAXIFS(Survey!$G$2:$G$3647,Survey!$M$2:$M$3647,Survey!$M3464)-Survey!$G3464</f>
        <v>556.76515384889217</v>
      </c>
      <c r="R3464" s="59">
        <f>Survey!$P3464+(Survey!$Q3464*0.433)</f>
        <v>2091.0793116165705</v>
      </c>
    </row>
    <row r="3465" spans="1:18" x14ac:dyDescent="0.25">
      <c r="A3465" s="60" t="s">
        <v>17</v>
      </c>
      <c r="B3465" s="61" t="s">
        <v>23</v>
      </c>
      <c r="C3465" s="62" t="s">
        <v>19</v>
      </c>
      <c r="D3465" s="63">
        <v>252.61196523180419</v>
      </c>
      <c r="E3465" s="79">
        <v>1365423</v>
      </c>
      <c r="F3465" s="80">
        <v>1334866</v>
      </c>
      <c r="G3465" s="66">
        <v>1508.7115019200733</v>
      </c>
      <c r="H3465" s="67">
        <v>1</v>
      </c>
      <c r="I3465" s="68" t="s">
        <v>20</v>
      </c>
      <c r="J3465" s="69">
        <v>26</v>
      </c>
      <c r="K3465" s="70">
        <v>1</v>
      </c>
      <c r="L3465" s="68">
        <v>1</v>
      </c>
      <c r="M3465" s="68">
        <f>_xlfn.XLOOKUP(Survey!$F3465,sections[Start],sections[Test Section],,-1,1)</f>
        <v>9</v>
      </c>
      <c r="N3465" s="55">
        <f>_xlfn.XLOOKUP(Survey!$K3465,pipedata[ID],pipedata[WT])</f>
        <v>0.61699999999999999</v>
      </c>
      <c r="O3465" s="56">
        <f>_xlfn.XLOOKUP(Survey!$K3465,pipedata[ID],pipedata[104%])</f>
        <v>2138.9333333333334</v>
      </c>
      <c r="P3465" s="57">
        <f t="shared" si="54"/>
        <v>1850</v>
      </c>
      <c r="Q3465" s="58">
        <f>_xlfn.MAXIFS(Survey!$G$2:$G$3647,Survey!$M$2:$M$3647,Survey!$M3465)-Survey!$G3465</f>
        <v>557.62864438534825</v>
      </c>
      <c r="R3465" s="59">
        <f>Survey!$P3465+(Survey!$Q3465*0.433)</f>
        <v>2091.4532030188557</v>
      </c>
    </row>
    <row r="3466" spans="1:18" x14ac:dyDescent="0.25">
      <c r="A3466" s="71" t="s">
        <v>17</v>
      </c>
      <c r="B3466" s="72" t="s">
        <v>23</v>
      </c>
      <c r="C3466" s="73" t="s">
        <v>19</v>
      </c>
      <c r="D3466" s="74">
        <v>252.61938667237541</v>
      </c>
      <c r="E3466" s="81">
        <v>1365449</v>
      </c>
      <c r="F3466" s="82">
        <v>1334899.7</v>
      </c>
      <c r="G3466" s="75">
        <v>1511.4171003405843</v>
      </c>
      <c r="H3466" s="76">
        <v>1</v>
      </c>
      <c r="I3466" s="54" t="s">
        <v>20</v>
      </c>
      <c r="J3466" s="77">
        <v>40</v>
      </c>
      <c r="K3466" s="78">
        <v>1</v>
      </c>
      <c r="L3466" s="54">
        <v>1</v>
      </c>
      <c r="M3466" s="54">
        <f>_xlfn.XLOOKUP(Survey!$F3466,sections[Start],sections[Test Section],,-1,1)</f>
        <v>9</v>
      </c>
      <c r="N3466" s="55">
        <f>_xlfn.XLOOKUP(Survey!$K3466,pipedata[ID],pipedata[WT])</f>
        <v>0.61699999999999999</v>
      </c>
      <c r="O3466" s="56">
        <f>_xlfn.XLOOKUP(Survey!$K3466,pipedata[ID],pipedata[104%])</f>
        <v>2138.9333333333334</v>
      </c>
      <c r="P3466" s="57">
        <f t="shared" si="54"/>
        <v>1850</v>
      </c>
      <c r="Q3466" s="58">
        <f>_xlfn.MAXIFS(Survey!$G$2:$G$3647,Survey!$M$2:$M$3647,Survey!$M3466)-Survey!$G3466</f>
        <v>554.92304596483723</v>
      </c>
      <c r="R3466" s="59">
        <f>Survey!$P3466+(Survey!$Q3466*0.433)</f>
        <v>2090.2816789027747</v>
      </c>
    </row>
    <row r="3467" spans="1:18" x14ac:dyDescent="0.25">
      <c r="A3467" s="60" t="s">
        <v>17</v>
      </c>
      <c r="B3467" s="61" t="s">
        <v>23</v>
      </c>
      <c r="C3467" s="62" t="s">
        <v>19</v>
      </c>
      <c r="D3467" s="63">
        <v>252.62680811294692</v>
      </c>
      <c r="E3467" s="79">
        <v>1365489</v>
      </c>
      <c r="F3467" s="80">
        <v>1334933.3999999999</v>
      </c>
      <c r="G3467" s="66">
        <v>1515.1787693587135</v>
      </c>
      <c r="H3467" s="67">
        <v>1</v>
      </c>
      <c r="I3467" s="68" t="s">
        <v>20</v>
      </c>
      <c r="J3467" s="69">
        <v>40</v>
      </c>
      <c r="K3467" s="70">
        <v>1</v>
      </c>
      <c r="L3467" s="68">
        <v>1</v>
      </c>
      <c r="M3467" s="68">
        <f>_xlfn.XLOOKUP(Survey!$F3467,sections[Start],sections[Test Section],,-1,1)</f>
        <v>9</v>
      </c>
      <c r="N3467" s="55">
        <f>_xlfn.XLOOKUP(Survey!$K3467,pipedata[ID],pipedata[WT])</f>
        <v>0.61699999999999999</v>
      </c>
      <c r="O3467" s="56">
        <f>_xlfn.XLOOKUP(Survey!$K3467,pipedata[ID],pipedata[104%])</f>
        <v>2138.9333333333334</v>
      </c>
      <c r="P3467" s="57">
        <f t="shared" si="54"/>
        <v>1850</v>
      </c>
      <c r="Q3467" s="58">
        <f>_xlfn.MAXIFS(Survey!$G$2:$G$3647,Survey!$M$2:$M$3647,Survey!$M3467)-Survey!$G3467</f>
        <v>551.16137694670806</v>
      </c>
      <c r="R3467" s="59">
        <f>Survey!$P3467+(Survey!$Q3467*0.433)</f>
        <v>2088.6528762179246</v>
      </c>
    </row>
    <row r="3468" spans="1:18" x14ac:dyDescent="0.25">
      <c r="A3468" s="71" t="s">
        <v>17</v>
      </c>
      <c r="B3468" s="72" t="s">
        <v>23</v>
      </c>
      <c r="C3468" s="73" t="s">
        <v>19</v>
      </c>
      <c r="D3468" s="74">
        <v>252.63422955351822</v>
      </c>
      <c r="E3468" s="81">
        <v>1365529</v>
      </c>
      <c r="F3468" s="82">
        <v>1334967.0999999999</v>
      </c>
      <c r="G3468" s="75">
        <v>1521.3357894475309</v>
      </c>
      <c r="H3468" s="76">
        <v>1</v>
      </c>
      <c r="I3468" s="54" t="s">
        <v>20</v>
      </c>
      <c r="J3468" s="77">
        <v>40</v>
      </c>
      <c r="K3468" s="78">
        <v>1</v>
      </c>
      <c r="L3468" s="54">
        <v>1</v>
      </c>
      <c r="M3468" s="54">
        <f>_xlfn.XLOOKUP(Survey!$F3468,sections[Start],sections[Test Section],,-1,1)</f>
        <v>9</v>
      </c>
      <c r="N3468" s="55">
        <f>_xlfn.XLOOKUP(Survey!$K3468,pipedata[ID],pipedata[WT])</f>
        <v>0.61699999999999999</v>
      </c>
      <c r="O3468" s="56">
        <f>_xlfn.XLOOKUP(Survey!$K3468,pipedata[ID],pipedata[104%])</f>
        <v>2138.9333333333334</v>
      </c>
      <c r="P3468" s="57">
        <f t="shared" si="54"/>
        <v>1850</v>
      </c>
      <c r="Q3468" s="58">
        <f>_xlfn.MAXIFS(Survey!$G$2:$G$3647,Survey!$M$2:$M$3647,Survey!$M3468)-Survey!$G3468</f>
        <v>545.00435685789057</v>
      </c>
      <c r="R3468" s="59">
        <f>Survey!$P3468+(Survey!$Q3468*0.433)</f>
        <v>2085.9868865194667</v>
      </c>
    </row>
    <row r="3469" spans="1:18" x14ac:dyDescent="0.25">
      <c r="A3469" s="60" t="s">
        <v>17</v>
      </c>
      <c r="B3469" s="61" t="s">
        <v>23</v>
      </c>
      <c r="C3469" s="62" t="s">
        <v>19</v>
      </c>
      <c r="D3469" s="63">
        <v>252.64165099408984</v>
      </c>
      <c r="E3469" s="79">
        <v>1365569</v>
      </c>
      <c r="F3469" s="80">
        <v>1335000.7999999998</v>
      </c>
      <c r="G3469" s="66">
        <v>1525.7061386585701</v>
      </c>
      <c r="H3469" s="67">
        <v>1</v>
      </c>
      <c r="I3469" s="68" t="s">
        <v>20</v>
      </c>
      <c r="J3469" s="69">
        <v>40</v>
      </c>
      <c r="K3469" s="70">
        <v>1</v>
      </c>
      <c r="L3469" s="68">
        <v>1</v>
      </c>
      <c r="M3469" s="68">
        <f>_xlfn.XLOOKUP(Survey!$F3469,sections[Start],sections[Test Section],,-1,1)</f>
        <v>9</v>
      </c>
      <c r="N3469" s="55">
        <f>_xlfn.XLOOKUP(Survey!$K3469,pipedata[ID],pipedata[WT])</f>
        <v>0.61699999999999999</v>
      </c>
      <c r="O3469" s="56">
        <f>_xlfn.XLOOKUP(Survey!$K3469,pipedata[ID],pipedata[104%])</f>
        <v>2138.9333333333334</v>
      </c>
      <c r="P3469" s="57">
        <f t="shared" si="54"/>
        <v>1850</v>
      </c>
      <c r="Q3469" s="58">
        <f>_xlfn.MAXIFS(Survey!$G$2:$G$3647,Survey!$M$2:$M$3647,Survey!$M3469)-Survey!$G3469</f>
        <v>540.63400764685139</v>
      </c>
      <c r="R3469" s="59">
        <f>Survey!$P3469+(Survey!$Q3469*0.433)</f>
        <v>2084.0945253110867</v>
      </c>
    </row>
    <row r="3470" spans="1:18" x14ac:dyDescent="0.25">
      <c r="A3470" s="71" t="s">
        <v>17</v>
      </c>
      <c r="B3470" s="72" t="s">
        <v>23</v>
      </c>
      <c r="C3470" s="73" t="s">
        <v>19</v>
      </c>
      <c r="D3470" s="74">
        <v>252.64907243466115</v>
      </c>
      <c r="E3470" s="81">
        <v>1365609</v>
      </c>
      <c r="F3470" s="82">
        <v>1335034.4999999998</v>
      </c>
      <c r="G3470" s="75">
        <v>1525.35103902175</v>
      </c>
      <c r="H3470" s="76">
        <v>1</v>
      </c>
      <c r="I3470" s="54" t="s">
        <v>20</v>
      </c>
      <c r="J3470" s="77">
        <v>40</v>
      </c>
      <c r="K3470" s="78">
        <v>1</v>
      </c>
      <c r="L3470" s="54">
        <v>1</v>
      </c>
      <c r="M3470" s="54">
        <f>_xlfn.XLOOKUP(Survey!$F3470,sections[Start],sections[Test Section],,-1,1)</f>
        <v>9</v>
      </c>
      <c r="N3470" s="55">
        <f>_xlfn.XLOOKUP(Survey!$K3470,pipedata[ID],pipedata[WT])</f>
        <v>0.61699999999999999</v>
      </c>
      <c r="O3470" s="56">
        <f>_xlfn.XLOOKUP(Survey!$K3470,pipedata[ID],pipedata[104%])</f>
        <v>2138.9333333333334</v>
      </c>
      <c r="P3470" s="57">
        <f t="shared" si="54"/>
        <v>1850</v>
      </c>
      <c r="Q3470" s="58">
        <f>_xlfn.MAXIFS(Survey!$G$2:$G$3647,Survey!$M$2:$M$3647,Survey!$M3470)-Survey!$G3470</f>
        <v>540.9891072836715</v>
      </c>
      <c r="R3470" s="59">
        <f>Survey!$P3470+(Survey!$Q3470*0.433)</f>
        <v>2084.2482834538296</v>
      </c>
    </row>
    <row r="3471" spans="1:18" x14ac:dyDescent="0.25">
      <c r="A3471" s="60" t="s">
        <v>17</v>
      </c>
      <c r="B3471" s="61" t="s">
        <v>23</v>
      </c>
      <c r="C3471" s="62" t="s">
        <v>19</v>
      </c>
      <c r="D3471" s="63">
        <v>252.65649387523246</v>
      </c>
      <c r="E3471" s="79">
        <v>1365649</v>
      </c>
      <c r="F3471" s="80">
        <v>1335068.1999999997</v>
      </c>
      <c r="G3471" s="66">
        <v>1521.5767284964468</v>
      </c>
      <c r="H3471" s="67">
        <v>1</v>
      </c>
      <c r="I3471" s="68" t="s">
        <v>20</v>
      </c>
      <c r="J3471" s="69">
        <v>40</v>
      </c>
      <c r="K3471" s="70">
        <v>1</v>
      </c>
      <c r="L3471" s="68">
        <v>1</v>
      </c>
      <c r="M3471" s="68">
        <f>_xlfn.XLOOKUP(Survey!$F3471,sections[Start],sections[Test Section],,-1,1)</f>
        <v>9</v>
      </c>
      <c r="N3471" s="55">
        <f>_xlfn.XLOOKUP(Survey!$K3471,pipedata[ID],pipedata[WT])</f>
        <v>0.61699999999999999</v>
      </c>
      <c r="O3471" s="56">
        <f>_xlfn.XLOOKUP(Survey!$K3471,pipedata[ID],pipedata[104%])</f>
        <v>2138.9333333333334</v>
      </c>
      <c r="P3471" s="57">
        <f t="shared" si="54"/>
        <v>1850</v>
      </c>
      <c r="Q3471" s="58">
        <f>_xlfn.MAXIFS(Survey!$G$2:$G$3647,Survey!$M$2:$M$3647,Survey!$M3471)-Survey!$G3471</f>
        <v>544.76341780897474</v>
      </c>
      <c r="R3471" s="59">
        <f>Survey!$P3471+(Survey!$Q3471*0.433)</f>
        <v>2085.8825599112861</v>
      </c>
    </row>
    <row r="3472" spans="1:18" x14ac:dyDescent="0.25">
      <c r="A3472" s="71" t="s">
        <v>17</v>
      </c>
      <c r="B3472" s="72" t="s">
        <v>23</v>
      </c>
      <c r="C3472" s="73" t="s">
        <v>19</v>
      </c>
      <c r="D3472" s="74">
        <v>252.66391531580382</v>
      </c>
      <c r="E3472" s="81">
        <v>1365689</v>
      </c>
      <c r="F3472" s="82">
        <v>1335101.8999999997</v>
      </c>
      <c r="G3472" s="75">
        <v>1510.4905074654539</v>
      </c>
      <c r="H3472" s="76">
        <v>1</v>
      </c>
      <c r="I3472" s="54" t="s">
        <v>20</v>
      </c>
      <c r="J3472" s="77">
        <v>40</v>
      </c>
      <c r="K3472" s="78">
        <v>1</v>
      </c>
      <c r="L3472" s="54">
        <v>1</v>
      </c>
      <c r="M3472" s="54">
        <f>_xlfn.XLOOKUP(Survey!$F3472,sections[Start],sections[Test Section],,-1,1)</f>
        <v>9</v>
      </c>
      <c r="N3472" s="55">
        <f>_xlfn.XLOOKUP(Survey!$K3472,pipedata[ID],pipedata[WT])</f>
        <v>0.61699999999999999</v>
      </c>
      <c r="O3472" s="56">
        <f>_xlfn.XLOOKUP(Survey!$K3472,pipedata[ID],pipedata[104%])</f>
        <v>2138.9333333333334</v>
      </c>
      <c r="P3472" s="57">
        <f t="shared" si="54"/>
        <v>1850</v>
      </c>
      <c r="Q3472" s="58">
        <f>_xlfn.MAXIFS(Survey!$G$2:$G$3647,Survey!$M$2:$M$3647,Survey!$M3472)-Survey!$G3472</f>
        <v>555.84963883996761</v>
      </c>
      <c r="R3472" s="59">
        <f>Survey!$P3472+(Survey!$Q3472*0.433)</f>
        <v>2090.6828936177062</v>
      </c>
    </row>
    <row r="3473" spans="1:18" x14ac:dyDescent="0.25">
      <c r="A3473" s="60" t="s">
        <v>17</v>
      </c>
      <c r="B3473" s="61" t="s">
        <v>23</v>
      </c>
      <c r="C3473" s="62" t="s">
        <v>19</v>
      </c>
      <c r="D3473" s="63">
        <v>252.67133675637518</v>
      </c>
      <c r="E3473" s="79">
        <v>1365729</v>
      </c>
      <c r="F3473" s="80">
        <v>1335135.5999999996</v>
      </c>
      <c r="G3473" s="66">
        <v>1504.6427115313429</v>
      </c>
      <c r="H3473" s="67">
        <v>1</v>
      </c>
      <c r="I3473" s="68" t="s">
        <v>20</v>
      </c>
      <c r="J3473" s="69">
        <v>36</v>
      </c>
      <c r="K3473" s="70">
        <v>1</v>
      </c>
      <c r="L3473" s="68">
        <v>1</v>
      </c>
      <c r="M3473" s="68">
        <f>_xlfn.XLOOKUP(Survey!$F3473,sections[Start],sections[Test Section],,-1,1)</f>
        <v>9</v>
      </c>
      <c r="N3473" s="55">
        <f>_xlfn.XLOOKUP(Survey!$K3473,pipedata[ID],pipedata[WT])</f>
        <v>0.61699999999999999</v>
      </c>
      <c r="O3473" s="56">
        <f>_xlfn.XLOOKUP(Survey!$K3473,pipedata[ID],pipedata[104%])</f>
        <v>2138.9333333333334</v>
      </c>
      <c r="P3473" s="57">
        <f t="shared" si="54"/>
        <v>1850</v>
      </c>
      <c r="Q3473" s="58">
        <f>_xlfn.MAXIFS(Survey!$G$2:$G$3647,Survey!$M$2:$M$3647,Survey!$M3473)-Survey!$G3473</f>
        <v>561.6974347740786</v>
      </c>
      <c r="R3473" s="59">
        <f>Survey!$P3473+(Survey!$Q3473*0.433)</f>
        <v>2093.2149892571761</v>
      </c>
    </row>
    <row r="3474" spans="1:18" x14ac:dyDescent="0.25">
      <c r="A3474" s="71" t="s">
        <v>17</v>
      </c>
      <c r="B3474" s="72" t="s">
        <v>23</v>
      </c>
      <c r="C3474" s="73" t="s">
        <v>19</v>
      </c>
      <c r="D3474" s="74">
        <v>252.67875819694649</v>
      </c>
      <c r="E3474" s="81">
        <v>1365765</v>
      </c>
      <c r="F3474" s="82">
        <v>1335203</v>
      </c>
      <c r="G3474" s="75">
        <v>1499.5181357273832</v>
      </c>
      <c r="H3474" s="76">
        <v>1</v>
      </c>
      <c r="I3474" s="54" t="s">
        <v>21</v>
      </c>
      <c r="J3474" s="77">
        <v>40</v>
      </c>
      <c r="K3474" s="78">
        <v>6</v>
      </c>
      <c r="L3474" s="54">
        <v>1</v>
      </c>
      <c r="M3474" s="54">
        <f>_xlfn.XLOOKUP(Survey!$F3474,sections[Start],sections[Test Section],,-1,1)</f>
        <v>9</v>
      </c>
      <c r="N3474" s="55">
        <f>_xlfn.XLOOKUP(Survey!$K3474,pipedata[ID],pipedata[WT])</f>
        <v>0.61699999999999999</v>
      </c>
      <c r="O3474" s="56">
        <f>_xlfn.XLOOKUP(Survey!$K3474,pipedata[ID],pipedata[104%])</f>
        <v>2138.9333333333334</v>
      </c>
      <c r="P3474" s="57">
        <f t="shared" si="54"/>
        <v>1850</v>
      </c>
      <c r="Q3474" s="58">
        <f>_xlfn.MAXIFS(Survey!$G$2:$G$3647,Survey!$M$2:$M$3647,Survey!$M3474)-Survey!$G3474</f>
        <v>566.82201057803832</v>
      </c>
      <c r="R3474" s="59">
        <f>Survey!$P3474+(Survey!$Q3474*0.433)</f>
        <v>2095.4339305802905</v>
      </c>
    </row>
    <row r="3475" spans="1:18" x14ac:dyDescent="0.25">
      <c r="A3475" s="60" t="s">
        <v>17</v>
      </c>
      <c r="B3475" s="61" t="s">
        <v>23</v>
      </c>
      <c r="C3475" s="62" t="s">
        <v>19</v>
      </c>
      <c r="D3475" s="63">
        <v>252.68697433242085</v>
      </c>
      <c r="E3475" s="79">
        <v>1365805</v>
      </c>
      <c r="F3475" s="80">
        <v>1335243</v>
      </c>
      <c r="G3475" s="66">
        <v>1499.1441019331812</v>
      </c>
      <c r="H3475" s="67">
        <v>1</v>
      </c>
      <c r="I3475" s="68" t="s">
        <v>20</v>
      </c>
      <c r="J3475" s="69">
        <v>44</v>
      </c>
      <c r="K3475" s="70">
        <v>1</v>
      </c>
      <c r="L3475" s="68">
        <v>1</v>
      </c>
      <c r="M3475" s="68">
        <f>_xlfn.XLOOKUP(Survey!$F3475,sections[Start],sections[Test Section],,-1,1)</f>
        <v>9</v>
      </c>
      <c r="N3475" s="55">
        <f>_xlfn.XLOOKUP(Survey!$K3475,pipedata[ID],pipedata[WT])</f>
        <v>0.61699999999999999</v>
      </c>
      <c r="O3475" s="56">
        <f>_xlfn.XLOOKUP(Survey!$K3475,pipedata[ID],pipedata[104%])</f>
        <v>2138.9333333333334</v>
      </c>
      <c r="P3475" s="57">
        <f t="shared" si="54"/>
        <v>1850</v>
      </c>
      <c r="Q3475" s="58">
        <f>_xlfn.MAXIFS(Survey!$G$2:$G$3647,Survey!$M$2:$M$3647,Survey!$M3475)-Survey!$G3475</f>
        <v>567.19604437224029</v>
      </c>
      <c r="R3475" s="59">
        <f>Survey!$P3475+(Survey!$Q3475*0.433)</f>
        <v>2095.59588721318</v>
      </c>
    </row>
    <row r="3476" spans="1:18" x14ac:dyDescent="0.25">
      <c r="A3476" s="71" t="s">
        <v>17</v>
      </c>
      <c r="B3476" s="72" t="s">
        <v>23</v>
      </c>
      <c r="C3476" s="73" t="s">
        <v>19</v>
      </c>
      <c r="D3476" s="74">
        <v>252.69360107808939</v>
      </c>
      <c r="E3476" s="81">
        <v>1365849</v>
      </c>
      <c r="F3476" s="82">
        <v>1335278.4117647058</v>
      </c>
      <c r="G3476" s="75">
        <v>1515.5022594638617</v>
      </c>
      <c r="H3476" s="76">
        <v>1</v>
      </c>
      <c r="I3476" s="54" t="s">
        <v>20</v>
      </c>
      <c r="J3476" s="77">
        <v>40</v>
      </c>
      <c r="K3476" s="78">
        <v>1</v>
      </c>
      <c r="L3476" s="54">
        <v>1</v>
      </c>
      <c r="M3476" s="54">
        <f>_xlfn.XLOOKUP(Survey!$F3476,sections[Start],sections[Test Section],,-1,1)</f>
        <v>9</v>
      </c>
      <c r="N3476" s="55">
        <f>_xlfn.XLOOKUP(Survey!$K3476,pipedata[ID],pipedata[WT])</f>
        <v>0.61699999999999999</v>
      </c>
      <c r="O3476" s="56">
        <f>_xlfn.XLOOKUP(Survey!$K3476,pipedata[ID],pipedata[104%])</f>
        <v>2138.9333333333334</v>
      </c>
      <c r="P3476" s="57">
        <f t="shared" si="54"/>
        <v>1850</v>
      </c>
      <c r="Q3476" s="58">
        <f>_xlfn.MAXIFS(Survey!$G$2:$G$3647,Survey!$M$2:$M$3647,Survey!$M3476)-Survey!$G3476</f>
        <v>550.83788684155979</v>
      </c>
      <c r="R3476" s="59">
        <f>Survey!$P3476+(Survey!$Q3476*0.433)</f>
        <v>2088.5128050023955</v>
      </c>
    </row>
    <row r="3477" spans="1:18" x14ac:dyDescent="0.25">
      <c r="A3477" s="60" t="s">
        <v>17</v>
      </c>
      <c r="B3477" s="61" t="s">
        <v>23</v>
      </c>
      <c r="C3477" s="62" t="s">
        <v>19</v>
      </c>
      <c r="D3477" s="63">
        <v>252.70102251866092</v>
      </c>
      <c r="E3477" s="79">
        <v>1365889</v>
      </c>
      <c r="F3477" s="80">
        <v>1335313.8235294116</v>
      </c>
      <c r="G3477" s="66">
        <v>1512.0582917964241</v>
      </c>
      <c r="H3477" s="67">
        <v>1</v>
      </c>
      <c r="I3477" s="68" t="s">
        <v>20</v>
      </c>
      <c r="J3477" s="69">
        <v>40</v>
      </c>
      <c r="K3477" s="70">
        <v>1</v>
      </c>
      <c r="L3477" s="68">
        <v>1</v>
      </c>
      <c r="M3477" s="68">
        <f>_xlfn.XLOOKUP(Survey!$F3477,sections[Start],sections[Test Section],,-1,1)</f>
        <v>9</v>
      </c>
      <c r="N3477" s="55">
        <f>_xlfn.XLOOKUP(Survey!$K3477,pipedata[ID],pipedata[WT])</f>
        <v>0.61699999999999999</v>
      </c>
      <c r="O3477" s="56">
        <f>_xlfn.XLOOKUP(Survey!$K3477,pipedata[ID],pipedata[104%])</f>
        <v>2138.9333333333334</v>
      </c>
      <c r="P3477" s="57">
        <f t="shared" si="54"/>
        <v>1850</v>
      </c>
      <c r="Q3477" s="58">
        <f>_xlfn.MAXIFS(Survey!$G$2:$G$3647,Survey!$M$2:$M$3647,Survey!$M3477)-Survey!$G3477</f>
        <v>554.28185450899741</v>
      </c>
      <c r="R3477" s="59">
        <f>Survey!$P3477+(Survey!$Q3477*0.433)</f>
        <v>2090.004043002396</v>
      </c>
    </row>
    <row r="3478" spans="1:18" x14ac:dyDescent="0.25">
      <c r="A3478" s="71" t="s">
        <v>17</v>
      </c>
      <c r="B3478" s="72" t="s">
        <v>23</v>
      </c>
      <c r="C3478" s="73" t="s">
        <v>19</v>
      </c>
      <c r="D3478" s="74">
        <v>252.70844395923262</v>
      </c>
      <c r="E3478" s="81">
        <v>1365929</v>
      </c>
      <c r="F3478" s="82">
        <v>1335349.2352941174</v>
      </c>
      <c r="G3478" s="75">
        <v>1495.9457679301518</v>
      </c>
      <c r="H3478" s="76">
        <v>1</v>
      </c>
      <c r="I3478" s="54" t="s">
        <v>20</v>
      </c>
      <c r="J3478" s="77">
        <v>40</v>
      </c>
      <c r="K3478" s="78">
        <v>1</v>
      </c>
      <c r="L3478" s="54">
        <v>1</v>
      </c>
      <c r="M3478" s="54">
        <f>_xlfn.XLOOKUP(Survey!$F3478,sections[Start],sections[Test Section],,-1,1)</f>
        <v>9</v>
      </c>
      <c r="N3478" s="55">
        <f>_xlfn.XLOOKUP(Survey!$K3478,pipedata[ID],pipedata[WT])</f>
        <v>0.61699999999999999</v>
      </c>
      <c r="O3478" s="56">
        <f>_xlfn.XLOOKUP(Survey!$K3478,pipedata[ID],pipedata[104%])</f>
        <v>2138.9333333333334</v>
      </c>
      <c r="P3478" s="57">
        <f t="shared" si="54"/>
        <v>1850</v>
      </c>
      <c r="Q3478" s="58">
        <f>_xlfn.MAXIFS(Survey!$G$2:$G$3647,Survey!$M$2:$M$3647,Survey!$M3478)-Survey!$G3478</f>
        <v>570.39437837526975</v>
      </c>
      <c r="R3478" s="59">
        <f>Survey!$P3478+(Survey!$Q3478*0.433)</f>
        <v>2096.9807658364916</v>
      </c>
    </row>
    <row r="3479" spans="1:18" x14ac:dyDescent="0.25">
      <c r="A3479" s="60" t="s">
        <v>17</v>
      </c>
      <c r="B3479" s="61" t="s">
        <v>23</v>
      </c>
      <c r="C3479" s="62" t="s">
        <v>19</v>
      </c>
      <c r="D3479" s="63">
        <v>252.71347029172762</v>
      </c>
      <c r="E3479" s="79">
        <v>1365969</v>
      </c>
      <c r="F3479" s="80">
        <v>1335384.6470588231</v>
      </c>
      <c r="G3479" s="66">
        <v>1483.8938469713796</v>
      </c>
      <c r="H3479" s="67">
        <v>1</v>
      </c>
      <c r="I3479" s="68" t="s">
        <v>20</v>
      </c>
      <c r="J3479" s="69">
        <v>40</v>
      </c>
      <c r="K3479" s="70">
        <v>1</v>
      </c>
      <c r="L3479" s="68">
        <v>1</v>
      </c>
      <c r="M3479" s="68">
        <f>_xlfn.XLOOKUP(Survey!$F3479,sections[Start],sections[Test Section],,-1,1)</f>
        <v>9</v>
      </c>
      <c r="N3479" s="55">
        <f>_xlfn.XLOOKUP(Survey!$K3479,pipedata[ID],pipedata[WT])</f>
        <v>0.61699999999999999</v>
      </c>
      <c r="O3479" s="56">
        <f>_xlfn.XLOOKUP(Survey!$K3479,pipedata[ID],pipedata[104%])</f>
        <v>2138.9333333333334</v>
      </c>
      <c r="P3479" s="57">
        <f t="shared" si="54"/>
        <v>1850</v>
      </c>
      <c r="Q3479" s="58">
        <f>_xlfn.MAXIFS(Survey!$G$2:$G$3647,Survey!$M$2:$M$3647,Survey!$M3479)-Survey!$G3479</f>
        <v>582.4462993340419</v>
      </c>
      <c r="R3479" s="59">
        <f>Survey!$P3479+(Survey!$Q3479*0.433)</f>
        <v>2102.1992476116402</v>
      </c>
    </row>
    <row r="3480" spans="1:18" x14ac:dyDescent="0.25">
      <c r="A3480" s="71" t="s">
        <v>17</v>
      </c>
      <c r="B3480" s="72" t="s">
        <v>23</v>
      </c>
      <c r="C3480" s="73" t="s">
        <v>19</v>
      </c>
      <c r="D3480" s="74">
        <v>252.72230227816357</v>
      </c>
      <c r="E3480" s="81">
        <v>1366009</v>
      </c>
      <c r="F3480" s="82">
        <v>1335420.0588235289</v>
      </c>
      <c r="G3480" s="75">
        <v>1477.0201318669895</v>
      </c>
      <c r="H3480" s="76">
        <v>1</v>
      </c>
      <c r="I3480" s="54" t="s">
        <v>20</v>
      </c>
      <c r="J3480" s="77">
        <v>40</v>
      </c>
      <c r="K3480" s="78">
        <v>1</v>
      </c>
      <c r="L3480" s="54">
        <v>1</v>
      </c>
      <c r="M3480" s="54">
        <f>_xlfn.XLOOKUP(Survey!$F3480,sections[Start],sections[Test Section],,-1,1)</f>
        <v>9</v>
      </c>
      <c r="N3480" s="55">
        <f>_xlfn.XLOOKUP(Survey!$K3480,pipedata[ID],pipedata[WT])</f>
        <v>0.61699999999999999</v>
      </c>
      <c r="O3480" s="56">
        <f>_xlfn.XLOOKUP(Survey!$K3480,pipedata[ID],pipedata[104%])</f>
        <v>2138.9333333333334</v>
      </c>
      <c r="P3480" s="57">
        <f t="shared" si="54"/>
        <v>1850</v>
      </c>
      <c r="Q3480" s="58">
        <f>_xlfn.MAXIFS(Survey!$G$2:$G$3647,Survey!$M$2:$M$3647,Survey!$M3480)-Survey!$G3480</f>
        <v>589.32001443843205</v>
      </c>
      <c r="R3480" s="59">
        <f>Survey!$P3480+(Survey!$Q3480*0.433)</f>
        <v>2105.1755662518412</v>
      </c>
    </row>
    <row r="3481" spans="1:18" x14ac:dyDescent="0.25">
      <c r="A3481" s="60" t="s">
        <v>17</v>
      </c>
      <c r="B3481" s="61" t="s">
        <v>23</v>
      </c>
      <c r="C3481" s="62" t="s">
        <v>19</v>
      </c>
      <c r="D3481" s="63">
        <v>252.72846701220158</v>
      </c>
      <c r="E3481" s="79">
        <v>1366049</v>
      </c>
      <c r="F3481" s="80">
        <v>1335455.4705882347</v>
      </c>
      <c r="G3481" s="66">
        <v>1475.5148341973131</v>
      </c>
      <c r="H3481" s="67">
        <v>1</v>
      </c>
      <c r="I3481" s="68" t="s">
        <v>20</v>
      </c>
      <c r="J3481" s="69">
        <v>40</v>
      </c>
      <c r="K3481" s="70">
        <v>1</v>
      </c>
      <c r="L3481" s="68">
        <v>1</v>
      </c>
      <c r="M3481" s="68">
        <f>_xlfn.XLOOKUP(Survey!$F3481,sections[Start],sections[Test Section],,-1,1)</f>
        <v>9</v>
      </c>
      <c r="N3481" s="55">
        <f>_xlfn.XLOOKUP(Survey!$K3481,pipedata[ID],pipedata[WT])</f>
        <v>0.61699999999999999</v>
      </c>
      <c r="O3481" s="56">
        <f>_xlfn.XLOOKUP(Survey!$K3481,pipedata[ID],pipedata[104%])</f>
        <v>2138.9333333333334</v>
      </c>
      <c r="P3481" s="57">
        <f t="shared" si="54"/>
        <v>1850</v>
      </c>
      <c r="Q3481" s="58">
        <f>_xlfn.MAXIFS(Survey!$G$2:$G$3647,Survey!$M$2:$M$3647,Survey!$M3481)-Survey!$G3481</f>
        <v>590.82531210810839</v>
      </c>
      <c r="R3481" s="59">
        <f>Survey!$P3481+(Survey!$Q3481*0.433)</f>
        <v>2105.8273601428109</v>
      </c>
    </row>
    <row r="3482" spans="1:18" x14ac:dyDescent="0.25">
      <c r="A3482" s="71" t="s">
        <v>17</v>
      </c>
      <c r="B3482" s="72" t="s">
        <v>23</v>
      </c>
      <c r="C3482" s="73" t="s">
        <v>19</v>
      </c>
      <c r="D3482" s="74">
        <v>252.73702225555644</v>
      </c>
      <c r="E3482" s="81">
        <v>1366089</v>
      </c>
      <c r="F3482" s="82">
        <v>1335490.8823529405</v>
      </c>
      <c r="G3482" s="75">
        <v>1483.7030359442003</v>
      </c>
      <c r="H3482" s="76">
        <v>1</v>
      </c>
      <c r="I3482" s="54" t="s">
        <v>20</v>
      </c>
      <c r="J3482" s="77">
        <v>40</v>
      </c>
      <c r="K3482" s="78">
        <v>1</v>
      </c>
      <c r="L3482" s="54">
        <v>1</v>
      </c>
      <c r="M3482" s="54">
        <f>_xlfn.XLOOKUP(Survey!$F3482,sections[Start],sections[Test Section],,-1,1)</f>
        <v>9</v>
      </c>
      <c r="N3482" s="55">
        <f>_xlfn.XLOOKUP(Survey!$K3482,pipedata[ID],pipedata[WT])</f>
        <v>0.61699999999999999</v>
      </c>
      <c r="O3482" s="56">
        <f>_xlfn.XLOOKUP(Survey!$K3482,pipedata[ID],pipedata[104%])</f>
        <v>2138.9333333333334</v>
      </c>
      <c r="P3482" s="57">
        <f t="shared" si="54"/>
        <v>1850</v>
      </c>
      <c r="Q3482" s="58">
        <f>_xlfn.MAXIFS(Survey!$G$2:$G$3647,Survey!$M$2:$M$3647,Survey!$M3482)-Survey!$G3482</f>
        <v>582.63711036122118</v>
      </c>
      <c r="R3482" s="59">
        <f>Survey!$P3482+(Survey!$Q3482*0.433)</f>
        <v>2102.2818687864087</v>
      </c>
    </row>
    <row r="3483" spans="1:18" x14ac:dyDescent="0.25">
      <c r="A3483" s="60" t="s">
        <v>17</v>
      </c>
      <c r="B3483" s="61" t="s">
        <v>23</v>
      </c>
      <c r="C3483" s="62" t="s">
        <v>19</v>
      </c>
      <c r="D3483" s="63">
        <v>252.74395653866242</v>
      </c>
      <c r="E3483" s="79">
        <v>1366129</v>
      </c>
      <c r="F3483" s="80">
        <v>1335526.2941176463</v>
      </c>
      <c r="G3483" s="66">
        <v>1493.5401640666128</v>
      </c>
      <c r="H3483" s="67">
        <v>1</v>
      </c>
      <c r="I3483" s="68" t="s">
        <v>20</v>
      </c>
      <c r="J3483" s="69">
        <v>40</v>
      </c>
      <c r="K3483" s="70">
        <v>1</v>
      </c>
      <c r="L3483" s="68">
        <v>1</v>
      </c>
      <c r="M3483" s="68">
        <f>_xlfn.XLOOKUP(Survey!$F3483,sections[Start],sections[Test Section],,-1,1)</f>
        <v>9</v>
      </c>
      <c r="N3483" s="55">
        <f>_xlfn.XLOOKUP(Survey!$K3483,pipedata[ID],pipedata[WT])</f>
        <v>0.61699999999999999</v>
      </c>
      <c r="O3483" s="56">
        <f>_xlfn.XLOOKUP(Survey!$K3483,pipedata[ID],pipedata[104%])</f>
        <v>2138.9333333333334</v>
      </c>
      <c r="P3483" s="57">
        <f t="shared" si="54"/>
        <v>1850</v>
      </c>
      <c r="Q3483" s="58">
        <f>_xlfn.MAXIFS(Survey!$G$2:$G$3647,Survey!$M$2:$M$3647,Survey!$M3483)-Survey!$G3483</f>
        <v>572.79998223880875</v>
      </c>
      <c r="R3483" s="59">
        <f>Survey!$P3483+(Survey!$Q3483*0.433)</f>
        <v>2098.022392309404</v>
      </c>
    </row>
    <row r="3484" spans="1:18" x14ac:dyDescent="0.25">
      <c r="A3484" s="71" t="s">
        <v>17</v>
      </c>
      <c r="B3484" s="72" t="s">
        <v>23</v>
      </c>
      <c r="C3484" s="73" t="s">
        <v>19</v>
      </c>
      <c r="D3484" s="74">
        <v>252.75174223294889</v>
      </c>
      <c r="E3484" s="81">
        <v>1366169</v>
      </c>
      <c r="F3484" s="82">
        <v>1335561.7058823521</v>
      </c>
      <c r="G3484" s="75">
        <v>1504.0406581271493</v>
      </c>
      <c r="H3484" s="76">
        <v>1</v>
      </c>
      <c r="I3484" s="54" t="s">
        <v>20</v>
      </c>
      <c r="J3484" s="77">
        <v>40</v>
      </c>
      <c r="K3484" s="78">
        <v>1</v>
      </c>
      <c r="L3484" s="54">
        <v>1</v>
      </c>
      <c r="M3484" s="54">
        <f>_xlfn.XLOOKUP(Survey!$F3484,sections[Start],sections[Test Section],,-1,1)</f>
        <v>9</v>
      </c>
      <c r="N3484" s="55">
        <f>_xlfn.XLOOKUP(Survey!$K3484,pipedata[ID],pipedata[WT])</f>
        <v>0.61699999999999999</v>
      </c>
      <c r="O3484" s="56">
        <f>_xlfn.XLOOKUP(Survey!$K3484,pipedata[ID],pipedata[104%])</f>
        <v>2138.9333333333334</v>
      </c>
      <c r="P3484" s="57">
        <f t="shared" si="54"/>
        <v>1850</v>
      </c>
      <c r="Q3484" s="58">
        <f>_xlfn.MAXIFS(Survey!$G$2:$G$3647,Survey!$M$2:$M$3647,Survey!$M3484)-Survey!$G3484</f>
        <v>562.29948817827221</v>
      </c>
      <c r="R3484" s="59">
        <f>Survey!$P3484+(Survey!$Q3484*0.433)</f>
        <v>2093.4756783811918</v>
      </c>
    </row>
    <row r="3485" spans="1:18" x14ac:dyDescent="0.25">
      <c r="A3485" s="60" t="s">
        <v>17</v>
      </c>
      <c r="B3485" s="61" t="s">
        <v>23</v>
      </c>
      <c r="C3485" s="62" t="s">
        <v>19</v>
      </c>
      <c r="D3485" s="63">
        <v>252.75913206193673</v>
      </c>
      <c r="E3485" s="79">
        <v>1366209</v>
      </c>
      <c r="F3485" s="80">
        <v>1335597.1176470579</v>
      </c>
      <c r="G3485" s="66">
        <v>1513.9907526767786</v>
      </c>
      <c r="H3485" s="67">
        <v>1</v>
      </c>
      <c r="I3485" s="68" t="s">
        <v>20</v>
      </c>
      <c r="J3485" s="69">
        <v>40</v>
      </c>
      <c r="K3485" s="70">
        <v>1</v>
      </c>
      <c r="L3485" s="68">
        <v>1</v>
      </c>
      <c r="M3485" s="68">
        <f>_xlfn.XLOOKUP(Survey!$F3485,sections[Start],sections[Test Section],,-1,1)</f>
        <v>9</v>
      </c>
      <c r="N3485" s="55">
        <f>_xlfn.XLOOKUP(Survey!$K3485,pipedata[ID],pipedata[WT])</f>
        <v>0.61699999999999999</v>
      </c>
      <c r="O3485" s="56">
        <f>_xlfn.XLOOKUP(Survey!$K3485,pipedata[ID],pipedata[104%])</f>
        <v>2138.9333333333334</v>
      </c>
      <c r="P3485" s="57">
        <f t="shared" si="54"/>
        <v>1850</v>
      </c>
      <c r="Q3485" s="58">
        <f>_xlfn.MAXIFS(Survey!$G$2:$G$3647,Survey!$M$2:$M$3647,Survey!$M3485)-Survey!$G3485</f>
        <v>552.34939362864293</v>
      </c>
      <c r="R3485" s="59">
        <f>Survey!$P3485+(Survey!$Q3485*0.433)</f>
        <v>2089.1672874412025</v>
      </c>
    </row>
    <row r="3486" spans="1:18" x14ac:dyDescent="0.25">
      <c r="A3486" s="71" t="s">
        <v>17</v>
      </c>
      <c r="B3486" s="72" t="s">
        <v>23</v>
      </c>
      <c r="C3486" s="73" t="s">
        <v>19</v>
      </c>
      <c r="D3486" s="74">
        <v>252.76646221034144</v>
      </c>
      <c r="E3486" s="81">
        <v>1366249</v>
      </c>
      <c r="F3486" s="82">
        <v>1335632.5294117637</v>
      </c>
      <c r="G3486" s="75">
        <v>1522.3044661591498</v>
      </c>
      <c r="H3486" s="76">
        <v>1</v>
      </c>
      <c r="I3486" s="54" t="s">
        <v>20</v>
      </c>
      <c r="J3486" s="77">
        <v>40</v>
      </c>
      <c r="K3486" s="78">
        <v>1</v>
      </c>
      <c r="L3486" s="54">
        <v>1</v>
      </c>
      <c r="M3486" s="54">
        <f>_xlfn.XLOOKUP(Survey!$F3486,sections[Start],sections[Test Section],,-1,1)</f>
        <v>9</v>
      </c>
      <c r="N3486" s="55">
        <f>_xlfn.XLOOKUP(Survey!$K3486,pipedata[ID],pipedata[WT])</f>
        <v>0.61699999999999999</v>
      </c>
      <c r="O3486" s="56">
        <f>_xlfn.XLOOKUP(Survey!$K3486,pipedata[ID],pipedata[104%])</f>
        <v>2138.9333333333334</v>
      </c>
      <c r="P3486" s="57">
        <f t="shared" si="54"/>
        <v>1850</v>
      </c>
      <c r="Q3486" s="58">
        <f>_xlfn.MAXIFS(Survey!$G$2:$G$3647,Survey!$M$2:$M$3647,Survey!$M3486)-Survey!$G3486</f>
        <v>544.03568014627172</v>
      </c>
      <c r="R3486" s="59">
        <f>Survey!$P3486+(Survey!$Q3486*0.433)</f>
        <v>2085.5674495033354</v>
      </c>
    </row>
    <row r="3487" spans="1:18" x14ac:dyDescent="0.25">
      <c r="A3487" s="60" t="s">
        <v>17</v>
      </c>
      <c r="B3487" s="61" t="s">
        <v>23</v>
      </c>
      <c r="C3487" s="62" t="s">
        <v>19</v>
      </c>
      <c r="D3487" s="63">
        <v>252.77276311085276</v>
      </c>
      <c r="E3487" s="79">
        <v>1366289</v>
      </c>
      <c r="F3487" s="80">
        <v>1335667.9411764694</v>
      </c>
      <c r="G3487" s="66">
        <v>1526.7155563509168</v>
      </c>
      <c r="H3487" s="67">
        <v>1</v>
      </c>
      <c r="I3487" s="68" t="s">
        <v>20</v>
      </c>
      <c r="J3487" s="69">
        <v>40</v>
      </c>
      <c r="K3487" s="70">
        <v>1</v>
      </c>
      <c r="L3487" s="68">
        <v>1</v>
      </c>
      <c r="M3487" s="68">
        <f>_xlfn.XLOOKUP(Survey!$F3487,sections[Start],sections[Test Section],,-1,1)</f>
        <v>9</v>
      </c>
      <c r="N3487" s="55">
        <f>_xlfn.XLOOKUP(Survey!$K3487,pipedata[ID],pipedata[WT])</f>
        <v>0.61699999999999999</v>
      </c>
      <c r="O3487" s="56">
        <f>_xlfn.XLOOKUP(Survey!$K3487,pipedata[ID],pipedata[104%])</f>
        <v>2138.9333333333334</v>
      </c>
      <c r="P3487" s="57">
        <f t="shared" si="54"/>
        <v>1850</v>
      </c>
      <c r="Q3487" s="58">
        <f>_xlfn.MAXIFS(Survey!$G$2:$G$3647,Survey!$M$2:$M$3647,Survey!$M3487)-Survey!$G3487</f>
        <v>539.6245899545047</v>
      </c>
      <c r="R3487" s="59">
        <f>Survey!$P3487+(Survey!$Q3487*0.433)</f>
        <v>2083.6574474503004</v>
      </c>
    </row>
    <row r="3488" spans="1:18" x14ac:dyDescent="0.25">
      <c r="A3488" s="71" t="s">
        <v>17</v>
      </c>
      <c r="B3488" s="72" t="s">
        <v>23</v>
      </c>
      <c r="C3488" s="73" t="s">
        <v>19</v>
      </c>
      <c r="D3488" s="74">
        <v>252.7811821877344</v>
      </c>
      <c r="E3488" s="81">
        <v>1366329</v>
      </c>
      <c r="F3488" s="82">
        <v>1335703.3529411752</v>
      </c>
      <c r="G3488" s="75">
        <v>1526.3944463323342</v>
      </c>
      <c r="H3488" s="76">
        <v>1</v>
      </c>
      <c r="I3488" s="54" t="s">
        <v>20</v>
      </c>
      <c r="J3488" s="77">
        <v>40</v>
      </c>
      <c r="K3488" s="78">
        <v>1</v>
      </c>
      <c r="L3488" s="54">
        <v>1</v>
      </c>
      <c r="M3488" s="54">
        <f>_xlfn.XLOOKUP(Survey!$F3488,sections[Start],sections[Test Section],,-1,1)</f>
        <v>9</v>
      </c>
      <c r="N3488" s="55">
        <f>_xlfn.XLOOKUP(Survey!$K3488,pipedata[ID],pipedata[WT])</f>
        <v>0.61699999999999999</v>
      </c>
      <c r="O3488" s="56">
        <f>_xlfn.XLOOKUP(Survey!$K3488,pipedata[ID],pipedata[104%])</f>
        <v>2138.9333333333334</v>
      </c>
      <c r="P3488" s="57">
        <f t="shared" si="54"/>
        <v>1850</v>
      </c>
      <c r="Q3488" s="58">
        <f>_xlfn.MAXIFS(Survey!$G$2:$G$3647,Survey!$M$2:$M$3647,Survey!$M3488)-Survey!$G3488</f>
        <v>539.94569997308736</v>
      </c>
      <c r="R3488" s="59">
        <f>Survey!$P3488+(Survey!$Q3488*0.433)</f>
        <v>2083.7964880883469</v>
      </c>
    </row>
    <row r="3489" spans="1:18" x14ac:dyDescent="0.25">
      <c r="A3489" s="60" t="s">
        <v>17</v>
      </c>
      <c r="B3489" s="61" t="s">
        <v>23</v>
      </c>
      <c r="C3489" s="62" t="s">
        <v>19</v>
      </c>
      <c r="D3489" s="63">
        <v>252.78760599199592</v>
      </c>
      <c r="E3489" s="79">
        <v>1366369</v>
      </c>
      <c r="F3489" s="80">
        <v>1335738.764705881</v>
      </c>
      <c r="G3489" s="66">
        <v>1517.8760182526685</v>
      </c>
      <c r="H3489" s="67">
        <v>1</v>
      </c>
      <c r="I3489" s="68" t="s">
        <v>20</v>
      </c>
      <c r="J3489" s="69">
        <v>40</v>
      </c>
      <c r="K3489" s="70">
        <v>1</v>
      </c>
      <c r="L3489" s="68">
        <v>1</v>
      </c>
      <c r="M3489" s="68">
        <f>_xlfn.XLOOKUP(Survey!$F3489,sections[Start],sections[Test Section],,-1,1)</f>
        <v>9</v>
      </c>
      <c r="N3489" s="55">
        <f>_xlfn.XLOOKUP(Survey!$K3489,pipedata[ID],pipedata[WT])</f>
        <v>0.61699999999999999</v>
      </c>
      <c r="O3489" s="56">
        <f>_xlfn.XLOOKUP(Survey!$K3489,pipedata[ID],pipedata[104%])</f>
        <v>2138.9333333333334</v>
      </c>
      <c r="P3489" s="57">
        <f t="shared" si="54"/>
        <v>1850</v>
      </c>
      <c r="Q3489" s="58">
        <f>_xlfn.MAXIFS(Survey!$G$2:$G$3647,Survey!$M$2:$M$3647,Survey!$M3489)-Survey!$G3489</f>
        <v>548.46412805275304</v>
      </c>
      <c r="R3489" s="59">
        <f>Survey!$P3489+(Survey!$Q3489*0.433)</f>
        <v>2087.4849674468419</v>
      </c>
    </row>
    <row r="3490" spans="1:18" x14ac:dyDescent="0.25">
      <c r="A3490" s="71" t="s">
        <v>17</v>
      </c>
      <c r="B3490" s="72" t="s">
        <v>23</v>
      </c>
      <c r="C3490" s="73" t="s">
        <v>19</v>
      </c>
      <c r="D3490" s="74">
        <v>252.7959021651269</v>
      </c>
      <c r="E3490" s="81">
        <v>1366409</v>
      </c>
      <c r="F3490" s="82">
        <v>1335774.1764705868</v>
      </c>
      <c r="G3490" s="75">
        <v>1507.5786625169667</v>
      </c>
      <c r="H3490" s="76">
        <v>1</v>
      </c>
      <c r="I3490" s="54" t="s">
        <v>20</v>
      </c>
      <c r="J3490" s="77">
        <v>22</v>
      </c>
      <c r="K3490" s="78">
        <v>1</v>
      </c>
      <c r="L3490" s="54">
        <v>1</v>
      </c>
      <c r="M3490" s="54">
        <f>_xlfn.XLOOKUP(Survey!$F3490,sections[Start],sections[Test Section],,-1,1)</f>
        <v>9</v>
      </c>
      <c r="N3490" s="55">
        <f>_xlfn.XLOOKUP(Survey!$K3490,pipedata[ID],pipedata[WT])</f>
        <v>0.61699999999999999</v>
      </c>
      <c r="O3490" s="56">
        <f>_xlfn.XLOOKUP(Survey!$K3490,pipedata[ID],pipedata[104%])</f>
        <v>2138.9333333333334</v>
      </c>
      <c r="P3490" s="57">
        <f t="shared" si="54"/>
        <v>1850</v>
      </c>
      <c r="Q3490" s="58">
        <f>_xlfn.MAXIFS(Survey!$G$2:$G$3647,Survey!$M$2:$M$3647,Survey!$M3490)-Survey!$G3490</f>
        <v>558.76148378845483</v>
      </c>
      <c r="R3490" s="59">
        <f>Survey!$P3490+(Survey!$Q3490*0.433)</f>
        <v>2091.943722480401</v>
      </c>
    </row>
    <row r="3491" spans="1:18" x14ac:dyDescent="0.25">
      <c r="A3491" s="60" t="s">
        <v>17</v>
      </c>
      <c r="B3491" s="61" t="s">
        <v>23</v>
      </c>
      <c r="C3491" s="62" t="s">
        <v>19</v>
      </c>
      <c r="D3491" s="63">
        <v>252.80244887313924</v>
      </c>
      <c r="E3491" s="79">
        <v>1366431</v>
      </c>
      <c r="F3491" s="80">
        <v>1335845</v>
      </c>
      <c r="G3491" s="66">
        <v>1487.519814656335</v>
      </c>
      <c r="H3491" s="67">
        <v>1</v>
      </c>
      <c r="I3491" s="68" t="s">
        <v>21</v>
      </c>
      <c r="J3491" s="69">
        <v>40</v>
      </c>
      <c r="K3491" s="70">
        <v>6</v>
      </c>
      <c r="L3491" s="68">
        <v>1</v>
      </c>
      <c r="M3491" s="68">
        <f>_xlfn.XLOOKUP(Survey!$F3491,sections[Start],sections[Test Section],,-1,1)</f>
        <v>9</v>
      </c>
      <c r="N3491" s="55">
        <f>_xlfn.XLOOKUP(Survey!$K3491,pipedata[ID],pipedata[WT])</f>
        <v>0.61699999999999999</v>
      </c>
      <c r="O3491" s="56">
        <f>_xlfn.XLOOKUP(Survey!$K3491,pipedata[ID],pipedata[104%])</f>
        <v>2138.9333333333334</v>
      </c>
      <c r="P3491" s="57">
        <f t="shared" si="54"/>
        <v>1850</v>
      </c>
      <c r="Q3491" s="58">
        <f>_xlfn.MAXIFS(Survey!$G$2:$G$3647,Survey!$M$2:$M$3647,Survey!$M3491)-Survey!$G3491</f>
        <v>578.82033164908648</v>
      </c>
      <c r="R3491" s="59">
        <f>Survey!$P3491+(Survey!$Q3491*0.433)</f>
        <v>2100.6292036040545</v>
      </c>
    </row>
    <row r="3492" spans="1:18" x14ac:dyDescent="0.25">
      <c r="A3492" s="71" t="s">
        <v>17</v>
      </c>
      <c r="B3492" s="72" t="s">
        <v>23</v>
      </c>
      <c r="C3492" s="73" t="s">
        <v>19</v>
      </c>
      <c r="D3492" s="74">
        <v>252.81062214251963</v>
      </c>
      <c r="E3492" s="81">
        <v>1366471</v>
      </c>
      <c r="F3492" s="82">
        <v>1335885</v>
      </c>
      <c r="G3492" s="75">
        <v>1485.8970051795384</v>
      </c>
      <c r="H3492" s="76">
        <v>1</v>
      </c>
      <c r="I3492" s="54" t="s">
        <v>20</v>
      </c>
      <c r="J3492" s="77">
        <v>58</v>
      </c>
      <c r="K3492" s="78">
        <v>1</v>
      </c>
      <c r="L3492" s="54">
        <v>1</v>
      </c>
      <c r="M3492" s="54">
        <f>_xlfn.XLOOKUP(Survey!$F3492,sections[Start],sections[Test Section],,-1,1)</f>
        <v>9</v>
      </c>
      <c r="N3492" s="55">
        <f>_xlfn.XLOOKUP(Survey!$K3492,pipedata[ID],pipedata[WT])</f>
        <v>0.61699999999999999</v>
      </c>
      <c r="O3492" s="56">
        <f>_xlfn.XLOOKUP(Survey!$K3492,pipedata[ID],pipedata[104%])</f>
        <v>2138.9333333333334</v>
      </c>
      <c r="P3492" s="57">
        <f t="shared" si="54"/>
        <v>1850</v>
      </c>
      <c r="Q3492" s="58">
        <f>_xlfn.MAXIFS(Survey!$G$2:$G$3647,Survey!$M$2:$M$3647,Survey!$M3492)-Survey!$G3492</f>
        <v>580.44314112588313</v>
      </c>
      <c r="R3492" s="59">
        <f>Survey!$P3492+(Survey!$Q3492*0.433)</f>
        <v>2101.3318801075075</v>
      </c>
    </row>
    <row r="3493" spans="1:18" x14ac:dyDescent="0.25">
      <c r="A3493" s="60" t="s">
        <v>17</v>
      </c>
      <c r="B3493" s="61" t="s">
        <v>23</v>
      </c>
      <c r="C3493" s="62" t="s">
        <v>19</v>
      </c>
      <c r="D3493" s="63">
        <v>252.81729175428231</v>
      </c>
      <c r="E3493" s="79">
        <v>1366529</v>
      </c>
      <c r="F3493" s="80">
        <v>1335923.8633093524</v>
      </c>
      <c r="G3493" s="66">
        <v>1493.526177453339</v>
      </c>
      <c r="H3493" s="67">
        <v>1</v>
      </c>
      <c r="I3493" s="68" t="s">
        <v>20</v>
      </c>
      <c r="J3493" s="69">
        <v>40</v>
      </c>
      <c r="K3493" s="70">
        <v>1</v>
      </c>
      <c r="L3493" s="68">
        <v>1</v>
      </c>
      <c r="M3493" s="68">
        <f>_xlfn.XLOOKUP(Survey!$F3493,sections[Start],sections[Test Section],,-1,1)</f>
        <v>9</v>
      </c>
      <c r="N3493" s="55">
        <f>_xlfn.XLOOKUP(Survey!$K3493,pipedata[ID],pipedata[WT])</f>
        <v>0.61699999999999999</v>
      </c>
      <c r="O3493" s="56">
        <f>_xlfn.XLOOKUP(Survey!$K3493,pipedata[ID],pipedata[104%])</f>
        <v>2138.9333333333334</v>
      </c>
      <c r="P3493" s="57">
        <f t="shared" si="54"/>
        <v>1850</v>
      </c>
      <c r="Q3493" s="58">
        <f>_xlfn.MAXIFS(Survey!$G$2:$G$3647,Survey!$M$2:$M$3647,Survey!$M3493)-Survey!$G3493</f>
        <v>572.81396885208255</v>
      </c>
      <c r="R3493" s="59">
        <f>Survey!$P3493+(Survey!$Q3493*0.433)</f>
        <v>2098.0284485129519</v>
      </c>
    </row>
    <row r="3494" spans="1:18" x14ac:dyDescent="0.25">
      <c r="A3494" s="71" t="s">
        <v>17</v>
      </c>
      <c r="B3494" s="72" t="s">
        <v>23</v>
      </c>
      <c r="C3494" s="73" t="s">
        <v>19</v>
      </c>
      <c r="D3494" s="74">
        <v>252.82533875805692</v>
      </c>
      <c r="E3494" s="81">
        <v>1366569</v>
      </c>
      <c r="F3494" s="82">
        <v>1335962.7266187049</v>
      </c>
      <c r="G3494" s="75">
        <v>1506.5837502688246</v>
      </c>
      <c r="H3494" s="76">
        <v>1</v>
      </c>
      <c r="I3494" s="54" t="s">
        <v>20</v>
      </c>
      <c r="J3494" s="77">
        <v>40</v>
      </c>
      <c r="K3494" s="78">
        <v>1</v>
      </c>
      <c r="L3494" s="54">
        <v>1</v>
      </c>
      <c r="M3494" s="54">
        <f>_xlfn.XLOOKUP(Survey!$F3494,sections[Start],sections[Test Section],,-1,1)</f>
        <v>9</v>
      </c>
      <c r="N3494" s="55">
        <f>_xlfn.XLOOKUP(Survey!$K3494,pipedata[ID],pipedata[WT])</f>
        <v>0.61699999999999999</v>
      </c>
      <c r="O3494" s="56">
        <f>_xlfn.XLOOKUP(Survey!$K3494,pipedata[ID],pipedata[104%])</f>
        <v>2138.9333333333334</v>
      </c>
      <c r="P3494" s="57">
        <f t="shared" si="54"/>
        <v>1850</v>
      </c>
      <c r="Q3494" s="58">
        <f>_xlfn.MAXIFS(Survey!$G$2:$G$3647,Survey!$M$2:$M$3647,Survey!$M3494)-Survey!$G3494</f>
        <v>559.75639603659693</v>
      </c>
      <c r="R3494" s="59">
        <f>Survey!$P3494+(Survey!$Q3494*0.433)</f>
        <v>2092.3745194838466</v>
      </c>
    </row>
    <row r="3495" spans="1:18" x14ac:dyDescent="0.25">
      <c r="A3495" s="60" t="s">
        <v>17</v>
      </c>
      <c r="B3495" s="61" t="s">
        <v>23</v>
      </c>
      <c r="C3495" s="62" t="s">
        <v>19</v>
      </c>
      <c r="D3495" s="63">
        <v>252.83152008458339</v>
      </c>
      <c r="E3495" s="79">
        <v>1366609</v>
      </c>
      <c r="F3495" s="80">
        <v>1336001.5899280573</v>
      </c>
      <c r="G3495" s="66">
        <v>1521.1450053592825</v>
      </c>
      <c r="H3495" s="67">
        <v>1</v>
      </c>
      <c r="I3495" s="68" t="s">
        <v>20</v>
      </c>
      <c r="J3495" s="69">
        <v>40</v>
      </c>
      <c r="K3495" s="70">
        <v>1</v>
      </c>
      <c r="L3495" s="68">
        <v>1</v>
      </c>
      <c r="M3495" s="68">
        <f>_xlfn.XLOOKUP(Survey!$F3495,sections[Start],sections[Test Section],,-1,1)</f>
        <v>9</v>
      </c>
      <c r="N3495" s="55">
        <f>_xlfn.XLOOKUP(Survey!$K3495,pipedata[ID],pipedata[WT])</f>
        <v>0.61699999999999999</v>
      </c>
      <c r="O3495" s="56">
        <f>_xlfn.XLOOKUP(Survey!$K3495,pipedata[ID],pipedata[104%])</f>
        <v>2138.9333333333334</v>
      </c>
      <c r="P3495" s="57">
        <f t="shared" si="54"/>
        <v>1850</v>
      </c>
      <c r="Q3495" s="58">
        <f>_xlfn.MAXIFS(Survey!$G$2:$G$3647,Survey!$M$2:$M$3647,Survey!$M3495)-Survey!$G3495</f>
        <v>545.19514094613896</v>
      </c>
      <c r="R3495" s="59">
        <f>Survey!$P3495+(Survey!$Q3495*0.433)</f>
        <v>2086.0694960296782</v>
      </c>
    </row>
    <row r="3496" spans="1:18" x14ac:dyDescent="0.25">
      <c r="A3496" s="71" t="s">
        <v>17</v>
      </c>
      <c r="B3496" s="72" t="s">
        <v>23</v>
      </c>
      <c r="C3496" s="73" t="s">
        <v>19</v>
      </c>
      <c r="D3496" s="74">
        <v>252.83910981283736</v>
      </c>
      <c r="E3496" s="81">
        <v>1366649</v>
      </c>
      <c r="F3496" s="82">
        <v>1336040.4532374097</v>
      </c>
      <c r="G3496" s="75">
        <v>1536.3483401812355</v>
      </c>
      <c r="H3496" s="76">
        <v>1</v>
      </c>
      <c r="I3496" s="54" t="s">
        <v>20</v>
      </c>
      <c r="J3496" s="77">
        <v>40</v>
      </c>
      <c r="K3496" s="78">
        <v>1</v>
      </c>
      <c r="L3496" s="54">
        <v>1</v>
      </c>
      <c r="M3496" s="54">
        <f>_xlfn.XLOOKUP(Survey!$F3496,sections[Start],sections[Test Section],,-1,1)</f>
        <v>9</v>
      </c>
      <c r="N3496" s="55">
        <f>_xlfn.XLOOKUP(Survey!$K3496,pipedata[ID],pipedata[WT])</f>
        <v>0.61699999999999999</v>
      </c>
      <c r="O3496" s="56">
        <f>_xlfn.XLOOKUP(Survey!$K3496,pipedata[ID],pipedata[104%])</f>
        <v>2138.9333333333334</v>
      </c>
      <c r="P3496" s="57">
        <f t="shared" si="54"/>
        <v>1850</v>
      </c>
      <c r="Q3496" s="58">
        <f>_xlfn.MAXIFS(Survey!$G$2:$G$3647,Survey!$M$2:$M$3647,Survey!$M3496)-Survey!$G3496</f>
        <v>529.99180612418604</v>
      </c>
      <c r="R3496" s="59">
        <f>Survey!$P3496+(Survey!$Q3496*0.433)</f>
        <v>2079.4864520517726</v>
      </c>
    </row>
    <row r="3497" spans="1:18" x14ac:dyDescent="0.25">
      <c r="A3497" s="60" t="s">
        <v>17</v>
      </c>
      <c r="B3497" s="61" t="s">
        <v>23</v>
      </c>
      <c r="C3497" s="62" t="s">
        <v>19</v>
      </c>
      <c r="D3497" s="63">
        <v>252.84697898699784</v>
      </c>
      <c r="E3497" s="79">
        <v>1366689</v>
      </c>
      <c r="F3497" s="80">
        <v>1336079.3165467621</v>
      </c>
      <c r="G3497" s="66">
        <v>1547.7101074127368</v>
      </c>
      <c r="H3497" s="67">
        <v>1</v>
      </c>
      <c r="I3497" s="68" t="s">
        <v>20</v>
      </c>
      <c r="J3497" s="69">
        <v>40</v>
      </c>
      <c r="K3497" s="70">
        <v>1</v>
      </c>
      <c r="L3497" s="68">
        <v>1</v>
      </c>
      <c r="M3497" s="68">
        <f>_xlfn.XLOOKUP(Survey!$F3497,sections[Start],sections[Test Section],,-1,1)</f>
        <v>9</v>
      </c>
      <c r="N3497" s="55">
        <f>_xlfn.XLOOKUP(Survey!$K3497,pipedata[ID],pipedata[WT])</f>
        <v>0.61699999999999999</v>
      </c>
      <c r="O3497" s="56">
        <f>_xlfn.XLOOKUP(Survey!$K3497,pipedata[ID],pipedata[104%])</f>
        <v>2138.9333333333334</v>
      </c>
      <c r="P3497" s="57">
        <f t="shared" si="54"/>
        <v>1850</v>
      </c>
      <c r="Q3497" s="58">
        <f>_xlfn.MAXIFS(Survey!$G$2:$G$3647,Survey!$M$2:$M$3647,Survey!$M3497)-Survey!$G3497</f>
        <v>518.63003889268475</v>
      </c>
      <c r="R3497" s="59">
        <f>Survey!$P3497+(Survey!$Q3497*0.433)</f>
        <v>2074.5668068405325</v>
      </c>
    </row>
    <row r="3498" spans="1:18" x14ac:dyDescent="0.25">
      <c r="A3498" s="71" t="s">
        <v>17</v>
      </c>
      <c r="B3498" s="72" t="s">
        <v>23</v>
      </c>
      <c r="C3498" s="73" t="s">
        <v>19</v>
      </c>
      <c r="D3498" s="74">
        <v>252.85426260842792</v>
      </c>
      <c r="E3498" s="81">
        <v>1366729</v>
      </c>
      <c r="F3498" s="82">
        <v>1336118.1798561146</v>
      </c>
      <c r="G3498" s="75">
        <v>1559.2434544176569</v>
      </c>
      <c r="H3498" s="76">
        <v>1</v>
      </c>
      <c r="I3498" s="54" t="s">
        <v>20</v>
      </c>
      <c r="J3498" s="77">
        <v>40</v>
      </c>
      <c r="K3498" s="78">
        <v>1</v>
      </c>
      <c r="L3498" s="54">
        <v>1</v>
      </c>
      <c r="M3498" s="54">
        <f>_xlfn.XLOOKUP(Survey!$F3498,sections[Start],sections[Test Section],,-1,1)</f>
        <v>9</v>
      </c>
      <c r="N3498" s="55">
        <f>_xlfn.XLOOKUP(Survey!$K3498,pipedata[ID],pipedata[WT])</f>
        <v>0.61699999999999999</v>
      </c>
      <c r="O3498" s="56">
        <f>_xlfn.XLOOKUP(Survey!$K3498,pipedata[ID],pipedata[104%])</f>
        <v>2138.9333333333334</v>
      </c>
      <c r="P3498" s="57">
        <f t="shared" si="54"/>
        <v>1850</v>
      </c>
      <c r="Q3498" s="58">
        <f>_xlfn.MAXIFS(Survey!$G$2:$G$3647,Survey!$M$2:$M$3647,Survey!$M3498)-Survey!$G3498</f>
        <v>507.09669188776456</v>
      </c>
      <c r="R3498" s="59">
        <f>Survey!$P3498+(Survey!$Q3498*0.433)</f>
        <v>2069.572867587402</v>
      </c>
    </row>
    <row r="3499" spans="1:18" x14ac:dyDescent="0.25">
      <c r="A3499" s="60" t="s">
        <v>17</v>
      </c>
      <c r="B3499" s="61" t="s">
        <v>23</v>
      </c>
      <c r="C3499" s="62" t="s">
        <v>19</v>
      </c>
      <c r="D3499" s="63">
        <v>252.8607500417786</v>
      </c>
      <c r="E3499" s="79">
        <v>1366769</v>
      </c>
      <c r="F3499" s="80">
        <v>1336157.043165467</v>
      </c>
      <c r="G3499" s="66">
        <v>1568.362525902271</v>
      </c>
      <c r="H3499" s="67">
        <v>1</v>
      </c>
      <c r="I3499" s="68" t="s">
        <v>20</v>
      </c>
      <c r="J3499" s="69">
        <v>40</v>
      </c>
      <c r="K3499" s="70">
        <v>1</v>
      </c>
      <c r="L3499" s="68">
        <v>1</v>
      </c>
      <c r="M3499" s="68">
        <f>_xlfn.XLOOKUP(Survey!$F3499,sections[Start],sections[Test Section],,-1,1)</f>
        <v>9</v>
      </c>
      <c r="N3499" s="55">
        <f>_xlfn.XLOOKUP(Survey!$K3499,pipedata[ID],pipedata[WT])</f>
        <v>0.61699999999999999</v>
      </c>
      <c r="O3499" s="56">
        <f>_xlfn.XLOOKUP(Survey!$K3499,pipedata[ID],pipedata[104%])</f>
        <v>2138.9333333333334</v>
      </c>
      <c r="P3499" s="57">
        <f t="shared" si="54"/>
        <v>1850</v>
      </c>
      <c r="Q3499" s="58">
        <f>_xlfn.MAXIFS(Survey!$G$2:$G$3647,Survey!$M$2:$M$3647,Survey!$M3499)-Survey!$G3499</f>
        <v>497.97762040315047</v>
      </c>
      <c r="R3499" s="59">
        <f>Survey!$P3499+(Survey!$Q3499*0.433)</f>
        <v>2065.6243096345643</v>
      </c>
    </row>
    <row r="3500" spans="1:18" x14ac:dyDescent="0.25">
      <c r="A3500" s="71" t="s">
        <v>17</v>
      </c>
      <c r="B3500" s="72" t="s">
        <v>23</v>
      </c>
      <c r="C3500" s="73" t="s">
        <v>19</v>
      </c>
      <c r="D3500" s="74">
        <v>252.86861921593885</v>
      </c>
      <c r="E3500" s="81">
        <v>1366809</v>
      </c>
      <c r="F3500" s="82">
        <v>1336195.9064748194</v>
      </c>
      <c r="G3500" s="75">
        <v>1579.4228891271687</v>
      </c>
      <c r="H3500" s="76">
        <v>1</v>
      </c>
      <c r="I3500" s="54" t="s">
        <v>20</v>
      </c>
      <c r="J3500" s="77">
        <v>40</v>
      </c>
      <c r="K3500" s="78">
        <v>1</v>
      </c>
      <c r="L3500" s="54">
        <v>1</v>
      </c>
      <c r="M3500" s="54">
        <f>_xlfn.XLOOKUP(Survey!$F3500,sections[Start],sections[Test Section],,-1,1)</f>
        <v>9</v>
      </c>
      <c r="N3500" s="55">
        <f>_xlfn.XLOOKUP(Survey!$K3500,pipedata[ID],pipedata[WT])</f>
        <v>0.61699999999999999</v>
      </c>
      <c r="O3500" s="56">
        <f>_xlfn.XLOOKUP(Survey!$K3500,pipedata[ID],pipedata[104%])</f>
        <v>2138.9333333333334</v>
      </c>
      <c r="P3500" s="57">
        <f t="shared" si="54"/>
        <v>1850</v>
      </c>
      <c r="Q3500" s="58">
        <f>_xlfn.MAXIFS(Survey!$G$2:$G$3647,Survey!$M$2:$M$3647,Survey!$M3500)-Survey!$G3500</f>
        <v>486.91725717825284</v>
      </c>
      <c r="R3500" s="59">
        <f>Survey!$P3500+(Survey!$Q3500*0.433)</f>
        <v>2060.8351723581836</v>
      </c>
    </row>
    <row r="3501" spans="1:18" x14ac:dyDescent="0.25">
      <c r="A3501" s="60" t="s">
        <v>17</v>
      </c>
      <c r="B3501" s="61" t="s">
        <v>23</v>
      </c>
      <c r="C3501" s="62" t="s">
        <v>19</v>
      </c>
      <c r="D3501" s="63">
        <v>252.87510992195192</v>
      </c>
      <c r="E3501" s="79">
        <v>1366849</v>
      </c>
      <c r="F3501" s="80">
        <v>1336234.7697841718</v>
      </c>
      <c r="G3501" s="66">
        <v>1587.9654176765011</v>
      </c>
      <c r="H3501" s="67">
        <v>1</v>
      </c>
      <c r="I3501" s="68" t="s">
        <v>20</v>
      </c>
      <c r="J3501" s="69">
        <v>40</v>
      </c>
      <c r="K3501" s="70">
        <v>1</v>
      </c>
      <c r="L3501" s="68">
        <v>1</v>
      </c>
      <c r="M3501" s="68">
        <f>_xlfn.XLOOKUP(Survey!$F3501,sections[Start],sections[Test Section],,-1,1)</f>
        <v>9</v>
      </c>
      <c r="N3501" s="55">
        <f>_xlfn.XLOOKUP(Survey!$K3501,pipedata[ID],pipedata[WT])</f>
        <v>0.61699999999999999</v>
      </c>
      <c r="O3501" s="56">
        <f>_xlfn.XLOOKUP(Survey!$K3501,pipedata[ID],pipedata[104%])</f>
        <v>2138.9333333333334</v>
      </c>
      <c r="P3501" s="57">
        <f t="shared" si="54"/>
        <v>1850</v>
      </c>
      <c r="Q3501" s="58">
        <f>_xlfn.MAXIFS(Survey!$G$2:$G$3647,Survey!$M$2:$M$3647,Survey!$M3501)-Survey!$G3501</f>
        <v>478.37472862892037</v>
      </c>
      <c r="R3501" s="59">
        <f>Survey!$P3501+(Survey!$Q3501*0.433)</f>
        <v>2057.1362574963223</v>
      </c>
    </row>
    <row r="3502" spans="1:18" x14ac:dyDescent="0.25">
      <c r="A3502" s="71" t="s">
        <v>17</v>
      </c>
      <c r="B3502" s="72" t="s">
        <v>23</v>
      </c>
      <c r="C3502" s="73" t="s">
        <v>19</v>
      </c>
      <c r="D3502" s="74">
        <v>252.88269076323346</v>
      </c>
      <c r="E3502" s="81">
        <v>1366889</v>
      </c>
      <c r="F3502" s="82">
        <v>1336273.6330935243</v>
      </c>
      <c r="G3502" s="75">
        <v>1597.8931663382839</v>
      </c>
      <c r="H3502" s="76">
        <v>1</v>
      </c>
      <c r="I3502" s="54" t="s">
        <v>20</v>
      </c>
      <c r="J3502" s="77">
        <v>40</v>
      </c>
      <c r="K3502" s="78">
        <v>1</v>
      </c>
      <c r="L3502" s="54">
        <v>1</v>
      </c>
      <c r="M3502" s="54">
        <f>_xlfn.XLOOKUP(Survey!$F3502,sections[Start],sections[Test Section],,-1,1)</f>
        <v>9</v>
      </c>
      <c r="N3502" s="55">
        <f>_xlfn.XLOOKUP(Survey!$K3502,pipedata[ID],pipedata[WT])</f>
        <v>0.61699999999999999</v>
      </c>
      <c r="O3502" s="56">
        <f>_xlfn.XLOOKUP(Survey!$K3502,pipedata[ID],pipedata[104%])</f>
        <v>2138.9333333333334</v>
      </c>
      <c r="P3502" s="57">
        <f t="shared" si="54"/>
        <v>1850</v>
      </c>
      <c r="Q3502" s="58">
        <f>_xlfn.MAXIFS(Survey!$G$2:$G$3647,Survey!$M$2:$M$3647,Survey!$M3502)-Survey!$G3502</f>
        <v>468.44697996713762</v>
      </c>
      <c r="R3502" s="59">
        <f>Survey!$P3502+(Survey!$Q3502*0.433)</f>
        <v>2052.8375423257708</v>
      </c>
    </row>
    <row r="3503" spans="1:18" x14ac:dyDescent="0.25">
      <c r="A3503" s="60" t="s">
        <v>17</v>
      </c>
      <c r="B3503" s="61" t="s">
        <v>23</v>
      </c>
      <c r="C3503" s="62" t="s">
        <v>19</v>
      </c>
      <c r="D3503" s="63">
        <v>252.89059130535398</v>
      </c>
      <c r="E3503" s="79">
        <v>1366929</v>
      </c>
      <c r="F3503" s="80">
        <v>1336312.4964028767</v>
      </c>
      <c r="G3503" s="66">
        <v>1607.3745583244681</v>
      </c>
      <c r="H3503" s="67">
        <v>1</v>
      </c>
      <c r="I3503" s="68" t="s">
        <v>20</v>
      </c>
      <c r="J3503" s="69">
        <v>40</v>
      </c>
      <c r="K3503" s="70">
        <v>1</v>
      </c>
      <c r="L3503" s="68">
        <v>1</v>
      </c>
      <c r="M3503" s="68">
        <f>_xlfn.XLOOKUP(Survey!$F3503,sections[Start],sections[Test Section],,-1,1)</f>
        <v>9</v>
      </c>
      <c r="N3503" s="55">
        <f>_xlfn.XLOOKUP(Survey!$K3503,pipedata[ID],pipedata[WT])</f>
        <v>0.61699999999999999</v>
      </c>
      <c r="O3503" s="56">
        <f>_xlfn.XLOOKUP(Survey!$K3503,pipedata[ID],pipedata[104%])</f>
        <v>2138.9333333333334</v>
      </c>
      <c r="P3503" s="57">
        <f t="shared" si="54"/>
        <v>1850</v>
      </c>
      <c r="Q3503" s="58">
        <f>_xlfn.MAXIFS(Survey!$G$2:$G$3647,Survey!$M$2:$M$3647,Survey!$M3503)-Survey!$G3503</f>
        <v>458.96558798095339</v>
      </c>
      <c r="R3503" s="59">
        <f>Survey!$P3503+(Survey!$Q3503*0.433)</f>
        <v>2048.732099595753</v>
      </c>
    </row>
    <row r="3504" spans="1:18" x14ac:dyDescent="0.25">
      <c r="A3504" s="71" t="s">
        <v>17</v>
      </c>
      <c r="B3504" s="72" t="s">
        <v>23</v>
      </c>
      <c r="C3504" s="73" t="s">
        <v>19</v>
      </c>
      <c r="D3504" s="74">
        <v>252.89812861904031</v>
      </c>
      <c r="E3504" s="81">
        <v>1366969</v>
      </c>
      <c r="F3504" s="82">
        <v>1336351.3597122291</v>
      </c>
      <c r="G3504" s="75">
        <v>1616.9589113672262</v>
      </c>
      <c r="H3504" s="76">
        <v>1</v>
      </c>
      <c r="I3504" s="54" t="s">
        <v>20</v>
      </c>
      <c r="J3504" s="77">
        <v>40</v>
      </c>
      <c r="K3504" s="78">
        <v>1</v>
      </c>
      <c r="L3504" s="54">
        <v>1</v>
      </c>
      <c r="M3504" s="54">
        <f>_xlfn.XLOOKUP(Survey!$F3504,sections[Start],sections[Test Section],,-1,1)</f>
        <v>9</v>
      </c>
      <c r="N3504" s="55">
        <f>_xlfn.XLOOKUP(Survey!$K3504,pipedata[ID],pipedata[WT])</f>
        <v>0.61699999999999999</v>
      </c>
      <c r="O3504" s="56">
        <f>_xlfn.XLOOKUP(Survey!$K3504,pipedata[ID],pipedata[104%])</f>
        <v>2138.9333333333334</v>
      </c>
      <c r="P3504" s="57">
        <f t="shared" si="54"/>
        <v>1850</v>
      </c>
      <c r="Q3504" s="58">
        <f>_xlfn.MAXIFS(Survey!$G$2:$G$3647,Survey!$M$2:$M$3647,Survey!$M3504)-Survey!$G3504</f>
        <v>449.38123493819535</v>
      </c>
      <c r="R3504" s="59">
        <f>Survey!$P3504+(Survey!$Q3504*0.433)</f>
        <v>2044.5820747282387</v>
      </c>
    </row>
    <row r="3505" spans="1:18" x14ac:dyDescent="0.25">
      <c r="A3505" s="60" t="s">
        <v>17</v>
      </c>
      <c r="B3505" s="61" t="s">
        <v>23</v>
      </c>
      <c r="C3505" s="62" t="s">
        <v>19</v>
      </c>
      <c r="D3505" s="63">
        <v>252.90543328707778</v>
      </c>
      <c r="E3505" s="79">
        <v>1367009</v>
      </c>
      <c r="F3505" s="80">
        <v>1336390.2230215815</v>
      </c>
      <c r="G3505" s="66">
        <v>1624.9966491230578</v>
      </c>
      <c r="H3505" s="67">
        <v>1</v>
      </c>
      <c r="I3505" s="68" t="s">
        <v>20</v>
      </c>
      <c r="J3505" s="69">
        <v>40</v>
      </c>
      <c r="K3505" s="70">
        <v>1</v>
      </c>
      <c r="L3505" s="68">
        <v>1</v>
      </c>
      <c r="M3505" s="68">
        <f>_xlfn.XLOOKUP(Survey!$F3505,sections[Start],sections[Test Section],,-1,1)</f>
        <v>9</v>
      </c>
      <c r="N3505" s="55">
        <f>_xlfn.XLOOKUP(Survey!$K3505,pipedata[ID],pipedata[WT])</f>
        <v>0.61699999999999999</v>
      </c>
      <c r="O3505" s="56">
        <f>_xlfn.XLOOKUP(Survey!$K3505,pipedata[ID],pipedata[104%])</f>
        <v>2138.9333333333334</v>
      </c>
      <c r="P3505" s="57">
        <f t="shared" si="54"/>
        <v>1850</v>
      </c>
      <c r="Q3505" s="58">
        <f>_xlfn.MAXIFS(Survey!$G$2:$G$3647,Survey!$M$2:$M$3647,Survey!$M3505)-Survey!$G3505</f>
        <v>441.34349718236376</v>
      </c>
      <c r="R3505" s="59">
        <f>Survey!$P3505+(Survey!$Q3505*0.433)</f>
        <v>2041.1017342799635</v>
      </c>
    </row>
    <row r="3506" spans="1:18" x14ac:dyDescent="0.25">
      <c r="A3506" s="71" t="s">
        <v>17</v>
      </c>
      <c r="B3506" s="72" t="s">
        <v>23</v>
      </c>
      <c r="C3506" s="73" t="s">
        <v>19</v>
      </c>
      <c r="D3506" s="74">
        <v>252.91301412835932</v>
      </c>
      <c r="E3506" s="81">
        <v>1367049</v>
      </c>
      <c r="F3506" s="82">
        <v>1336429.086330934</v>
      </c>
      <c r="G3506" s="75">
        <v>1634.6151956805438</v>
      </c>
      <c r="H3506" s="76">
        <v>1</v>
      </c>
      <c r="I3506" s="54" t="s">
        <v>20</v>
      </c>
      <c r="J3506" s="77">
        <v>40</v>
      </c>
      <c r="K3506" s="78">
        <v>1</v>
      </c>
      <c r="L3506" s="54">
        <v>1</v>
      </c>
      <c r="M3506" s="54">
        <f>_xlfn.XLOOKUP(Survey!$F3506,sections[Start],sections[Test Section],,-1,1)</f>
        <v>9</v>
      </c>
      <c r="N3506" s="55">
        <f>_xlfn.XLOOKUP(Survey!$K3506,pipedata[ID],pipedata[WT])</f>
        <v>0.61699999999999999</v>
      </c>
      <c r="O3506" s="56">
        <f>_xlfn.XLOOKUP(Survey!$K3506,pipedata[ID],pipedata[104%])</f>
        <v>2138.9333333333334</v>
      </c>
      <c r="P3506" s="57">
        <f t="shared" si="54"/>
        <v>1850</v>
      </c>
      <c r="Q3506" s="58">
        <f>_xlfn.MAXIFS(Survey!$G$2:$G$3647,Survey!$M$2:$M$3647,Survey!$M3506)-Survey!$G3506</f>
        <v>431.72495062487769</v>
      </c>
      <c r="R3506" s="59">
        <f>Survey!$P3506+(Survey!$Q3506*0.433)</f>
        <v>2036.9369036205721</v>
      </c>
    </row>
    <row r="3507" spans="1:18" x14ac:dyDescent="0.25">
      <c r="A3507" s="60" t="s">
        <v>17</v>
      </c>
      <c r="B3507" s="61" t="s">
        <v>23</v>
      </c>
      <c r="C3507" s="62" t="s">
        <v>19</v>
      </c>
      <c r="D3507" s="63">
        <v>252.91976884798126</v>
      </c>
      <c r="E3507" s="79">
        <v>1367089</v>
      </c>
      <c r="F3507" s="80">
        <v>1336467.9496402864</v>
      </c>
      <c r="G3507" s="66">
        <v>1645.0209345915021</v>
      </c>
      <c r="H3507" s="67">
        <v>1</v>
      </c>
      <c r="I3507" s="68" t="s">
        <v>20</v>
      </c>
      <c r="J3507" s="69">
        <v>40</v>
      </c>
      <c r="K3507" s="70">
        <v>1</v>
      </c>
      <c r="L3507" s="68">
        <v>1</v>
      </c>
      <c r="M3507" s="68">
        <f>_xlfn.XLOOKUP(Survey!$F3507,sections[Start],sections[Test Section],,-1,1)</f>
        <v>9</v>
      </c>
      <c r="N3507" s="55">
        <f>_xlfn.XLOOKUP(Survey!$K3507,pipedata[ID],pipedata[WT])</f>
        <v>0.61699999999999999</v>
      </c>
      <c r="O3507" s="56">
        <f>_xlfn.XLOOKUP(Survey!$K3507,pipedata[ID],pipedata[104%])</f>
        <v>2138.9333333333334</v>
      </c>
      <c r="P3507" s="57">
        <f t="shared" si="54"/>
        <v>1850</v>
      </c>
      <c r="Q3507" s="58">
        <f>_xlfn.MAXIFS(Survey!$G$2:$G$3647,Survey!$M$2:$M$3647,Survey!$M3507)-Survey!$G3507</f>
        <v>421.31921171391946</v>
      </c>
      <c r="R3507" s="59">
        <f>Survey!$P3507+(Survey!$Q3507*0.433)</f>
        <v>2032.4312186721272</v>
      </c>
    </row>
    <row r="3508" spans="1:18" x14ac:dyDescent="0.25">
      <c r="A3508" s="71" t="s">
        <v>17</v>
      </c>
      <c r="B3508" s="72" t="s">
        <v>23</v>
      </c>
      <c r="C3508" s="73" t="s">
        <v>19</v>
      </c>
      <c r="D3508" s="74">
        <v>252.92763802214176</v>
      </c>
      <c r="E3508" s="81">
        <v>1367129</v>
      </c>
      <c r="F3508" s="82">
        <v>1336506.8129496388</v>
      </c>
      <c r="G3508" s="75">
        <v>1654.6522552696592</v>
      </c>
      <c r="H3508" s="76">
        <v>1</v>
      </c>
      <c r="I3508" s="54" t="s">
        <v>20</v>
      </c>
      <c r="J3508" s="77">
        <v>40</v>
      </c>
      <c r="K3508" s="78">
        <v>1</v>
      </c>
      <c r="L3508" s="54">
        <v>1</v>
      </c>
      <c r="M3508" s="54">
        <f>_xlfn.XLOOKUP(Survey!$F3508,sections[Start],sections[Test Section],,-1,1)</f>
        <v>9</v>
      </c>
      <c r="N3508" s="55">
        <f>_xlfn.XLOOKUP(Survey!$K3508,pipedata[ID],pipedata[WT])</f>
        <v>0.61699999999999999</v>
      </c>
      <c r="O3508" s="56">
        <f>_xlfn.XLOOKUP(Survey!$K3508,pipedata[ID],pipedata[104%])</f>
        <v>2138.9333333333334</v>
      </c>
      <c r="P3508" s="57">
        <f t="shared" si="54"/>
        <v>1850</v>
      </c>
      <c r="Q3508" s="58">
        <f>_xlfn.MAXIFS(Survey!$G$2:$G$3647,Survey!$M$2:$M$3647,Survey!$M3508)-Survey!$G3508</f>
        <v>411.68789103576228</v>
      </c>
      <c r="R3508" s="59">
        <f>Survey!$P3508+(Survey!$Q3508*0.433)</f>
        <v>2028.2608568184851</v>
      </c>
    </row>
    <row r="3509" spans="1:18" x14ac:dyDescent="0.25">
      <c r="A3509" s="60" t="s">
        <v>17</v>
      </c>
      <c r="B3509" s="61" t="s">
        <v>23</v>
      </c>
      <c r="C3509" s="62" t="s">
        <v>19</v>
      </c>
      <c r="D3509" s="63">
        <v>252.93386144188341</v>
      </c>
      <c r="E3509" s="79">
        <v>1367169</v>
      </c>
      <c r="F3509" s="80">
        <v>1336545.6762589912</v>
      </c>
      <c r="G3509" s="66">
        <v>1663.5572491998694</v>
      </c>
      <c r="H3509" s="67">
        <v>1</v>
      </c>
      <c r="I3509" s="68" t="s">
        <v>20</v>
      </c>
      <c r="J3509" s="69">
        <v>40</v>
      </c>
      <c r="K3509" s="70">
        <v>1</v>
      </c>
      <c r="L3509" s="68">
        <v>1</v>
      </c>
      <c r="M3509" s="68">
        <f>_xlfn.XLOOKUP(Survey!$F3509,sections[Start],sections[Test Section],,-1,1)</f>
        <v>9</v>
      </c>
      <c r="N3509" s="55">
        <f>_xlfn.XLOOKUP(Survey!$K3509,pipedata[ID],pipedata[WT])</f>
        <v>0.61699999999999999</v>
      </c>
      <c r="O3509" s="56">
        <f>_xlfn.XLOOKUP(Survey!$K3509,pipedata[ID],pipedata[104%])</f>
        <v>2138.9333333333334</v>
      </c>
      <c r="P3509" s="57">
        <f t="shared" si="54"/>
        <v>1850</v>
      </c>
      <c r="Q3509" s="58">
        <f>_xlfn.MAXIFS(Survey!$G$2:$G$3647,Survey!$M$2:$M$3647,Survey!$M3509)-Survey!$G3509</f>
        <v>402.78289710555214</v>
      </c>
      <c r="R3509" s="59">
        <f>Survey!$P3509+(Survey!$Q3509*0.433)</f>
        <v>2024.404994446704</v>
      </c>
    </row>
    <row r="3510" spans="1:18" x14ac:dyDescent="0.25">
      <c r="A3510" s="71" t="s">
        <v>17</v>
      </c>
      <c r="B3510" s="72" t="s">
        <v>23</v>
      </c>
      <c r="C3510" s="73" t="s">
        <v>19</v>
      </c>
      <c r="D3510" s="74">
        <v>252.94250390134704</v>
      </c>
      <c r="E3510" s="81">
        <v>1367209</v>
      </c>
      <c r="F3510" s="82">
        <v>1336584.5395683437</v>
      </c>
      <c r="G3510" s="75">
        <v>1672.0901906722743</v>
      </c>
      <c r="H3510" s="76">
        <v>1</v>
      </c>
      <c r="I3510" s="54" t="s">
        <v>20</v>
      </c>
      <c r="J3510" s="77">
        <v>40</v>
      </c>
      <c r="K3510" s="78">
        <v>1</v>
      </c>
      <c r="L3510" s="54">
        <v>1</v>
      </c>
      <c r="M3510" s="54">
        <f>_xlfn.XLOOKUP(Survey!$F3510,sections[Start],sections[Test Section],,-1,1)</f>
        <v>9</v>
      </c>
      <c r="N3510" s="55">
        <f>_xlfn.XLOOKUP(Survey!$K3510,pipedata[ID],pipedata[WT])</f>
        <v>0.61699999999999999</v>
      </c>
      <c r="O3510" s="56">
        <f>_xlfn.XLOOKUP(Survey!$K3510,pipedata[ID],pipedata[104%])</f>
        <v>2138.9333333333334</v>
      </c>
      <c r="P3510" s="57">
        <f t="shared" si="54"/>
        <v>1850</v>
      </c>
      <c r="Q3510" s="58">
        <f>_xlfn.MAXIFS(Survey!$G$2:$G$3647,Survey!$M$2:$M$3647,Survey!$M3510)-Survey!$G3510</f>
        <v>394.24995563314724</v>
      </c>
      <c r="R3510" s="59">
        <f>Survey!$P3510+(Survey!$Q3510*0.433)</f>
        <v>2020.7102307891528</v>
      </c>
    </row>
    <row r="3511" spans="1:18" x14ac:dyDescent="0.25">
      <c r="A3511" s="60" t="s">
        <v>17</v>
      </c>
      <c r="B3511" s="61" t="s">
        <v>23</v>
      </c>
      <c r="C3511" s="62" t="s">
        <v>19</v>
      </c>
      <c r="D3511" s="63">
        <v>252.94940303655306</v>
      </c>
      <c r="E3511" s="79">
        <v>1367249</v>
      </c>
      <c r="F3511" s="80">
        <v>1336623.4028776961</v>
      </c>
      <c r="G3511" s="66">
        <v>1678.6223196422234</v>
      </c>
      <c r="H3511" s="67">
        <v>1</v>
      </c>
      <c r="I3511" s="68" t="s">
        <v>20</v>
      </c>
      <c r="J3511" s="69">
        <v>40</v>
      </c>
      <c r="K3511" s="70">
        <v>1</v>
      </c>
      <c r="L3511" s="68">
        <v>1</v>
      </c>
      <c r="M3511" s="68">
        <f>_xlfn.XLOOKUP(Survey!$F3511,sections[Start],sections[Test Section],,-1,1)</f>
        <v>9</v>
      </c>
      <c r="N3511" s="55">
        <f>_xlfn.XLOOKUP(Survey!$K3511,pipedata[ID],pipedata[WT])</f>
        <v>0.61699999999999999</v>
      </c>
      <c r="O3511" s="56">
        <f>_xlfn.XLOOKUP(Survey!$K3511,pipedata[ID],pipedata[104%])</f>
        <v>2138.9333333333334</v>
      </c>
      <c r="P3511" s="57">
        <f t="shared" si="54"/>
        <v>1850</v>
      </c>
      <c r="Q3511" s="58">
        <f>_xlfn.MAXIFS(Survey!$G$2:$G$3647,Survey!$M$2:$M$3647,Survey!$M3511)-Survey!$G3511</f>
        <v>387.71782666319814</v>
      </c>
      <c r="R3511" s="59">
        <f>Survey!$P3511+(Survey!$Q3511*0.433)</f>
        <v>2017.8818189451647</v>
      </c>
    </row>
    <row r="3512" spans="1:18" x14ac:dyDescent="0.25">
      <c r="A3512" s="71" t="s">
        <v>17</v>
      </c>
      <c r="B3512" s="72" t="s">
        <v>23</v>
      </c>
      <c r="C3512" s="73" t="s">
        <v>19</v>
      </c>
      <c r="D3512" s="74">
        <v>252.9572844676334</v>
      </c>
      <c r="E3512" s="81">
        <v>1367289</v>
      </c>
      <c r="F3512" s="82">
        <v>1336662.2661870485</v>
      </c>
      <c r="G3512" s="75">
        <v>1684.8158160735877</v>
      </c>
      <c r="H3512" s="76">
        <v>1</v>
      </c>
      <c r="I3512" s="54" t="s">
        <v>20</v>
      </c>
      <c r="J3512" s="77">
        <v>40</v>
      </c>
      <c r="K3512" s="78">
        <v>1</v>
      </c>
      <c r="L3512" s="54">
        <v>1</v>
      </c>
      <c r="M3512" s="54">
        <f>_xlfn.XLOOKUP(Survey!$F3512,sections[Start],sections[Test Section],,-1,1)</f>
        <v>9</v>
      </c>
      <c r="N3512" s="55">
        <f>_xlfn.XLOOKUP(Survey!$K3512,pipedata[ID],pipedata[WT])</f>
        <v>0.61699999999999999</v>
      </c>
      <c r="O3512" s="56">
        <f>_xlfn.XLOOKUP(Survey!$K3512,pipedata[ID],pipedata[104%])</f>
        <v>2138.9333333333334</v>
      </c>
      <c r="P3512" s="57">
        <f t="shared" si="54"/>
        <v>1850</v>
      </c>
      <c r="Q3512" s="58">
        <f>_xlfn.MAXIFS(Survey!$G$2:$G$3647,Survey!$M$2:$M$3647,Survey!$M3512)-Survey!$G3512</f>
        <v>381.5243302318338</v>
      </c>
      <c r="R3512" s="59">
        <f>Survey!$P3512+(Survey!$Q3512*0.433)</f>
        <v>2015.200034990384</v>
      </c>
    </row>
    <row r="3513" spans="1:18" x14ac:dyDescent="0.25">
      <c r="A3513" s="60" t="s">
        <v>17</v>
      </c>
      <c r="B3513" s="61" t="s">
        <v>23</v>
      </c>
      <c r="C3513" s="62" t="s">
        <v>19</v>
      </c>
      <c r="D3513" s="63">
        <v>252.96485247745912</v>
      </c>
      <c r="E3513" s="79">
        <v>1367329</v>
      </c>
      <c r="F3513" s="80">
        <v>1336701.1294964009</v>
      </c>
      <c r="G3513" s="66">
        <v>1689.0855020276722</v>
      </c>
      <c r="H3513" s="67">
        <v>1</v>
      </c>
      <c r="I3513" s="68" t="s">
        <v>20</v>
      </c>
      <c r="J3513" s="69">
        <v>40</v>
      </c>
      <c r="K3513" s="70">
        <v>1</v>
      </c>
      <c r="L3513" s="68">
        <v>1</v>
      </c>
      <c r="M3513" s="68">
        <f>_xlfn.XLOOKUP(Survey!$F3513,sections[Start],sections[Test Section],,-1,1)</f>
        <v>9</v>
      </c>
      <c r="N3513" s="55">
        <f>_xlfn.XLOOKUP(Survey!$K3513,pipedata[ID],pipedata[WT])</f>
        <v>0.61699999999999999</v>
      </c>
      <c r="O3513" s="56">
        <f>_xlfn.XLOOKUP(Survey!$K3513,pipedata[ID],pipedata[104%])</f>
        <v>2138.9333333333334</v>
      </c>
      <c r="P3513" s="57">
        <f t="shared" si="54"/>
        <v>1850</v>
      </c>
      <c r="Q3513" s="58">
        <f>_xlfn.MAXIFS(Survey!$G$2:$G$3647,Survey!$M$2:$M$3647,Survey!$M3513)-Survey!$G3513</f>
        <v>377.25464427774932</v>
      </c>
      <c r="R3513" s="59">
        <f>Survey!$P3513+(Survey!$Q3513*0.433)</f>
        <v>2013.3512609722654</v>
      </c>
    </row>
    <row r="3514" spans="1:18" x14ac:dyDescent="0.25">
      <c r="A3514" s="71" t="s">
        <v>17</v>
      </c>
      <c r="B3514" s="72" t="s">
        <v>23</v>
      </c>
      <c r="C3514" s="73" t="s">
        <v>19</v>
      </c>
      <c r="D3514" s="74">
        <v>252.97169412776671</v>
      </c>
      <c r="E3514" s="81">
        <v>1367369</v>
      </c>
      <c r="F3514" s="82">
        <v>1336739.9928057534</v>
      </c>
      <c r="G3514" s="75">
        <v>1695.4429798091055</v>
      </c>
      <c r="H3514" s="76">
        <v>1</v>
      </c>
      <c r="I3514" s="54" t="s">
        <v>20</v>
      </c>
      <c r="J3514" s="77">
        <v>40</v>
      </c>
      <c r="K3514" s="78">
        <v>1</v>
      </c>
      <c r="L3514" s="54">
        <v>1</v>
      </c>
      <c r="M3514" s="54">
        <f>_xlfn.XLOOKUP(Survey!$F3514,sections[Start],sections[Test Section],,-1,1)</f>
        <v>9</v>
      </c>
      <c r="N3514" s="55">
        <f>_xlfn.XLOOKUP(Survey!$K3514,pipedata[ID],pipedata[WT])</f>
        <v>0.61699999999999999</v>
      </c>
      <c r="O3514" s="56">
        <f>_xlfn.XLOOKUP(Survey!$K3514,pipedata[ID],pipedata[104%])</f>
        <v>2138.9333333333334</v>
      </c>
      <c r="P3514" s="57">
        <f t="shared" si="54"/>
        <v>1850</v>
      </c>
      <c r="Q3514" s="58">
        <f>_xlfn.MAXIFS(Survey!$G$2:$G$3647,Survey!$M$2:$M$3647,Survey!$M3514)-Survey!$G3514</f>
        <v>370.897166496316</v>
      </c>
      <c r="R3514" s="59">
        <f>Survey!$P3514+(Survey!$Q3514*0.433)</f>
        <v>2010.5984730929049</v>
      </c>
    </row>
    <row r="3515" spans="1:18" x14ac:dyDescent="0.25">
      <c r="A3515" s="60" t="s">
        <v>17</v>
      </c>
      <c r="B3515" s="61" t="s">
        <v>23</v>
      </c>
      <c r="C3515" s="62" t="s">
        <v>19</v>
      </c>
      <c r="D3515" s="63">
        <v>252.97990410813571</v>
      </c>
      <c r="E3515" s="79">
        <v>1367409</v>
      </c>
      <c r="F3515" s="80">
        <v>1336778.8561151058</v>
      </c>
      <c r="G3515" s="66">
        <v>1702.5283708231204</v>
      </c>
      <c r="H3515" s="67">
        <v>1</v>
      </c>
      <c r="I3515" s="68" t="s">
        <v>20</v>
      </c>
      <c r="J3515" s="69">
        <v>40</v>
      </c>
      <c r="K3515" s="70">
        <v>1</v>
      </c>
      <c r="L3515" s="68">
        <v>1</v>
      </c>
      <c r="M3515" s="68">
        <f>_xlfn.XLOOKUP(Survey!$F3515,sections[Start],sections[Test Section],,-1,1)</f>
        <v>9</v>
      </c>
      <c r="N3515" s="55">
        <f>_xlfn.XLOOKUP(Survey!$K3515,pipedata[ID],pipedata[WT])</f>
        <v>0.61699999999999999</v>
      </c>
      <c r="O3515" s="56">
        <f>_xlfn.XLOOKUP(Survey!$K3515,pipedata[ID],pipedata[104%])</f>
        <v>2138.9333333333334</v>
      </c>
      <c r="P3515" s="57">
        <f t="shared" si="54"/>
        <v>1850</v>
      </c>
      <c r="Q3515" s="58">
        <f>_xlfn.MAXIFS(Survey!$G$2:$G$3647,Survey!$M$2:$M$3647,Survey!$M3515)-Survey!$G3515</f>
        <v>363.81177548230107</v>
      </c>
      <c r="R3515" s="59">
        <f>Survey!$P3515+(Survey!$Q3515*0.433)</f>
        <v>2007.5304987838363</v>
      </c>
    </row>
    <row r="3516" spans="1:18" x14ac:dyDescent="0.25">
      <c r="A3516" s="71" t="s">
        <v>17</v>
      </c>
      <c r="B3516" s="72" t="s">
        <v>23</v>
      </c>
      <c r="C3516" s="73" t="s">
        <v>19</v>
      </c>
      <c r="D3516" s="74">
        <v>252.98674575844316</v>
      </c>
      <c r="E3516" s="81">
        <v>1367449</v>
      </c>
      <c r="F3516" s="82">
        <v>1336817.7194244582</v>
      </c>
      <c r="G3516" s="75">
        <v>1711.5513477085019</v>
      </c>
      <c r="H3516" s="76">
        <v>1</v>
      </c>
      <c r="I3516" s="54" t="s">
        <v>20</v>
      </c>
      <c r="J3516" s="77">
        <v>40</v>
      </c>
      <c r="K3516" s="78">
        <v>1</v>
      </c>
      <c r="L3516" s="54">
        <v>1</v>
      </c>
      <c r="M3516" s="54">
        <f>_xlfn.XLOOKUP(Survey!$F3516,sections[Start],sections[Test Section],,-1,1)</f>
        <v>9</v>
      </c>
      <c r="N3516" s="55">
        <f>_xlfn.XLOOKUP(Survey!$K3516,pipedata[ID],pipedata[WT])</f>
        <v>0.61699999999999999</v>
      </c>
      <c r="O3516" s="56">
        <f>_xlfn.XLOOKUP(Survey!$K3516,pipedata[ID],pipedata[104%])</f>
        <v>2138.9333333333334</v>
      </c>
      <c r="P3516" s="57">
        <f t="shared" si="54"/>
        <v>1850</v>
      </c>
      <c r="Q3516" s="58">
        <f>_xlfn.MAXIFS(Survey!$G$2:$G$3647,Survey!$M$2:$M$3647,Survey!$M3516)-Survey!$G3516</f>
        <v>354.78879859691961</v>
      </c>
      <c r="R3516" s="59">
        <f>Survey!$P3516+(Survey!$Q3516*0.433)</f>
        <v>2003.6235497924663</v>
      </c>
    </row>
    <row r="3517" spans="1:18" x14ac:dyDescent="0.25">
      <c r="A3517" s="60" t="s">
        <v>17</v>
      </c>
      <c r="B3517" s="61" t="s">
        <v>23</v>
      </c>
      <c r="C3517" s="62" t="s">
        <v>19</v>
      </c>
      <c r="D3517" s="63">
        <v>252.99428731717111</v>
      </c>
      <c r="E3517" s="79">
        <v>1367489</v>
      </c>
      <c r="F3517" s="80">
        <v>1336856.5827338106</v>
      </c>
      <c r="G3517" s="66">
        <v>1721.4464565026046</v>
      </c>
      <c r="H3517" s="67">
        <v>1</v>
      </c>
      <c r="I3517" s="68" t="s">
        <v>20</v>
      </c>
      <c r="J3517" s="69">
        <v>40</v>
      </c>
      <c r="K3517" s="70">
        <v>1</v>
      </c>
      <c r="L3517" s="68">
        <v>1</v>
      </c>
      <c r="M3517" s="68">
        <f>_xlfn.XLOOKUP(Survey!$F3517,sections[Start],sections[Test Section],,-1,1)</f>
        <v>9</v>
      </c>
      <c r="N3517" s="55">
        <f>_xlfn.XLOOKUP(Survey!$K3517,pipedata[ID],pipedata[WT])</f>
        <v>0.61699999999999999</v>
      </c>
      <c r="O3517" s="56">
        <f>_xlfn.XLOOKUP(Survey!$K3517,pipedata[ID],pipedata[104%])</f>
        <v>2138.9333333333334</v>
      </c>
      <c r="P3517" s="57">
        <f t="shared" si="54"/>
        <v>1850</v>
      </c>
      <c r="Q3517" s="58">
        <f>_xlfn.MAXIFS(Survey!$G$2:$G$3647,Survey!$M$2:$M$3647,Survey!$M3517)-Survey!$G3517</f>
        <v>344.89368980281688</v>
      </c>
      <c r="R3517" s="59">
        <f>Survey!$P3517+(Survey!$Q3517*0.433)</f>
        <v>1999.3389676846198</v>
      </c>
    </row>
    <row r="3518" spans="1:18" x14ac:dyDescent="0.25">
      <c r="A3518" s="71" t="s">
        <v>17</v>
      </c>
      <c r="B3518" s="72" t="s">
        <v>23</v>
      </c>
      <c r="C3518" s="73" t="s">
        <v>19</v>
      </c>
      <c r="D3518" s="74">
        <v>253.00179738912027</v>
      </c>
      <c r="E3518" s="81">
        <v>1367529</v>
      </c>
      <c r="F3518" s="82">
        <v>1336895.4460431631</v>
      </c>
      <c r="G3518" s="75">
        <v>1730.7160939129963</v>
      </c>
      <c r="H3518" s="76">
        <v>1</v>
      </c>
      <c r="I3518" s="54" t="s">
        <v>20</v>
      </c>
      <c r="J3518" s="77">
        <v>40</v>
      </c>
      <c r="K3518" s="78">
        <v>1</v>
      </c>
      <c r="L3518" s="54">
        <v>1</v>
      </c>
      <c r="M3518" s="54">
        <f>_xlfn.XLOOKUP(Survey!$F3518,sections[Start],sections[Test Section],,-1,1)</f>
        <v>9</v>
      </c>
      <c r="N3518" s="55">
        <f>_xlfn.XLOOKUP(Survey!$K3518,pipedata[ID],pipedata[WT])</f>
        <v>0.61699999999999999</v>
      </c>
      <c r="O3518" s="56">
        <f>_xlfn.XLOOKUP(Survey!$K3518,pipedata[ID],pipedata[104%])</f>
        <v>2138.9333333333334</v>
      </c>
      <c r="P3518" s="57">
        <f t="shared" si="54"/>
        <v>1850</v>
      </c>
      <c r="Q3518" s="58">
        <f>_xlfn.MAXIFS(Survey!$G$2:$G$3647,Survey!$M$2:$M$3647,Survey!$M3518)-Survey!$G3518</f>
        <v>335.62405239242526</v>
      </c>
      <c r="R3518" s="59">
        <f>Survey!$P3518+(Survey!$Q3518*0.433)</f>
        <v>1995.3252146859202</v>
      </c>
    </row>
    <row r="3519" spans="1:18" x14ac:dyDescent="0.25">
      <c r="A3519" s="60" t="s">
        <v>17</v>
      </c>
      <c r="B3519" s="61" t="s">
        <v>23</v>
      </c>
      <c r="C3519" s="62" t="s">
        <v>19</v>
      </c>
      <c r="D3519" s="63">
        <v>253.00896670670332</v>
      </c>
      <c r="E3519" s="79">
        <v>1367569</v>
      </c>
      <c r="F3519" s="80">
        <v>1336934.3093525155</v>
      </c>
      <c r="G3519" s="66">
        <v>1739.9313540985511</v>
      </c>
      <c r="H3519" s="67">
        <v>1</v>
      </c>
      <c r="I3519" s="68" t="s">
        <v>20</v>
      </c>
      <c r="J3519" s="69">
        <v>40</v>
      </c>
      <c r="K3519" s="70">
        <v>1</v>
      </c>
      <c r="L3519" s="68">
        <v>1</v>
      </c>
      <c r="M3519" s="68">
        <f>_xlfn.XLOOKUP(Survey!$F3519,sections[Start],sections[Test Section],,-1,1)</f>
        <v>9</v>
      </c>
      <c r="N3519" s="55">
        <f>_xlfn.XLOOKUP(Survey!$K3519,pipedata[ID],pipedata[WT])</f>
        <v>0.61699999999999999</v>
      </c>
      <c r="O3519" s="56">
        <f>_xlfn.XLOOKUP(Survey!$K3519,pipedata[ID],pipedata[104%])</f>
        <v>2138.9333333333334</v>
      </c>
      <c r="P3519" s="57">
        <f t="shared" si="54"/>
        <v>1850</v>
      </c>
      <c r="Q3519" s="58">
        <f>_xlfn.MAXIFS(Survey!$G$2:$G$3647,Survey!$M$2:$M$3647,Survey!$M3519)-Survey!$G3519</f>
        <v>326.40879220687043</v>
      </c>
      <c r="R3519" s="59">
        <f>Survey!$P3519+(Survey!$Q3519*0.433)</f>
        <v>1991.3350070255749</v>
      </c>
    </row>
    <row r="3520" spans="1:18" x14ac:dyDescent="0.25">
      <c r="A3520" s="71" t="s">
        <v>17</v>
      </c>
      <c r="B3520" s="72" t="s">
        <v>23</v>
      </c>
      <c r="C3520" s="73" t="s">
        <v>19</v>
      </c>
      <c r="D3520" s="74">
        <v>253.01575382333431</v>
      </c>
      <c r="E3520" s="81">
        <v>1367609</v>
      </c>
      <c r="F3520" s="82">
        <v>1336973.1726618679</v>
      </c>
      <c r="G3520" s="75">
        <v>1750.0000000000766</v>
      </c>
      <c r="H3520" s="76">
        <v>1</v>
      </c>
      <c r="I3520" s="54" t="s">
        <v>20</v>
      </c>
      <c r="J3520" s="77">
        <v>40</v>
      </c>
      <c r="K3520" s="78">
        <v>1</v>
      </c>
      <c r="L3520" s="54">
        <v>1</v>
      </c>
      <c r="M3520" s="54">
        <f>_xlfn.XLOOKUP(Survey!$F3520,sections[Start],sections[Test Section],,-1,1)</f>
        <v>9</v>
      </c>
      <c r="N3520" s="55">
        <f>_xlfn.XLOOKUP(Survey!$K3520,pipedata[ID],pipedata[WT])</f>
        <v>0.61699999999999999</v>
      </c>
      <c r="O3520" s="56">
        <f>_xlfn.XLOOKUP(Survey!$K3520,pipedata[ID],pipedata[104%])</f>
        <v>2138.9333333333334</v>
      </c>
      <c r="P3520" s="57">
        <f t="shared" si="54"/>
        <v>1850</v>
      </c>
      <c r="Q3520" s="58">
        <f>_xlfn.MAXIFS(Survey!$G$2:$G$3647,Survey!$M$2:$M$3647,Survey!$M3520)-Survey!$G3520</f>
        <v>316.34014630534489</v>
      </c>
      <c r="R3520" s="59">
        <f>Survey!$P3520+(Survey!$Q3520*0.433)</f>
        <v>1986.9752833502143</v>
      </c>
    </row>
    <row r="3521" spans="1:18" x14ac:dyDescent="0.25">
      <c r="A3521" s="60" t="s">
        <v>17</v>
      </c>
      <c r="B3521" s="61" t="s">
        <v>23</v>
      </c>
      <c r="C3521" s="62" t="s">
        <v>19</v>
      </c>
      <c r="D3521" s="63">
        <v>253.02369067010488</v>
      </c>
      <c r="E3521" s="64">
        <v>1367649</v>
      </c>
      <c r="F3521" s="65">
        <v>1337012.0359712203</v>
      </c>
      <c r="G3521" s="66">
        <v>1756.9820495867432</v>
      </c>
      <c r="H3521" s="67">
        <v>1</v>
      </c>
      <c r="I3521" s="68" t="s">
        <v>20</v>
      </c>
      <c r="J3521" s="69">
        <v>40</v>
      </c>
      <c r="K3521" s="70">
        <v>1</v>
      </c>
      <c r="L3521" s="68">
        <v>1</v>
      </c>
      <c r="M3521" s="68">
        <f>_xlfn.XLOOKUP(Survey!$F3521,sections[Start],sections[Test Section],,-1,1)</f>
        <v>9</v>
      </c>
      <c r="N3521" s="55">
        <f>_xlfn.XLOOKUP(Survey!$K3521,pipedata[ID],pipedata[WT])</f>
        <v>0.61699999999999999</v>
      </c>
      <c r="O3521" s="56">
        <f>_xlfn.XLOOKUP(Survey!$K3521,pipedata[ID],pipedata[104%])</f>
        <v>2138.9333333333334</v>
      </c>
      <c r="P3521" s="57">
        <f t="shared" si="54"/>
        <v>1850</v>
      </c>
      <c r="Q3521" s="58">
        <f>_xlfn.MAXIFS(Survey!$G$2:$G$3647,Survey!$M$2:$M$3647,Survey!$M3521)-Survey!$G3521</f>
        <v>309.35809671867833</v>
      </c>
      <c r="R3521" s="59">
        <f>Survey!$P3521+(Survey!$Q3521*0.433)</f>
        <v>1983.9520558791878</v>
      </c>
    </row>
    <row r="3522" spans="1:18" x14ac:dyDescent="0.25">
      <c r="A3522" s="71" t="s">
        <v>17</v>
      </c>
      <c r="B3522" s="72" t="s">
        <v>23</v>
      </c>
      <c r="C3522" s="73" t="s">
        <v>19</v>
      </c>
      <c r="D3522" s="74">
        <v>253.03041356495581</v>
      </c>
      <c r="E3522" s="64">
        <v>1367689</v>
      </c>
      <c r="F3522" s="65">
        <v>1337050.8992805728</v>
      </c>
      <c r="G3522" s="75">
        <v>1764.1982830307459</v>
      </c>
      <c r="H3522" s="76">
        <v>1</v>
      </c>
      <c r="I3522" s="54" t="s">
        <v>20</v>
      </c>
      <c r="J3522" s="77">
        <v>40</v>
      </c>
      <c r="K3522" s="78">
        <v>1</v>
      </c>
      <c r="L3522" s="54">
        <v>1</v>
      </c>
      <c r="M3522" s="54">
        <f>_xlfn.XLOOKUP(Survey!$F3522,sections[Start],sections[Test Section],,-1,1)</f>
        <v>9</v>
      </c>
      <c r="N3522" s="55">
        <f>_xlfn.XLOOKUP(Survey!$K3522,pipedata[ID],pipedata[WT])</f>
        <v>0.61699999999999999</v>
      </c>
      <c r="O3522" s="56">
        <f>_xlfn.XLOOKUP(Survey!$K3522,pipedata[ID],pipedata[104%])</f>
        <v>2138.9333333333334</v>
      </c>
      <c r="P3522" s="57">
        <f t="shared" ref="P3522:P3585" si="55">IF(L3522=1,1850,IF(L3522=2,1850,2220))</f>
        <v>1850</v>
      </c>
      <c r="Q3522" s="58">
        <f>_xlfn.MAXIFS(Survey!$G$2:$G$3647,Survey!$M$2:$M$3647,Survey!$M3522)-Survey!$G3522</f>
        <v>302.14186327467564</v>
      </c>
      <c r="R3522" s="59">
        <f>Survey!$P3522+(Survey!$Q3522*0.433)</f>
        <v>1980.8274267979345</v>
      </c>
    </row>
    <row r="3523" spans="1:18" x14ac:dyDescent="0.25">
      <c r="A3523" s="60" t="s">
        <v>17</v>
      </c>
      <c r="B3523" s="61" t="s">
        <v>23</v>
      </c>
      <c r="C3523" s="62" t="s">
        <v>19</v>
      </c>
      <c r="D3523" s="63">
        <v>253.03834020407297</v>
      </c>
      <c r="E3523" s="79">
        <v>1367729</v>
      </c>
      <c r="F3523" s="80">
        <v>1337089.7625899252</v>
      </c>
      <c r="G3523" s="66">
        <v>1772.533694249563</v>
      </c>
      <c r="H3523" s="67">
        <v>1</v>
      </c>
      <c r="I3523" s="68" t="s">
        <v>20</v>
      </c>
      <c r="J3523" s="69">
        <v>40</v>
      </c>
      <c r="K3523" s="70">
        <v>1</v>
      </c>
      <c r="L3523" s="68">
        <v>1</v>
      </c>
      <c r="M3523" s="68">
        <f>_xlfn.XLOOKUP(Survey!$F3523,sections[Start],sections[Test Section],,-1,1)</f>
        <v>9</v>
      </c>
      <c r="N3523" s="55">
        <f>_xlfn.XLOOKUP(Survey!$K3523,pipedata[ID],pipedata[WT])</f>
        <v>0.61699999999999999</v>
      </c>
      <c r="O3523" s="56">
        <f>_xlfn.XLOOKUP(Survey!$K3523,pipedata[ID],pipedata[104%])</f>
        <v>2138.9333333333334</v>
      </c>
      <c r="P3523" s="57">
        <f t="shared" si="55"/>
        <v>1850</v>
      </c>
      <c r="Q3523" s="58">
        <f>_xlfn.MAXIFS(Survey!$G$2:$G$3647,Survey!$M$2:$M$3647,Survey!$M3523)-Survey!$G3523</f>
        <v>293.80645205585847</v>
      </c>
      <c r="R3523" s="59">
        <f>Survey!$P3523+(Survey!$Q3523*0.433)</f>
        <v>1977.2181937401867</v>
      </c>
    </row>
    <row r="3524" spans="1:18" x14ac:dyDescent="0.25">
      <c r="A3524" s="71" t="s">
        <v>17</v>
      </c>
      <c r="B3524" s="72" t="s">
        <v>23</v>
      </c>
      <c r="C3524" s="73" t="s">
        <v>19</v>
      </c>
      <c r="D3524" s="74">
        <v>253.04581625362852</v>
      </c>
      <c r="E3524" s="81">
        <v>1367769</v>
      </c>
      <c r="F3524" s="82">
        <v>1337128.6258992776</v>
      </c>
      <c r="G3524" s="75">
        <v>1776.3247278055874</v>
      </c>
      <c r="H3524" s="76">
        <v>1</v>
      </c>
      <c r="I3524" s="54" t="s">
        <v>20</v>
      </c>
      <c r="J3524" s="77">
        <v>40</v>
      </c>
      <c r="K3524" s="78">
        <v>1</v>
      </c>
      <c r="L3524" s="54">
        <v>1</v>
      </c>
      <c r="M3524" s="54">
        <f>_xlfn.XLOOKUP(Survey!$F3524,sections[Start],sections[Test Section],,-1,1)</f>
        <v>9</v>
      </c>
      <c r="N3524" s="55">
        <f>_xlfn.XLOOKUP(Survey!$K3524,pipedata[ID],pipedata[WT])</f>
        <v>0.61699999999999999</v>
      </c>
      <c r="O3524" s="56">
        <f>_xlfn.XLOOKUP(Survey!$K3524,pipedata[ID],pipedata[104%])</f>
        <v>2138.9333333333334</v>
      </c>
      <c r="P3524" s="57">
        <f t="shared" si="55"/>
        <v>1850</v>
      </c>
      <c r="Q3524" s="58">
        <f>_xlfn.MAXIFS(Survey!$G$2:$G$3647,Survey!$M$2:$M$3647,Survey!$M3524)-Survey!$G3524</f>
        <v>290.01541849983414</v>
      </c>
      <c r="R3524" s="59">
        <f>Survey!$P3524+(Survey!$Q3524*0.433)</f>
        <v>1975.5766762104281</v>
      </c>
    </row>
    <row r="3525" spans="1:18" x14ac:dyDescent="0.25">
      <c r="A3525" s="60" t="s">
        <v>17</v>
      </c>
      <c r="B3525" s="61" t="s">
        <v>23</v>
      </c>
      <c r="C3525" s="62" t="s">
        <v>19</v>
      </c>
      <c r="D3525" s="63">
        <v>253.05351759796469</v>
      </c>
      <c r="E3525" s="79">
        <v>1367809</v>
      </c>
      <c r="F3525" s="80">
        <v>1337167.4892086301</v>
      </c>
      <c r="G3525" s="66">
        <v>1778.4418483953909</v>
      </c>
      <c r="H3525" s="67">
        <v>1</v>
      </c>
      <c r="I3525" s="68" t="s">
        <v>20</v>
      </c>
      <c r="J3525" s="69">
        <v>40</v>
      </c>
      <c r="K3525" s="70">
        <v>1</v>
      </c>
      <c r="L3525" s="68">
        <v>1</v>
      </c>
      <c r="M3525" s="68">
        <f>_xlfn.XLOOKUP(Survey!$F3525,sections[Start],sections[Test Section],,-1,1)</f>
        <v>9</v>
      </c>
      <c r="N3525" s="55">
        <f>_xlfn.XLOOKUP(Survey!$K3525,pipedata[ID],pipedata[WT])</f>
        <v>0.61699999999999999</v>
      </c>
      <c r="O3525" s="56">
        <f>_xlfn.XLOOKUP(Survey!$K3525,pipedata[ID],pipedata[104%])</f>
        <v>2138.9333333333334</v>
      </c>
      <c r="P3525" s="57">
        <f t="shared" si="55"/>
        <v>1850</v>
      </c>
      <c r="Q3525" s="58">
        <f>_xlfn.MAXIFS(Survey!$G$2:$G$3647,Survey!$M$2:$M$3647,Survey!$M3525)-Survey!$G3525</f>
        <v>287.89829791003058</v>
      </c>
      <c r="R3525" s="59">
        <f>Survey!$P3525+(Survey!$Q3525*0.433)</f>
        <v>1974.6599629950433</v>
      </c>
    </row>
    <row r="3526" spans="1:18" x14ac:dyDescent="0.25">
      <c r="A3526" s="71" t="s">
        <v>17</v>
      </c>
      <c r="B3526" s="72" t="s">
        <v>23</v>
      </c>
      <c r="C3526" s="73" t="s">
        <v>19</v>
      </c>
      <c r="D3526" s="74">
        <v>253.06090529716829</v>
      </c>
      <c r="E3526" s="81">
        <v>1367849</v>
      </c>
      <c r="F3526" s="82">
        <v>1337206.3525179825</v>
      </c>
      <c r="G3526" s="75">
        <v>1778.1670041588777</v>
      </c>
      <c r="H3526" s="76">
        <v>1</v>
      </c>
      <c r="I3526" s="54" t="s">
        <v>20</v>
      </c>
      <c r="J3526" s="77">
        <v>40</v>
      </c>
      <c r="K3526" s="78">
        <v>1</v>
      </c>
      <c r="L3526" s="54">
        <v>1</v>
      </c>
      <c r="M3526" s="54">
        <f>_xlfn.XLOOKUP(Survey!$F3526,sections[Start],sections[Test Section],,-1,1)</f>
        <v>9</v>
      </c>
      <c r="N3526" s="55">
        <f>_xlfn.XLOOKUP(Survey!$K3526,pipedata[ID],pipedata[WT])</f>
        <v>0.61699999999999999</v>
      </c>
      <c r="O3526" s="56">
        <f>_xlfn.XLOOKUP(Survey!$K3526,pipedata[ID],pipedata[104%])</f>
        <v>2138.9333333333334</v>
      </c>
      <c r="P3526" s="57">
        <f t="shared" si="55"/>
        <v>1850</v>
      </c>
      <c r="Q3526" s="58">
        <f>_xlfn.MAXIFS(Survey!$G$2:$G$3647,Survey!$M$2:$M$3647,Survey!$M3526)-Survey!$G3526</f>
        <v>288.1731421465438</v>
      </c>
      <c r="R3526" s="59">
        <f>Survey!$P3526+(Survey!$Q3526*0.433)</f>
        <v>1974.7789705494536</v>
      </c>
    </row>
    <row r="3527" spans="1:18" x14ac:dyDescent="0.25">
      <c r="A3527" s="60" t="s">
        <v>17</v>
      </c>
      <c r="B3527" s="61" t="s">
        <v>23</v>
      </c>
      <c r="C3527" s="62" t="s">
        <v>19</v>
      </c>
      <c r="D3527" s="63">
        <v>253.06803476309582</v>
      </c>
      <c r="E3527" s="79">
        <v>1367889</v>
      </c>
      <c r="F3527" s="80">
        <v>1337245.2158273349</v>
      </c>
      <c r="G3527" s="66">
        <v>1776.7091138504873</v>
      </c>
      <c r="H3527" s="67">
        <v>1</v>
      </c>
      <c r="I3527" s="68" t="s">
        <v>20</v>
      </c>
      <c r="J3527" s="69">
        <v>40</v>
      </c>
      <c r="K3527" s="70">
        <v>1</v>
      </c>
      <c r="L3527" s="68">
        <v>1</v>
      </c>
      <c r="M3527" s="68">
        <f>_xlfn.XLOOKUP(Survey!$F3527,sections[Start],sections[Test Section],,-1,1)</f>
        <v>9</v>
      </c>
      <c r="N3527" s="55">
        <f>_xlfn.XLOOKUP(Survey!$K3527,pipedata[ID],pipedata[WT])</f>
        <v>0.61699999999999999</v>
      </c>
      <c r="O3527" s="56">
        <f>_xlfn.XLOOKUP(Survey!$K3527,pipedata[ID],pipedata[104%])</f>
        <v>2138.9333333333334</v>
      </c>
      <c r="P3527" s="57">
        <f t="shared" si="55"/>
        <v>1850</v>
      </c>
      <c r="Q3527" s="58">
        <f>_xlfn.MAXIFS(Survey!$G$2:$G$3647,Survey!$M$2:$M$3647,Survey!$M3527)-Survey!$G3527</f>
        <v>289.63103245493426</v>
      </c>
      <c r="R3527" s="59">
        <f>Survey!$P3527+(Survey!$Q3527*0.433)</f>
        <v>1975.4102370529865</v>
      </c>
    </row>
    <row r="3528" spans="1:18" x14ac:dyDescent="0.25">
      <c r="A3528" s="71" t="s">
        <v>17</v>
      </c>
      <c r="B3528" s="72" t="s">
        <v>23</v>
      </c>
      <c r="C3528" s="73" t="s">
        <v>19</v>
      </c>
      <c r="D3528" s="74">
        <v>253.07597069081658</v>
      </c>
      <c r="E3528" s="81">
        <v>1367929</v>
      </c>
      <c r="F3528" s="82">
        <v>1337284.0791366873</v>
      </c>
      <c r="G3528" s="75">
        <v>1773.1155889721642</v>
      </c>
      <c r="H3528" s="76">
        <v>1</v>
      </c>
      <c r="I3528" s="54" t="s">
        <v>20</v>
      </c>
      <c r="J3528" s="77">
        <v>40</v>
      </c>
      <c r="K3528" s="78">
        <v>1</v>
      </c>
      <c r="L3528" s="54">
        <v>1</v>
      </c>
      <c r="M3528" s="54">
        <f>_xlfn.XLOOKUP(Survey!$F3528,sections[Start],sections[Test Section],,-1,1)</f>
        <v>9</v>
      </c>
      <c r="N3528" s="55">
        <f>_xlfn.XLOOKUP(Survey!$K3528,pipedata[ID],pipedata[WT])</f>
        <v>0.61699999999999999</v>
      </c>
      <c r="O3528" s="56">
        <f>_xlfn.XLOOKUP(Survey!$K3528,pipedata[ID],pipedata[104%])</f>
        <v>2138.9333333333334</v>
      </c>
      <c r="P3528" s="57">
        <f t="shared" si="55"/>
        <v>1850</v>
      </c>
      <c r="Q3528" s="58">
        <f>_xlfn.MAXIFS(Survey!$G$2:$G$3647,Survey!$M$2:$M$3647,Survey!$M3528)-Survey!$G3528</f>
        <v>293.22455733325728</v>
      </c>
      <c r="R3528" s="59">
        <f>Survey!$P3528+(Survey!$Q3528*0.433)</f>
        <v>1976.9662333253004</v>
      </c>
    </row>
    <row r="3529" spans="1:18" x14ac:dyDescent="0.25">
      <c r="A3529" s="60" t="s">
        <v>17</v>
      </c>
      <c r="B3529" s="61" t="s">
        <v>23</v>
      </c>
      <c r="C3529" s="62" t="s">
        <v>19</v>
      </c>
      <c r="D3529" s="63">
        <v>253.08398610572883</v>
      </c>
      <c r="E3529" s="79">
        <v>1367969</v>
      </c>
      <c r="F3529" s="80">
        <v>1337322.9424460398</v>
      </c>
      <c r="G3529" s="66">
        <v>1769.3813644918428</v>
      </c>
      <c r="H3529" s="67">
        <v>1</v>
      </c>
      <c r="I3529" s="68" t="s">
        <v>20</v>
      </c>
      <c r="J3529" s="69">
        <v>40</v>
      </c>
      <c r="K3529" s="70">
        <v>1</v>
      </c>
      <c r="L3529" s="68">
        <v>1</v>
      </c>
      <c r="M3529" s="68">
        <f>_xlfn.XLOOKUP(Survey!$F3529,sections[Start],sections[Test Section],,-1,1)</f>
        <v>9</v>
      </c>
      <c r="N3529" s="55">
        <f>_xlfn.XLOOKUP(Survey!$K3529,pipedata[ID],pipedata[WT])</f>
        <v>0.61699999999999999</v>
      </c>
      <c r="O3529" s="56">
        <f>_xlfn.XLOOKUP(Survey!$K3529,pipedata[ID],pipedata[104%])</f>
        <v>2138.9333333333334</v>
      </c>
      <c r="P3529" s="57">
        <f t="shared" si="55"/>
        <v>1850</v>
      </c>
      <c r="Q3529" s="58">
        <f>_xlfn.MAXIFS(Survey!$G$2:$G$3647,Survey!$M$2:$M$3647,Survey!$M3529)-Survey!$G3529</f>
        <v>296.95878181357875</v>
      </c>
      <c r="R3529" s="59">
        <f>Survey!$P3529+(Survey!$Q3529*0.433)</f>
        <v>1978.5831525252795</v>
      </c>
    </row>
    <row r="3530" spans="1:18" x14ac:dyDescent="0.25">
      <c r="A3530" s="71" t="s">
        <v>17</v>
      </c>
      <c r="B3530" s="72" t="s">
        <v>23</v>
      </c>
      <c r="C3530" s="73" t="s">
        <v>19</v>
      </c>
      <c r="D3530" s="74">
        <v>253.09022747272098</v>
      </c>
      <c r="E3530" s="81">
        <v>1368009</v>
      </c>
      <c r="F3530" s="82">
        <v>1337361.8057553922</v>
      </c>
      <c r="G3530" s="75">
        <v>1767.1612134096567</v>
      </c>
      <c r="H3530" s="76">
        <v>1</v>
      </c>
      <c r="I3530" s="54" t="s">
        <v>20</v>
      </c>
      <c r="J3530" s="77">
        <v>40</v>
      </c>
      <c r="K3530" s="78">
        <v>1</v>
      </c>
      <c r="L3530" s="54">
        <v>1</v>
      </c>
      <c r="M3530" s="54">
        <f>_xlfn.XLOOKUP(Survey!$F3530,sections[Start],sections[Test Section],,-1,1)</f>
        <v>9</v>
      </c>
      <c r="N3530" s="55">
        <f>_xlfn.XLOOKUP(Survey!$K3530,pipedata[ID],pipedata[WT])</f>
        <v>0.61699999999999999</v>
      </c>
      <c r="O3530" s="56">
        <f>_xlfn.XLOOKUP(Survey!$K3530,pipedata[ID],pipedata[104%])</f>
        <v>2138.9333333333334</v>
      </c>
      <c r="P3530" s="57">
        <f t="shared" si="55"/>
        <v>1850</v>
      </c>
      <c r="Q3530" s="58">
        <f>_xlfn.MAXIFS(Survey!$G$2:$G$3647,Survey!$M$2:$M$3647,Survey!$M3530)-Survey!$G3530</f>
        <v>299.17893289576477</v>
      </c>
      <c r="R3530" s="59">
        <f>Survey!$P3530+(Survey!$Q3530*0.433)</f>
        <v>1979.5444779438662</v>
      </c>
    </row>
    <row r="3531" spans="1:18" x14ac:dyDescent="0.25">
      <c r="A3531" s="60" t="s">
        <v>17</v>
      </c>
      <c r="B3531" s="61" t="s">
        <v>23</v>
      </c>
      <c r="C3531" s="62" t="s">
        <v>19</v>
      </c>
      <c r="D3531" s="63">
        <v>253.09860523716458</v>
      </c>
      <c r="E3531" s="79">
        <v>1368049</v>
      </c>
      <c r="F3531" s="80">
        <v>1337400.6690647446</v>
      </c>
      <c r="G3531" s="66">
        <v>1767.9655948070422</v>
      </c>
      <c r="H3531" s="67">
        <v>1</v>
      </c>
      <c r="I3531" s="68" t="s">
        <v>20</v>
      </c>
      <c r="J3531" s="69">
        <v>40</v>
      </c>
      <c r="K3531" s="70">
        <v>1</v>
      </c>
      <c r="L3531" s="68">
        <v>1</v>
      </c>
      <c r="M3531" s="68">
        <f>_xlfn.XLOOKUP(Survey!$F3531,sections[Start],sections[Test Section],,-1,1)</f>
        <v>9</v>
      </c>
      <c r="N3531" s="55">
        <f>_xlfn.XLOOKUP(Survey!$K3531,pipedata[ID],pipedata[WT])</f>
        <v>0.61699999999999999</v>
      </c>
      <c r="O3531" s="56">
        <f>_xlfn.XLOOKUP(Survey!$K3531,pipedata[ID],pipedata[104%])</f>
        <v>2138.9333333333334</v>
      </c>
      <c r="P3531" s="57">
        <f t="shared" si="55"/>
        <v>1850</v>
      </c>
      <c r="Q3531" s="58">
        <f>_xlfn.MAXIFS(Survey!$G$2:$G$3647,Survey!$M$2:$M$3647,Survey!$M3531)-Survey!$G3531</f>
        <v>298.37455149837933</v>
      </c>
      <c r="R3531" s="59">
        <f>Survey!$P3531+(Survey!$Q3531*0.433)</f>
        <v>1979.1961807987982</v>
      </c>
    </row>
    <row r="3532" spans="1:18" x14ac:dyDescent="0.25">
      <c r="A3532" s="71" t="s">
        <v>17</v>
      </c>
      <c r="B3532" s="72" t="s">
        <v>23</v>
      </c>
      <c r="C3532" s="73" t="s">
        <v>19</v>
      </c>
      <c r="D3532" s="74">
        <v>253.10616535772442</v>
      </c>
      <c r="E3532" s="81">
        <v>1368089</v>
      </c>
      <c r="F3532" s="82">
        <v>1337439.532374097</v>
      </c>
      <c r="G3532" s="75">
        <v>1771.5103861889663</v>
      </c>
      <c r="H3532" s="76">
        <v>1</v>
      </c>
      <c r="I3532" s="54" t="s">
        <v>20</v>
      </c>
      <c r="J3532" s="77">
        <v>40</v>
      </c>
      <c r="K3532" s="78">
        <v>1</v>
      </c>
      <c r="L3532" s="54">
        <v>1</v>
      </c>
      <c r="M3532" s="54">
        <f>_xlfn.XLOOKUP(Survey!$F3532,sections[Start],sections[Test Section],,-1,1)</f>
        <v>9</v>
      </c>
      <c r="N3532" s="55">
        <f>_xlfn.XLOOKUP(Survey!$K3532,pipedata[ID],pipedata[WT])</f>
        <v>0.61699999999999999</v>
      </c>
      <c r="O3532" s="56">
        <f>_xlfn.XLOOKUP(Survey!$K3532,pipedata[ID],pipedata[104%])</f>
        <v>2138.9333333333334</v>
      </c>
      <c r="P3532" s="57">
        <f t="shared" si="55"/>
        <v>1850</v>
      </c>
      <c r="Q3532" s="58">
        <f>_xlfn.MAXIFS(Survey!$G$2:$G$3647,Survey!$M$2:$M$3647,Survey!$M3532)-Survey!$G3532</f>
        <v>294.82976011645519</v>
      </c>
      <c r="R3532" s="59">
        <f>Survey!$P3532+(Survey!$Q3532*0.433)</f>
        <v>1977.6612861304252</v>
      </c>
    </row>
    <row r="3533" spans="1:18" x14ac:dyDescent="0.25">
      <c r="A3533" s="60" t="s">
        <v>17</v>
      </c>
      <c r="B3533" s="61" t="s">
        <v>23</v>
      </c>
      <c r="C3533" s="62" t="s">
        <v>19</v>
      </c>
      <c r="D3533" s="63">
        <v>253.11405658384237</v>
      </c>
      <c r="E3533" s="79">
        <v>1368129</v>
      </c>
      <c r="F3533" s="80">
        <v>1337478.3956834495</v>
      </c>
      <c r="G3533" s="66">
        <v>1776.2150503887051</v>
      </c>
      <c r="H3533" s="67">
        <v>1</v>
      </c>
      <c r="I3533" s="68" t="s">
        <v>20</v>
      </c>
      <c r="J3533" s="69">
        <v>40</v>
      </c>
      <c r="K3533" s="70">
        <v>1</v>
      </c>
      <c r="L3533" s="68">
        <v>1</v>
      </c>
      <c r="M3533" s="68">
        <f>_xlfn.XLOOKUP(Survey!$F3533,sections[Start],sections[Test Section],,-1,1)</f>
        <v>9</v>
      </c>
      <c r="N3533" s="55">
        <f>_xlfn.XLOOKUP(Survey!$K3533,pipedata[ID],pipedata[WT])</f>
        <v>0.61699999999999999</v>
      </c>
      <c r="O3533" s="56">
        <f>_xlfn.XLOOKUP(Survey!$K3533,pipedata[ID],pipedata[104%])</f>
        <v>2138.9333333333334</v>
      </c>
      <c r="P3533" s="57">
        <f t="shared" si="55"/>
        <v>1850</v>
      </c>
      <c r="Q3533" s="58">
        <f>_xlfn.MAXIFS(Survey!$G$2:$G$3647,Survey!$M$2:$M$3647,Survey!$M3533)-Survey!$G3533</f>
        <v>290.12509591671642</v>
      </c>
      <c r="R3533" s="59">
        <f>Survey!$P3533+(Survey!$Q3533*0.433)</f>
        <v>1975.6241665319383</v>
      </c>
    </row>
    <row r="3534" spans="1:18" x14ac:dyDescent="0.25">
      <c r="A3534" s="71" t="s">
        <v>17</v>
      </c>
      <c r="B3534" s="72" t="s">
        <v>23</v>
      </c>
      <c r="C3534" s="73" t="s">
        <v>19</v>
      </c>
      <c r="D3534" s="74">
        <v>253.12175197033471</v>
      </c>
      <c r="E3534" s="81">
        <v>1368169</v>
      </c>
      <c r="F3534" s="82">
        <v>1337517.2589928019</v>
      </c>
      <c r="G3534" s="75">
        <v>1776.7836010014184</v>
      </c>
      <c r="H3534" s="76">
        <v>1</v>
      </c>
      <c r="I3534" s="54" t="s">
        <v>20</v>
      </c>
      <c r="J3534" s="77">
        <v>40</v>
      </c>
      <c r="K3534" s="78">
        <v>1</v>
      </c>
      <c r="L3534" s="54">
        <v>1</v>
      </c>
      <c r="M3534" s="54">
        <f>_xlfn.XLOOKUP(Survey!$F3534,sections[Start],sections[Test Section],,-1,1)</f>
        <v>9</v>
      </c>
      <c r="N3534" s="55">
        <f>_xlfn.XLOOKUP(Survey!$K3534,pipedata[ID],pipedata[WT])</f>
        <v>0.61699999999999999</v>
      </c>
      <c r="O3534" s="56">
        <f>_xlfn.XLOOKUP(Survey!$K3534,pipedata[ID],pipedata[104%])</f>
        <v>2138.9333333333334</v>
      </c>
      <c r="P3534" s="57">
        <f t="shared" si="55"/>
        <v>1850</v>
      </c>
      <c r="Q3534" s="58">
        <f>_xlfn.MAXIFS(Survey!$G$2:$G$3647,Survey!$M$2:$M$3647,Survey!$M3534)-Survey!$G3534</f>
        <v>289.55654530400307</v>
      </c>
      <c r="R3534" s="59">
        <f>Survey!$P3534+(Survey!$Q3534*0.433)</f>
        <v>1975.3779841166333</v>
      </c>
    </row>
    <row r="3535" spans="1:18" x14ac:dyDescent="0.25">
      <c r="A3535" s="60" t="s">
        <v>17</v>
      </c>
      <c r="B3535" s="61" t="s">
        <v>23</v>
      </c>
      <c r="C3535" s="62" t="s">
        <v>19</v>
      </c>
      <c r="D3535" s="63">
        <v>253.12899400721253</v>
      </c>
      <c r="E3535" s="79">
        <v>1368209</v>
      </c>
      <c r="F3535" s="80">
        <v>1337556.1223021543</v>
      </c>
      <c r="G3535" s="66">
        <v>1774.1380866980451</v>
      </c>
      <c r="H3535" s="67">
        <v>1</v>
      </c>
      <c r="I3535" s="68" t="s">
        <v>20</v>
      </c>
      <c r="J3535" s="69">
        <v>40</v>
      </c>
      <c r="K3535" s="70">
        <v>1</v>
      </c>
      <c r="L3535" s="68">
        <v>1</v>
      </c>
      <c r="M3535" s="68">
        <f>_xlfn.XLOOKUP(Survey!$F3535,sections[Start],sections[Test Section],,-1,1)</f>
        <v>9</v>
      </c>
      <c r="N3535" s="55">
        <f>_xlfn.XLOOKUP(Survey!$K3535,pipedata[ID],pipedata[WT])</f>
        <v>0.61699999999999999</v>
      </c>
      <c r="O3535" s="56">
        <f>_xlfn.XLOOKUP(Survey!$K3535,pipedata[ID],pipedata[104%])</f>
        <v>2138.9333333333334</v>
      </c>
      <c r="P3535" s="57">
        <f t="shared" si="55"/>
        <v>1850</v>
      </c>
      <c r="Q3535" s="58">
        <f>_xlfn.MAXIFS(Survey!$G$2:$G$3647,Survey!$M$2:$M$3647,Survey!$M3535)-Survey!$G3535</f>
        <v>292.20205960737644</v>
      </c>
      <c r="R3535" s="59">
        <f>Survey!$P3535+(Survey!$Q3535*0.433)</f>
        <v>1976.5234918099941</v>
      </c>
    </row>
    <row r="3536" spans="1:18" x14ac:dyDescent="0.25">
      <c r="A3536" s="71" t="s">
        <v>17</v>
      </c>
      <c r="B3536" s="72" t="s">
        <v>23</v>
      </c>
      <c r="C3536" s="73" t="s">
        <v>19</v>
      </c>
      <c r="D3536" s="74">
        <v>253.13646271889755</v>
      </c>
      <c r="E3536" s="81">
        <v>1368249</v>
      </c>
      <c r="F3536" s="82">
        <v>1337594.9856115067</v>
      </c>
      <c r="G3536" s="75">
        <v>1771.2515988024463</v>
      </c>
      <c r="H3536" s="76">
        <v>1</v>
      </c>
      <c r="I3536" s="54" t="s">
        <v>20</v>
      </c>
      <c r="J3536" s="77">
        <v>40</v>
      </c>
      <c r="K3536" s="78">
        <v>1</v>
      </c>
      <c r="L3536" s="54">
        <v>1</v>
      </c>
      <c r="M3536" s="54">
        <f>_xlfn.XLOOKUP(Survey!$F3536,sections[Start],sections[Test Section],,-1,1)</f>
        <v>9</v>
      </c>
      <c r="N3536" s="55">
        <f>_xlfn.XLOOKUP(Survey!$K3536,pipedata[ID],pipedata[WT])</f>
        <v>0.61699999999999999</v>
      </c>
      <c r="O3536" s="56">
        <f>_xlfn.XLOOKUP(Survey!$K3536,pipedata[ID],pipedata[104%])</f>
        <v>2138.9333333333334</v>
      </c>
      <c r="P3536" s="57">
        <f t="shared" si="55"/>
        <v>1850</v>
      </c>
      <c r="Q3536" s="58">
        <f>_xlfn.MAXIFS(Survey!$G$2:$G$3647,Survey!$M$2:$M$3647,Survey!$M3536)-Survey!$G3536</f>
        <v>295.08854750297519</v>
      </c>
      <c r="R3536" s="59">
        <f>Survey!$P3536+(Survey!$Q3536*0.433)</f>
        <v>1977.7733410687883</v>
      </c>
    </row>
    <row r="3537" spans="1:18" x14ac:dyDescent="0.25">
      <c r="A3537" s="60" t="s">
        <v>17</v>
      </c>
      <c r="B3537" s="61" t="s">
        <v>23</v>
      </c>
      <c r="C3537" s="62" t="s">
        <v>19</v>
      </c>
      <c r="D3537" s="63">
        <v>253.14393143058237</v>
      </c>
      <c r="E3537" s="79">
        <v>1368289</v>
      </c>
      <c r="F3537" s="80">
        <v>1337633.8489208592</v>
      </c>
      <c r="G3537" s="66">
        <v>1767.2009209892826</v>
      </c>
      <c r="H3537" s="67">
        <v>1</v>
      </c>
      <c r="I3537" s="68" t="s">
        <v>20</v>
      </c>
      <c r="J3537" s="69">
        <v>40</v>
      </c>
      <c r="K3537" s="70">
        <v>1</v>
      </c>
      <c r="L3537" s="68">
        <v>1</v>
      </c>
      <c r="M3537" s="68">
        <f>_xlfn.XLOOKUP(Survey!$F3537,sections[Start],sections[Test Section],,-1,1)</f>
        <v>9</v>
      </c>
      <c r="N3537" s="55">
        <f>_xlfn.XLOOKUP(Survey!$K3537,pipedata[ID],pipedata[WT])</f>
        <v>0.61699999999999999</v>
      </c>
      <c r="O3537" s="56">
        <f>_xlfn.XLOOKUP(Survey!$K3537,pipedata[ID],pipedata[104%])</f>
        <v>2138.9333333333334</v>
      </c>
      <c r="P3537" s="57">
        <f t="shared" si="55"/>
        <v>1850</v>
      </c>
      <c r="Q3537" s="58">
        <f>_xlfn.MAXIFS(Survey!$G$2:$G$3647,Survey!$M$2:$M$3647,Survey!$M3537)-Survey!$G3537</f>
        <v>299.13922531613889</v>
      </c>
      <c r="R3537" s="59">
        <f>Survey!$P3537+(Survey!$Q3537*0.433)</f>
        <v>1979.5272845618881</v>
      </c>
    </row>
    <row r="3538" spans="1:18" x14ac:dyDescent="0.25">
      <c r="A3538" s="71" t="s">
        <v>17</v>
      </c>
      <c r="B3538" s="72" t="s">
        <v>23</v>
      </c>
      <c r="C3538" s="73" t="s">
        <v>19</v>
      </c>
      <c r="D3538" s="74">
        <v>253.15140014226742</v>
      </c>
      <c r="E3538" s="81">
        <v>1368329</v>
      </c>
      <c r="F3538" s="82">
        <v>1337672.7122302116</v>
      </c>
      <c r="G3538" s="75">
        <v>1759.9313460208855</v>
      </c>
      <c r="H3538" s="76">
        <v>1</v>
      </c>
      <c r="I3538" s="54" t="s">
        <v>20</v>
      </c>
      <c r="J3538" s="77">
        <v>40</v>
      </c>
      <c r="K3538" s="78">
        <v>1</v>
      </c>
      <c r="L3538" s="54">
        <v>1</v>
      </c>
      <c r="M3538" s="54">
        <f>_xlfn.XLOOKUP(Survey!$F3538,sections[Start],sections[Test Section],,-1,1)</f>
        <v>9</v>
      </c>
      <c r="N3538" s="55">
        <f>_xlfn.XLOOKUP(Survey!$K3538,pipedata[ID],pipedata[WT])</f>
        <v>0.61699999999999999</v>
      </c>
      <c r="O3538" s="56">
        <f>_xlfn.XLOOKUP(Survey!$K3538,pipedata[ID],pipedata[104%])</f>
        <v>2138.9333333333334</v>
      </c>
      <c r="P3538" s="57">
        <f t="shared" si="55"/>
        <v>1850</v>
      </c>
      <c r="Q3538" s="58">
        <f>_xlfn.MAXIFS(Survey!$G$2:$G$3647,Survey!$M$2:$M$3647,Survey!$M3538)-Survey!$G3538</f>
        <v>306.40880028453603</v>
      </c>
      <c r="R3538" s="59">
        <f>Survey!$P3538+(Survey!$Q3538*0.433)</f>
        <v>1982.675010523204</v>
      </c>
    </row>
    <row r="3539" spans="1:18" x14ac:dyDescent="0.25">
      <c r="A3539" s="60" t="s">
        <v>17</v>
      </c>
      <c r="B3539" s="61" t="s">
        <v>23</v>
      </c>
      <c r="C3539" s="62" t="s">
        <v>19</v>
      </c>
      <c r="D3539" s="63">
        <v>253.15886885395204</v>
      </c>
      <c r="E3539" s="79">
        <v>1368369</v>
      </c>
      <c r="F3539" s="80">
        <v>1337711.575539564</v>
      </c>
      <c r="G3539" s="66">
        <v>1755.8450257098955</v>
      </c>
      <c r="H3539" s="67">
        <v>1</v>
      </c>
      <c r="I3539" s="68" t="s">
        <v>20</v>
      </c>
      <c r="J3539" s="69">
        <v>40</v>
      </c>
      <c r="K3539" s="70">
        <v>1</v>
      </c>
      <c r="L3539" s="68">
        <v>1</v>
      </c>
      <c r="M3539" s="68">
        <f>_xlfn.XLOOKUP(Survey!$F3539,sections[Start],sections[Test Section],,-1,1)</f>
        <v>9</v>
      </c>
      <c r="N3539" s="55">
        <f>_xlfn.XLOOKUP(Survey!$K3539,pipedata[ID],pipedata[WT])</f>
        <v>0.61699999999999999</v>
      </c>
      <c r="O3539" s="56">
        <f>_xlfn.XLOOKUP(Survey!$K3539,pipedata[ID],pipedata[104%])</f>
        <v>2138.9333333333334</v>
      </c>
      <c r="P3539" s="57">
        <f t="shared" si="55"/>
        <v>1850</v>
      </c>
      <c r="Q3539" s="58">
        <f>_xlfn.MAXIFS(Survey!$G$2:$G$3647,Survey!$M$2:$M$3647,Survey!$M3539)-Survey!$G3539</f>
        <v>310.49512059552603</v>
      </c>
      <c r="R3539" s="59">
        <f>Survey!$P3539+(Survey!$Q3539*0.433)</f>
        <v>1984.4443872178629</v>
      </c>
    </row>
    <row r="3540" spans="1:18" x14ac:dyDescent="0.25">
      <c r="A3540" s="71" t="s">
        <v>17</v>
      </c>
      <c r="B3540" s="72" t="s">
        <v>23</v>
      </c>
      <c r="C3540" s="73" t="s">
        <v>19</v>
      </c>
      <c r="D3540" s="74">
        <v>253.16633756563684</v>
      </c>
      <c r="E3540" s="81">
        <v>1368409</v>
      </c>
      <c r="F3540" s="82">
        <v>1337750.4388489164</v>
      </c>
      <c r="G3540" s="75">
        <v>1749.9999999998875</v>
      </c>
      <c r="H3540" s="76">
        <v>1</v>
      </c>
      <c r="I3540" s="54" t="s">
        <v>20</v>
      </c>
      <c r="J3540" s="77">
        <v>40</v>
      </c>
      <c r="K3540" s="78">
        <v>1</v>
      </c>
      <c r="L3540" s="54">
        <v>1</v>
      </c>
      <c r="M3540" s="54">
        <f>_xlfn.XLOOKUP(Survey!$F3540,sections[Start],sections[Test Section],,-1,1)</f>
        <v>9</v>
      </c>
      <c r="N3540" s="55">
        <f>_xlfn.XLOOKUP(Survey!$K3540,pipedata[ID],pipedata[WT])</f>
        <v>0.61699999999999999</v>
      </c>
      <c r="O3540" s="56">
        <f>_xlfn.XLOOKUP(Survey!$K3540,pipedata[ID],pipedata[104%])</f>
        <v>2138.9333333333334</v>
      </c>
      <c r="P3540" s="57">
        <f t="shared" si="55"/>
        <v>1850</v>
      </c>
      <c r="Q3540" s="58">
        <f>_xlfn.MAXIFS(Survey!$G$2:$G$3647,Survey!$M$2:$M$3647,Survey!$M3540)-Survey!$G3540</f>
        <v>316.34014630553406</v>
      </c>
      <c r="R3540" s="59">
        <f>Survey!$P3540+(Survey!$Q3540*0.433)</f>
        <v>1986.9752833502962</v>
      </c>
    </row>
    <row r="3541" spans="1:18" x14ac:dyDescent="0.25">
      <c r="A3541" s="60" t="s">
        <v>17</v>
      </c>
      <c r="B3541" s="61" t="s">
        <v>23</v>
      </c>
      <c r="C3541" s="62" t="s">
        <v>19</v>
      </c>
      <c r="D3541" s="63">
        <v>253.17355062722825</v>
      </c>
      <c r="E3541" s="79">
        <v>1368449</v>
      </c>
      <c r="F3541" s="80">
        <v>1337789.3021582689</v>
      </c>
      <c r="G3541" s="66">
        <v>1744.3156704705877</v>
      </c>
      <c r="H3541" s="67">
        <v>1</v>
      </c>
      <c r="I3541" s="68" t="s">
        <v>20</v>
      </c>
      <c r="J3541" s="69">
        <v>40</v>
      </c>
      <c r="K3541" s="70">
        <v>1</v>
      </c>
      <c r="L3541" s="68">
        <v>1</v>
      </c>
      <c r="M3541" s="68">
        <f>_xlfn.XLOOKUP(Survey!$F3541,sections[Start],sections[Test Section],,-1,1)</f>
        <v>9</v>
      </c>
      <c r="N3541" s="55">
        <f>_xlfn.XLOOKUP(Survey!$K3541,pipedata[ID],pipedata[WT])</f>
        <v>0.61699999999999999</v>
      </c>
      <c r="O3541" s="56">
        <f>_xlfn.XLOOKUP(Survey!$K3541,pipedata[ID],pipedata[104%])</f>
        <v>2138.9333333333334</v>
      </c>
      <c r="P3541" s="57">
        <f t="shared" si="55"/>
        <v>1850</v>
      </c>
      <c r="Q3541" s="58">
        <f>_xlfn.MAXIFS(Survey!$G$2:$G$3647,Survey!$M$2:$M$3647,Survey!$M3541)-Survey!$G3541</f>
        <v>322.02447583483377</v>
      </c>
      <c r="R3541" s="59">
        <f>Survey!$P3541+(Survey!$Q3541*0.433)</f>
        <v>1989.436598036483</v>
      </c>
    </row>
    <row r="3542" spans="1:18" x14ac:dyDescent="0.25">
      <c r="A3542" s="71" t="s">
        <v>17</v>
      </c>
      <c r="B3542" s="72" t="s">
        <v>23</v>
      </c>
      <c r="C3542" s="73" t="s">
        <v>19</v>
      </c>
      <c r="D3542" s="74">
        <v>253.18186341432065</v>
      </c>
      <c r="E3542" s="81">
        <v>1368489</v>
      </c>
      <c r="F3542" s="82">
        <v>1337828.1654676213</v>
      </c>
      <c r="G3542" s="75">
        <v>1739.5683477400096</v>
      </c>
      <c r="H3542" s="76">
        <v>1</v>
      </c>
      <c r="I3542" s="54" t="s">
        <v>20</v>
      </c>
      <c r="J3542" s="77">
        <v>40</v>
      </c>
      <c r="K3542" s="78">
        <v>1</v>
      </c>
      <c r="L3542" s="54">
        <v>1</v>
      </c>
      <c r="M3542" s="54">
        <f>_xlfn.XLOOKUP(Survey!$F3542,sections[Start],sections[Test Section],,-1,1)</f>
        <v>9</v>
      </c>
      <c r="N3542" s="55">
        <f>_xlfn.XLOOKUP(Survey!$K3542,pipedata[ID],pipedata[WT])</f>
        <v>0.61699999999999999</v>
      </c>
      <c r="O3542" s="56">
        <f>_xlfn.XLOOKUP(Survey!$K3542,pipedata[ID],pipedata[104%])</f>
        <v>2138.9333333333334</v>
      </c>
      <c r="P3542" s="57">
        <f t="shared" si="55"/>
        <v>1850</v>
      </c>
      <c r="Q3542" s="58">
        <f>_xlfn.MAXIFS(Survey!$G$2:$G$3647,Survey!$M$2:$M$3647,Survey!$M3542)-Survey!$G3542</f>
        <v>326.77179856541193</v>
      </c>
      <c r="R3542" s="59">
        <f>Survey!$P3542+(Survey!$Q3542*0.433)</f>
        <v>1991.4921887788234</v>
      </c>
    </row>
    <row r="3543" spans="1:18" x14ac:dyDescent="0.25">
      <c r="A3543" s="60" t="s">
        <v>17</v>
      </c>
      <c r="B3543" s="61" t="s">
        <v>23</v>
      </c>
      <c r="C3543" s="62" t="s">
        <v>19</v>
      </c>
      <c r="D3543" s="63">
        <v>253.18934746368171</v>
      </c>
      <c r="E3543" s="79">
        <v>1368529</v>
      </c>
      <c r="F3543" s="80">
        <v>1337867.0287769737</v>
      </c>
      <c r="G3543" s="66">
        <v>1735.3235969623922</v>
      </c>
      <c r="H3543" s="67">
        <v>1</v>
      </c>
      <c r="I3543" s="68" t="s">
        <v>20</v>
      </c>
      <c r="J3543" s="69">
        <v>40</v>
      </c>
      <c r="K3543" s="70">
        <v>1</v>
      </c>
      <c r="L3543" s="68">
        <v>1</v>
      </c>
      <c r="M3543" s="68">
        <f>_xlfn.XLOOKUP(Survey!$F3543,sections[Start],sections[Test Section],,-1,1)</f>
        <v>9</v>
      </c>
      <c r="N3543" s="55">
        <f>_xlfn.XLOOKUP(Survey!$K3543,pipedata[ID],pipedata[WT])</f>
        <v>0.61699999999999999</v>
      </c>
      <c r="O3543" s="56">
        <f>_xlfn.XLOOKUP(Survey!$K3543,pipedata[ID],pipedata[104%])</f>
        <v>2138.9333333333334</v>
      </c>
      <c r="P3543" s="57">
        <f t="shared" si="55"/>
        <v>1850</v>
      </c>
      <c r="Q3543" s="58">
        <f>_xlfn.MAXIFS(Survey!$G$2:$G$3647,Survey!$M$2:$M$3647,Survey!$M3543)-Survey!$G3543</f>
        <v>331.01654934302928</v>
      </c>
      <c r="R3543" s="59">
        <f>Survey!$P3543+(Survey!$Q3543*0.433)</f>
        <v>1993.3301658655316</v>
      </c>
    </row>
    <row r="3544" spans="1:18" x14ac:dyDescent="0.25">
      <c r="A3544" s="71" t="s">
        <v>17</v>
      </c>
      <c r="B3544" s="72" t="s">
        <v>23</v>
      </c>
      <c r="C3544" s="73" t="s">
        <v>19</v>
      </c>
      <c r="D3544" s="74">
        <v>253.19611753644753</v>
      </c>
      <c r="E3544" s="81">
        <v>1368569</v>
      </c>
      <c r="F3544" s="82">
        <v>1337905.8920863261</v>
      </c>
      <c r="G3544" s="75">
        <v>1731.2453420156705</v>
      </c>
      <c r="H3544" s="76">
        <v>1</v>
      </c>
      <c r="I3544" s="54" t="s">
        <v>20</v>
      </c>
      <c r="J3544" s="77">
        <v>40</v>
      </c>
      <c r="K3544" s="78">
        <v>1</v>
      </c>
      <c r="L3544" s="54">
        <v>1</v>
      </c>
      <c r="M3544" s="54">
        <f>_xlfn.XLOOKUP(Survey!$F3544,sections[Start],sections[Test Section],,-1,1)</f>
        <v>9</v>
      </c>
      <c r="N3544" s="55">
        <f>_xlfn.XLOOKUP(Survey!$K3544,pipedata[ID],pipedata[WT])</f>
        <v>0.61699999999999999</v>
      </c>
      <c r="O3544" s="56">
        <f>_xlfn.XLOOKUP(Survey!$K3544,pipedata[ID],pipedata[104%])</f>
        <v>2138.9333333333334</v>
      </c>
      <c r="P3544" s="57">
        <f t="shared" si="55"/>
        <v>1850</v>
      </c>
      <c r="Q3544" s="58">
        <f>_xlfn.MAXIFS(Survey!$G$2:$G$3647,Survey!$M$2:$M$3647,Survey!$M3544)-Survey!$G3544</f>
        <v>335.09480428975098</v>
      </c>
      <c r="R3544" s="59">
        <f>Survey!$P3544+(Survey!$Q3544*0.433)</f>
        <v>1995.0960502574621</v>
      </c>
    </row>
    <row r="3545" spans="1:18" x14ac:dyDescent="0.25">
      <c r="A3545" s="60" t="s">
        <v>17</v>
      </c>
      <c r="B3545" s="61" t="s">
        <v>23</v>
      </c>
      <c r="C3545" s="62" t="s">
        <v>19</v>
      </c>
      <c r="D3545" s="63">
        <v>253.20311776256676</v>
      </c>
      <c r="E3545" s="79">
        <v>1368609</v>
      </c>
      <c r="F3545" s="80">
        <v>1337944.7553956786</v>
      </c>
      <c r="G3545" s="66">
        <v>1725.4382757050566</v>
      </c>
      <c r="H3545" s="67">
        <v>1</v>
      </c>
      <c r="I3545" s="68" t="s">
        <v>20</v>
      </c>
      <c r="J3545" s="69">
        <v>40</v>
      </c>
      <c r="K3545" s="70">
        <v>1</v>
      </c>
      <c r="L3545" s="68">
        <v>1</v>
      </c>
      <c r="M3545" s="68">
        <f>_xlfn.XLOOKUP(Survey!$F3545,sections[Start],sections[Test Section],,-1,1)</f>
        <v>9</v>
      </c>
      <c r="N3545" s="55">
        <f>_xlfn.XLOOKUP(Survey!$K3545,pipedata[ID],pipedata[WT])</f>
        <v>0.61699999999999999</v>
      </c>
      <c r="O3545" s="56">
        <f>_xlfn.XLOOKUP(Survey!$K3545,pipedata[ID],pipedata[104%])</f>
        <v>2138.9333333333334</v>
      </c>
      <c r="P3545" s="57">
        <f t="shared" si="55"/>
        <v>1850</v>
      </c>
      <c r="Q3545" s="58">
        <f>_xlfn.MAXIFS(Survey!$G$2:$G$3647,Survey!$M$2:$M$3647,Survey!$M3545)-Survey!$G3545</f>
        <v>340.90187060036487</v>
      </c>
      <c r="R3545" s="59">
        <f>Survey!$P3545+(Survey!$Q3545*0.433)</f>
        <v>1997.610509969958</v>
      </c>
    </row>
    <row r="3546" spans="1:18" x14ac:dyDescent="0.25">
      <c r="A3546" s="71" t="s">
        <v>17</v>
      </c>
      <c r="B3546" s="72" t="s">
        <v>23</v>
      </c>
      <c r="C3546" s="73" t="s">
        <v>19</v>
      </c>
      <c r="D3546" s="74">
        <v>253.21191437290096</v>
      </c>
      <c r="E3546" s="81">
        <v>1368649</v>
      </c>
      <c r="F3546" s="82">
        <v>1337983.618705031</v>
      </c>
      <c r="G3546" s="75">
        <v>1720.483795832768</v>
      </c>
      <c r="H3546" s="76">
        <v>1</v>
      </c>
      <c r="I3546" s="54" t="s">
        <v>20</v>
      </c>
      <c r="J3546" s="77">
        <v>40</v>
      </c>
      <c r="K3546" s="78">
        <v>1</v>
      </c>
      <c r="L3546" s="54">
        <v>1</v>
      </c>
      <c r="M3546" s="54">
        <f>_xlfn.XLOOKUP(Survey!$F3546,sections[Start],sections[Test Section],,-1,1)</f>
        <v>9</v>
      </c>
      <c r="N3546" s="55">
        <f>_xlfn.XLOOKUP(Survey!$K3546,pipedata[ID],pipedata[WT])</f>
        <v>0.61699999999999999</v>
      </c>
      <c r="O3546" s="56">
        <f>_xlfn.XLOOKUP(Survey!$K3546,pipedata[ID],pipedata[104%])</f>
        <v>2138.9333333333334</v>
      </c>
      <c r="P3546" s="57">
        <f t="shared" si="55"/>
        <v>1850</v>
      </c>
      <c r="Q3546" s="58">
        <f>_xlfn.MAXIFS(Survey!$G$2:$G$3647,Survey!$M$2:$M$3647,Survey!$M3546)-Survey!$G3546</f>
        <v>345.8563504726535</v>
      </c>
      <c r="R3546" s="59">
        <f>Survey!$P3546+(Survey!$Q3546*0.433)</f>
        <v>1999.7557997546589</v>
      </c>
    </row>
    <row r="3547" spans="1:18" x14ac:dyDescent="0.25">
      <c r="A3547" s="60" t="s">
        <v>17</v>
      </c>
      <c r="B3547" s="61" t="s">
        <v>23</v>
      </c>
      <c r="C3547" s="62" t="s">
        <v>19</v>
      </c>
      <c r="D3547" s="63">
        <v>253.2186844456667</v>
      </c>
      <c r="E3547" s="79">
        <v>1368689</v>
      </c>
      <c r="F3547" s="80">
        <v>1338022.4820143834</v>
      </c>
      <c r="G3547" s="66">
        <v>1713.913788011781</v>
      </c>
      <c r="H3547" s="67">
        <v>1</v>
      </c>
      <c r="I3547" s="68" t="s">
        <v>20</v>
      </c>
      <c r="J3547" s="69">
        <v>40</v>
      </c>
      <c r="K3547" s="70">
        <v>1</v>
      </c>
      <c r="L3547" s="68">
        <v>1</v>
      </c>
      <c r="M3547" s="68">
        <f>_xlfn.XLOOKUP(Survey!$F3547,sections[Start],sections[Test Section],,-1,1)</f>
        <v>9</v>
      </c>
      <c r="N3547" s="55">
        <f>_xlfn.XLOOKUP(Survey!$K3547,pipedata[ID],pipedata[WT])</f>
        <v>0.61699999999999999</v>
      </c>
      <c r="O3547" s="56">
        <f>_xlfn.XLOOKUP(Survey!$K3547,pipedata[ID],pipedata[104%])</f>
        <v>2138.9333333333334</v>
      </c>
      <c r="P3547" s="57">
        <f t="shared" si="55"/>
        <v>1850</v>
      </c>
      <c r="Q3547" s="58">
        <f>_xlfn.MAXIFS(Survey!$G$2:$G$3647,Survey!$M$2:$M$3647,Survey!$M3547)-Survey!$G3547</f>
        <v>352.42635829364053</v>
      </c>
      <c r="R3547" s="59">
        <f>Survey!$P3547+(Survey!$Q3547*0.433)</f>
        <v>2002.6006131411464</v>
      </c>
    </row>
    <row r="3548" spans="1:18" x14ac:dyDescent="0.25">
      <c r="A3548" s="71" t="s">
        <v>17</v>
      </c>
      <c r="B3548" s="72" t="s">
        <v>23</v>
      </c>
      <c r="C3548" s="73" t="s">
        <v>19</v>
      </c>
      <c r="D3548" s="74">
        <v>253.2254545184326</v>
      </c>
      <c r="E3548" s="81">
        <v>1368729</v>
      </c>
      <c r="F3548" s="82">
        <v>1338061.3453237358</v>
      </c>
      <c r="G3548" s="75">
        <v>1708.1932168545945</v>
      </c>
      <c r="H3548" s="76">
        <v>1</v>
      </c>
      <c r="I3548" s="54" t="s">
        <v>20</v>
      </c>
      <c r="J3548" s="77">
        <v>40</v>
      </c>
      <c r="K3548" s="78">
        <v>1</v>
      </c>
      <c r="L3548" s="54">
        <v>1</v>
      </c>
      <c r="M3548" s="54">
        <f>_xlfn.XLOOKUP(Survey!$F3548,sections[Start],sections[Test Section],,-1,1)</f>
        <v>9</v>
      </c>
      <c r="N3548" s="55">
        <f>_xlfn.XLOOKUP(Survey!$K3548,pipedata[ID],pipedata[WT])</f>
        <v>0.61699999999999999</v>
      </c>
      <c r="O3548" s="56">
        <f>_xlfn.XLOOKUP(Survey!$K3548,pipedata[ID],pipedata[104%])</f>
        <v>2138.9333333333334</v>
      </c>
      <c r="P3548" s="57">
        <f t="shared" si="55"/>
        <v>1850</v>
      </c>
      <c r="Q3548" s="58">
        <f>_xlfn.MAXIFS(Survey!$G$2:$G$3647,Survey!$M$2:$M$3647,Survey!$M3548)-Survey!$G3548</f>
        <v>358.14692945082697</v>
      </c>
      <c r="R3548" s="59">
        <f>Survey!$P3548+(Survey!$Q3548*0.433)</f>
        <v>2005.0776204522081</v>
      </c>
    </row>
    <row r="3549" spans="1:18" x14ac:dyDescent="0.25">
      <c r="A3549" s="60" t="s">
        <v>17</v>
      </c>
      <c r="B3549" s="61" t="s">
        <v>23</v>
      </c>
      <c r="C3549" s="62" t="s">
        <v>19</v>
      </c>
      <c r="D3549" s="63">
        <v>253.23448128212027</v>
      </c>
      <c r="E3549" s="79">
        <v>1368769</v>
      </c>
      <c r="F3549" s="80">
        <v>1338100.2086330883</v>
      </c>
      <c r="G3549" s="66">
        <v>1705.3599565852473</v>
      </c>
      <c r="H3549" s="67">
        <v>1</v>
      </c>
      <c r="I3549" s="68" t="s">
        <v>20</v>
      </c>
      <c r="J3549" s="69">
        <v>40</v>
      </c>
      <c r="K3549" s="70">
        <v>1</v>
      </c>
      <c r="L3549" s="68">
        <v>1</v>
      </c>
      <c r="M3549" s="68">
        <f>_xlfn.XLOOKUP(Survey!$F3549,sections[Start],sections[Test Section],,-1,1)</f>
        <v>9</v>
      </c>
      <c r="N3549" s="55">
        <f>_xlfn.XLOOKUP(Survey!$K3549,pipedata[ID],pipedata[WT])</f>
        <v>0.61699999999999999</v>
      </c>
      <c r="O3549" s="56">
        <f>_xlfn.XLOOKUP(Survey!$K3549,pipedata[ID],pipedata[104%])</f>
        <v>2138.9333333333334</v>
      </c>
      <c r="P3549" s="57">
        <f t="shared" si="55"/>
        <v>1850</v>
      </c>
      <c r="Q3549" s="58">
        <f>_xlfn.MAXIFS(Survey!$G$2:$G$3647,Survey!$M$2:$M$3647,Survey!$M3549)-Survey!$G3549</f>
        <v>360.98018972017417</v>
      </c>
      <c r="R3549" s="59">
        <f>Survey!$P3549+(Survey!$Q3549*0.433)</f>
        <v>2006.3044221488353</v>
      </c>
    </row>
    <row r="3550" spans="1:18" x14ac:dyDescent="0.25">
      <c r="A3550" s="71" t="s">
        <v>17</v>
      </c>
      <c r="B3550" s="72" t="s">
        <v>23</v>
      </c>
      <c r="C3550" s="73" t="s">
        <v>19</v>
      </c>
      <c r="D3550" s="74">
        <v>253.2412513548862</v>
      </c>
      <c r="E3550" s="81">
        <v>1368809</v>
      </c>
      <c r="F3550" s="82">
        <v>1338139.0719424407</v>
      </c>
      <c r="G3550" s="75">
        <v>1703.008602052696</v>
      </c>
      <c r="H3550" s="76">
        <v>1</v>
      </c>
      <c r="I3550" s="54" t="s">
        <v>20</v>
      </c>
      <c r="J3550" s="77">
        <v>40</v>
      </c>
      <c r="K3550" s="78">
        <v>1</v>
      </c>
      <c r="L3550" s="54">
        <v>1</v>
      </c>
      <c r="M3550" s="54">
        <f>_xlfn.XLOOKUP(Survey!$F3550,sections[Start],sections[Test Section],,-1,1)</f>
        <v>9</v>
      </c>
      <c r="N3550" s="55">
        <f>_xlfn.XLOOKUP(Survey!$K3550,pipedata[ID],pipedata[WT])</f>
        <v>0.61699999999999999</v>
      </c>
      <c r="O3550" s="56">
        <f>_xlfn.XLOOKUP(Survey!$K3550,pipedata[ID],pipedata[104%])</f>
        <v>2138.9333333333334</v>
      </c>
      <c r="P3550" s="57">
        <f t="shared" si="55"/>
        <v>1850</v>
      </c>
      <c r="Q3550" s="58">
        <f>_xlfn.MAXIFS(Survey!$G$2:$G$3647,Survey!$M$2:$M$3647,Survey!$M3550)-Survey!$G3550</f>
        <v>363.33154425272551</v>
      </c>
      <c r="R3550" s="59">
        <f>Survey!$P3550+(Survey!$Q3550*0.433)</f>
        <v>2007.3225586614301</v>
      </c>
    </row>
    <row r="3551" spans="1:18" x14ac:dyDescent="0.25">
      <c r="A3551" s="60" t="s">
        <v>17</v>
      </c>
      <c r="B3551" s="61" t="s">
        <v>23</v>
      </c>
      <c r="C3551" s="62" t="s">
        <v>19</v>
      </c>
      <c r="D3551" s="63">
        <v>253.24804392409891</v>
      </c>
      <c r="E3551" s="79">
        <v>1368849</v>
      </c>
      <c r="F3551" s="80">
        <v>1338177.9352517931</v>
      </c>
      <c r="G3551" s="66">
        <v>1699.8696229669156</v>
      </c>
      <c r="H3551" s="67">
        <v>1</v>
      </c>
      <c r="I3551" s="68" t="s">
        <v>20</v>
      </c>
      <c r="J3551" s="69">
        <v>40</v>
      </c>
      <c r="K3551" s="70">
        <v>1</v>
      </c>
      <c r="L3551" s="68">
        <v>1</v>
      </c>
      <c r="M3551" s="68">
        <f>_xlfn.XLOOKUP(Survey!$F3551,sections[Start],sections[Test Section],,-1,1)</f>
        <v>9</v>
      </c>
      <c r="N3551" s="55">
        <f>_xlfn.XLOOKUP(Survey!$K3551,pipedata[ID],pipedata[WT])</f>
        <v>0.61699999999999999</v>
      </c>
      <c r="O3551" s="56">
        <f>_xlfn.XLOOKUP(Survey!$K3551,pipedata[ID],pipedata[104%])</f>
        <v>2138.9333333333334</v>
      </c>
      <c r="P3551" s="57">
        <f t="shared" si="55"/>
        <v>1850</v>
      </c>
      <c r="Q3551" s="58">
        <f>_xlfn.MAXIFS(Survey!$G$2:$G$3647,Survey!$M$2:$M$3647,Survey!$M3551)-Survey!$G3551</f>
        <v>366.47052333850593</v>
      </c>
      <c r="R3551" s="59">
        <f>Survey!$P3551+(Survey!$Q3551*0.433)</f>
        <v>2008.681736605573</v>
      </c>
    </row>
    <row r="3552" spans="1:18" x14ac:dyDescent="0.25">
      <c r="A3552" s="71" t="s">
        <v>17</v>
      </c>
      <c r="B3552" s="72" t="s">
        <v>23</v>
      </c>
      <c r="C3552" s="73" t="s">
        <v>19</v>
      </c>
      <c r="D3552" s="74">
        <v>253.25704819133975</v>
      </c>
      <c r="E3552" s="81">
        <v>1368889</v>
      </c>
      <c r="F3552" s="82">
        <v>1338216.7985611456</v>
      </c>
      <c r="G3552" s="75">
        <v>1698.0715420765541</v>
      </c>
      <c r="H3552" s="76">
        <v>1</v>
      </c>
      <c r="I3552" s="54" t="s">
        <v>20</v>
      </c>
      <c r="J3552" s="77">
        <v>40</v>
      </c>
      <c r="K3552" s="78">
        <v>1</v>
      </c>
      <c r="L3552" s="54">
        <v>1</v>
      </c>
      <c r="M3552" s="54">
        <f>_xlfn.XLOOKUP(Survey!$F3552,sections[Start],sections[Test Section],,-1,1)</f>
        <v>9</v>
      </c>
      <c r="N3552" s="55">
        <f>_xlfn.XLOOKUP(Survey!$K3552,pipedata[ID],pipedata[WT])</f>
        <v>0.61699999999999999</v>
      </c>
      <c r="O3552" s="56">
        <f>_xlfn.XLOOKUP(Survey!$K3552,pipedata[ID],pipedata[104%])</f>
        <v>2138.9333333333334</v>
      </c>
      <c r="P3552" s="57">
        <f t="shared" si="55"/>
        <v>1850</v>
      </c>
      <c r="Q3552" s="58">
        <f>_xlfn.MAXIFS(Survey!$G$2:$G$3647,Survey!$M$2:$M$3647,Survey!$M3552)-Survey!$G3552</f>
        <v>368.26860422886739</v>
      </c>
      <c r="R3552" s="59">
        <f>Survey!$P3552+(Survey!$Q3552*0.433)</f>
        <v>2009.4603056310996</v>
      </c>
    </row>
    <row r="3553" spans="1:18" x14ac:dyDescent="0.25">
      <c r="A3553" s="60" t="s">
        <v>17</v>
      </c>
      <c r="B3553" s="61" t="s">
        <v>23</v>
      </c>
      <c r="C3553" s="62" t="s">
        <v>19</v>
      </c>
      <c r="D3553" s="63">
        <v>253.26381826410537</v>
      </c>
      <c r="E3553" s="79">
        <v>1368929</v>
      </c>
      <c r="F3553" s="80">
        <v>1338255.661870498</v>
      </c>
      <c r="G3553" s="66">
        <v>1697.6251725712928</v>
      </c>
      <c r="H3553" s="67">
        <v>1</v>
      </c>
      <c r="I3553" s="68" t="s">
        <v>20</v>
      </c>
      <c r="J3553" s="69">
        <v>40</v>
      </c>
      <c r="K3553" s="70">
        <v>1</v>
      </c>
      <c r="L3553" s="68">
        <v>1</v>
      </c>
      <c r="M3553" s="68">
        <f>_xlfn.XLOOKUP(Survey!$F3553,sections[Start],sections[Test Section],,-1,1)</f>
        <v>9</v>
      </c>
      <c r="N3553" s="55">
        <f>_xlfn.XLOOKUP(Survey!$K3553,pipedata[ID],pipedata[WT])</f>
        <v>0.61699999999999999</v>
      </c>
      <c r="O3553" s="56">
        <f>_xlfn.XLOOKUP(Survey!$K3553,pipedata[ID],pipedata[104%])</f>
        <v>2138.9333333333334</v>
      </c>
      <c r="P3553" s="57">
        <f t="shared" si="55"/>
        <v>1850</v>
      </c>
      <c r="Q3553" s="58">
        <f>_xlfn.MAXIFS(Survey!$G$2:$G$3647,Survey!$M$2:$M$3647,Survey!$M3553)-Survey!$G3553</f>
        <v>368.71497373412876</v>
      </c>
      <c r="R3553" s="59">
        <f>Survey!$P3553+(Survey!$Q3553*0.433)</f>
        <v>2009.6535836268777</v>
      </c>
    </row>
    <row r="3554" spans="1:18" x14ac:dyDescent="0.25">
      <c r="A3554" s="71" t="s">
        <v>17</v>
      </c>
      <c r="B3554" s="72" t="s">
        <v>23</v>
      </c>
      <c r="C3554" s="73" t="s">
        <v>19</v>
      </c>
      <c r="D3554" s="74">
        <v>253.27242621717539</v>
      </c>
      <c r="E3554" s="81">
        <v>1368969</v>
      </c>
      <c r="F3554" s="82">
        <v>1338294.5251798504</v>
      </c>
      <c r="G3554" s="75">
        <v>1697.9946351711505</v>
      </c>
      <c r="H3554" s="76">
        <v>1</v>
      </c>
      <c r="I3554" s="54" t="s">
        <v>20</v>
      </c>
      <c r="J3554" s="77">
        <v>40</v>
      </c>
      <c r="K3554" s="78">
        <v>1</v>
      </c>
      <c r="L3554" s="54">
        <v>1</v>
      </c>
      <c r="M3554" s="54">
        <f>_xlfn.XLOOKUP(Survey!$F3554,sections[Start],sections[Test Section],,-1,1)</f>
        <v>9</v>
      </c>
      <c r="N3554" s="55">
        <f>_xlfn.XLOOKUP(Survey!$K3554,pipedata[ID],pipedata[WT])</f>
        <v>0.61699999999999999</v>
      </c>
      <c r="O3554" s="56">
        <f>_xlfn.XLOOKUP(Survey!$K3554,pipedata[ID],pipedata[104%])</f>
        <v>2138.9333333333334</v>
      </c>
      <c r="P3554" s="57">
        <f t="shared" si="55"/>
        <v>1850</v>
      </c>
      <c r="Q3554" s="58">
        <f>_xlfn.MAXIFS(Survey!$G$2:$G$3647,Survey!$M$2:$M$3647,Survey!$M3554)-Survey!$G3554</f>
        <v>368.34551113427096</v>
      </c>
      <c r="R3554" s="59">
        <f>Survey!$P3554+(Survey!$Q3554*0.433)</f>
        <v>2009.4936063211394</v>
      </c>
    </row>
    <row r="3555" spans="1:18" x14ac:dyDescent="0.25">
      <c r="A3555" s="60" t="s">
        <v>17</v>
      </c>
      <c r="B3555" s="61" t="s">
        <v>23</v>
      </c>
      <c r="C3555" s="62" t="s">
        <v>19</v>
      </c>
      <c r="D3555" s="63">
        <v>253.28002451573212</v>
      </c>
      <c r="E3555" s="79">
        <v>1369009</v>
      </c>
      <c r="F3555" s="80">
        <v>1338333.3884892028</v>
      </c>
      <c r="G3555" s="66">
        <v>1697.5411463232795</v>
      </c>
      <c r="H3555" s="67">
        <v>1</v>
      </c>
      <c r="I3555" s="68" t="s">
        <v>20</v>
      </c>
      <c r="J3555" s="69">
        <v>40</v>
      </c>
      <c r="K3555" s="70">
        <v>1</v>
      </c>
      <c r="L3555" s="68">
        <v>1</v>
      </c>
      <c r="M3555" s="68">
        <f>_xlfn.XLOOKUP(Survey!$F3555,sections[Start],sections[Test Section],,-1,1)</f>
        <v>9</v>
      </c>
      <c r="N3555" s="55">
        <f>_xlfn.XLOOKUP(Survey!$K3555,pipedata[ID],pipedata[WT])</f>
        <v>0.61699999999999999</v>
      </c>
      <c r="O3555" s="56">
        <f>_xlfn.XLOOKUP(Survey!$K3555,pipedata[ID],pipedata[104%])</f>
        <v>2138.9333333333334</v>
      </c>
      <c r="P3555" s="57">
        <f t="shared" si="55"/>
        <v>1850</v>
      </c>
      <c r="Q3555" s="58">
        <f>_xlfn.MAXIFS(Survey!$G$2:$G$3647,Survey!$M$2:$M$3647,Survey!$M3555)-Survey!$G3555</f>
        <v>368.79899998214205</v>
      </c>
      <c r="R3555" s="59">
        <f>Survey!$P3555+(Survey!$Q3555*0.433)</f>
        <v>2009.6899669922675</v>
      </c>
    </row>
    <row r="3556" spans="1:18" x14ac:dyDescent="0.25">
      <c r="A3556" s="71" t="s">
        <v>17</v>
      </c>
      <c r="B3556" s="72" t="s">
        <v>23</v>
      </c>
      <c r="C3556" s="73" t="s">
        <v>19</v>
      </c>
      <c r="D3556" s="74">
        <v>253.28720410187211</v>
      </c>
      <c r="E3556" s="81">
        <v>1369049</v>
      </c>
      <c r="F3556" s="82">
        <v>1338372.2517985553</v>
      </c>
      <c r="G3556" s="75">
        <v>1696.7430883299023</v>
      </c>
      <c r="H3556" s="76">
        <v>1</v>
      </c>
      <c r="I3556" s="54" t="s">
        <v>20</v>
      </c>
      <c r="J3556" s="77">
        <v>40</v>
      </c>
      <c r="K3556" s="78">
        <v>1</v>
      </c>
      <c r="L3556" s="54">
        <v>1</v>
      </c>
      <c r="M3556" s="54">
        <f>_xlfn.XLOOKUP(Survey!$F3556,sections[Start],sections[Test Section],,-1,1)</f>
        <v>9</v>
      </c>
      <c r="N3556" s="55">
        <f>_xlfn.XLOOKUP(Survey!$K3556,pipedata[ID],pipedata[WT])</f>
        <v>0.61699999999999999</v>
      </c>
      <c r="O3556" s="56">
        <f>_xlfn.XLOOKUP(Survey!$K3556,pipedata[ID],pipedata[104%])</f>
        <v>2138.9333333333334</v>
      </c>
      <c r="P3556" s="57">
        <f t="shared" si="55"/>
        <v>1850</v>
      </c>
      <c r="Q3556" s="58">
        <f>_xlfn.MAXIFS(Survey!$G$2:$G$3647,Survey!$M$2:$M$3647,Survey!$M3556)-Survey!$G3556</f>
        <v>369.59705797551919</v>
      </c>
      <c r="R3556" s="59">
        <f>Survey!$P3556+(Survey!$Q3556*0.433)</f>
        <v>2010.0355261033999</v>
      </c>
    </row>
    <row r="3557" spans="1:18" x14ac:dyDescent="0.25">
      <c r="A3557" s="60" t="s">
        <v>17</v>
      </c>
      <c r="B3557" s="61" t="s">
        <v>23</v>
      </c>
      <c r="C3557" s="62" t="s">
        <v>19</v>
      </c>
      <c r="D3557" s="63">
        <v>253.29471145169117</v>
      </c>
      <c r="E3557" s="79">
        <v>1369089</v>
      </c>
      <c r="F3557" s="80">
        <v>1338411.1151079077</v>
      </c>
      <c r="G3557" s="66">
        <v>1697.6665155817122</v>
      </c>
      <c r="H3557" s="67">
        <v>1</v>
      </c>
      <c r="I3557" s="68" t="s">
        <v>20</v>
      </c>
      <c r="J3557" s="69">
        <v>40</v>
      </c>
      <c r="K3557" s="70">
        <v>1</v>
      </c>
      <c r="L3557" s="68">
        <v>1</v>
      </c>
      <c r="M3557" s="68">
        <f>_xlfn.XLOOKUP(Survey!$F3557,sections[Start],sections[Test Section],,-1,1)</f>
        <v>9</v>
      </c>
      <c r="N3557" s="55">
        <f>_xlfn.XLOOKUP(Survey!$K3557,pipedata[ID],pipedata[WT])</f>
        <v>0.61699999999999999</v>
      </c>
      <c r="O3557" s="56">
        <f>_xlfn.XLOOKUP(Survey!$K3557,pipedata[ID],pipedata[104%])</f>
        <v>2138.9333333333334</v>
      </c>
      <c r="P3557" s="57">
        <f t="shared" si="55"/>
        <v>1850</v>
      </c>
      <c r="Q3557" s="58">
        <f>_xlfn.MAXIFS(Survey!$G$2:$G$3647,Survey!$M$2:$M$3647,Survey!$M3557)-Survey!$G3557</f>
        <v>368.67363072370927</v>
      </c>
      <c r="R3557" s="59">
        <f>Survey!$P3557+(Survey!$Q3557*0.433)</f>
        <v>2009.6356821033662</v>
      </c>
    </row>
    <row r="3558" spans="1:18" x14ac:dyDescent="0.25">
      <c r="A3558" s="71" t="s">
        <v>17</v>
      </c>
      <c r="B3558" s="72" t="s">
        <v>23</v>
      </c>
      <c r="C3558" s="73" t="s">
        <v>19</v>
      </c>
      <c r="D3558" s="74">
        <v>253.30133561238648</v>
      </c>
      <c r="E3558" s="81">
        <v>1369129</v>
      </c>
      <c r="F3558" s="82">
        <v>1338449.9784172601</v>
      </c>
      <c r="G3558" s="75">
        <v>1698.2575490850527</v>
      </c>
      <c r="H3558" s="76">
        <v>1</v>
      </c>
      <c r="I3558" s="54" t="s">
        <v>20</v>
      </c>
      <c r="J3558" s="77">
        <v>40</v>
      </c>
      <c r="K3558" s="78">
        <v>1</v>
      </c>
      <c r="L3558" s="54">
        <v>1</v>
      </c>
      <c r="M3558" s="54">
        <f>_xlfn.XLOOKUP(Survey!$F3558,sections[Start],sections[Test Section],,-1,1)</f>
        <v>9</v>
      </c>
      <c r="N3558" s="55">
        <f>_xlfn.XLOOKUP(Survey!$K3558,pipedata[ID],pipedata[WT])</f>
        <v>0.61699999999999999</v>
      </c>
      <c r="O3558" s="56">
        <f>_xlfn.XLOOKUP(Survey!$K3558,pipedata[ID],pipedata[104%])</f>
        <v>2138.9333333333334</v>
      </c>
      <c r="P3558" s="57">
        <f t="shared" si="55"/>
        <v>1850</v>
      </c>
      <c r="Q3558" s="58">
        <f>_xlfn.MAXIFS(Survey!$G$2:$G$3647,Survey!$M$2:$M$3647,Survey!$M3558)-Survey!$G3558</f>
        <v>368.08259722036883</v>
      </c>
      <c r="R3558" s="59">
        <f>Survey!$P3558+(Survey!$Q3558*0.433)</f>
        <v>2009.3797645964196</v>
      </c>
    </row>
    <row r="3559" spans="1:18" x14ac:dyDescent="0.25">
      <c r="A3559" s="60" t="s">
        <v>17</v>
      </c>
      <c r="B3559" s="61" t="s">
        <v>23</v>
      </c>
      <c r="C3559" s="62" t="s">
        <v>19</v>
      </c>
      <c r="D3559" s="63">
        <v>253.30986603492514</v>
      </c>
      <c r="E3559" s="79">
        <v>1369169</v>
      </c>
      <c r="F3559" s="80">
        <v>1338488.8417266125</v>
      </c>
      <c r="G3559" s="66">
        <v>1699.4064505816921</v>
      </c>
      <c r="H3559" s="67">
        <v>1</v>
      </c>
      <c r="I3559" s="68" t="s">
        <v>20</v>
      </c>
      <c r="J3559" s="69">
        <v>40</v>
      </c>
      <c r="K3559" s="70">
        <v>1</v>
      </c>
      <c r="L3559" s="68">
        <v>1</v>
      </c>
      <c r="M3559" s="68">
        <f>_xlfn.XLOOKUP(Survey!$F3559,sections[Start],sections[Test Section],,-1,1)</f>
        <v>9</v>
      </c>
      <c r="N3559" s="55">
        <f>_xlfn.XLOOKUP(Survey!$K3559,pipedata[ID],pipedata[WT])</f>
        <v>0.61699999999999999</v>
      </c>
      <c r="O3559" s="56">
        <f>_xlfn.XLOOKUP(Survey!$K3559,pipedata[ID],pipedata[104%])</f>
        <v>2138.9333333333334</v>
      </c>
      <c r="P3559" s="57">
        <f t="shared" si="55"/>
        <v>1850</v>
      </c>
      <c r="Q3559" s="58">
        <f>_xlfn.MAXIFS(Survey!$G$2:$G$3647,Survey!$M$2:$M$3647,Survey!$M3559)-Survey!$G3559</f>
        <v>366.93369572372944</v>
      </c>
      <c r="R3559" s="59">
        <f>Survey!$P3559+(Survey!$Q3559*0.433)</f>
        <v>2008.8822902483748</v>
      </c>
    </row>
    <row r="3560" spans="1:18" x14ac:dyDescent="0.25">
      <c r="A3560" s="71" t="s">
        <v>17</v>
      </c>
      <c r="B3560" s="72" t="s">
        <v>23</v>
      </c>
      <c r="C3560" s="73" t="s">
        <v>19</v>
      </c>
      <c r="D3560" s="74">
        <v>253.31741651908629</v>
      </c>
      <c r="E3560" s="81">
        <v>1369209</v>
      </c>
      <c r="F3560" s="82">
        <v>1338527.705035965</v>
      </c>
      <c r="G3560" s="75">
        <v>1700.8130377176653</v>
      </c>
      <c r="H3560" s="76">
        <v>1</v>
      </c>
      <c r="I3560" s="54" t="s">
        <v>20</v>
      </c>
      <c r="J3560" s="77">
        <v>40</v>
      </c>
      <c r="K3560" s="78">
        <v>1</v>
      </c>
      <c r="L3560" s="54">
        <v>1</v>
      </c>
      <c r="M3560" s="54">
        <f>_xlfn.XLOOKUP(Survey!$F3560,sections[Start],sections[Test Section],,-1,1)</f>
        <v>9</v>
      </c>
      <c r="N3560" s="55">
        <f>_xlfn.XLOOKUP(Survey!$K3560,pipedata[ID],pipedata[WT])</f>
        <v>0.61699999999999999</v>
      </c>
      <c r="O3560" s="56">
        <f>_xlfn.XLOOKUP(Survey!$K3560,pipedata[ID],pipedata[104%])</f>
        <v>2138.9333333333334</v>
      </c>
      <c r="P3560" s="57">
        <f t="shared" si="55"/>
        <v>1850</v>
      </c>
      <c r="Q3560" s="58">
        <f>_xlfn.MAXIFS(Survey!$G$2:$G$3647,Survey!$M$2:$M$3647,Survey!$M3560)-Survey!$G3560</f>
        <v>365.52710858775617</v>
      </c>
      <c r="R3560" s="59">
        <f>Survey!$P3560+(Survey!$Q3560*0.433)</f>
        <v>2008.2732380184984</v>
      </c>
    </row>
    <row r="3561" spans="1:18" x14ac:dyDescent="0.25">
      <c r="A3561" s="60" t="s">
        <v>17</v>
      </c>
      <c r="B3561" s="61" t="s">
        <v>23</v>
      </c>
      <c r="C3561" s="62" t="s">
        <v>19</v>
      </c>
      <c r="D3561" s="63">
        <v>253.32415667955229</v>
      </c>
      <c r="E3561" s="79">
        <v>1369249</v>
      </c>
      <c r="F3561" s="80">
        <v>1338566.5683453174</v>
      </c>
      <c r="G3561" s="66">
        <v>1700.4808510199516</v>
      </c>
      <c r="H3561" s="67">
        <v>1</v>
      </c>
      <c r="I3561" s="68" t="s">
        <v>20</v>
      </c>
      <c r="J3561" s="69">
        <v>40</v>
      </c>
      <c r="K3561" s="70">
        <v>1</v>
      </c>
      <c r="L3561" s="68">
        <v>1</v>
      </c>
      <c r="M3561" s="68">
        <f>_xlfn.XLOOKUP(Survey!$F3561,sections[Start],sections[Test Section],,-1,1)</f>
        <v>9</v>
      </c>
      <c r="N3561" s="55">
        <f>_xlfn.XLOOKUP(Survey!$K3561,pipedata[ID],pipedata[WT])</f>
        <v>0.61699999999999999</v>
      </c>
      <c r="O3561" s="56">
        <f>_xlfn.XLOOKUP(Survey!$K3561,pipedata[ID],pipedata[104%])</f>
        <v>2138.9333333333334</v>
      </c>
      <c r="P3561" s="57">
        <f t="shared" si="55"/>
        <v>1850</v>
      </c>
      <c r="Q3561" s="58">
        <f>_xlfn.MAXIFS(Survey!$G$2:$G$3647,Survey!$M$2:$M$3647,Survey!$M3561)-Survey!$G3561</f>
        <v>365.8592952854699</v>
      </c>
      <c r="R3561" s="59">
        <f>Survey!$P3561+(Survey!$Q3561*0.433)</f>
        <v>2008.4170748586084</v>
      </c>
    </row>
    <row r="3562" spans="1:18" x14ac:dyDescent="0.25">
      <c r="A3562" s="71" t="s">
        <v>17</v>
      </c>
      <c r="B3562" s="72" t="s">
        <v>23</v>
      </c>
      <c r="C3562" s="73" t="s">
        <v>19</v>
      </c>
      <c r="D3562" s="74">
        <v>253.33251112828799</v>
      </c>
      <c r="E3562" s="81">
        <v>1369289</v>
      </c>
      <c r="F3562" s="82">
        <v>1338605.4316546698</v>
      </c>
      <c r="G3562" s="75">
        <v>1699.2942516759038</v>
      </c>
      <c r="H3562" s="76">
        <v>1</v>
      </c>
      <c r="I3562" s="54" t="s">
        <v>20</v>
      </c>
      <c r="J3562" s="77">
        <v>40</v>
      </c>
      <c r="K3562" s="78">
        <v>1</v>
      </c>
      <c r="L3562" s="54">
        <v>1</v>
      </c>
      <c r="M3562" s="54">
        <f>_xlfn.XLOOKUP(Survey!$F3562,sections[Start],sections[Test Section],,-1,1)</f>
        <v>9</v>
      </c>
      <c r="N3562" s="55">
        <f>_xlfn.XLOOKUP(Survey!$K3562,pipedata[ID],pipedata[WT])</f>
        <v>0.61699999999999999</v>
      </c>
      <c r="O3562" s="56">
        <f>_xlfn.XLOOKUP(Survey!$K3562,pipedata[ID],pipedata[104%])</f>
        <v>2138.9333333333334</v>
      </c>
      <c r="P3562" s="57">
        <f t="shared" si="55"/>
        <v>1850</v>
      </c>
      <c r="Q3562" s="58">
        <f>_xlfn.MAXIFS(Survey!$G$2:$G$3647,Survey!$M$2:$M$3647,Survey!$M3562)-Survey!$G3562</f>
        <v>367.04589462951776</v>
      </c>
      <c r="R3562" s="59">
        <f>Survey!$P3562+(Survey!$Q3562*0.433)</f>
        <v>2008.9308723745812</v>
      </c>
    </row>
    <row r="3563" spans="1:18" x14ac:dyDescent="0.25">
      <c r="A3563" s="60" t="s">
        <v>17</v>
      </c>
      <c r="B3563" s="61" t="s">
        <v>23</v>
      </c>
      <c r="C3563" s="62" t="s">
        <v>19</v>
      </c>
      <c r="D3563" s="63">
        <v>253.33940172695188</v>
      </c>
      <c r="E3563" s="79">
        <v>1369329</v>
      </c>
      <c r="F3563" s="80">
        <v>1338644.2949640222</v>
      </c>
      <c r="G3563" s="66">
        <v>1697.0176426545047</v>
      </c>
      <c r="H3563" s="67">
        <v>1</v>
      </c>
      <c r="I3563" s="68" t="s">
        <v>20</v>
      </c>
      <c r="J3563" s="69">
        <v>40</v>
      </c>
      <c r="K3563" s="70">
        <v>1</v>
      </c>
      <c r="L3563" s="68">
        <v>1</v>
      </c>
      <c r="M3563" s="68">
        <f>_xlfn.XLOOKUP(Survey!$F3563,sections[Start],sections[Test Section],,-1,1)</f>
        <v>9</v>
      </c>
      <c r="N3563" s="55">
        <f>_xlfn.XLOOKUP(Survey!$K3563,pipedata[ID],pipedata[WT])</f>
        <v>0.61699999999999999</v>
      </c>
      <c r="O3563" s="56">
        <f>_xlfn.XLOOKUP(Survey!$K3563,pipedata[ID],pipedata[104%])</f>
        <v>2138.9333333333334</v>
      </c>
      <c r="P3563" s="57">
        <f t="shared" si="55"/>
        <v>1850</v>
      </c>
      <c r="Q3563" s="58">
        <f>_xlfn.MAXIFS(Survey!$G$2:$G$3647,Survey!$M$2:$M$3647,Survey!$M3563)-Survey!$G3563</f>
        <v>369.32250365091681</v>
      </c>
      <c r="R3563" s="59">
        <f>Survey!$P3563+(Survey!$Q3563*0.433)</f>
        <v>2009.9166440808469</v>
      </c>
    </row>
    <row r="3564" spans="1:18" x14ac:dyDescent="0.25">
      <c r="A3564" s="71" t="s">
        <v>17</v>
      </c>
      <c r="B3564" s="72" t="s">
        <v>23</v>
      </c>
      <c r="C3564" s="73" t="s">
        <v>19</v>
      </c>
      <c r="D3564" s="74">
        <v>253.34762562481677</v>
      </c>
      <c r="E3564" s="81">
        <v>1369369</v>
      </c>
      <c r="F3564" s="82">
        <v>1338683.1582733747</v>
      </c>
      <c r="G3564" s="75">
        <v>1695.5294533954077</v>
      </c>
      <c r="H3564" s="76">
        <v>1</v>
      </c>
      <c r="I3564" s="54" t="s">
        <v>20</v>
      </c>
      <c r="J3564" s="77">
        <v>40</v>
      </c>
      <c r="K3564" s="78">
        <v>1</v>
      </c>
      <c r="L3564" s="54">
        <v>1</v>
      </c>
      <c r="M3564" s="54">
        <f>_xlfn.XLOOKUP(Survey!$F3564,sections[Start],sections[Test Section],,-1,1)</f>
        <v>9</v>
      </c>
      <c r="N3564" s="55">
        <f>_xlfn.XLOOKUP(Survey!$K3564,pipedata[ID],pipedata[WT])</f>
        <v>0.61699999999999999</v>
      </c>
      <c r="O3564" s="56">
        <f>_xlfn.XLOOKUP(Survey!$K3564,pipedata[ID],pipedata[104%])</f>
        <v>2138.9333333333334</v>
      </c>
      <c r="P3564" s="57">
        <f t="shared" si="55"/>
        <v>1850</v>
      </c>
      <c r="Q3564" s="58">
        <f>_xlfn.MAXIFS(Survey!$G$2:$G$3647,Survey!$M$2:$M$3647,Survey!$M3564)-Survey!$G3564</f>
        <v>370.81069291001381</v>
      </c>
      <c r="R3564" s="59">
        <f>Survey!$P3564+(Survey!$Q3564*0.433)</f>
        <v>2010.5610300300359</v>
      </c>
    </row>
    <row r="3565" spans="1:18" x14ac:dyDescent="0.25">
      <c r="A3565" s="60" t="s">
        <v>17</v>
      </c>
      <c r="B3565" s="61" t="s">
        <v>23</v>
      </c>
      <c r="C3565" s="62" t="s">
        <v>19</v>
      </c>
      <c r="D3565" s="63">
        <v>253.35525373854452</v>
      </c>
      <c r="E3565" s="79">
        <v>1369409</v>
      </c>
      <c r="F3565" s="80">
        <v>1338722.0215827271</v>
      </c>
      <c r="G3565" s="66">
        <v>1695.5026255127534</v>
      </c>
      <c r="H3565" s="67">
        <v>1</v>
      </c>
      <c r="I3565" s="68" t="s">
        <v>20</v>
      </c>
      <c r="J3565" s="69">
        <v>40</v>
      </c>
      <c r="K3565" s="70">
        <v>1</v>
      </c>
      <c r="L3565" s="68">
        <v>1</v>
      </c>
      <c r="M3565" s="68">
        <f>_xlfn.XLOOKUP(Survey!$F3565,sections[Start],sections[Test Section],,-1,1)</f>
        <v>9</v>
      </c>
      <c r="N3565" s="55">
        <f>_xlfn.XLOOKUP(Survey!$K3565,pipedata[ID],pipedata[WT])</f>
        <v>0.61699999999999999</v>
      </c>
      <c r="O3565" s="56">
        <f>_xlfn.XLOOKUP(Survey!$K3565,pipedata[ID],pipedata[104%])</f>
        <v>2138.9333333333334</v>
      </c>
      <c r="P3565" s="57">
        <f t="shared" si="55"/>
        <v>1850</v>
      </c>
      <c r="Q3565" s="58">
        <f>_xlfn.MAXIFS(Survey!$G$2:$G$3647,Survey!$M$2:$M$3647,Survey!$M3565)-Survey!$G3565</f>
        <v>370.8375207926681</v>
      </c>
      <c r="R3565" s="59">
        <f>Survey!$P3565+(Survey!$Q3565*0.433)</f>
        <v>2010.5726465032253</v>
      </c>
    </row>
    <row r="3566" spans="1:18" x14ac:dyDescent="0.25">
      <c r="A3566" s="71" t="s">
        <v>17</v>
      </c>
      <c r="B3566" s="72" t="s">
        <v>23</v>
      </c>
      <c r="C3566" s="73" t="s">
        <v>19</v>
      </c>
      <c r="D3566" s="74">
        <v>253.36317871426638</v>
      </c>
      <c r="E3566" s="81">
        <v>1369449</v>
      </c>
      <c r="F3566" s="82">
        <v>1338760.8848920795</v>
      </c>
      <c r="G3566" s="75">
        <v>1696.4382652904733</v>
      </c>
      <c r="H3566" s="76">
        <v>1</v>
      </c>
      <c r="I3566" s="54" t="s">
        <v>20</v>
      </c>
      <c r="J3566" s="77">
        <v>40</v>
      </c>
      <c r="K3566" s="78">
        <v>1</v>
      </c>
      <c r="L3566" s="54">
        <v>1</v>
      </c>
      <c r="M3566" s="54">
        <f>_xlfn.XLOOKUP(Survey!$F3566,sections[Start],sections[Test Section],,-1,1)</f>
        <v>9</v>
      </c>
      <c r="N3566" s="55">
        <f>_xlfn.XLOOKUP(Survey!$K3566,pipedata[ID],pipedata[WT])</f>
        <v>0.61699999999999999</v>
      </c>
      <c r="O3566" s="56">
        <f>_xlfn.XLOOKUP(Survey!$K3566,pipedata[ID],pipedata[104%])</f>
        <v>2138.9333333333334</v>
      </c>
      <c r="P3566" s="57">
        <f t="shared" si="55"/>
        <v>1850</v>
      </c>
      <c r="Q3566" s="58">
        <f>_xlfn.MAXIFS(Survey!$G$2:$G$3647,Survey!$M$2:$M$3647,Survey!$M3566)-Survey!$G3566</f>
        <v>369.90188101494823</v>
      </c>
      <c r="R3566" s="59">
        <f>Survey!$P3566+(Survey!$Q3566*0.433)</f>
        <v>2010.1675144794726</v>
      </c>
    </row>
    <row r="3567" spans="1:18" x14ac:dyDescent="0.25">
      <c r="A3567" s="60" t="s">
        <v>17</v>
      </c>
      <c r="B3567" s="61" t="s">
        <v>23</v>
      </c>
      <c r="C3567" s="62" t="s">
        <v>19</v>
      </c>
      <c r="D3567" s="63">
        <v>253.36998994200579</v>
      </c>
      <c r="E3567" s="79">
        <v>1369489</v>
      </c>
      <c r="F3567" s="80">
        <v>1338799.7482014319</v>
      </c>
      <c r="G3567" s="66">
        <v>1693.5119849807359</v>
      </c>
      <c r="H3567" s="67">
        <v>1</v>
      </c>
      <c r="I3567" s="68" t="s">
        <v>20</v>
      </c>
      <c r="J3567" s="69">
        <v>40</v>
      </c>
      <c r="K3567" s="70">
        <v>1</v>
      </c>
      <c r="L3567" s="68">
        <v>1</v>
      </c>
      <c r="M3567" s="68">
        <f>_xlfn.XLOOKUP(Survey!$F3567,sections[Start],sections[Test Section],,-1,1)</f>
        <v>9</v>
      </c>
      <c r="N3567" s="55">
        <f>_xlfn.XLOOKUP(Survey!$K3567,pipedata[ID],pipedata[WT])</f>
        <v>0.61699999999999999</v>
      </c>
      <c r="O3567" s="56">
        <f>_xlfn.XLOOKUP(Survey!$K3567,pipedata[ID],pipedata[104%])</f>
        <v>2138.9333333333334</v>
      </c>
      <c r="P3567" s="57">
        <f t="shared" si="55"/>
        <v>1850</v>
      </c>
      <c r="Q3567" s="58">
        <f>_xlfn.MAXIFS(Survey!$G$2:$G$3647,Survey!$M$2:$M$3647,Survey!$M3567)-Survey!$G3567</f>
        <v>372.82816132468565</v>
      </c>
      <c r="R3567" s="59">
        <f>Survey!$P3567+(Survey!$Q3567*0.433)</f>
        <v>2011.4345938535889</v>
      </c>
    </row>
    <row r="3568" spans="1:18" x14ac:dyDescent="0.25">
      <c r="A3568" s="71" t="s">
        <v>17</v>
      </c>
      <c r="B3568" s="72" t="s">
        <v>23</v>
      </c>
      <c r="C3568" s="73" t="s">
        <v>19</v>
      </c>
      <c r="D3568" s="74">
        <v>253.37809770254717</v>
      </c>
      <c r="E3568" s="81">
        <v>1369529</v>
      </c>
      <c r="F3568" s="82">
        <v>1338838.6115107844</v>
      </c>
      <c r="G3568" s="75">
        <v>1691.5764683197551</v>
      </c>
      <c r="H3568" s="76">
        <v>1</v>
      </c>
      <c r="I3568" s="54" t="s">
        <v>20</v>
      </c>
      <c r="J3568" s="77">
        <v>40</v>
      </c>
      <c r="K3568" s="78">
        <v>1</v>
      </c>
      <c r="L3568" s="54">
        <v>1</v>
      </c>
      <c r="M3568" s="54">
        <f>_xlfn.XLOOKUP(Survey!$F3568,sections[Start],sections[Test Section],,-1,1)</f>
        <v>9</v>
      </c>
      <c r="N3568" s="55">
        <f>_xlfn.XLOOKUP(Survey!$K3568,pipedata[ID],pipedata[WT])</f>
        <v>0.61699999999999999</v>
      </c>
      <c r="O3568" s="56">
        <f>_xlfn.XLOOKUP(Survey!$K3568,pipedata[ID],pipedata[104%])</f>
        <v>2138.9333333333334</v>
      </c>
      <c r="P3568" s="57">
        <f t="shared" si="55"/>
        <v>1850</v>
      </c>
      <c r="Q3568" s="58">
        <f>_xlfn.MAXIFS(Survey!$G$2:$G$3647,Survey!$M$2:$M$3647,Survey!$M3568)-Survey!$G3568</f>
        <v>374.76367798566639</v>
      </c>
      <c r="R3568" s="59">
        <f>Survey!$P3568+(Survey!$Q3568*0.433)</f>
        <v>2012.2726725677935</v>
      </c>
    </row>
    <row r="3569" spans="1:18" x14ac:dyDescent="0.25">
      <c r="A3569" s="60" t="s">
        <v>17</v>
      </c>
      <c r="B3569" s="61" t="s">
        <v>23</v>
      </c>
      <c r="C3569" s="62" t="s">
        <v>19</v>
      </c>
      <c r="D3569" s="63">
        <v>253.38446281626253</v>
      </c>
      <c r="E3569" s="79">
        <v>1369569</v>
      </c>
      <c r="F3569" s="80">
        <v>1338877.4748201368</v>
      </c>
      <c r="G3569" s="66">
        <v>1689.6021305078857</v>
      </c>
      <c r="H3569" s="67">
        <v>1</v>
      </c>
      <c r="I3569" s="68" t="s">
        <v>20</v>
      </c>
      <c r="J3569" s="69">
        <v>40</v>
      </c>
      <c r="K3569" s="70">
        <v>1</v>
      </c>
      <c r="L3569" s="68">
        <v>1</v>
      </c>
      <c r="M3569" s="68">
        <f>_xlfn.XLOOKUP(Survey!$F3569,sections[Start],sections[Test Section],,-1,1)</f>
        <v>9</v>
      </c>
      <c r="N3569" s="55">
        <f>_xlfn.XLOOKUP(Survey!$K3569,pipedata[ID],pipedata[WT])</f>
        <v>0.61699999999999999</v>
      </c>
      <c r="O3569" s="56">
        <f>_xlfn.XLOOKUP(Survey!$K3569,pipedata[ID],pipedata[104%])</f>
        <v>2138.9333333333334</v>
      </c>
      <c r="P3569" s="57">
        <f t="shared" si="55"/>
        <v>1850</v>
      </c>
      <c r="Q3569" s="58">
        <f>_xlfn.MAXIFS(Survey!$G$2:$G$3647,Survey!$M$2:$M$3647,Survey!$M3569)-Survey!$G3569</f>
        <v>376.73801579753581</v>
      </c>
      <c r="R3569" s="59">
        <f>Survey!$P3569+(Survey!$Q3569*0.433)</f>
        <v>2013.127560840333</v>
      </c>
    </row>
    <row r="3570" spans="1:18" x14ac:dyDescent="0.25">
      <c r="A3570" s="71" t="s">
        <v>17</v>
      </c>
      <c r="B3570" s="72" t="s">
        <v>23</v>
      </c>
      <c r="C3570" s="73" t="s">
        <v>19</v>
      </c>
      <c r="D3570" s="74">
        <v>253.3922862834948</v>
      </c>
      <c r="E3570" s="81">
        <v>1369609</v>
      </c>
      <c r="F3570" s="82">
        <v>1338916.3381294892</v>
      </c>
      <c r="G3570" s="75">
        <v>1687.3508743141758</v>
      </c>
      <c r="H3570" s="76">
        <v>1</v>
      </c>
      <c r="I3570" s="54" t="s">
        <v>20</v>
      </c>
      <c r="J3570" s="77">
        <v>40</v>
      </c>
      <c r="K3570" s="78">
        <v>1</v>
      </c>
      <c r="L3570" s="54">
        <v>1</v>
      </c>
      <c r="M3570" s="54">
        <f>_xlfn.XLOOKUP(Survey!$F3570,sections[Start],sections[Test Section],,-1,1)</f>
        <v>9</v>
      </c>
      <c r="N3570" s="55">
        <f>_xlfn.XLOOKUP(Survey!$K3570,pipedata[ID],pipedata[WT])</f>
        <v>0.61699999999999999</v>
      </c>
      <c r="O3570" s="56">
        <f>_xlfn.XLOOKUP(Survey!$K3570,pipedata[ID],pipedata[104%])</f>
        <v>2138.9333333333334</v>
      </c>
      <c r="P3570" s="57">
        <f t="shared" si="55"/>
        <v>1850</v>
      </c>
      <c r="Q3570" s="58">
        <f>_xlfn.MAXIFS(Survey!$G$2:$G$3647,Survey!$M$2:$M$3647,Survey!$M3570)-Survey!$G3570</f>
        <v>378.98927199124569</v>
      </c>
      <c r="R3570" s="59">
        <f>Survey!$P3570+(Survey!$Q3570*0.433)</f>
        <v>2014.1023547722093</v>
      </c>
    </row>
    <row r="3571" spans="1:18" x14ac:dyDescent="0.25">
      <c r="A3571" s="60" t="s">
        <v>17</v>
      </c>
      <c r="B3571" s="61" t="s">
        <v>23</v>
      </c>
      <c r="C3571" s="62" t="s">
        <v>19</v>
      </c>
      <c r="D3571" s="63">
        <v>253.40039404403615</v>
      </c>
      <c r="E3571" s="79">
        <v>1369649</v>
      </c>
      <c r="F3571" s="80">
        <v>1338955.2014388416</v>
      </c>
      <c r="G3571" s="66">
        <v>1686.8931003267408</v>
      </c>
      <c r="H3571" s="67">
        <v>1</v>
      </c>
      <c r="I3571" s="68" t="s">
        <v>20</v>
      </c>
      <c r="J3571" s="69">
        <v>40</v>
      </c>
      <c r="K3571" s="70">
        <v>1</v>
      </c>
      <c r="L3571" s="68">
        <v>1</v>
      </c>
      <c r="M3571" s="68">
        <f>_xlfn.XLOOKUP(Survey!$F3571,sections[Start],sections[Test Section],,-1,1)</f>
        <v>9</v>
      </c>
      <c r="N3571" s="55">
        <f>_xlfn.XLOOKUP(Survey!$K3571,pipedata[ID],pipedata[WT])</f>
        <v>0.61699999999999999</v>
      </c>
      <c r="O3571" s="56">
        <f>_xlfn.XLOOKUP(Survey!$K3571,pipedata[ID],pipedata[104%])</f>
        <v>2138.9333333333334</v>
      </c>
      <c r="P3571" s="57">
        <f t="shared" si="55"/>
        <v>1850</v>
      </c>
      <c r="Q3571" s="58">
        <f>_xlfn.MAXIFS(Survey!$G$2:$G$3647,Survey!$M$2:$M$3647,Survey!$M3571)-Survey!$G3571</f>
        <v>379.44704597868076</v>
      </c>
      <c r="R3571" s="59">
        <f>Survey!$P3571+(Survey!$Q3571*0.433)</f>
        <v>2014.3005709087688</v>
      </c>
    </row>
    <row r="3572" spans="1:18" x14ac:dyDescent="0.25">
      <c r="A3572" s="71" t="s">
        <v>17</v>
      </c>
      <c r="B3572" s="72" t="s">
        <v>23</v>
      </c>
      <c r="C3572" s="73" t="s">
        <v>19</v>
      </c>
      <c r="D3572" s="74">
        <v>253.40861598559471</v>
      </c>
      <c r="E3572" s="81">
        <v>1369689</v>
      </c>
      <c r="F3572" s="82">
        <v>1338994.0647481941</v>
      </c>
      <c r="G3572" s="75">
        <v>1689.9999999999889</v>
      </c>
      <c r="H3572" s="76">
        <v>1</v>
      </c>
      <c r="I3572" s="54" t="s">
        <v>20</v>
      </c>
      <c r="J3572" s="77">
        <v>40</v>
      </c>
      <c r="K3572" s="78">
        <v>1</v>
      </c>
      <c r="L3572" s="54">
        <v>1</v>
      </c>
      <c r="M3572" s="54">
        <f>_xlfn.XLOOKUP(Survey!$F3572,sections[Start],sections[Test Section],,-1,1)</f>
        <v>9</v>
      </c>
      <c r="N3572" s="55">
        <f>_xlfn.XLOOKUP(Survey!$K3572,pipedata[ID],pipedata[WT])</f>
        <v>0.61699999999999999</v>
      </c>
      <c r="O3572" s="56">
        <f>_xlfn.XLOOKUP(Survey!$K3572,pipedata[ID],pipedata[104%])</f>
        <v>2138.9333333333334</v>
      </c>
      <c r="P3572" s="57">
        <f t="shared" si="55"/>
        <v>1850</v>
      </c>
      <c r="Q3572" s="58">
        <f>_xlfn.MAXIFS(Survey!$G$2:$G$3647,Survey!$M$2:$M$3647,Survey!$M3572)-Survey!$G3572</f>
        <v>376.34014630543265</v>
      </c>
      <c r="R3572" s="59">
        <f>Survey!$P3572+(Survey!$Q3572*0.433)</f>
        <v>2012.9552833502523</v>
      </c>
    </row>
    <row r="3573" spans="1:18" x14ac:dyDescent="0.25">
      <c r="A3573" s="60" t="s">
        <v>17</v>
      </c>
      <c r="B3573" s="61" t="s">
        <v>23</v>
      </c>
      <c r="C3573" s="62" t="s">
        <v>19</v>
      </c>
      <c r="D3573" s="63">
        <v>253.41539060963186</v>
      </c>
      <c r="E3573" s="79">
        <v>1369729</v>
      </c>
      <c r="F3573" s="80">
        <v>1339032.9280575465</v>
      </c>
      <c r="G3573" s="66">
        <v>1695.2639982521682</v>
      </c>
      <c r="H3573" s="67">
        <v>1</v>
      </c>
      <c r="I3573" s="68" t="s">
        <v>20</v>
      </c>
      <c r="J3573" s="69">
        <v>40</v>
      </c>
      <c r="K3573" s="70">
        <v>1</v>
      </c>
      <c r="L3573" s="68">
        <v>1</v>
      </c>
      <c r="M3573" s="68">
        <f>_xlfn.XLOOKUP(Survey!$F3573,sections[Start],sections[Test Section],,-1,1)</f>
        <v>9</v>
      </c>
      <c r="N3573" s="55">
        <f>_xlfn.XLOOKUP(Survey!$K3573,pipedata[ID],pipedata[WT])</f>
        <v>0.61699999999999999</v>
      </c>
      <c r="O3573" s="56">
        <f>_xlfn.XLOOKUP(Survey!$K3573,pipedata[ID],pipedata[104%])</f>
        <v>2138.9333333333334</v>
      </c>
      <c r="P3573" s="57">
        <f t="shared" si="55"/>
        <v>1850</v>
      </c>
      <c r="Q3573" s="58">
        <f>_xlfn.MAXIFS(Survey!$G$2:$G$3647,Survey!$M$2:$M$3647,Survey!$M3573)-Survey!$G3573</f>
        <v>371.07614805325329</v>
      </c>
      <c r="R3573" s="59">
        <f>Survey!$P3573+(Survey!$Q3573*0.433)</f>
        <v>2010.6759721070587</v>
      </c>
    </row>
    <row r="3574" spans="1:18" x14ac:dyDescent="0.25">
      <c r="A3574" s="71" t="s">
        <v>17</v>
      </c>
      <c r="B3574" s="72" t="s">
        <v>23</v>
      </c>
      <c r="C3574" s="73" t="s">
        <v>19</v>
      </c>
      <c r="D3574" s="74">
        <v>253.42349369112495</v>
      </c>
      <c r="E3574" s="81">
        <v>1369769</v>
      </c>
      <c r="F3574" s="82">
        <v>1339071.7913668989</v>
      </c>
      <c r="G3574" s="75">
        <v>1696.7077111734823</v>
      </c>
      <c r="H3574" s="76">
        <v>1</v>
      </c>
      <c r="I3574" s="54" t="s">
        <v>20</v>
      </c>
      <c r="J3574" s="77">
        <v>40</v>
      </c>
      <c r="K3574" s="78">
        <v>1</v>
      </c>
      <c r="L3574" s="54">
        <v>1</v>
      </c>
      <c r="M3574" s="54">
        <f>_xlfn.XLOOKUP(Survey!$F3574,sections[Start],sections[Test Section],,-1,1)</f>
        <v>9</v>
      </c>
      <c r="N3574" s="55">
        <f>_xlfn.XLOOKUP(Survey!$K3574,pipedata[ID],pipedata[WT])</f>
        <v>0.61699999999999999</v>
      </c>
      <c r="O3574" s="56">
        <f>_xlfn.XLOOKUP(Survey!$K3574,pipedata[ID],pipedata[104%])</f>
        <v>2138.9333333333334</v>
      </c>
      <c r="P3574" s="57">
        <f t="shared" si="55"/>
        <v>1850</v>
      </c>
      <c r="Q3574" s="58">
        <f>_xlfn.MAXIFS(Survey!$G$2:$G$3647,Survey!$M$2:$M$3647,Survey!$M3574)-Survey!$G3574</f>
        <v>369.63243513193925</v>
      </c>
      <c r="R3574" s="59">
        <f>Survey!$P3574+(Survey!$Q3574*0.433)</f>
        <v>2010.0508444121297</v>
      </c>
    </row>
    <row r="3575" spans="1:18" x14ac:dyDescent="0.25">
      <c r="A3575" s="60" t="s">
        <v>17</v>
      </c>
      <c r="B3575" s="61" t="s">
        <v>23</v>
      </c>
      <c r="C3575" s="62" t="s">
        <v>19</v>
      </c>
      <c r="D3575" s="63">
        <v>253.42996513563301</v>
      </c>
      <c r="E3575" s="79">
        <v>1369809</v>
      </c>
      <c r="F3575" s="80">
        <v>1339110.6546762513</v>
      </c>
      <c r="G3575" s="66">
        <v>1695.1512318600255</v>
      </c>
      <c r="H3575" s="67">
        <v>1</v>
      </c>
      <c r="I3575" s="68" t="s">
        <v>20</v>
      </c>
      <c r="J3575" s="69">
        <v>40</v>
      </c>
      <c r="K3575" s="70">
        <v>1</v>
      </c>
      <c r="L3575" s="68">
        <v>1</v>
      </c>
      <c r="M3575" s="68">
        <f>_xlfn.XLOOKUP(Survey!$F3575,sections[Start],sections[Test Section],,-1,1)</f>
        <v>9</v>
      </c>
      <c r="N3575" s="55">
        <f>_xlfn.XLOOKUP(Survey!$K3575,pipedata[ID],pipedata[WT])</f>
        <v>0.61699999999999999</v>
      </c>
      <c r="O3575" s="56">
        <f>_xlfn.XLOOKUP(Survey!$K3575,pipedata[ID],pipedata[104%])</f>
        <v>2138.9333333333334</v>
      </c>
      <c r="P3575" s="57">
        <f t="shared" si="55"/>
        <v>1850</v>
      </c>
      <c r="Q3575" s="58">
        <f>_xlfn.MAXIFS(Survey!$G$2:$G$3647,Survey!$M$2:$M$3647,Survey!$M3575)-Survey!$G3575</f>
        <v>371.18891444539599</v>
      </c>
      <c r="R3575" s="59">
        <f>Survey!$P3575+(Survey!$Q3575*0.433)</f>
        <v>2010.7247999548565</v>
      </c>
    </row>
    <row r="3576" spans="1:18" x14ac:dyDescent="0.25">
      <c r="A3576" s="71" t="s">
        <v>17</v>
      </c>
      <c r="B3576" s="72" t="s">
        <v>23</v>
      </c>
      <c r="C3576" s="73" t="s">
        <v>19</v>
      </c>
      <c r="D3576" s="74">
        <v>253.43767408373785</v>
      </c>
      <c r="E3576" s="81">
        <v>1369849</v>
      </c>
      <c r="F3576" s="82">
        <v>1339149.5179856038</v>
      </c>
      <c r="G3576" s="75">
        <v>1695.1959763432012</v>
      </c>
      <c r="H3576" s="76">
        <v>1</v>
      </c>
      <c r="I3576" s="54" t="s">
        <v>20</v>
      </c>
      <c r="J3576" s="77">
        <v>40</v>
      </c>
      <c r="K3576" s="78">
        <v>1</v>
      </c>
      <c r="L3576" s="54">
        <v>1</v>
      </c>
      <c r="M3576" s="54">
        <f>_xlfn.XLOOKUP(Survey!$F3576,sections[Start],sections[Test Section],,-1,1)</f>
        <v>9</v>
      </c>
      <c r="N3576" s="55">
        <f>_xlfn.XLOOKUP(Survey!$K3576,pipedata[ID],pipedata[WT])</f>
        <v>0.61699999999999999</v>
      </c>
      <c r="O3576" s="56">
        <f>_xlfn.XLOOKUP(Survey!$K3576,pipedata[ID],pipedata[104%])</f>
        <v>2138.9333333333334</v>
      </c>
      <c r="P3576" s="57">
        <f t="shared" si="55"/>
        <v>1850</v>
      </c>
      <c r="Q3576" s="58">
        <f>_xlfn.MAXIFS(Survey!$G$2:$G$3647,Survey!$M$2:$M$3647,Survey!$M3576)-Survey!$G3576</f>
        <v>371.1441699622203</v>
      </c>
      <c r="R3576" s="59">
        <f>Survey!$P3576+(Survey!$Q3576*0.433)</f>
        <v>2010.7054255936414</v>
      </c>
    </row>
    <row r="3577" spans="1:18" x14ac:dyDescent="0.25">
      <c r="A3577" s="60" t="s">
        <v>17</v>
      </c>
      <c r="B3577" s="61" t="s">
        <v>23</v>
      </c>
      <c r="C3577" s="62" t="s">
        <v>19</v>
      </c>
      <c r="D3577" s="63">
        <v>253.44597699816183</v>
      </c>
      <c r="E3577" s="79">
        <v>1369889</v>
      </c>
      <c r="F3577" s="80">
        <v>1339188.3812949562</v>
      </c>
      <c r="G3577" s="66">
        <v>1696.7853902699908</v>
      </c>
      <c r="H3577" s="67">
        <v>1</v>
      </c>
      <c r="I3577" s="68" t="s">
        <v>20</v>
      </c>
      <c r="J3577" s="69">
        <v>40</v>
      </c>
      <c r="K3577" s="70">
        <v>1</v>
      </c>
      <c r="L3577" s="68">
        <v>1</v>
      </c>
      <c r="M3577" s="68">
        <f>_xlfn.XLOOKUP(Survey!$F3577,sections[Start],sections[Test Section],,-1,1)</f>
        <v>9</v>
      </c>
      <c r="N3577" s="55">
        <f>_xlfn.XLOOKUP(Survey!$K3577,pipedata[ID],pipedata[WT])</f>
        <v>0.61699999999999999</v>
      </c>
      <c r="O3577" s="56">
        <f>_xlfn.XLOOKUP(Survey!$K3577,pipedata[ID],pipedata[104%])</f>
        <v>2138.9333333333334</v>
      </c>
      <c r="P3577" s="57">
        <f t="shared" si="55"/>
        <v>1850</v>
      </c>
      <c r="Q3577" s="58">
        <f>_xlfn.MAXIFS(Survey!$G$2:$G$3647,Survey!$M$2:$M$3647,Survey!$M3577)-Survey!$G3577</f>
        <v>369.55475603543073</v>
      </c>
      <c r="R3577" s="59">
        <f>Survey!$P3577+(Survey!$Q3577*0.433)</f>
        <v>2010.0172093633414</v>
      </c>
    </row>
    <row r="3578" spans="1:18" x14ac:dyDescent="0.25">
      <c r="A3578" s="71" t="s">
        <v>17</v>
      </c>
      <c r="B3578" s="72" t="s">
        <v>23</v>
      </c>
      <c r="C3578" s="73" t="s">
        <v>19</v>
      </c>
      <c r="D3578" s="74">
        <v>253.45388024672417</v>
      </c>
      <c r="E3578" s="81">
        <v>1369929</v>
      </c>
      <c r="F3578" s="82">
        <v>1339227.2446043086</v>
      </c>
      <c r="G3578" s="75">
        <v>1699.1925706941201</v>
      </c>
      <c r="H3578" s="76">
        <v>1</v>
      </c>
      <c r="I3578" s="54" t="s">
        <v>20</v>
      </c>
      <c r="J3578" s="77">
        <v>40</v>
      </c>
      <c r="K3578" s="78">
        <v>1</v>
      </c>
      <c r="L3578" s="54">
        <v>1</v>
      </c>
      <c r="M3578" s="54">
        <f>_xlfn.XLOOKUP(Survey!$F3578,sections[Start],sections[Test Section],,-1,1)</f>
        <v>9</v>
      </c>
      <c r="N3578" s="55">
        <f>_xlfn.XLOOKUP(Survey!$K3578,pipedata[ID],pipedata[WT])</f>
        <v>0.61699999999999999</v>
      </c>
      <c r="O3578" s="56">
        <f>_xlfn.XLOOKUP(Survey!$K3578,pipedata[ID],pipedata[104%])</f>
        <v>2138.9333333333334</v>
      </c>
      <c r="P3578" s="57">
        <f t="shared" si="55"/>
        <v>1850</v>
      </c>
      <c r="Q3578" s="58">
        <f>_xlfn.MAXIFS(Survey!$G$2:$G$3647,Survey!$M$2:$M$3647,Survey!$M3578)-Survey!$G3578</f>
        <v>367.14757561130136</v>
      </c>
      <c r="R3578" s="59">
        <f>Survey!$P3578+(Survey!$Q3578*0.433)</f>
        <v>2008.9749002396934</v>
      </c>
    </row>
    <row r="3579" spans="1:18" x14ac:dyDescent="0.25">
      <c r="A3579" s="60" t="s">
        <v>17</v>
      </c>
      <c r="B3579" s="61" t="s">
        <v>23</v>
      </c>
      <c r="C3579" s="62" t="s">
        <v>19</v>
      </c>
      <c r="D3579" s="63">
        <v>253.45995755784406</v>
      </c>
      <c r="E3579" s="79">
        <v>1369969</v>
      </c>
      <c r="F3579" s="80">
        <v>1339266.107913661</v>
      </c>
      <c r="G3579" s="66">
        <v>1705.1880412969551</v>
      </c>
      <c r="H3579" s="67">
        <v>1</v>
      </c>
      <c r="I3579" s="68" t="s">
        <v>20</v>
      </c>
      <c r="J3579" s="69">
        <v>40</v>
      </c>
      <c r="K3579" s="70">
        <v>1</v>
      </c>
      <c r="L3579" s="68">
        <v>1</v>
      </c>
      <c r="M3579" s="68">
        <f>_xlfn.XLOOKUP(Survey!$F3579,sections[Start],sections[Test Section],,-1,1)</f>
        <v>9</v>
      </c>
      <c r="N3579" s="55">
        <f>_xlfn.XLOOKUP(Survey!$K3579,pipedata[ID],pipedata[WT])</f>
        <v>0.61699999999999999</v>
      </c>
      <c r="O3579" s="56">
        <f>_xlfn.XLOOKUP(Survey!$K3579,pipedata[ID],pipedata[104%])</f>
        <v>2138.9333333333334</v>
      </c>
      <c r="P3579" s="57">
        <f t="shared" si="55"/>
        <v>1850</v>
      </c>
      <c r="Q3579" s="58">
        <f>_xlfn.MAXIFS(Survey!$G$2:$G$3647,Survey!$M$2:$M$3647,Survey!$M3579)-Survey!$G3579</f>
        <v>361.15210500846638</v>
      </c>
      <c r="R3579" s="59">
        <f>Survey!$P3579+(Survey!$Q3579*0.433)</f>
        <v>2006.3788614686659</v>
      </c>
    </row>
    <row r="3580" spans="1:18" x14ac:dyDescent="0.25">
      <c r="A3580" s="71" t="s">
        <v>17</v>
      </c>
      <c r="B3580" s="72" t="s">
        <v>23</v>
      </c>
      <c r="C3580" s="73" t="s">
        <v>19</v>
      </c>
      <c r="D3580" s="74">
        <v>253.46880784793487</v>
      </c>
      <c r="E3580" s="81">
        <v>1370009</v>
      </c>
      <c r="F3580" s="82">
        <v>1339304.9712230135</v>
      </c>
      <c r="G3580" s="75">
        <v>1709.6001904570833</v>
      </c>
      <c r="H3580" s="76">
        <v>1</v>
      </c>
      <c r="I3580" s="54" t="s">
        <v>20</v>
      </c>
      <c r="J3580" s="77">
        <v>40</v>
      </c>
      <c r="K3580" s="78">
        <v>1</v>
      </c>
      <c r="L3580" s="54">
        <v>1</v>
      </c>
      <c r="M3580" s="54">
        <f>_xlfn.XLOOKUP(Survey!$F3580,sections[Start],sections[Test Section],,-1,1)</f>
        <v>9</v>
      </c>
      <c r="N3580" s="55">
        <f>_xlfn.XLOOKUP(Survey!$K3580,pipedata[ID],pipedata[WT])</f>
        <v>0.61699999999999999</v>
      </c>
      <c r="O3580" s="56">
        <f>_xlfn.XLOOKUP(Survey!$K3580,pipedata[ID],pipedata[104%])</f>
        <v>2138.9333333333334</v>
      </c>
      <c r="P3580" s="57">
        <f t="shared" si="55"/>
        <v>1850</v>
      </c>
      <c r="Q3580" s="58">
        <f>_xlfn.MAXIFS(Survey!$G$2:$G$3647,Survey!$M$2:$M$3647,Survey!$M3580)-Survey!$G3580</f>
        <v>356.73995584833824</v>
      </c>
      <c r="R3580" s="59">
        <f>Survey!$P3580+(Survey!$Q3580*0.433)</f>
        <v>2004.4684008823306</v>
      </c>
    </row>
    <row r="3581" spans="1:18" x14ac:dyDescent="0.25">
      <c r="A3581" s="60" t="s">
        <v>17</v>
      </c>
      <c r="B3581" s="61" t="s">
        <v>23</v>
      </c>
      <c r="C3581" s="62" t="s">
        <v>19</v>
      </c>
      <c r="D3581" s="63">
        <v>253.47636290858071</v>
      </c>
      <c r="E3581" s="79">
        <v>1370049</v>
      </c>
      <c r="F3581" s="80">
        <v>1339343.8345323659</v>
      </c>
      <c r="G3581" s="66">
        <v>1714.6272212521174</v>
      </c>
      <c r="H3581" s="67">
        <v>1</v>
      </c>
      <c r="I3581" s="68" t="s">
        <v>20</v>
      </c>
      <c r="J3581" s="69">
        <v>40</v>
      </c>
      <c r="K3581" s="70">
        <v>1</v>
      </c>
      <c r="L3581" s="68">
        <v>1</v>
      </c>
      <c r="M3581" s="68">
        <f>_xlfn.XLOOKUP(Survey!$F3581,sections[Start],sections[Test Section],,-1,1)</f>
        <v>9</v>
      </c>
      <c r="N3581" s="55">
        <f>_xlfn.XLOOKUP(Survey!$K3581,pipedata[ID],pipedata[WT])</f>
        <v>0.61699999999999999</v>
      </c>
      <c r="O3581" s="56">
        <f>_xlfn.XLOOKUP(Survey!$K3581,pipedata[ID],pipedata[104%])</f>
        <v>2138.9333333333334</v>
      </c>
      <c r="P3581" s="57">
        <f t="shared" si="55"/>
        <v>1850</v>
      </c>
      <c r="Q3581" s="58">
        <f>_xlfn.MAXIFS(Survey!$G$2:$G$3647,Survey!$M$2:$M$3647,Survey!$M3581)-Survey!$G3581</f>
        <v>351.71292505330416</v>
      </c>
      <c r="R3581" s="59">
        <f>Survey!$P3581+(Survey!$Q3581*0.433)</f>
        <v>2002.2916965480806</v>
      </c>
    </row>
    <row r="3582" spans="1:18" x14ac:dyDescent="0.25">
      <c r="A3582" s="71" t="s">
        <v>17</v>
      </c>
      <c r="B3582" s="72" t="s">
        <v>23</v>
      </c>
      <c r="C3582" s="73" t="s">
        <v>19</v>
      </c>
      <c r="D3582" s="74">
        <v>253.483439736972</v>
      </c>
      <c r="E3582" s="81">
        <v>1370089</v>
      </c>
      <c r="F3582" s="82">
        <v>1339382.6978417183</v>
      </c>
      <c r="G3582" s="75">
        <v>1718.0478897990258</v>
      </c>
      <c r="H3582" s="76">
        <v>1</v>
      </c>
      <c r="I3582" s="54" t="s">
        <v>20</v>
      </c>
      <c r="J3582" s="77">
        <v>40</v>
      </c>
      <c r="K3582" s="78">
        <v>1</v>
      </c>
      <c r="L3582" s="54">
        <v>1</v>
      </c>
      <c r="M3582" s="54">
        <f>_xlfn.XLOOKUP(Survey!$F3582,sections[Start],sections[Test Section],,-1,1)</f>
        <v>9</v>
      </c>
      <c r="N3582" s="55">
        <f>_xlfn.XLOOKUP(Survey!$K3582,pipedata[ID],pipedata[WT])</f>
        <v>0.61699999999999999</v>
      </c>
      <c r="O3582" s="56">
        <f>_xlfn.XLOOKUP(Survey!$K3582,pipedata[ID],pipedata[104%])</f>
        <v>2138.9333333333334</v>
      </c>
      <c r="P3582" s="57">
        <f t="shared" si="55"/>
        <v>1850</v>
      </c>
      <c r="Q3582" s="58">
        <f>_xlfn.MAXIFS(Survey!$G$2:$G$3647,Survey!$M$2:$M$3647,Survey!$M3582)-Survey!$G3582</f>
        <v>348.29225650639569</v>
      </c>
      <c r="R3582" s="59">
        <f>Survey!$P3582+(Survey!$Q3582*0.433)</f>
        <v>2000.8105470672695</v>
      </c>
    </row>
    <row r="3583" spans="1:18" x14ac:dyDescent="0.25">
      <c r="A3583" s="60" t="s">
        <v>17</v>
      </c>
      <c r="B3583" s="61" t="s">
        <v>23</v>
      </c>
      <c r="C3583" s="62" t="s">
        <v>19</v>
      </c>
      <c r="D3583" s="63">
        <v>253.4909084049157</v>
      </c>
      <c r="E3583" s="79">
        <v>1370129</v>
      </c>
      <c r="F3583" s="80">
        <v>1339421.5611510708</v>
      </c>
      <c r="G3583" s="66">
        <v>1719.3213533547446</v>
      </c>
      <c r="H3583" s="67">
        <v>1</v>
      </c>
      <c r="I3583" s="68" t="s">
        <v>20</v>
      </c>
      <c r="J3583" s="69">
        <v>40</v>
      </c>
      <c r="K3583" s="70">
        <v>1</v>
      </c>
      <c r="L3583" s="68">
        <v>1</v>
      </c>
      <c r="M3583" s="68">
        <f>_xlfn.XLOOKUP(Survey!$F3583,sections[Start],sections[Test Section],,-1,1)</f>
        <v>9</v>
      </c>
      <c r="N3583" s="55">
        <f>_xlfn.XLOOKUP(Survey!$K3583,pipedata[ID],pipedata[WT])</f>
        <v>0.61699999999999999</v>
      </c>
      <c r="O3583" s="56">
        <f>_xlfn.XLOOKUP(Survey!$K3583,pipedata[ID],pipedata[104%])</f>
        <v>2138.9333333333334</v>
      </c>
      <c r="P3583" s="57">
        <f t="shared" si="55"/>
        <v>1850</v>
      </c>
      <c r="Q3583" s="58">
        <f>_xlfn.MAXIFS(Survey!$G$2:$G$3647,Survey!$M$2:$M$3647,Survey!$M3583)-Survey!$G3583</f>
        <v>347.01879295067693</v>
      </c>
      <c r="R3583" s="59">
        <f>Survey!$P3583+(Survey!$Q3583*0.433)</f>
        <v>2000.259137347643</v>
      </c>
    </row>
    <row r="3584" spans="1:18" x14ac:dyDescent="0.25">
      <c r="A3584" s="71" t="s">
        <v>17</v>
      </c>
      <c r="B3584" s="72" t="s">
        <v>23</v>
      </c>
      <c r="C3584" s="73" t="s">
        <v>19</v>
      </c>
      <c r="D3584" s="74">
        <v>253.49908459573763</v>
      </c>
      <c r="E3584" s="81">
        <v>1370169</v>
      </c>
      <c r="F3584" s="82">
        <v>1339460.4244604232</v>
      </c>
      <c r="G3584" s="75">
        <v>1716.6721237425636</v>
      </c>
      <c r="H3584" s="76">
        <v>1</v>
      </c>
      <c r="I3584" s="54" t="s">
        <v>20</v>
      </c>
      <c r="J3584" s="77">
        <v>40</v>
      </c>
      <c r="K3584" s="78">
        <v>1</v>
      </c>
      <c r="L3584" s="54">
        <v>1</v>
      </c>
      <c r="M3584" s="54">
        <f>_xlfn.XLOOKUP(Survey!$F3584,sections[Start],sections[Test Section],,-1,1)</f>
        <v>9</v>
      </c>
      <c r="N3584" s="55">
        <f>_xlfn.XLOOKUP(Survey!$K3584,pipedata[ID],pipedata[WT])</f>
        <v>0.61699999999999999</v>
      </c>
      <c r="O3584" s="56">
        <f>_xlfn.XLOOKUP(Survey!$K3584,pipedata[ID],pipedata[104%])</f>
        <v>2138.9333333333334</v>
      </c>
      <c r="P3584" s="57">
        <f t="shared" si="55"/>
        <v>1850</v>
      </c>
      <c r="Q3584" s="58">
        <f>_xlfn.MAXIFS(Survey!$G$2:$G$3647,Survey!$M$2:$M$3647,Survey!$M3584)-Survey!$G3584</f>
        <v>349.66802256285791</v>
      </c>
      <c r="R3584" s="59">
        <f>Survey!$P3584+(Survey!$Q3584*0.433)</f>
        <v>2001.4062537697175</v>
      </c>
    </row>
    <row r="3585" spans="1:18" x14ac:dyDescent="0.25">
      <c r="A3585" s="60" t="s">
        <v>17</v>
      </c>
      <c r="B3585" s="61" t="s">
        <v>23</v>
      </c>
      <c r="C3585" s="62" t="s">
        <v>19</v>
      </c>
      <c r="D3585" s="63">
        <v>253.50528141950772</v>
      </c>
      <c r="E3585" s="79">
        <v>1370209</v>
      </c>
      <c r="F3585" s="80">
        <v>1339499.2877697756</v>
      </c>
      <c r="G3585" s="66">
        <v>1716.28915876769</v>
      </c>
      <c r="H3585" s="67">
        <v>1</v>
      </c>
      <c r="I3585" s="68" t="s">
        <v>20</v>
      </c>
      <c r="J3585" s="69">
        <v>40</v>
      </c>
      <c r="K3585" s="70">
        <v>1</v>
      </c>
      <c r="L3585" s="68">
        <v>1</v>
      </c>
      <c r="M3585" s="68">
        <f>_xlfn.XLOOKUP(Survey!$F3585,sections[Start],sections[Test Section],,-1,1)</f>
        <v>9</v>
      </c>
      <c r="N3585" s="55">
        <f>_xlfn.XLOOKUP(Survey!$K3585,pipedata[ID],pipedata[WT])</f>
        <v>0.61699999999999999</v>
      </c>
      <c r="O3585" s="56">
        <f>_xlfn.XLOOKUP(Survey!$K3585,pipedata[ID],pipedata[104%])</f>
        <v>2138.9333333333334</v>
      </c>
      <c r="P3585" s="57">
        <f t="shared" si="55"/>
        <v>1850</v>
      </c>
      <c r="Q3585" s="58">
        <f>_xlfn.MAXIFS(Survey!$G$2:$G$3647,Survey!$M$2:$M$3647,Survey!$M3585)-Survey!$G3585</f>
        <v>350.05098753773154</v>
      </c>
      <c r="R3585" s="59">
        <f>Survey!$P3585+(Survey!$Q3585*0.433)</f>
        <v>2001.5720776038377</v>
      </c>
    </row>
    <row r="3586" spans="1:18" x14ac:dyDescent="0.25">
      <c r="A3586" s="71" t="s">
        <v>17</v>
      </c>
      <c r="B3586" s="72" t="s">
        <v>23</v>
      </c>
      <c r="C3586" s="73" t="s">
        <v>19</v>
      </c>
      <c r="D3586" s="74">
        <v>253.51390326697984</v>
      </c>
      <c r="E3586" s="81">
        <v>1370249</v>
      </c>
      <c r="F3586" s="82">
        <v>1339538.151079128</v>
      </c>
      <c r="G3586" s="75">
        <v>1718.187684453218</v>
      </c>
      <c r="H3586" s="76">
        <v>1</v>
      </c>
      <c r="I3586" s="54" t="s">
        <v>20</v>
      </c>
      <c r="J3586" s="77">
        <v>40</v>
      </c>
      <c r="K3586" s="78">
        <v>1</v>
      </c>
      <c r="L3586" s="54">
        <v>1</v>
      </c>
      <c r="M3586" s="54">
        <f>_xlfn.XLOOKUP(Survey!$F3586,sections[Start],sections[Test Section],,-1,1)</f>
        <v>9</v>
      </c>
      <c r="N3586" s="55">
        <f>_xlfn.XLOOKUP(Survey!$K3586,pipedata[ID],pipedata[WT])</f>
        <v>0.61699999999999999</v>
      </c>
      <c r="O3586" s="56">
        <f>_xlfn.XLOOKUP(Survey!$K3586,pipedata[ID],pipedata[104%])</f>
        <v>2138.9333333333334</v>
      </c>
      <c r="P3586" s="57">
        <f t="shared" ref="P3586:P3647" si="56">IF(L3586=1,1850,IF(L3586=2,1850,2220))</f>
        <v>1850</v>
      </c>
      <c r="Q3586" s="58">
        <f>_xlfn.MAXIFS(Survey!$G$2:$G$3647,Survey!$M$2:$M$3647,Survey!$M3586)-Survey!$G3586</f>
        <v>348.15246185220349</v>
      </c>
      <c r="R3586" s="59">
        <f>Survey!$P3586+(Survey!$Q3586*0.433)</f>
        <v>2000.750015982004</v>
      </c>
    </row>
    <row r="3587" spans="1:18" x14ac:dyDescent="0.25">
      <c r="A3587" s="60" t="s">
        <v>17</v>
      </c>
      <c r="B3587" s="61" t="s">
        <v>23</v>
      </c>
      <c r="C3587" s="62" t="s">
        <v>19</v>
      </c>
      <c r="D3587" s="63">
        <v>253.52010009074985</v>
      </c>
      <c r="E3587" s="79">
        <v>1370289</v>
      </c>
      <c r="F3587" s="80">
        <v>1339577.0143884805</v>
      </c>
      <c r="G3587" s="66">
        <v>1718.8768358130455</v>
      </c>
      <c r="H3587" s="67">
        <v>1</v>
      </c>
      <c r="I3587" s="68" t="s">
        <v>20</v>
      </c>
      <c r="J3587" s="69">
        <v>40</v>
      </c>
      <c r="K3587" s="70">
        <v>1</v>
      </c>
      <c r="L3587" s="68">
        <v>1</v>
      </c>
      <c r="M3587" s="68">
        <f>_xlfn.XLOOKUP(Survey!$F3587,sections[Start],sections[Test Section],,-1,1)</f>
        <v>9</v>
      </c>
      <c r="N3587" s="55">
        <f>_xlfn.XLOOKUP(Survey!$K3587,pipedata[ID],pipedata[WT])</f>
        <v>0.61699999999999999</v>
      </c>
      <c r="O3587" s="56">
        <f>_xlfn.XLOOKUP(Survey!$K3587,pipedata[ID],pipedata[104%])</f>
        <v>2138.9333333333334</v>
      </c>
      <c r="P3587" s="57">
        <f t="shared" si="56"/>
        <v>1850</v>
      </c>
      <c r="Q3587" s="58">
        <f>_xlfn.MAXIFS(Survey!$G$2:$G$3647,Survey!$M$2:$M$3647,Survey!$M3587)-Survey!$G3587</f>
        <v>347.46331049237597</v>
      </c>
      <c r="R3587" s="59">
        <f>Survey!$P3587+(Survey!$Q3587*0.433)</f>
        <v>2000.4516134431988</v>
      </c>
    </row>
    <row r="3588" spans="1:18" x14ac:dyDescent="0.25">
      <c r="A3588" s="71" t="s">
        <v>17</v>
      </c>
      <c r="B3588" s="72" t="s">
        <v>23</v>
      </c>
      <c r="C3588" s="73" t="s">
        <v>19</v>
      </c>
      <c r="D3588" s="74">
        <v>253.52836252244336</v>
      </c>
      <c r="E3588" s="81">
        <v>1370329</v>
      </c>
      <c r="F3588" s="82">
        <v>1339615.8776978329</v>
      </c>
      <c r="G3588" s="75">
        <v>1721.5468584206887</v>
      </c>
      <c r="H3588" s="76">
        <v>1</v>
      </c>
      <c r="I3588" s="54" t="s">
        <v>20</v>
      </c>
      <c r="J3588" s="77">
        <v>40</v>
      </c>
      <c r="K3588" s="78">
        <v>1</v>
      </c>
      <c r="L3588" s="54">
        <v>1</v>
      </c>
      <c r="M3588" s="54">
        <f>_xlfn.XLOOKUP(Survey!$F3588,sections[Start],sections[Test Section],,-1,1)</f>
        <v>9</v>
      </c>
      <c r="N3588" s="55">
        <f>_xlfn.XLOOKUP(Survey!$K3588,pipedata[ID],pipedata[WT])</f>
        <v>0.61699999999999999</v>
      </c>
      <c r="O3588" s="56">
        <f>_xlfn.XLOOKUP(Survey!$K3588,pipedata[ID],pipedata[104%])</f>
        <v>2138.9333333333334</v>
      </c>
      <c r="P3588" s="57">
        <f t="shared" si="56"/>
        <v>1850</v>
      </c>
      <c r="Q3588" s="58">
        <f>_xlfn.MAXIFS(Survey!$G$2:$G$3647,Survey!$M$2:$M$3647,Survey!$M3588)-Survey!$G3588</f>
        <v>344.79328788473276</v>
      </c>
      <c r="R3588" s="59">
        <f>Survey!$P3588+(Survey!$Q3588*0.433)</f>
        <v>1999.2954936540893</v>
      </c>
    </row>
    <row r="3589" spans="1:18" x14ac:dyDescent="0.25">
      <c r="A3589" s="60" t="s">
        <v>17</v>
      </c>
      <c r="B3589" s="61" t="s">
        <v>23</v>
      </c>
      <c r="C3589" s="62" t="s">
        <v>19</v>
      </c>
      <c r="D3589" s="63">
        <v>253.53691929140527</v>
      </c>
      <c r="E3589" s="79">
        <v>1370369</v>
      </c>
      <c r="F3589" s="80">
        <v>1339654.7410071853</v>
      </c>
      <c r="G3589" s="66">
        <v>1724.5212865382432</v>
      </c>
      <c r="H3589" s="67">
        <v>1</v>
      </c>
      <c r="I3589" s="68" t="s">
        <v>20</v>
      </c>
      <c r="J3589" s="69">
        <v>40</v>
      </c>
      <c r="K3589" s="70">
        <v>1</v>
      </c>
      <c r="L3589" s="68">
        <v>1</v>
      </c>
      <c r="M3589" s="68">
        <f>_xlfn.XLOOKUP(Survey!$F3589,sections[Start],sections[Test Section],,-1,1)</f>
        <v>9</v>
      </c>
      <c r="N3589" s="55">
        <f>_xlfn.XLOOKUP(Survey!$K3589,pipedata[ID],pipedata[WT])</f>
        <v>0.61699999999999999</v>
      </c>
      <c r="O3589" s="56">
        <f>_xlfn.XLOOKUP(Survey!$K3589,pipedata[ID],pipedata[104%])</f>
        <v>2138.9333333333334</v>
      </c>
      <c r="P3589" s="57">
        <f t="shared" si="56"/>
        <v>1850</v>
      </c>
      <c r="Q3589" s="58">
        <f>_xlfn.MAXIFS(Survey!$G$2:$G$3647,Survey!$M$2:$M$3647,Survey!$M3589)-Survey!$G3589</f>
        <v>341.81885976717831</v>
      </c>
      <c r="R3589" s="59">
        <f>Survey!$P3589+(Survey!$Q3589*0.433)</f>
        <v>1998.0075662791883</v>
      </c>
    </row>
    <row r="3590" spans="1:18" x14ac:dyDescent="0.25">
      <c r="A3590" s="71" t="s">
        <v>17</v>
      </c>
      <c r="B3590" s="72" t="s">
        <v>23</v>
      </c>
      <c r="C3590" s="73" t="s">
        <v>19</v>
      </c>
      <c r="D3590" s="74">
        <v>253.5442352359243</v>
      </c>
      <c r="E3590" s="81">
        <v>1370409</v>
      </c>
      <c r="F3590" s="82">
        <v>1339693.6043165377</v>
      </c>
      <c r="G3590" s="75">
        <v>1727.3542001971509</v>
      </c>
      <c r="H3590" s="76">
        <v>1</v>
      </c>
      <c r="I3590" s="54" t="s">
        <v>20</v>
      </c>
      <c r="J3590" s="77">
        <v>40</v>
      </c>
      <c r="K3590" s="78">
        <v>1</v>
      </c>
      <c r="L3590" s="54">
        <v>1</v>
      </c>
      <c r="M3590" s="54">
        <f>_xlfn.XLOOKUP(Survey!$F3590,sections[Start],sections[Test Section],,-1,1)</f>
        <v>9</v>
      </c>
      <c r="N3590" s="55">
        <f>_xlfn.XLOOKUP(Survey!$K3590,pipedata[ID],pipedata[WT])</f>
        <v>0.61699999999999999</v>
      </c>
      <c r="O3590" s="56">
        <f>_xlfn.XLOOKUP(Survey!$K3590,pipedata[ID],pipedata[104%])</f>
        <v>2138.9333333333334</v>
      </c>
      <c r="P3590" s="57">
        <f t="shared" si="56"/>
        <v>1850</v>
      </c>
      <c r="Q3590" s="58">
        <f>_xlfn.MAXIFS(Survey!$G$2:$G$3647,Survey!$M$2:$M$3647,Survey!$M3590)-Survey!$G3590</f>
        <v>338.98594610827058</v>
      </c>
      <c r="R3590" s="59">
        <f>Survey!$P3590+(Survey!$Q3590*0.433)</f>
        <v>1996.780914664881</v>
      </c>
    </row>
    <row r="3591" spans="1:18" x14ac:dyDescent="0.25">
      <c r="A3591" s="60" t="s">
        <v>17</v>
      </c>
      <c r="B3591" s="61" t="s">
        <v>23</v>
      </c>
      <c r="C3591" s="62" t="s">
        <v>19</v>
      </c>
      <c r="D3591" s="63">
        <v>253.55143012928889</v>
      </c>
      <c r="E3591" s="79">
        <v>1370449</v>
      </c>
      <c r="F3591" s="80">
        <v>1339732.4676258902</v>
      </c>
      <c r="G3591" s="66">
        <v>1730.7001005982459</v>
      </c>
      <c r="H3591" s="67">
        <v>1</v>
      </c>
      <c r="I3591" s="68" t="s">
        <v>20</v>
      </c>
      <c r="J3591" s="69">
        <v>40</v>
      </c>
      <c r="K3591" s="70">
        <v>1</v>
      </c>
      <c r="L3591" s="68">
        <v>1</v>
      </c>
      <c r="M3591" s="68">
        <f>_xlfn.XLOOKUP(Survey!$F3591,sections[Start],sections[Test Section],,-1,1)</f>
        <v>9</v>
      </c>
      <c r="N3591" s="55">
        <f>_xlfn.XLOOKUP(Survey!$K3591,pipedata[ID],pipedata[WT])</f>
        <v>0.61699999999999999</v>
      </c>
      <c r="O3591" s="56">
        <f>_xlfn.XLOOKUP(Survey!$K3591,pipedata[ID],pipedata[104%])</f>
        <v>2138.9333333333334</v>
      </c>
      <c r="P3591" s="57">
        <f t="shared" si="56"/>
        <v>1850</v>
      </c>
      <c r="Q3591" s="58">
        <f>_xlfn.MAXIFS(Survey!$G$2:$G$3647,Survey!$M$2:$M$3647,Survey!$M3591)-Survey!$G3591</f>
        <v>335.64004570717566</v>
      </c>
      <c r="R3591" s="59">
        <f>Survey!$P3591+(Survey!$Q3591*0.433)</f>
        <v>1995.3321397912071</v>
      </c>
    </row>
    <row r="3592" spans="1:18" x14ac:dyDescent="0.25">
      <c r="A3592" s="71" t="s">
        <v>17</v>
      </c>
      <c r="B3592" s="72" t="s">
        <v>23</v>
      </c>
      <c r="C3592" s="73" t="s">
        <v>19</v>
      </c>
      <c r="D3592" s="74">
        <v>253.55906271756155</v>
      </c>
      <c r="E3592" s="81">
        <v>1370489</v>
      </c>
      <c r="F3592" s="82">
        <v>1339771.3309352426</v>
      </c>
      <c r="G3592" s="75">
        <v>1734.3377700056321</v>
      </c>
      <c r="H3592" s="76">
        <v>1</v>
      </c>
      <c r="I3592" s="54" t="s">
        <v>20</v>
      </c>
      <c r="J3592" s="77">
        <v>40</v>
      </c>
      <c r="K3592" s="78">
        <v>1</v>
      </c>
      <c r="L3592" s="54">
        <v>1</v>
      </c>
      <c r="M3592" s="54">
        <f>_xlfn.XLOOKUP(Survey!$F3592,sections[Start],sections[Test Section],,-1,1)</f>
        <v>9</v>
      </c>
      <c r="N3592" s="55">
        <f>_xlfn.XLOOKUP(Survey!$K3592,pipedata[ID],pipedata[WT])</f>
        <v>0.61699999999999999</v>
      </c>
      <c r="O3592" s="56">
        <f>_xlfn.XLOOKUP(Survey!$K3592,pipedata[ID],pipedata[104%])</f>
        <v>2138.9333333333334</v>
      </c>
      <c r="P3592" s="57">
        <f t="shared" si="56"/>
        <v>1850</v>
      </c>
      <c r="Q3592" s="58">
        <f>_xlfn.MAXIFS(Survey!$G$2:$G$3647,Survey!$M$2:$M$3647,Survey!$M3592)-Survey!$G3592</f>
        <v>332.00237629978938</v>
      </c>
      <c r="R3592" s="59">
        <f>Survey!$P3592+(Survey!$Q3592*0.433)</f>
        <v>1993.7570289378089</v>
      </c>
    </row>
    <row r="3593" spans="1:18" x14ac:dyDescent="0.25">
      <c r="A3593" s="60" t="s">
        <v>17</v>
      </c>
      <c r="B3593" s="61" t="s">
        <v>23</v>
      </c>
      <c r="C3593" s="62" t="s">
        <v>19</v>
      </c>
      <c r="D3593" s="63">
        <v>253.56662380710856</v>
      </c>
      <c r="E3593" s="79">
        <v>1370529</v>
      </c>
      <c r="F3593" s="80">
        <v>1339810.194244595</v>
      </c>
      <c r="G3593" s="66">
        <v>1744.386351563372</v>
      </c>
      <c r="H3593" s="67">
        <v>1</v>
      </c>
      <c r="I3593" s="68" t="s">
        <v>20</v>
      </c>
      <c r="J3593" s="69">
        <v>40</v>
      </c>
      <c r="K3593" s="70">
        <v>1</v>
      </c>
      <c r="L3593" s="68">
        <v>1</v>
      </c>
      <c r="M3593" s="68">
        <f>_xlfn.XLOOKUP(Survey!$F3593,sections[Start],sections[Test Section],,-1,1)</f>
        <v>9</v>
      </c>
      <c r="N3593" s="55">
        <f>_xlfn.XLOOKUP(Survey!$K3593,pipedata[ID],pipedata[WT])</f>
        <v>0.61699999999999999</v>
      </c>
      <c r="O3593" s="56">
        <f>_xlfn.XLOOKUP(Survey!$K3593,pipedata[ID],pipedata[104%])</f>
        <v>2138.9333333333334</v>
      </c>
      <c r="P3593" s="57">
        <f t="shared" si="56"/>
        <v>1850</v>
      </c>
      <c r="Q3593" s="58">
        <f>_xlfn.MAXIFS(Survey!$G$2:$G$3647,Survey!$M$2:$M$3647,Survey!$M3593)-Survey!$G3593</f>
        <v>321.95379474204947</v>
      </c>
      <c r="R3593" s="59">
        <f>Survey!$P3593+(Survey!$Q3593*0.433)</f>
        <v>1989.4059931233073</v>
      </c>
    </row>
    <row r="3594" spans="1:18" x14ac:dyDescent="0.25">
      <c r="A3594" s="71" t="s">
        <v>17</v>
      </c>
      <c r="B3594" s="72" t="s">
        <v>23</v>
      </c>
      <c r="C3594" s="73" t="s">
        <v>19</v>
      </c>
      <c r="D3594" s="74">
        <v>253.57387646801138</v>
      </c>
      <c r="E3594" s="81">
        <v>1370569</v>
      </c>
      <c r="F3594" s="82">
        <v>1339849.0575539474</v>
      </c>
      <c r="G3594" s="75">
        <v>1752.4096355114293</v>
      </c>
      <c r="H3594" s="76">
        <v>1</v>
      </c>
      <c r="I3594" s="54" t="s">
        <v>20</v>
      </c>
      <c r="J3594" s="77">
        <v>40</v>
      </c>
      <c r="K3594" s="78">
        <v>1</v>
      </c>
      <c r="L3594" s="54">
        <v>1</v>
      </c>
      <c r="M3594" s="54">
        <f>_xlfn.XLOOKUP(Survey!$F3594,sections[Start],sections[Test Section],,-1,1)</f>
        <v>9</v>
      </c>
      <c r="N3594" s="55">
        <f>_xlfn.XLOOKUP(Survey!$K3594,pipedata[ID],pipedata[WT])</f>
        <v>0.61699999999999999</v>
      </c>
      <c r="O3594" s="56">
        <f>_xlfn.XLOOKUP(Survey!$K3594,pipedata[ID],pipedata[104%])</f>
        <v>2138.9333333333334</v>
      </c>
      <c r="P3594" s="57">
        <f t="shared" si="56"/>
        <v>1850</v>
      </c>
      <c r="Q3594" s="58">
        <f>_xlfn.MAXIFS(Survey!$G$2:$G$3647,Survey!$M$2:$M$3647,Survey!$M3594)-Survey!$G3594</f>
        <v>313.9305107939922</v>
      </c>
      <c r="R3594" s="59">
        <f>Survey!$P3594+(Survey!$Q3594*0.433)</f>
        <v>1985.9319111737987</v>
      </c>
    </row>
    <row r="3595" spans="1:18" x14ac:dyDescent="0.25">
      <c r="A3595" s="60" t="s">
        <v>17</v>
      </c>
      <c r="B3595" s="61" t="s">
        <v>23</v>
      </c>
      <c r="C3595" s="62" t="s">
        <v>19</v>
      </c>
      <c r="D3595" s="63">
        <v>253.58180425695159</v>
      </c>
      <c r="E3595" s="79">
        <v>1370609</v>
      </c>
      <c r="F3595" s="80">
        <v>1339887.9208632999</v>
      </c>
      <c r="G3595" s="66">
        <v>1759.6441208595663</v>
      </c>
      <c r="H3595" s="67">
        <v>1</v>
      </c>
      <c r="I3595" s="68" t="s">
        <v>20</v>
      </c>
      <c r="J3595" s="69">
        <v>40</v>
      </c>
      <c r="K3595" s="70">
        <v>1</v>
      </c>
      <c r="L3595" s="68">
        <v>1</v>
      </c>
      <c r="M3595" s="68">
        <f>_xlfn.XLOOKUP(Survey!$F3595,sections[Start],sections[Test Section],,-1,1)</f>
        <v>9</v>
      </c>
      <c r="N3595" s="55">
        <f>_xlfn.XLOOKUP(Survey!$K3595,pipedata[ID],pipedata[WT])</f>
        <v>0.61699999999999999</v>
      </c>
      <c r="O3595" s="56">
        <f>_xlfn.XLOOKUP(Survey!$K3595,pipedata[ID],pipedata[104%])</f>
        <v>2138.9333333333334</v>
      </c>
      <c r="P3595" s="57">
        <f t="shared" si="56"/>
        <v>1850</v>
      </c>
      <c r="Q3595" s="58">
        <f>_xlfn.MAXIFS(Survey!$G$2:$G$3647,Survey!$M$2:$M$3647,Survey!$M3595)-Survey!$G3595</f>
        <v>306.69602544585518</v>
      </c>
      <c r="R3595" s="59">
        <f>Survey!$P3595+(Survey!$Q3595*0.433)</f>
        <v>1982.7993790180553</v>
      </c>
    </row>
    <row r="3596" spans="1:18" x14ac:dyDescent="0.25">
      <c r="A3596" s="71" t="s">
        <v>17</v>
      </c>
      <c r="B3596" s="72" t="s">
        <v>23</v>
      </c>
      <c r="C3596" s="73" t="s">
        <v>19</v>
      </c>
      <c r="D3596" s="74">
        <v>253.58775009865661</v>
      </c>
      <c r="E3596" s="81">
        <v>1370649</v>
      </c>
      <c r="F3596" s="82">
        <v>1339926.7841726523</v>
      </c>
      <c r="G3596" s="75">
        <v>1762.9574696096302</v>
      </c>
      <c r="H3596" s="76">
        <v>1</v>
      </c>
      <c r="I3596" s="54" t="s">
        <v>20</v>
      </c>
      <c r="J3596" s="77">
        <v>40</v>
      </c>
      <c r="K3596" s="78">
        <v>1</v>
      </c>
      <c r="L3596" s="54">
        <v>1</v>
      </c>
      <c r="M3596" s="54">
        <f>_xlfn.XLOOKUP(Survey!$F3596,sections[Start],sections[Test Section],,-1,1)</f>
        <v>9</v>
      </c>
      <c r="N3596" s="55">
        <f>_xlfn.XLOOKUP(Survey!$K3596,pipedata[ID],pipedata[WT])</f>
        <v>0.61699999999999999</v>
      </c>
      <c r="O3596" s="56">
        <f>_xlfn.XLOOKUP(Survey!$K3596,pipedata[ID],pipedata[104%])</f>
        <v>2138.9333333333334</v>
      </c>
      <c r="P3596" s="57">
        <f t="shared" si="56"/>
        <v>1850</v>
      </c>
      <c r="Q3596" s="58">
        <f>_xlfn.MAXIFS(Survey!$G$2:$G$3647,Survey!$M$2:$M$3647,Survey!$M3596)-Survey!$G3596</f>
        <v>303.38267669579136</v>
      </c>
      <c r="R3596" s="59">
        <f>Survey!$P3596+(Survey!$Q3596*0.433)</f>
        <v>1981.3646990092777</v>
      </c>
    </row>
    <row r="3597" spans="1:18" x14ac:dyDescent="0.25">
      <c r="A3597" s="60" t="s">
        <v>17</v>
      </c>
      <c r="B3597" s="61" t="s">
        <v>23</v>
      </c>
      <c r="C3597" s="62" t="s">
        <v>19</v>
      </c>
      <c r="D3597" s="63">
        <v>253.59656977346492</v>
      </c>
      <c r="E3597" s="79">
        <v>1370689</v>
      </c>
      <c r="F3597" s="80">
        <v>1339965.6474820047</v>
      </c>
      <c r="G3597" s="66">
        <v>1766.7970269881414</v>
      </c>
      <c r="H3597" s="67">
        <v>1</v>
      </c>
      <c r="I3597" s="68" t="s">
        <v>20</v>
      </c>
      <c r="J3597" s="69">
        <v>40</v>
      </c>
      <c r="K3597" s="70">
        <v>1</v>
      </c>
      <c r="L3597" s="68">
        <v>1</v>
      </c>
      <c r="M3597" s="68">
        <f>_xlfn.XLOOKUP(Survey!$F3597,sections[Start],sections[Test Section],,-1,1)</f>
        <v>9</v>
      </c>
      <c r="N3597" s="55">
        <f>_xlfn.XLOOKUP(Survey!$K3597,pipedata[ID],pipedata[WT])</f>
        <v>0.61699999999999999</v>
      </c>
      <c r="O3597" s="56">
        <f>_xlfn.XLOOKUP(Survey!$K3597,pipedata[ID],pipedata[104%])</f>
        <v>2138.9333333333334</v>
      </c>
      <c r="P3597" s="57">
        <f t="shared" si="56"/>
        <v>1850</v>
      </c>
      <c r="Q3597" s="58">
        <f>_xlfn.MAXIFS(Survey!$G$2:$G$3647,Survey!$M$2:$M$3647,Survey!$M3597)-Survey!$G3597</f>
        <v>299.54311931728012</v>
      </c>
      <c r="R3597" s="59">
        <f>Survey!$P3597+(Survey!$Q3597*0.433)</f>
        <v>1979.7021706643823</v>
      </c>
    </row>
    <row r="3598" spans="1:18" x14ac:dyDescent="0.25">
      <c r="A3598" s="71" t="s">
        <v>17</v>
      </c>
      <c r="B3598" s="72" t="s">
        <v>23</v>
      </c>
      <c r="C3598" s="73" t="s">
        <v>19</v>
      </c>
      <c r="D3598" s="74">
        <v>253.60387714509491</v>
      </c>
      <c r="E3598" s="81">
        <v>1370729</v>
      </c>
      <c r="F3598" s="82">
        <v>1340004.5107913571</v>
      </c>
      <c r="G3598" s="75">
        <v>1768.0246685077027</v>
      </c>
      <c r="H3598" s="76">
        <v>1</v>
      </c>
      <c r="I3598" s="54" t="s">
        <v>20</v>
      </c>
      <c r="J3598" s="77">
        <v>40</v>
      </c>
      <c r="K3598" s="78">
        <v>1</v>
      </c>
      <c r="L3598" s="54">
        <v>1</v>
      </c>
      <c r="M3598" s="54">
        <f>_xlfn.XLOOKUP(Survey!$F3598,sections[Start],sections[Test Section],,-1,1)</f>
        <v>9</v>
      </c>
      <c r="N3598" s="55">
        <f>_xlfn.XLOOKUP(Survey!$K3598,pipedata[ID],pipedata[WT])</f>
        <v>0.61699999999999999</v>
      </c>
      <c r="O3598" s="56">
        <f>_xlfn.XLOOKUP(Survey!$K3598,pipedata[ID],pipedata[104%])</f>
        <v>2138.9333333333334</v>
      </c>
      <c r="P3598" s="57">
        <f t="shared" si="56"/>
        <v>1850</v>
      </c>
      <c r="Q3598" s="58">
        <f>_xlfn.MAXIFS(Survey!$G$2:$G$3647,Survey!$M$2:$M$3647,Survey!$M3598)-Survey!$G3598</f>
        <v>298.31547779771881</v>
      </c>
      <c r="R3598" s="59">
        <f>Survey!$P3598+(Survey!$Q3598*0.433)</f>
        <v>1979.1706018864122</v>
      </c>
    </row>
    <row r="3599" spans="1:18" x14ac:dyDescent="0.25">
      <c r="A3599" s="60" t="s">
        <v>17</v>
      </c>
      <c r="B3599" s="61" t="s">
        <v>23</v>
      </c>
      <c r="C3599" s="62" t="s">
        <v>19</v>
      </c>
      <c r="D3599" s="63">
        <v>253.61153346547715</v>
      </c>
      <c r="E3599" s="79">
        <v>1370769</v>
      </c>
      <c r="F3599" s="80">
        <v>1340043.3741007096</v>
      </c>
      <c r="G3599" s="66">
        <v>1767.0793437502291</v>
      </c>
      <c r="H3599" s="67">
        <v>1</v>
      </c>
      <c r="I3599" s="68" t="s">
        <v>20</v>
      </c>
      <c r="J3599" s="69">
        <v>40</v>
      </c>
      <c r="K3599" s="70">
        <v>1</v>
      </c>
      <c r="L3599" s="68">
        <v>1</v>
      </c>
      <c r="M3599" s="68">
        <f>_xlfn.XLOOKUP(Survey!$F3599,sections[Start],sections[Test Section],,-1,1)</f>
        <v>9</v>
      </c>
      <c r="N3599" s="55">
        <f>_xlfn.XLOOKUP(Survey!$K3599,pipedata[ID],pipedata[WT])</f>
        <v>0.61699999999999999</v>
      </c>
      <c r="O3599" s="56">
        <f>_xlfn.XLOOKUP(Survey!$K3599,pipedata[ID],pipedata[104%])</f>
        <v>2138.9333333333334</v>
      </c>
      <c r="P3599" s="57">
        <f t="shared" si="56"/>
        <v>1850</v>
      </c>
      <c r="Q3599" s="58">
        <f>_xlfn.MAXIFS(Survey!$G$2:$G$3647,Survey!$M$2:$M$3647,Survey!$M3599)-Survey!$G3599</f>
        <v>299.26080255519241</v>
      </c>
      <c r="R3599" s="59">
        <f>Survey!$P3599+(Survey!$Q3599*0.433)</f>
        <v>1979.5799275063982</v>
      </c>
    </row>
    <row r="3600" spans="1:18" x14ac:dyDescent="0.25">
      <c r="A3600" s="71" t="s">
        <v>17</v>
      </c>
      <c r="B3600" s="72" t="s">
        <v>23</v>
      </c>
      <c r="C3600" s="73" t="s">
        <v>19</v>
      </c>
      <c r="D3600" s="74">
        <v>253.61946125441733</v>
      </c>
      <c r="E3600" s="81">
        <v>1370809</v>
      </c>
      <c r="F3600" s="82">
        <v>1340082.237410062</v>
      </c>
      <c r="G3600" s="75">
        <v>1763.2992982392309</v>
      </c>
      <c r="H3600" s="76">
        <v>1</v>
      </c>
      <c r="I3600" s="54" t="s">
        <v>20</v>
      </c>
      <c r="J3600" s="77">
        <v>40</v>
      </c>
      <c r="K3600" s="78">
        <v>1</v>
      </c>
      <c r="L3600" s="54">
        <v>1</v>
      </c>
      <c r="M3600" s="54">
        <f>_xlfn.XLOOKUP(Survey!$F3600,sections[Start],sections[Test Section],,-1,1)</f>
        <v>9</v>
      </c>
      <c r="N3600" s="55">
        <f>_xlfn.XLOOKUP(Survey!$K3600,pipedata[ID],pipedata[WT])</f>
        <v>0.61699999999999999</v>
      </c>
      <c r="O3600" s="56">
        <f>_xlfn.XLOOKUP(Survey!$K3600,pipedata[ID],pipedata[104%])</f>
        <v>2138.9333333333334</v>
      </c>
      <c r="P3600" s="57">
        <f t="shared" si="56"/>
        <v>1850</v>
      </c>
      <c r="Q3600" s="58">
        <f>_xlfn.MAXIFS(Survey!$G$2:$G$3647,Survey!$M$2:$M$3647,Survey!$M3600)-Survey!$G3600</f>
        <v>303.04084806619062</v>
      </c>
      <c r="R3600" s="59">
        <f>Survey!$P3600+(Survey!$Q3600*0.433)</f>
        <v>1981.2166872126604</v>
      </c>
    </row>
    <row r="3601" spans="1:18" x14ac:dyDescent="0.25">
      <c r="A3601" s="60" t="s">
        <v>17</v>
      </c>
      <c r="B3601" s="61" t="s">
        <v>23</v>
      </c>
      <c r="C3601" s="62" t="s">
        <v>19</v>
      </c>
      <c r="D3601" s="63">
        <v>253.62680227616329</v>
      </c>
      <c r="E3601" s="79">
        <v>1370849</v>
      </c>
      <c r="F3601" s="80">
        <v>1340121.1007194144</v>
      </c>
      <c r="G3601" s="66">
        <v>1760.0135519569446</v>
      </c>
      <c r="H3601" s="67">
        <v>1</v>
      </c>
      <c r="I3601" s="68" t="s">
        <v>20</v>
      </c>
      <c r="J3601" s="69">
        <v>40</v>
      </c>
      <c r="K3601" s="70">
        <v>1</v>
      </c>
      <c r="L3601" s="68">
        <v>1</v>
      </c>
      <c r="M3601" s="68">
        <f>_xlfn.XLOOKUP(Survey!$F3601,sections[Start],sections[Test Section],,-1,1)</f>
        <v>9</v>
      </c>
      <c r="N3601" s="55">
        <f>_xlfn.XLOOKUP(Survey!$K3601,pipedata[ID],pipedata[WT])</f>
        <v>0.61699999999999999</v>
      </c>
      <c r="O3601" s="56">
        <f>_xlfn.XLOOKUP(Survey!$K3601,pipedata[ID],pipedata[104%])</f>
        <v>2138.9333333333334</v>
      </c>
      <c r="P3601" s="57">
        <f t="shared" si="56"/>
        <v>1850</v>
      </c>
      <c r="Q3601" s="58">
        <f>_xlfn.MAXIFS(Survey!$G$2:$G$3647,Survey!$M$2:$M$3647,Survey!$M3601)-Survey!$G3601</f>
        <v>306.32659434847687</v>
      </c>
      <c r="R3601" s="59">
        <f>Survey!$P3601+(Survey!$Q3601*0.433)</f>
        <v>1982.6394153528904</v>
      </c>
    </row>
    <row r="3602" spans="1:18" x14ac:dyDescent="0.25">
      <c r="A3602" s="71" t="s">
        <v>17</v>
      </c>
      <c r="B3602" s="72" t="s">
        <v>23</v>
      </c>
      <c r="C3602" s="73" t="s">
        <v>19</v>
      </c>
      <c r="D3602" s="74">
        <v>253.63333488506248</v>
      </c>
      <c r="E3602" s="81">
        <v>1370889</v>
      </c>
      <c r="F3602" s="82">
        <v>1340159.9640287668</v>
      </c>
      <c r="G3602" s="75">
        <v>1757.492850552972</v>
      </c>
      <c r="H3602" s="76">
        <v>1</v>
      </c>
      <c r="I3602" s="54" t="s">
        <v>20</v>
      </c>
      <c r="J3602" s="77">
        <v>40</v>
      </c>
      <c r="K3602" s="78">
        <v>1</v>
      </c>
      <c r="L3602" s="54">
        <v>1</v>
      </c>
      <c r="M3602" s="54">
        <f>_xlfn.XLOOKUP(Survey!$F3602,sections[Start],sections[Test Section],,-1,1)</f>
        <v>9</v>
      </c>
      <c r="N3602" s="55">
        <f>_xlfn.XLOOKUP(Survey!$K3602,pipedata[ID],pipedata[WT])</f>
        <v>0.61699999999999999</v>
      </c>
      <c r="O3602" s="56">
        <f>_xlfn.XLOOKUP(Survey!$K3602,pipedata[ID],pipedata[104%])</f>
        <v>2138.9333333333334</v>
      </c>
      <c r="P3602" s="57">
        <f t="shared" si="56"/>
        <v>1850</v>
      </c>
      <c r="Q3602" s="58">
        <f>_xlfn.MAXIFS(Survey!$G$2:$G$3647,Survey!$M$2:$M$3647,Survey!$M3602)-Survey!$G3602</f>
        <v>308.84729575244955</v>
      </c>
      <c r="R3602" s="59">
        <f>Survey!$P3602+(Survey!$Q3602*0.433)</f>
        <v>1983.7308790608106</v>
      </c>
    </row>
    <row r="3603" spans="1:18" x14ac:dyDescent="0.25">
      <c r="A3603" s="60" t="s">
        <v>17</v>
      </c>
      <c r="B3603" s="61" t="s">
        <v>23</v>
      </c>
      <c r="C3603" s="62" t="s">
        <v>19</v>
      </c>
      <c r="D3603" s="63">
        <v>253.64155915150258</v>
      </c>
      <c r="E3603" s="79">
        <v>1370929</v>
      </c>
      <c r="F3603" s="80">
        <v>1340198.8273381193</v>
      </c>
      <c r="G3603" s="66">
        <v>1756.997895664822</v>
      </c>
      <c r="H3603" s="67">
        <v>1</v>
      </c>
      <c r="I3603" s="68" t="s">
        <v>20</v>
      </c>
      <c r="J3603" s="69">
        <v>40</v>
      </c>
      <c r="K3603" s="70">
        <v>1</v>
      </c>
      <c r="L3603" s="68">
        <v>1</v>
      </c>
      <c r="M3603" s="68">
        <f>_xlfn.XLOOKUP(Survey!$F3603,sections[Start],sections[Test Section],,-1,1)</f>
        <v>9</v>
      </c>
      <c r="N3603" s="55">
        <f>_xlfn.XLOOKUP(Survey!$K3603,pipedata[ID],pipedata[WT])</f>
        <v>0.61699999999999999</v>
      </c>
      <c r="O3603" s="56">
        <f>_xlfn.XLOOKUP(Survey!$K3603,pipedata[ID],pipedata[104%])</f>
        <v>2138.9333333333334</v>
      </c>
      <c r="P3603" s="57">
        <f t="shared" si="56"/>
        <v>1850</v>
      </c>
      <c r="Q3603" s="58">
        <f>_xlfn.MAXIFS(Survey!$G$2:$G$3647,Survey!$M$2:$M$3647,Survey!$M3603)-Survey!$G3603</f>
        <v>309.34225064059956</v>
      </c>
      <c r="R3603" s="59">
        <f>Survey!$P3603+(Survey!$Q3603*0.433)</f>
        <v>1983.9451945273795</v>
      </c>
    </row>
    <row r="3604" spans="1:18" x14ac:dyDescent="0.25">
      <c r="A3604" s="71" t="s">
        <v>17</v>
      </c>
      <c r="B3604" s="72" t="s">
        <v>23</v>
      </c>
      <c r="C3604" s="73" t="s">
        <v>19</v>
      </c>
      <c r="D3604" s="74">
        <v>253.64972740723135</v>
      </c>
      <c r="E3604" s="81">
        <v>1370969</v>
      </c>
      <c r="F3604" s="82">
        <v>1340237.6906474717</v>
      </c>
      <c r="G3604" s="75">
        <v>1755.2911068606563</v>
      </c>
      <c r="H3604" s="76">
        <v>1</v>
      </c>
      <c r="I3604" s="54" t="s">
        <v>20</v>
      </c>
      <c r="J3604" s="77">
        <v>40</v>
      </c>
      <c r="K3604" s="78">
        <v>1</v>
      </c>
      <c r="L3604" s="54">
        <v>1</v>
      </c>
      <c r="M3604" s="54">
        <f>_xlfn.XLOOKUP(Survey!$F3604,sections[Start],sections[Test Section],,-1,1)</f>
        <v>9</v>
      </c>
      <c r="N3604" s="55">
        <f>_xlfn.XLOOKUP(Survey!$K3604,pipedata[ID],pipedata[WT])</f>
        <v>0.61699999999999999</v>
      </c>
      <c r="O3604" s="56">
        <f>_xlfn.XLOOKUP(Survey!$K3604,pipedata[ID],pipedata[104%])</f>
        <v>2138.9333333333334</v>
      </c>
      <c r="P3604" s="57">
        <f t="shared" si="56"/>
        <v>1850</v>
      </c>
      <c r="Q3604" s="58">
        <f>_xlfn.MAXIFS(Survey!$G$2:$G$3647,Survey!$M$2:$M$3647,Survey!$M3604)-Survey!$G3604</f>
        <v>311.04903944476519</v>
      </c>
      <c r="R3604" s="59">
        <f>Survey!$P3604+(Survey!$Q3604*0.433)</f>
        <v>1984.6842340795833</v>
      </c>
    </row>
    <row r="3605" spans="1:18" x14ac:dyDescent="0.25">
      <c r="A3605" s="60" t="s">
        <v>17</v>
      </c>
      <c r="B3605" s="61" t="s">
        <v>23</v>
      </c>
      <c r="C3605" s="62" t="s">
        <v>19</v>
      </c>
      <c r="D3605" s="63">
        <v>253.65716733732793</v>
      </c>
      <c r="E3605" s="79">
        <v>1371009</v>
      </c>
      <c r="F3605" s="80">
        <v>1340276.5539568241</v>
      </c>
      <c r="G3605" s="66">
        <v>1751.7483900902705</v>
      </c>
      <c r="H3605" s="67">
        <v>1</v>
      </c>
      <c r="I3605" s="68" t="s">
        <v>20</v>
      </c>
      <c r="J3605" s="69">
        <v>40</v>
      </c>
      <c r="K3605" s="70">
        <v>1</v>
      </c>
      <c r="L3605" s="68">
        <v>1</v>
      </c>
      <c r="M3605" s="68">
        <f>_xlfn.XLOOKUP(Survey!$F3605,sections[Start],sections[Test Section],,-1,1)</f>
        <v>9</v>
      </c>
      <c r="N3605" s="55">
        <f>_xlfn.XLOOKUP(Survey!$K3605,pipedata[ID],pipedata[WT])</f>
        <v>0.61699999999999999</v>
      </c>
      <c r="O3605" s="56">
        <f>_xlfn.XLOOKUP(Survey!$K3605,pipedata[ID],pipedata[104%])</f>
        <v>2138.9333333333334</v>
      </c>
      <c r="P3605" s="57">
        <f t="shared" si="56"/>
        <v>1850</v>
      </c>
      <c r="Q3605" s="58">
        <f>_xlfn.MAXIFS(Survey!$G$2:$G$3647,Survey!$M$2:$M$3647,Survey!$M3605)-Survey!$G3605</f>
        <v>314.59175621515101</v>
      </c>
      <c r="R3605" s="59">
        <f>Survey!$P3605+(Survey!$Q3605*0.433)</f>
        <v>1986.2182304411604</v>
      </c>
    </row>
    <row r="3606" spans="1:18" x14ac:dyDescent="0.25">
      <c r="A3606" s="71" t="s">
        <v>17</v>
      </c>
      <c r="B3606" s="72" t="s">
        <v>23</v>
      </c>
      <c r="C3606" s="73" t="s">
        <v>19</v>
      </c>
      <c r="D3606" s="74">
        <v>253.66450076179501</v>
      </c>
      <c r="E3606" s="81">
        <v>1371049</v>
      </c>
      <c r="F3606" s="82">
        <v>1340315.4172661765</v>
      </c>
      <c r="G3606" s="75">
        <v>1747.8379419999269</v>
      </c>
      <c r="H3606" s="76">
        <v>1</v>
      </c>
      <c r="I3606" s="54" t="s">
        <v>20</v>
      </c>
      <c r="J3606" s="77">
        <v>40</v>
      </c>
      <c r="K3606" s="78">
        <v>1</v>
      </c>
      <c r="L3606" s="54">
        <v>1</v>
      </c>
      <c r="M3606" s="54">
        <f>_xlfn.XLOOKUP(Survey!$F3606,sections[Start],sections[Test Section],,-1,1)</f>
        <v>9</v>
      </c>
      <c r="N3606" s="55">
        <f>_xlfn.XLOOKUP(Survey!$K3606,pipedata[ID],pipedata[WT])</f>
        <v>0.61699999999999999</v>
      </c>
      <c r="O3606" s="56">
        <f>_xlfn.XLOOKUP(Survey!$K3606,pipedata[ID],pipedata[104%])</f>
        <v>2138.9333333333334</v>
      </c>
      <c r="P3606" s="57">
        <f t="shared" si="56"/>
        <v>1850</v>
      </c>
      <c r="Q3606" s="58">
        <f>_xlfn.MAXIFS(Survey!$G$2:$G$3647,Survey!$M$2:$M$3647,Survey!$M3606)-Survey!$G3606</f>
        <v>318.50220430549462</v>
      </c>
      <c r="R3606" s="59">
        <f>Survey!$P3606+(Survey!$Q3606*0.433)</f>
        <v>1987.9114544642791</v>
      </c>
    </row>
    <row r="3607" spans="1:18" x14ac:dyDescent="0.25">
      <c r="A3607" s="60" t="s">
        <v>17</v>
      </c>
      <c r="B3607" s="61" t="s">
        <v>23</v>
      </c>
      <c r="C3607" s="62" t="s">
        <v>19</v>
      </c>
      <c r="D3607" s="63">
        <v>253.67112746924627</v>
      </c>
      <c r="E3607" s="79">
        <v>1371089</v>
      </c>
      <c r="F3607" s="80">
        <v>1340354.280575529</v>
      </c>
      <c r="G3607" s="66">
        <v>1736.6496817237435</v>
      </c>
      <c r="H3607" s="67">
        <v>1</v>
      </c>
      <c r="I3607" s="68" t="s">
        <v>20</v>
      </c>
      <c r="J3607" s="69">
        <v>40</v>
      </c>
      <c r="K3607" s="70">
        <v>1</v>
      </c>
      <c r="L3607" s="68">
        <v>1</v>
      </c>
      <c r="M3607" s="68">
        <f>_xlfn.XLOOKUP(Survey!$F3607,sections[Start],sections[Test Section],,-1,1)</f>
        <v>9</v>
      </c>
      <c r="N3607" s="55">
        <f>_xlfn.XLOOKUP(Survey!$K3607,pipedata[ID],pipedata[WT])</f>
        <v>0.61699999999999999</v>
      </c>
      <c r="O3607" s="56">
        <f>_xlfn.XLOOKUP(Survey!$K3607,pipedata[ID],pipedata[104%])</f>
        <v>2138.9333333333334</v>
      </c>
      <c r="P3607" s="57">
        <f t="shared" si="56"/>
        <v>1850</v>
      </c>
      <c r="Q3607" s="58">
        <f>_xlfn.MAXIFS(Survey!$G$2:$G$3647,Survey!$M$2:$M$3647,Survey!$M3607)-Survey!$G3607</f>
        <v>329.69046458167804</v>
      </c>
      <c r="R3607" s="59">
        <f>Survey!$P3607+(Survey!$Q3607*0.433)</f>
        <v>1992.7559711638667</v>
      </c>
    </row>
    <row r="3608" spans="1:18" x14ac:dyDescent="0.25">
      <c r="A3608" s="71" t="s">
        <v>17</v>
      </c>
      <c r="B3608" s="72" t="s">
        <v>23</v>
      </c>
      <c r="C3608" s="73" t="s">
        <v>19</v>
      </c>
      <c r="D3608" s="74">
        <v>253.67854519269127</v>
      </c>
      <c r="E3608" s="81">
        <v>1371129</v>
      </c>
      <c r="F3608" s="82">
        <v>1340393.1438848814</v>
      </c>
      <c r="G3608" s="75">
        <v>1722.0843210992794</v>
      </c>
      <c r="H3608" s="76">
        <v>1</v>
      </c>
      <c r="I3608" s="54" t="s">
        <v>20</v>
      </c>
      <c r="J3608" s="77">
        <v>40</v>
      </c>
      <c r="K3608" s="78">
        <v>1</v>
      </c>
      <c r="L3608" s="54">
        <v>1</v>
      </c>
      <c r="M3608" s="54">
        <f>_xlfn.XLOOKUP(Survey!$F3608,sections[Start],sections[Test Section],,-1,1)</f>
        <v>9</v>
      </c>
      <c r="N3608" s="55">
        <f>_xlfn.XLOOKUP(Survey!$K3608,pipedata[ID],pipedata[WT])</f>
        <v>0.61699999999999999</v>
      </c>
      <c r="O3608" s="56">
        <f>_xlfn.XLOOKUP(Survey!$K3608,pipedata[ID],pipedata[104%])</f>
        <v>2138.9333333333334</v>
      </c>
      <c r="P3608" s="57">
        <f t="shared" si="56"/>
        <v>1850</v>
      </c>
      <c r="Q3608" s="58">
        <f>_xlfn.MAXIFS(Survey!$G$2:$G$3647,Survey!$M$2:$M$3647,Survey!$M3608)-Survey!$G3608</f>
        <v>344.25582520614216</v>
      </c>
      <c r="R3608" s="59">
        <f>Survey!$P3608+(Survey!$Q3608*0.433)</f>
        <v>1999.0627723142595</v>
      </c>
    </row>
    <row r="3609" spans="1:18" x14ac:dyDescent="0.25">
      <c r="A3609" s="60" t="s">
        <v>17</v>
      </c>
      <c r="B3609" s="61" t="s">
        <v>23</v>
      </c>
      <c r="C3609" s="62" t="s">
        <v>19</v>
      </c>
      <c r="D3609" s="63">
        <v>253.68533177801572</v>
      </c>
      <c r="E3609" s="79">
        <v>1371169</v>
      </c>
      <c r="F3609" s="80">
        <v>1340432.0071942338</v>
      </c>
      <c r="G3609" s="66">
        <v>1708.0006016472557</v>
      </c>
      <c r="H3609" s="67">
        <v>1</v>
      </c>
      <c r="I3609" s="68" t="s">
        <v>20</v>
      </c>
      <c r="J3609" s="69">
        <v>40</v>
      </c>
      <c r="K3609" s="70">
        <v>1</v>
      </c>
      <c r="L3609" s="68">
        <v>1</v>
      </c>
      <c r="M3609" s="68">
        <f>_xlfn.XLOOKUP(Survey!$F3609,sections[Start],sections[Test Section],,-1,1)</f>
        <v>9</v>
      </c>
      <c r="N3609" s="55">
        <f>_xlfn.XLOOKUP(Survey!$K3609,pipedata[ID],pipedata[WT])</f>
        <v>0.61699999999999999</v>
      </c>
      <c r="O3609" s="56">
        <f>_xlfn.XLOOKUP(Survey!$K3609,pipedata[ID],pipedata[104%])</f>
        <v>2138.9333333333334</v>
      </c>
      <c r="P3609" s="57">
        <f t="shared" si="56"/>
        <v>1850</v>
      </c>
      <c r="Q3609" s="58">
        <f>_xlfn.MAXIFS(Survey!$G$2:$G$3647,Survey!$M$2:$M$3647,Survey!$M3609)-Survey!$G3609</f>
        <v>358.33954465816578</v>
      </c>
      <c r="R3609" s="59">
        <f>Survey!$P3609+(Survey!$Q3609*0.433)</f>
        <v>2005.1610228369857</v>
      </c>
    </row>
    <row r="3610" spans="1:18" x14ac:dyDescent="0.25">
      <c r="A3610" s="71" t="s">
        <v>17</v>
      </c>
      <c r="B3610" s="72" t="s">
        <v>23</v>
      </c>
      <c r="C3610" s="73" t="s">
        <v>19</v>
      </c>
      <c r="D3610" s="74">
        <v>253.69298619425416</v>
      </c>
      <c r="E3610" s="81">
        <v>1371209</v>
      </c>
      <c r="F3610" s="82">
        <v>1340470.8705035863</v>
      </c>
      <c r="G3610" s="75">
        <v>1694.7198415668515</v>
      </c>
      <c r="H3610" s="76">
        <v>1</v>
      </c>
      <c r="I3610" s="54" t="s">
        <v>20</v>
      </c>
      <c r="J3610" s="77">
        <v>40</v>
      </c>
      <c r="K3610" s="78">
        <v>1</v>
      </c>
      <c r="L3610" s="54">
        <v>1</v>
      </c>
      <c r="M3610" s="54">
        <f>_xlfn.XLOOKUP(Survey!$F3610,sections[Start],sections[Test Section],,-1,1)</f>
        <v>9</v>
      </c>
      <c r="N3610" s="55">
        <f>_xlfn.XLOOKUP(Survey!$K3610,pipedata[ID],pipedata[WT])</f>
        <v>0.61699999999999999</v>
      </c>
      <c r="O3610" s="56">
        <f>_xlfn.XLOOKUP(Survey!$K3610,pipedata[ID],pipedata[104%])</f>
        <v>2138.9333333333334</v>
      </c>
      <c r="P3610" s="57">
        <f t="shared" si="56"/>
        <v>1850</v>
      </c>
      <c r="Q3610" s="58">
        <f>_xlfn.MAXIFS(Survey!$G$2:$G$3647,Survey!$M$2:$M$3647,Survey!$M3610)-Survey!$G3610</f>
        <v>371.62030473856998</v>
      </c>
      <c r="R3610" s="59">
        <f>Survey!$P3610+(Survey!$Q3610*0.433)</f>
        <v>2010.9115919518008</v>
      </c>
    </row>
    <row r="3611" spans="1:18" x14ac:dyDescent="0.25">
      <c r="A3611" s="60" t="s">
        <v>17</v>
      </c>
      <c r="B3611" s="61" t="s">
        <v>23</v>
      </c>
      <c r="C3611" s="62" t="s">
        <v>19</v>
      </c>
      <c r="D3611" s="63">
        <v>253.69874580446856</v>
      </c>
      <c r="E3611" s="79">
        <v>1371249</v>
      </c>
      <c r="F3611" s="80">
        <v>1340509.7338129387</v>
      </c>
      <c r="G3611" s="66">
        <v>1678.7571560818594</v>
      </c>
      <c r="H3611" s="67">
        <v>1</v>
      </c>
      <c r="I3611" s="68" t="s">
        <v>20</v>
      </c>
      <c r="J3611" s="69">
        <v>40</v>
      </c>
      <c r="K3611" s="70">
        <v>1</v>
      </c>
      <c r="L3611" s="68">
        <v>1</v>
      </c>
      <c r="M3611" s="68">
        <f>_xlfn.XLOOKUP(Survey!$F3611,sections[Start],sections[Test Section],,-1,1)</f>
        <v>9</v>
      </c>
      <c r="N3611" s="55">
        <f>_xlfn.XLOOKUP(Survey!$K3611,pipedata[ID],pipedata[WT])</f>
        <v>0.61699999999999999</v>
      </c>
      <c r="O3611" s="56">
        <f>_xlfn.XLOOKUP(Survey!$K3611,pipedata[ID],pipedata[104%])</f>
        <v>2138.9333333333334</v>
      </c>
      <c r="P3611" s="57">
        <f t="shared" si="56"/>
        <v>1850</v>
      </c>
      <c r="Q3611" s="58">
        <f>_xlfn.MAXIFS(Survey!$G$2:$G$3647,Survey!$M$2:$M$3647,Survey!$M3611)-Survey!$G3611</f>
        <v>387.58299022356209</v>
      </c>
      <c r="R3611" s="59">
        <f>Survey!$P3611+(Survey!$Q3611*0.433)</f>
        <v>2017.8234347668024</v>
      </c>
    </row>
    <row r="3612" spans="1:18" x14ac:dyDescent="0.25">
      <c r="A3612" s="71" t="s">
        <v>17</v>
      </c>
      <c r="B3612" s="72" t="s">
        <v>23</v>
      </c>
      <c r="C3612" s="73" t="s">
        <v>19</v>
      </c>
      <c r="D3612" s="74">
        <v>253.70642528475432</v>
      </c>
      <c r="E3612" s="81">
        <v>1371289</v>
      </c>
      <c r="F3612" s="82">
        <v>1340548.5971222911</v>
      </c>
      <c r="G3612" s="75">
        <v>1663.6719014911837</v>
      </c>
      <c r="H3612" s="76">
        <v>1</v>
      </c>
      <c r="I3612" s="54" t="s">
        <v>20</v>
      </c>
      <c r="J3612" s="77">
        <v>40</v>
      </c>
      <c r="K3612" s="78">
        <v>1</v>
      </c>
      <c r="L3612" s="54">
        <v>1</v>
      </c>
      <c r="M3612" s="54">
        <f>_xlfn.XLOOKUP(Survey!$F3612,sections[Start],sections[Test Section],,-1,1)</f>
        <v>9</v>
      </c>
      <c r="N3612" s="55">
        <f>_xlfn.XLOOKUP(Survey!$K3612,pipedata[ID],pipedata[WT])</f>
        <v>0.61699999999999999</v>
      </c>
      <c r="O3612" s="56">
        <f>_xlfn.XLOOKUP(Survey!$K3612,pipedata[ID],pipedata[104%])</f>
        <v>2138.9333333333334</v>
      </c>
      <c r="P3612" s="57">
        <f t="shared" si="56"/>
        <v>1850</v>
      </c>
      <c r="Q3612" s="58">
        <f>_xlfn.MAXIFS(Survey!$G$2:$G$3647,Survey!$M$2:$M$3647,Survey!$M3612)-Survey!$G3612</f>
        <v>402.66824481423782</v>
      </c>
      <c r="R3612" s="59">
        <f>Survey!$P3612+(Survey!$Q3612*0.433)</f>
        <v>2024.355350004565</v>
      </c>
    </row>
    <row r="3613" spans="1:18" x14ac:dyDescent="0.25">
      <c r="A3613" s="60" t="s">
        <v>17</v>
      </c>
      <c r="B3613" s="61" t="s">
        <v>23</v>
      </c>
      <c r="C3613" s="62" t="s">
        <v>19</v>
      </c>
      <c r="D3613" s="63">
        <v>253.71410476504005</v>
      </c>
      <c r="E3613" s="79">
        <v>1371329</v>
      </c>
      <c r="F3613" s="80">
        <v>1340587.4604316435</v>
      </c>
      <c r="G3613" s="66">
        <v>1647.7262776293567</v>
      </c>
      <c r="H3613" s="67">
        <v>1</v>
      </c>
      <c r="I3613" s="68" t="s">
        <v>20</v>
      </c>
      <c r="J3613" s="69">
        <v>40</v>
      </c>
      <c r="K3613" s="70">
        <v>1</v>
      </c>
      <c r="L3613" s="68">
        <v>1</v>
      </c>
      <c r="M3613" s="68">
        <f>_xlfn.XLOOKUP(Survey!$F3613,sections[Start],sections[Test Section],,-1,1)</f>
        <v>9</v>
      </c>
      <c r="N3613" s="55">
        <f>_xlfn.XLOOKUP(Survey!$K3613,pipedata[ID],pipedata[WT])</f>
        <v>0.61699999999999999</v>
      </c>
      <c r="O3613" s="56">
        <f>_xlfn.XLOOKUP(Survey!$K3613,pipedata[ID],pipedata[104%])</f>
        <v>2138.9333333333334</v>
      </c>
      <c r="P3613" s="57">
        <f t="shared" si="56"/>
        <v>1850</v>
      </c>
      <c r="Q3613" s="58">
        <f>_xlfn.MAXIFS(Survey!$G$2:$G$3647,Survey!$M$2:$M$3647,Survey!$M3613)-Survey!$G3613</f>
        <v>418.61386867606484</v>
      </c>
      <c r="R3613" s="59">
        <f>Survey!$P3613+(Survey!$Q3613*0.433)</f>
        <v>2031.2598051367361</v>
      </c>
    </row>
    <row r="3614" spans="1:18" x14ac:dyDescent="0.25">
      <c r="A3614" s="71" t="s">
        <v>17</v>
      </c>
      <c r="B3614" s="72" t="s">
        <v>23</v>
      </c>
      <c r="C3614" s="73" t="s">
        <v>19</v>
      </c>
      <c r="D3614" s="74">
        <v>253.72113742960471</v>
      </c>
      <c r="E3614" s="81">
        <v>1371369</v>
      </c>
      <c r="F3614" s="82">
        <v>1340626.323740996</v>
      </c>
      <c r="G3614" s="75">
        <v>1635.0160637147742</v>
      </c>
      <c r="H3614" s="76">
        <v>1</v>
      </c>
      <c r="I3614" s="54" t="s">
        <v>20</v>
      </c>
      <c r="J3614" s="77">
        <v>40</v>
      </c>
      <c r="K3614" s="78">
        <v>1</v>
      </c>
      <c r="L3614" s="54">
        <v>1</v>
      </c>
      <c r="M3614" s="54">
        <f>_xlfn.XLOOKUP(Survey!$F3614,sections[Start],sections[Test Section],,-1,1)</f>
        <v>9</v>
      </c>
      <c r="N3614" s="55">
        <f>_xlfn.XLOOKUP(Survey!$K3614,pipedata[ID],pipedata[WT])</f>
        <v>0.61699999999999999</v>
      </c>
      <c r="O3614" s="56">
        <f>_xlfn.XLOOKUP(Survey!$K3614,pipedata[ID],pipedata[104%])</f>
        <v>2138.9333333333334</v>
      </c>
      <c r="P3614" s="57">
        <f t="shared" si="56"/>
        <v>1850</v>
      </c>
      <c r="Q3614" s="58">
        <f>_xlfn.MAXIFS(Survey!$G$2:$G$3647,Survey!$M$2:$M$3647,Survey!$M3614)-Survey!$G3614</f>
        <v>431.32408259064732</v>
      </c>
      <c r="R3614" s="59">
        <f>Survey!$P3614+(Survey!$Q3614*0.433)</f>
        <v>2036.7633277617504</v>
      </c>
    </row>
    <row r="3615" spans="1:18" x14ac:dyDescent="0.25">
      <c r="A3615" s="60" t="s">
        <v>17</v>
      </c>
      <c r="B3615" s="61" t="s">
        <v>23</v>
      </c>
      <c r="C3615" s="62" t="s">
        <v>19</v>
      </c>
      <c r="D3615" s="63">
        <v>253.72804379244022</v>
      </c>
      <c r="E3615" s="79">
        <v>1371409</v>
      </c>
      <c r="F3615" s="80">
        <v>1340665.1870503484</v>
      </c>
      <c r="G3615" s="66">
        <v>1620.702477210775</v>
      </c>
      <c r="H3615" s="67">
        <v>1</v>
      </c>
      <c r="I3615" s="68" t="s">
        <v>20</v>
      </c>
      <c r="J3615" s="69">
        <v>40</v>
      </c>
      <c r="K3615" s="70">
        <v>1</v>
      </c>
      <c r="L3615" s="68">
        <v>1</v>
      </c>
      <c r="M3615" s="68">
        <f>_xlfn.XLOOKUP(Survey!$F3615,sections[Start],sections[Test Section],,-1,1)</f>
        <v>9</v>
      </c>
      <c r="N3615" s="55">
        <f>_xlfn.XLOOKUP(Survey!$K3615,pipedata[ID],pipedata[WT])</f>
        <v>0.61699999999999999</v>
      </c>
      <c r="O3615" s="56">
        <f>_xlfn.XLOOKUP(Survey!$K3615,pipedata[ID],pipedata[104%])</f>
        <v>2138.9333333333334</v>
      </c>
      <c r="P3615" s="57">
        <f t="shared" si="56"/>
        <v>1850</v>
      </c>
      <c r="Q3615" s="58">
        <f>_xlfn.MAXIFS(Survey!$G$2:$G$3647,Survey!$M$2:$M$3647,Survey!$M3615)-Survey!$G3615</f>
        <v>445.63766909464653</v>
      </c>
      <c r="R3615" s="59">
        <f>Survey!$P3615+(Survey!$Q3615*0.433)</f>
        <v>2042.9611107179819</v>
      </c>
    </row>
    <row r="3616" spans="1:18" x14ac:dyDescent="0.25">
      <c r="A3616" s="71" t="s">
        <v>17</v>
      </c>
      <c r="B3616" s="72" t="s">
        <v>23</v>
      </c>
      <c r="C3616" s="73" t="s">
        <v>19</v>
      </c>
      <c r="D3616" s="74">
        <v>253.73522333582596</v>
      </c>
      <c r="E3616" s="81">
        <v>1371449</v>
      </c>
      <c r="F3616" s="82">
        <v>1340704.0503597008</v>
      </c>
      <c r="G3616" s="75">
        <v>1604.5811909420249</v>
      </c>
      <c r="H3616" s="76">
        <v>1</v>
      </c>
      <c r="I3616" s="54" t="s">
        <v>20</v>
      </c>
      <c r="J3616" s="77">
        <v>40</v>
      </c>
      <c r="K3616" s="78">
        <v>1</v>
      </c>
      <c r="L3616" s="54">
        <v>1</v>
      </c>
      <c r="M3616" s="54">
        <f>_xlfn.XLOOKUP(Survey!$F3616,sections[Start],sections[Test Section],,-1,1)</f>
        <v>9</v>
      </c>
      <c r="N3616" s="55">
        <f>_xlfn.XLOOKUP(Survey!$K3616,pipedata[ID],pipedata[WT])</f>
        <v>0.61699999999999999</v>
      </c>
      <c r="O3616" s="56">
        <f>_xlfn.XLOOKUP(Survey!$K3616,pipedata[ID],pipedata[104%])</f>
        <v>2138.9333333333334</v>
      </c>
      <c r="P3616" s="57">
        <f t="shared" si="56"/>
        <v>1850</v>
      </c>
      <c r="Q3616" s="58">
        <f>_xlfn.MAXIFS(Survey!$G$2:$G$3647,Survey!$M$2:$M$3647,Survey!$M3616)-Survey!$G3616</f>
        <v>461.75895536339658</v>
      </c>
      <c r="R3616" s="59">
        <f>Survey!$P3616+(Survey!$Q3616*0.433)</f>
        <v>2049.9416276723505</v>
      </c>
    </row>
    <row r="3617" spans="1:18" x14ac:dyDescent="0.25">
      <c r="A3617" s="60" t="s">
        <v>17</v>
      </c>
      <c r="B3617" s="61" t="s">
        <v>23</v>
      </c>
      <c r="C3617" s="62" t="s">
        <v>19</v>
      </c>
      <c r="D3617" s="63">
        <v>253.74159039293096</v>
      </c>
      <c r="E3617" s="79">
        <v>1371489</v>
      </c>
      <c r="F3617" s="80">
        <v>1340742.9136690532</v>
      </c>
      <c r="G3617" s="66">
        <v>1592.6164934333692</v>
      </c>
      <c r="H3617" s="67">
        <v>1</v>
      </c>
      <c r="I3617" s="68" t="s">
        <v>20</v>
      </c>
      <c r="J3617" s="69">
        <v>40</v>
      </c>
      <c r="K3617" s="70">
        <v>1</v>
      </c>
      <c r="L3617" s="68">
        <v>1</v>
      </c>
      <c r="M3617" s="68">
        <f>_xlfn.XLOOKUP(Survey!$F3617,sections[Start],sections[Test Section],,-1,1)</f>
        <v>9</v>
      </c>
      <c r="N3617" s="55">
        <f>_xlfn.XLOOKUP(Survey!$K3617,pipedata[ID],pipedata[WT])</f>
        <v>0.61699999999999999</v>
      </c>
      <c r="O3617" s="56">
        <f>_xlfn.XLOOKUP(Survey!$K3617,pipedata[ID],pipedata[104%])</f>
        <v>2138.9333333333334</v>
      </c>
      <c r="P3617" s="57">
        <f t="shared" si="56"/>
        <v>1850</v>
      </c>
      <c r="Q3617" s="58">
        <f>_xlfn.MAXIFS(Survey!$G$2:$G$3647,Survey!$M$2:$M$3647,Survey!$M3617)-Survey!$G3617</f>
        <v>473.7236528720523</v>
      </c>
      <c r="R3617" s="59">
        <f>Survey!$P3617+(Survey!$Q3617*0.433)</f>
        <v>2055.1223416935986</v>
      </c>
    </row>
    <row r="3618" spans="1:18" x14ac:dyDescent="0.25">
      <c r="A3618" s="71" t="s">
        <v>17</v>
      </c>
      <c r="B3618" s="72" t="s">
        <v>23</v>
      </c>
      <c r="C3618" s="73" t="s">
        <v>19</v>
      </c>
      <c r="D3618" s="74">
        <v>253.74944486990566</v>
      </c>
      <c r="E3618" s="81">
        <v>1371529</v>
      </c>
      <c r="F3618" s="82">
        <v>1340781.7769784057</v>
      </c>
      <c r="G3618" s="75">
        <v>1581.3333717249334</v>
      </c>
      <c r="H3618" s="76">
        <v>1</v>
      </c>
      <c r="I3618" s="54" t="s">
        <v>20</v>
      </c>
      <c r="J3618" s="77">
        <v>40</v>
      </c>
      <c r="K3618" s="78">
        <v>1</v>
      </c>
      <c r="L3618" s="54">
        <v>1</v>
      </c>
      <c r="M3618" s="54">
        <f>_xlfn.XLOOKUP(Survey!$F3618,sections[Start],sections[Test Section],,-1,1)</f>
        <v>9</v>
      </c>
      <c r="N3618" s="55">
        <f>_xlfn.XLOOKUP(Survey!$K3618,pipedata[ID],pipedata[WT])</f>
        <v>0.61699999999999999</v>
      </c>
      <c r="O3618" s="56">
        <f>_xlfn.XLOOKUP(Survey!$K3618,pipedata[ID],pipedata[104%])</f>
        <v>2138.9333333333334</v>
      </c>
      <c r="P3618" s="57">
        <f t="shared" si="56"/>
        <v>1850</v>
      </c>
      <c r="Q3618" s="58">
        <f>_xlfn.MAXIFS(Survey!$G$2:$G$3647,Survey!$M$2:$M$3647,Survey!$M3618)-Survey!$G3618</f>
        <v>485.00677458048813</v>
      </c>
      <c r="R3618" s="59">
        <f>Survey!$P3618+(Survey!$Q3618*0.433)</f>
        <v>2060.0079333933513</v>
      </c>
    </row>
    <row r="3619" spans="1:18" x14ac:dyDescent="0.25">
      <c r="A3619" s="60" t="s">
        <v>17</v>
      </c>
      <c r="B3619" s="61" t="s">
        <v>23</v>
      </c>
      <c r="C3619" s="62" t="s">
        <v>19</v>
      </c>
      <c r="D3619" s="63">
        <v>253.75629946500737</v>
      </c>
      <c r="E3619" s="79">
        <v>1371569</v>
      </c>
      <c r="F3619" s="80">
        <v>1340820.6402877581</v>
      </c>
      <c r="G3619" s="66">
        <v>1574.3066965601981</v>
      </c>
      <c r="H3619" s="67">
        <v>1</v>
      </c>
      <c r="I3619" s="68" t="s">
        <v>20</v>
      </c>
      <c r="J3619" s="69">
        <v>40</v>
      </c>
      <c r="K3619" s="70">
        <v>1</v>
      </c>
      <c r="L3619" s="68">
        <v>1</v>
      </c>
      <c r="M3619" s="68">
        <f>_xlfn.XLOOKUP(Survey!$F3619,sections[Start],sections[Test Section],,-1,1)</f>
        <v>9</v>
      </c>
      <c r="N3619" s="55">
        <f>_xlfn.XLOOKUP(Survey!$K3619,pipedata[ID],pipedata[WT])</f>
        <v>0.61699999999999999</v>
      </c>
      <c r="O3619" s="56">
        <f>_xlfn.XLOOKUP(Survey!$K3619,pipedata[ID],pipedata[104%])</f>
        <v>2138.9333333333334</v>
      </c>
      <c r="P3619" s="57">
        <f t="shared" si="56"/>
        <v>1850</v>
      </c>
      <c r="Q3619" s="58">
        <f>_xlfn.MAXIFS(Survey!$G$2:$G$3647,Survey!$M$2:$M$3647,Survey!$M3619)-Survey!$G3619</f>
        <v>492.03344974522338</v>
      </c>
      <c r="R3619" s="59">
        <f>Survey!$P3619+(Survey!$Q3619*0.433)</f>
        <v>2063.0504837396816</v>
      </c>
    </row>
    <row r="3620" spans="1:18" x14ac:dyDescent="0.25">
      <c r="A3620" s="71" t="s">
        <v>17</v>
      </c>
      <c r="B3620" s="72" t="s">
        <v>23</v>
      </c>
      <c r="C3620" s="73" t="s">
        <v>19</v>
      </c>
      <c r="D3620" s="74">
        <v>253.7645444605657</v>
      </c>
      <c r="E3620" s="81">
        <v>1371609</v>
      </c>
      <c r="F3620" s="82">
        <v>1340859.5035971105</v>
      </c>
      <c r="G3620" s="75">
        <v>1567.1404754525533</v>
      </c>
      <c r="H3620" s="76">
        <v>1</v>
      </c>
      <c r="I3620" s="54" t="s">
        <v>20</v>
      </c>
      <c r="J3620" s="77">
        <v>40</v>
      </c>
      <c r="K3620" s="78">
        <v>1</v>
      </c>
      <c r="L3620" s="54">
        <v>1</v>
      </c>
      <c r="M3620" s="54">
        <f>_xlfn.XLOOKUP(Survey!$F3620,sections[Start],sections[Test Section],,-1,1)</f>
        <v>9</v>
      </c>
      <c r="N3620" s="55">
        <f>_xlfn.XLOOKUP(Survey!$K3620,pipedata[ID],pipedata[WT])</f>
        <v>0.61699999999999999</v>
      </c>
      <c r="O3620" s="56">
        <f>_xlfn.XLOOKUP(Survey!$K3620,pipedata[ID],pipedata[104%])</f>
        <v>2138.9333333333334</v>
      </c>
      <c r="P3620" s="57">
        <f t="shared" si="56"/>
        <v>1850</v>
      </c>
      <c r="Q3620" s="58">
        <f>_xlfn.MAXIFS(Survey!$G$2:$G$3647,Survey!$M$2:$M$3647,Survey!$M3620)-Survey!$G3620</f>
        <v>499.19967085286817</v>
      </c>
      <c r="R3620" s="59">
        <f>Survey!$P3620+(Survey!$Q3620*0.433)</f>
        <v>2066.1534574792918</v>
      </c>
    </row>
    <row r="3621" spans="1:18" x14ac:dyDescent="0.25">
      <c r="A3621" s="60" t="s">
        <v>17</v>
      </c>
      <c r="B3621" s="61" t="s">
        <v>23</v>
      </c>
      <c r="C3621" s="62" t="s">
        <v>19</v>
      </c>
      <c r="D3621" s="63">
        <v>253.77076769804853</v>
      </c>
      <c r="E3621" s="79">
        <v>1371649</v>
      </c>
      <c r="F3621" s="80">
        <v>1340898.3669064629</v>
      </c>
      <c r="G3621" s="66">
        <v>1560.826065937966</v>
      </c>
      <c r="H3621" s="67">
        <v>1</v>
      </c>
      <c r="I3621" s="68" t="s">
        <v>20</v>
      </c>
      <c r="J3621" s="69">
        <v>40</v>
      </c>
      <c r="K3621" s="70">
        <v>1</v>
      </c>
      <c r="L3621" s="68">
        <v>1</v>
      </c>
      <c r="M3621" s="68">
        <f>_xlfn.XLOOKUP(Survey!$F3621,sections[Start],sections[Test Section],,-1,1)</f>
        <v>9</v>
      </c>
      <c r="N3621" s="55">
        <f>_xlfn.XLOOKUP(Survey!$K3621,pipedata[ID],pipedata[WT])</f>
        <v>0.61699999999999999</v>
      </c>
      <c r="O3621" s="56">
        <f>_xlfn.XLOOKUP(Survey!$K3621,pipedata[ID],pipedata[104%])</f>
        <v>2138.9333333333334</v>
      </c>
      <c r="P3621" s="57">
        <f t="shared" si="56"/>
        <v>1850</v>
      </c>
      <c r="Q3621" s="58">
        <f>_xlfn.MAXIFS(Survey!$G$2:$G$3647,Survey!$M$2:$M$3647,Survey!$M3621)-Survey!$G3621</f>
        <v>505.51408036745556</v>
      </c>
      <c r="R3621" s="59">
        <f>Survey!$P3621+(Survey!$Q3621*0.433)</f>
        <v>2068.8875967991085</v>
      </c>
    </row>
    <row r="3622" spans="1:18" x14ac:dyDescent="0.25">
      <c r="A3622" s="71" t="s">
        <v>17</v>
      </c>
      <c r="B3622" s="72" t="s">
        <v>23</v>
      </c>
      <c r="C3622" s="73" t="s">
        <v>19</v>
      </c>
      <c r="D3622" s="74">
        <v>253.77929682930585</v>
      </c>
      <c r="E3622" s="81">
        <v>1371689</v>
      </c>
      <c r="F3622" s="82">
        <v>1340937.2302158154</v>
      </c>
      <c r="G3622" s="75">
        <v>1554.4633629823347</v>
      </c>
      <c r="H3622" s="76">
        <v>1</v>
      </c>
      <c r="I3622" s="54" t="s">
        <v>20</v>
      </c>
      <c r="J3622" s="77">
        <v>40</v>
      </c>
      <c r="K3622" s="78">
        <v>1</v>
      </c>
      <c r="L3622" s="54">
        <v>1</v>
      </c>
      <c r="M3622" s="54">
        <f>_xlfn.XLOOKUP(Survey!$F3622,sections[Start],sections[Test Section],,-1,1)</f>
        <v>9</v>
      </c>
      <c r="N3622" s="55">
        <f>_xlfn.XLOOKUP(Survey!$K3622,pipedata[ID],pipedata[WT])</f>
        <v>0.61699999999999999</v>
      </c>
      <c r="O3622" s="56">
        <f>_xlfn.XLOOKUP(Survey!$K3622,pipedata[ID],pipedata[104%])</f>
        <v>2138.9333333333334</v>
      </c>
      <c r="P3622" s="57">
        <f t="shared" si="56"/>
        <v>1850</v>
      </c>
      <c r="Q3622" s="58">
        <f>_xlfn.MAXIFS(Survey!$G$2:$G$3647,Survey!$M$2:$M$3647,Survey!$M3622)-Survey!$G3622</f>
        <v>511.87678332308678</v>
      </c>
      <c r="R3622" s="59">
        <f>Survey!$P3622+(Survey!$Q3622*0.433)</f>
        <v>2071.6426471788964</v>
      </c>
    </row>
    <row r="3623" spans="1:18" x14ac:dyDescent="0.25">
      <c r="A3623" s="60" t="s">
        <v>17</v>
      </c>
      <c r="B3623" s="61" t="s">
        <v>23</v>
      </c>
      <c r="C3623" s="62" t="s">
        <v>19</v>
      </c>
      <c r="D3623" s="63">
        <v>253.78626871940162</v>
      </c>
      <c r="E3623" s="79">
        <v>1371729</v>
      </c>
      <c r="F3623" s="80">
        <v>1340976.0935251678</v>
      </c>
      <c r="G3623" s="66">
        <v>1547.3281584827691</v>
      </c>
      <c r="H3623" s="67">
        <v>1</v>
      </c>
      <c r="I3623" s="68" t="s">
        <v>20</v>
      </c>
      <c r="J3623" s="69">
        <v>40</v>
      </c>
      <c r="K3623" s="70">
        <v>1</v>
      </c>
      <c r="L3623" s="68">
        <v>1</v>
      </c>
      <c r="M3623" s="68">
        <f>_xlfn.XLOOKUP(Survey!$F3623,sections[Start],sections[Test Section],,-1,1)</f>
        <v>9</v>
      </c>
      <c r="N3623" s="55">
        <f>_xlfn.XLOOKUP(Survey!$K3623,pipedata[ID],pipedata[WT])</f>
        <v>0.61699999999999999</v>
      </c>
      <c r="O3623" s="56">
        <f>_xlfn.XLOOKUP(Survey!$K3623,pipedata[ID],pipedata[104%])</f>
        <v>2138.9333333333334</v>
      </c>
      <c r="P3623" s="57">
        <f t="shared" si="56"/>
        <v>1850</v>
      </c>
      <c r="Q3623" s="58">
        <f>_xlfn.MAXIFS(Survey!$G$2:$G$3647,Survey!$M$2:$M$3647,Survey!$M3623)-Survey!$G3623</f>
        <v>519.01198782265237</v>
      </c>
      <c r="R3623" s="59">
        <f>Survey!$P3623+(Survey!$Q3623*0.433)</f>
        <v>2074.7321907272085</v>
      </c>
    </row>
    <row r="3624" spans="1:18" x14ac:dyDescent="0.25">
      <c r="A3624" s="71" t="s">
        <v>17</v>
      </c>
      <c r="B3624" s="72" t="s">
        <v>23</v>
      </c>
      <c r="C3624" s="73" t="s">
        <v>19</v>
      </c>
      <c r="D3624" s="74">
        <v>253.79422280900565</v>
      </c>
      <c r="E3624" s="81">
        <v>1371769</v>
      </c>
      <c r="F3624" s="82">
        <v>1341014.9568345202</v>
      </c>
      <c r="G3624" s="75">
        <v>1540.3309091345684</v>
      </c>
      <c r="H3624" s="76">
        <v>1</v>
      </c>
      <c r="I3624" s="54" t="s">
        <v>20</v>
      </c>
      <c r="J3624" s="77">
        <v>40</v>
      </c>
      <c r="K3624" s="78">
        <v>1</v>
      </c>
      <c r="L3624" s="54">
        <v>1</v>
      </c>
      <c r="M3624" s="54">
        <f>_xlfn.XLOOKUP(Survey!$F3624,sections[Start],sections[Test Section],,-1,1)</f>
        <v>9</v>
      </c>
      <c r="N3624" s="55">
        <f>_xlfn.XLOOKUP(Survey!$K3624,pipedata[ID],pipedata[WT])</f>
        <v>0.61699999999999999</v>
      </c>
      <c r="O3624" s="56">
        <f>_xlfn.XLOOKUP(Survey!$K3624,pipedata[ID],pipedata[104%])</f>
        <v>2138.9333333333334</v>
      </c>
      <c r="P3624" s="57">
        <f t="shared" si="56"/>
        <v>1850</v>
      </c>
      <c r="Q3624" s="58">
        <f>_xlfn.MAXIFS(Survey!$G$2:$G$3647,Survey!$M$2:$M$3647,Survey!$M3624)-Survey!$G3624</f>
        <v>526.00923717085311</v>
      </c>
      <c r="R3624" s="59">
        <f>Survey!$P3624+(Survey!$Q3624*0.433)</f>
        <v>2077.7619996949793</v>
      </c>
    </row>
    <row r="3625" spans="1:18" x14ac:dyDescent="0.25">
      <c r="A3625" s="60" t="s">
        <v>17</v>
      </c>
      <c r="B3625" s="61" t="s">
        <v>23</v>
      </c>
      <c r="C3625" s="62" t="s">
        <v>19</v>
      </c>
      <c r="D3625" s="63">
        <v>253.80206825177785</v>
      </c>
      <c r="E3625" s="79">
        <v>1371809</v>
      </c>
      <c r="F3625" s="80">
        <v>1341053.8201438726</v>
      </c>
      <c r="G3625" s="66">
        <v>1531.5696649234631</v>
      </c>
      <c r="H3625" s="67">
        <v>1</v>
      </c>
      <c r="I3625" s="68" t="s">
        <v>20</v>
      </c>
      <c r="J3625" s="69">
        <v>40</v>
      </c>
      <c r="K3625" s="70">
        <v>1</v>
      </c>
      <c r="L3625" s="68">
        <v>1</v>
      </c>
      <c r="M3625" s="68">
        <f>_xlfn.XLOOKUP(Survey!$F3625,sections[Start],sections[Test Section],,-1,1)</f>
        <v>9</v>
      </c>
      <c r="N3625" s="55">
        <f>_xlfn.XLOOKUP(Survey!$K3625,pipedata[ID],pipedata[WT])</f>
        <v>0.61699999999999999</v>
      </c>
      <c r="O3625" s="56">
        <f>_xlfn.XLOOKUP(Survey!$K3625,pipedata[ID],pipedata[104%])</f>
        <v>2138.9333333333334</v>
      </c>
      <c r="P3625" s="57">
        <f t="shared" si="56"/>
        <v>1850</v>
      </c>
      <c r="Q3625" s="58">
        <f>_xlfn.MAXIFS(Survey!$G$2:$G$3647,Survey!$M$2:$M$3647,Survey!$M3625)-Survey!$G3625</f>
        <v>534.77048138195846</v>
      </c>
      <c r="R3625" s="59">
        <f>Survey!$P3625+(Survey!$Q3625*0.433)</f>
        <v>2081.5556184383881</v>
      </c>
    </row>
    <row r="3626" spans="1:18" x14ac:dyDescent="0.25">
      <c r="A3626" s="71" t="s">
        <v>17</v>
      </c>
      <c r="B3626" s="72" t="s">
        <v>23</v>
      </c>
      <c r="C3626" s="73" t="s">
        <v>19</v>
      </c>
      <c r="D3626" s="74">
        <v>253.80859367434465</v>
      </c>
      <c r="E3626" s="81">
        <v>1371849</v>
      </c>
      <c r="F3626" s="82">
        <v>1341092.6834532251</v>
      </c>
      <c r="G3626" s="75">
        <v>1519.1510468320828</v>
      </c>
      <c r="H3626" s="76">
        <v>1</v>
      </c>
      <c r="I3626" s="54" t="s">
        <v>20</v>
      </c>
      <c r="J3626" s="77">
        <v>40</v>
      </c>
      <c r="K3626" s="78">
        <v>1</v>
      </c>
      <c r="L3626" s="54">
        <v>1</v>
      </c>
      <c r="M3626" s="54">
        <f>_xlfn.XLOOKUP(Survey!$F3626,sections[Start],sections[Test Section],,-1,1)</f>
        <v>9</v>
      </c>
      <c r="N3626" s="55">
        <f>_xlfn.XLOOKUP(Survey!$K3626,pipedata[ID],pipedata[WT])</f>
        <v>0.61699999999999999</v>
      </c>
      <c r="O3626" s="56">
        <f>_xlfn.XLOOKUP(Survey!$K3626,pipedata[ID],pipedata[104%])</f>
        <v>2138.9333333333334</v>
      </c>
      <c r="P3626" s="57">
        <f t="shared" si="56"/>
        <v>1850</v>
      </c>
      <c r="Q3626" s="58">
        <f>_xlfn.MAXIFS(Survey!$G$2:$G$3647,Survey!$M$2:$M$3647,Survey!$M3626)-Survey!$G3626</f>
        <v>547.18909947333873</v>
      </c>
      <c r="R3626" s="59">
        <f>Survey!$P3626+(Survey!$Q3626*0.433)</f>
        <v>2086.9328800719559</v>
      </c>
    </row>
    <row r="3627" spans="1:18" x14ac:dyDescent="0.25">
      <c r="A3627" s="60" t="s">
        <v>17</v>
      </c>
      <c r="B3627" s="61" t="s">
        <v>23</v>
      </c>
      <c r="C3627" s="62" t="s">
        <v>19</v>
      </c>
      <c r="D3627" s="63">
        <v>253.81485282377994</v>
      </c>
      <c r="E3627" s="79">
        <v>1371889</v>
      </c>
      <c r="F3627" s="80">
        <v>1341131.5467625775</v>
      </c>
      <c r="G3627" s="66">
        <v>1504.2215553288161</v>
      </c>
      <c r="H3627" s="67">
        <v>1</v>
      </c>
      <c r="I3627" s="68" t="s">
        <v>20</v>
      </c>
      <c r="J3627" s="69">
        <v>40</v>
      </c>
      <c r="K3627" s="70">
        <v>1</v>
      </c>
      <c r="L3627" s="68">
        <v>1</v>
      </c>
      <c r="M3627" s="68">
        <f>_xlfn.XLOOKUP(Survey!$F3627,sections[Start],sections[Test Section],,-1,1)</f>
        <v>9</v>
      </c>
      <c r="N3627" s="55">
        <f>_xlfn.XLOOKUP(Survey!$K3627,pipedata[ID],pipedata[WT])</f>
        <v>0.61699999999999999</v>
      </c>
      <c r="O3627" s="56">
        <f>_xlfn.XLOOKUP(Survey!$K3627,pipedata[ID],pipedata[104%])</f>
        <v>2138.9333333333334</v>
      </c>
      <c r="P3627" s="57">
        <f t="shared" si="56"/>
        <v>1850</v>
      </c>
      <c r="Q3627" s="58">
        <f>_xlfn.MAXIFS(Survey!$G$2:$G$3647,Survey!$M$2:$M$3647,Survey!$M3627)-Survey!$G3627</f>
        <v>562.11859097660545</v>
      </c>
      <c r="R3627" s="59">
        <f>Survey!$P3627+(Survey!$Q3627*0.433)</f>
        <v>2093.3973498928704</v>
      </c>
    </row>
    <row r="3628" spans="1:18" x14ac:dyDescent="0.25">
      <c r="A3628" s="71" t="s">
        <v>17</v>
      </c>
      <c r="B3628" s="72" t="s">
        <v>23</v>
      </c>
      <c r="C3628" s="73" t="s">
        <v>19</v>
      </c>
      <c r="D3628" s="74">
        <v>253.82138957544535</v>
      </c>
      <c r="E3628" s="81">
        <v>1371929</v>
      </c>
      <c r="F3628" s="82">
        <v>1341170.4100719299</v>
      </c>
      <c r="G3628" s="75">
        <v>1487.6052742856964</v>
      </c>
      <c r="H3628" s="76">
        <v>1</v>
      </c>
      <c r="I3628" s="54" t="s">
        <v>20</v>
      </c>
      <c r="J3628" s="77">
        <v>40</v>
      </c>
      <c r="K3628" s="78">
        <v>1</v>
      </c>
      <c r="L3628" s="54">
        <v>1</v>
      </c>
      <c r="M3628" s="54">
        <f>_xlfn.XLOOKUP(Survey!$F3628,sections[Start],sections[Test Section],,-1,1)</f>
        <v>9</v>
      </c>
      <c r="N3628" s="55">
        <f>_xlfn.XLOOKUP(Survey!$K3628,pipedata[ID],pipedata[WT])</f>
        <v>0.61699999999999999</v>
      </c>
      <c r="O3628" s="56">
        <f>_xlfn.XLOOKUP(Survey!$K3628,pipedata[ID],pipedata[104%])</f>
        <v>2138.9333333333334</v>
      </c>
      <c r="P3628" s="57">
        <f t="shared" si="56"/>
        <v>1850</v>
      </c>
      <c r="Q3628" s="58">
        <f>_xlfn.MAXIFS(Survey!$G$2:$G$3647,Survey!$M$2:$M$3647,Survey!$M3628)-Survey!$G3628</f>
        <v>578.73487201972512</v>
      </c>
      <c r="R3628" s="59">
        <f>Survey!$P3628+(Survey!$Q3628*0.433)</f>
        <v>2100.592199584541</v>
      </c>
    </row>
    <row r="3629" spans="1:18" x14ac:dyDescent="0.25">
      <c r="A3629" s="60" t="s">
        <v>17</v>
      </c>
      <c r="B3629" s="61" t="s">
        <v>23</v>
      </c>
      <c r="C3629" s="62" t="s">
        <v>19</v>
      </c>
      <c r="D3629" s="63">
        <v>253.82919531110815</v>
      </c>
      <c r="E3629" s="79">
        <v>1371969</v>
      </c>
      <c r="F3629" s="80">
        <v>1341209.2733812823</v>
      </c>
      <c r="G3629" s="66">
        <v>1476.56289511214</v>
      </c>
      <c r="H3629" s="67">
        <v>1</v>
      </c>
      <c r="I3629" s="68" t="s">
        <v>20</v>
      </c>
      <c r="J3629" s="69">
        <v>10</v>
      </c>
      <c r="K3629" s="70">
        <v>1</v>
      </c>
      <c r="L3629" s="68">
        <v>1</v>
      </c>
      <c r="M3629" s="68">
        <f>_xlfn.XLOOKUP(Survey!$F3629,sections[Start],sections[Test Section],,-1,1)</f>
        <v>9</v>
      </c>
      <c r="N3629" s="55">
        <f>_xlfn.XLOOKUP(Survey!$K3629,pipedata[ID],pipedata[WT])</f>
        <v>0.61699999999999999</v>
      </c>
      <c r="O3629" s="56">
        <f>_xlfn.XLOOKUP(Survey!$K3629,pipedata[ID],pipedata[104%])</f>
        <v>2138.9333333333334</v>
      </c>
      <c r="P3629" s="57">
        <f t="shared" si="56"/>
        <v>1850</v>
      </c>
      <c r="Q3629" s="58">
        <f>_xlfn.MAXIFS(Survey!$G$2:$G$3647,Survey!$M$2:$M$3647,Survey!$M3629)-Survey!$G3629</f>
        <v>589.77725119328147</v>
      </c>
      <c r="R3629" s="59">
        <f>Survey!$P3629+(Survey!$Q3629*0.433)</f>
        <v>2105.3735497666908</v>
      </c>
    </row>
    <row r="3630" spans="1:18" x14ac:dyDescent="0.25">
      <c r="A3630" s="71" t="s">
        <v>17</v>
      </c>
      <c r="B3630" s="72" t="s">
        <v>23</v>
      </c>
      <c r="C3630" s="73" t="s">
        <v>19</v>
      </c>
      <c r="D3630" s="74">
        <v>253.83629649184942</v>
      </c>
      <c r="E3630" s="81">
        <v>1371979</v>
      </c>
      <c r="F3630" s="82">
        <v>1341287</v>
      </c>
      <c r="G3630" s="75">
        <v>1438.1460060279351</v>
      </c>
      <c r="H3630" s="76">
        <v>1</v>
      </c>
      <c r="I3630" s="54" t="s">
        <v>21</v>
      </c>
      <c r="J3630" s="77">
        <v>40</v>
      </c>
      <c r="K3630" s="78">
        <v>6</v>
      </c>
      <c r="L3630" s="54">
        <v>1</v>
      </c>
      <c r="M3630" s="54">
        <f>_xlfn.XLOOKUP(Survey!$F3630,sections[Start],sections[Test Section],,-1,1)</f>
        <v>9</v>
      </c>
      <c r="N3630" s="55">
        <f>_xlfn.XLOOKUP(Survey!$K3630,pipedata[ID],pipedata[WT])</f>
        <v>0.61699999999999999</v>
      </c>
      <c r="O3630" s="56">
        <f>_xlfn.XLOOKUP(Survey!$K3630,pipedata[ID],pipedata[104%])</f>
        <v>2138.9333333333334</v>
      </c>
      <c r="P3630" s="57">
        <f t="shared" si="56"/>
        <v>1850</v>
      </c>
      <c r="Q3630" s="58">
        <f>_xlfn.MAXIFS(Survey!$G$2:$G$3647,Survey!$M$2:$M$3647,Survey!$M3630)-Survey!$G3630</f>
        <v>628.19414027748644</v>
      </c>
      <c r="R3630" s="59">
        <f>Survey!$P3630+(Survey!$Q3630*0.433)</f>
        <v>2122.0080627401517</v>
      </c>
    </row>
    <row r="3631" spans="1:18" x14ac:dyDescent="0.25">
      <c r="A3631" s="60" t="s">
        <v>17</v>
      </c>
      <c r="B3631" s="61" t="s">
        <v>23</v>
      </c>
      <c r="C3631" s="62" t="s">
        <v>19</v>
      </c>
      <c r="D3631" s="63">
        <v>253.84412287731917</v>
      </c>
      <c r="E3631" s="79">
        <v>1372019</v>
      </c>
      <c r="F3631" s="80">
        <v>1341327</v>
      </c>
      <c r="G3631" s="66">
        <v>1438.9924436541739</v>
      </c>
      <c r="H3631" s="67">
        <v>1</v>
      </c>
      <c r="I3631" s="68" t="s">
        <v>20</v>
      </c>
      <c r="J3631" s="69">
        <v>70</v>
      </c>
      <c r="K3631" s="70">
        <v>1</v>
      </c>
      <c r="L3631" s="68">
        <v>1</v>
      </c>
      <c r="M3631" s="68">
        <f>_xlfn.XLOOKUP(Survey!$F3631,sections[Start],sections[Test Section],,-1,1)</f>
        <v>9</v>
      </c>
      <c r="N3631" s="55">
        <f>_xlfn.XLOOKUP(Survey!$K3631,pipedata[ID],pipedata[WT])</f>
        <v>0.61699999999999999</v>
      </c>
      <c r="O3631" s="56">
        <f>_xlfn.XLOOKUP(Survey!$K3631,pipedata[ID],pipedata[104%])</f>
        <v>2138.9333333333334</v>
      </c>
      <c r="P3631" s="57">
        <f t="shared" si="56"/>
        <v>1850</v>
      </c>
      <c r="Q3631" s="58">
        <f>_xlfn.MAXIFS(Survey!$G$2:$G$3647,Survey!$M$2:$M$3647,Survey!$M3631)-Survey!$G3631</f>
        <v>627.34770265124757</v>
      </c>
      <c r="R3631" s="59">
        <f>Survey!$P3631+(Survey!$Q3631*0.433)</f>
        <v>2121.6415552479903</v>
      </c>
    </row>
    <row r="3632" spans="1:18" x14ac:dyDescent="0.25">
      <c r="A3632" s="71" t="s">
        <v>17</v>
      </c>
      <c r="B3632" s="72" t="s">
        <v>23</v>
      </c>
      <c r="C3632" s="73" t="s">
        <v>19</v>
      </c>
      <c r="D3632" s="74">
        <v>253.85153681227456</v>
      </c>
      <c r="E3632" s="81">
        <v>1372089</v>
      </c>
      <c r="F3632" s="82">
        <v>1341363.8</v>
      </c>
      <c r="G3632" s="75">
        <v>1437.965666346021</v>
      </c>
      <c r="H3632" s="76">
        <v>1</v>
      </c>
      <c r="I3632" s="54" t="s">
        <v>20</v>
      </c>
      <c r="J3632" s="77">
        <v>40</v>
      </c>
      <c r="K3632" s="78">
        <v>1</v>
      </c>
      <c r="L3632" s="54">
        <v>1</v>
      </c>
      <c r="M3632" s="54">
        <f>_xlfn.XLOOKUP(Survey!$F3632,sections[Start],sections[Test Section],,-1,1)</f>
        <v>9</v>
      </c>
      <c r="N3632" s="55">
        <f>_xlfn.XLOOKUP(Survey!$K3632,pipedata[ID],pipedata[WT])</f>
        <v>0.61699999999999999</v>
      </c>
      <c r="O3632" s="56">
        <f>_xlfn.XLOOKUP(Survey!$K3632,pipedata[ID],pipedata[104%])</f>
        <v>2138.9333333333334</v>
      </c>
      <c r="P3632" s="57">
        <f t="shared" si="56"/>
        <v>1850</v>
      </c>
      <c r="Q3632" s="58">
        <f>_xlfn.MAXIFS(Survey!$G$2:$G$3647,Survey!$M$2:$M$3647,Survey!$M3632)-Survey!$G3632</f>
        <v>628.37447995940056</v>
      </c>
      <c r="R3632" s="59">
        <f>Survey!$P3632+(Survey!$Q3632*0.433)</f>
        <v>2122.0861498224203</v>
      </c>
    </row>
    <row r="3633" spans="1:18" x14ac:dyDescent="0.25">
      <c r="A3633" s="60" t="s">
        <v>17</v>
      </c>
      <c r="B3633" s="61" t="s">
        <v>23</v>
      </c>
      <c r="C3633" s="62" t="s">
        <v>19</v>
      </c>
      <c r="D3633" s="63">
        <v>253.85825411220731</v>
      </c>
      <c r="E3633" s="79">
        <v>1372129</v>
      </c>
      <c r="F3633" s="80">
        <v>1341400.6000000001</v>
      </c>
      <c r="G3633" s="66">
        <v>1439.0380275149271</v>
      </c>
      <c r="H3633" s="67">
        <v>1</v>
      </c>
      <c r="I3633" s="68" t="s">
        <v>20</v>
      </c>
      <c r="J3633" s="69">
        <v>40</v>
      </c>
      <c r="K3633" s="70">
        <v>1</v>
      </c>
      <c r="L3633" s="68">
        <v>1</v>
      </c>
      <c r="M3633" s="68">
        <f>_xlfn.XLOOKUP(Survey!$F3633,sections[Start],sections[Test Section],,-1,1)</f>
        <v>9</v>
      </c>
      <c r="N3633" s="55">
        <f>_xlfn.XLOOKUP(Survey!$K3633,pipedata[ID],pipedata[WT])</f>
        <v>0.61699999999999999</v>
      </c>
      <c r="O3633" s="56">
        <f>_xlfn.XLOOKUP(Survey!$K3633,pipedata[ID],pipedata[104%])</f>
        <v>2138.9333333333334</v>
      </c>
      <c r="P3633" s="57">
        <f t="shared" si="56"/>
        <v>1850</v>
      </c>
      <c r="Q3633" s="58">
        <f>_xlfn.MAXIFS(Survey!$G$2:$G$3647,Survey!$M$2:$M$3647,Survey!$M3633)-Survey!$G3633</f>
        <v>627.30211879049443</v>
      </c>
      <c r="R3633" s="59">
        <f>Survey!$P3633+(Survey!$Q3633*0.433)</f>
        <v>2121.6218174362839</v>
      </c>
    </row>
    <row r="3634" spans="1:18" x14ac:dyDescent="0.25">
      <c r="A3634" s="71" t="s">
        <v>17</v>
      </c>
      <c r="B3634" s="72" t="s">
        <v>23</v>
      </c>
      <c r="C3634" s="73" t="s">
        <v>19</v>
      </c>
      <c r="D3634" s="74">
        <v>253.86526501714906</v>
      </c>
      <c r="E3634" s="81">
        <v>1372169</v>
      </c>
      <c r="F3634" s="82">
        <v>1341437.4000000001</v>
      </c>
      <c r="G3634" s="75">
        <v>1437.7906756243062</v>
      </c>
      <c r="H3634" s="76">
        <v>1</v>
      </c>
      <c r="I3634" s="54" t="s">
        <v>20</v>
      </c>
      <c r="J3634" s="77">
        <v>34</v>
      </c>
      <c r="K3634" s="78">
        <v>1</v>
      </c>
      <c r="L3634" s="54">
        <v>1</v>
      </c>
      <c r="M3634" s="54">
        <f>_xlfn.XLOOKUP(Survey!$F3634,sections[Start],sections[Test Section],,-1,1)</f>
        <v>9</v>
      </c>
      <c r="N3634" s="55">
        <f>_xlfn.XLOOKUP(Survey!$K3634,pipedata[ID],pipedata[WT])</f>
        <v>0.61699999999999999</v>
      </c>
      <c r="O3634" s="56">
        <f>_xlfn.XLOOKUP(Survey!$K3634,pipedata[ID],pipedata[104%])</f>
        <v>2138.9333333333334</v>
      </c>
      <c r="P3634" s="57">
        <f t="shared" si="56"/>
        <v>1850</v>
      </c>
      <c r="Q3634" s="58">
        <f>_xlfn.MAXIFS(Survey!$G$2:$G$3647,Survey!$M$2:$M$3647,Survey!$M3634)-Survey!$G3634</f>
        <v>628.54947068111528</v>
      </c>
      <c r="R3634" s="59">
        <f>Survey!$P3634+(Survey!$Q3634*0.433)</f>
        <v>2122.1619208049228</v>
      </c>
    </row>
    <row r="3635" spans="1:18" x14ac:dyDescent="0.25">
      <c r="A3635" s="60" t="s">
        <v>17</v>
      </c>
      <c r="B3635" s="61" t="s">
        <v>23</v>
      </c>
      <c r="C3635" s="62" t="s">
        <v>19</v>
      </c>
      <c r="D3635" s="63">
        <v>253.87344612399599</v>
      </c>
      <c r="E3635" s="79">
        <v>1372203</v>
      </c>
      <c r="F3635" s="80">
        <v>1341511</v>
      </c>
      <c r="G3635" s="66">
        <v>1438.502003913097</v>
      </c>
      <c r="H3635" s="67">
        <v>2</v>
      </c>
      <c r="I3635" s="68" t="s">
        <v>21</v>
      </c>
      <c r="J3635" s="69">
        <v>46</v>
      </c>
      <c r="K3635" s="70">
        <v>4</v>
      </c>
      <c r="L3635" s="68">
        <v>1</v>
      </c>
      <c r="M3635" s="68">
        <f>_xlfn.XLOOKUP(Survey!$F3635,sections[Start],sections[Test Section],,-1,1)</f>
        <v>9</v>
      </c>
      <c r="N3635" s="55">
        <f>_xlfn.XLOOKUP(Survey!$K3635,pipedata[ID],pipedata[WT])</f>
        <v>0.74</v>
      </c>
      <c r="O3635" s="56">
        <f>_xlfn.XLOOKUP(Survey!$K3635,pipedata[ID],pipedata[104%])</f>
        <v>2565.3333333333335</v>
      </c>
      <c r="P3635" s="57">
        <f t="shared" si="56"/>
        <v>1850</v>
      </c>
      <c r="Q3635" s="58">
        <f>_xlfn.MAXIFS(Survey!$G$2:$G$3647,Survey!$M$2:$M$3647,Survey!$M3635)-Survey!$G3635</f>
        <v>627.83814239232447</v>
      </c>
      <c r="R3635" s="59">
        <f>Survey!$P3635+(Survey!$Q3635*0.433)</f>
        <v>2121.8539156558763</v>
      </c>
    </row>
    <row r="3636" spans="1:18" x14ac:dyDescent="0.25">
      <c r="A3636" s="71" t="s">
        <v>17</v>
      </c>
      <c r="B3636" s="72" t="s">
        <v>23</v>
      </c>
      <c r="C3636" s="73" t="s">
        <v>19</v>
      </c>
      <c r="D3636" s="74">
        <v>253.88087571089906</v>
      </c>
      <c r="E3636" s="81">
        <v>1372249</v>
      </c>
      <c r="F3636" s="82">
        <v>1341551</v>
      </c>
      <c r="G3636" s="75">
        <v>1439.0220387259512</v>
      </c>
      <c r="H3636" s="76">
        <v>2</v>
      </c>
      <c r="I3636" s="54" t="s">
        <v>21</v>
      </c>
      <c r="J3636" s="77">
        <v>34</v>
      </c>
      <c r="K3636" s="78">
        <v>4</v>
      </c>
      <c r="L3636" s="54">
        <v>1</v>
      </c>
      <c r="M3636" s="54">
        <f>_xlfn.XLOOKUP(Survey!$F3636,sections[Start],sections[Test Section],,-1,1)</f>
        <v>9</v>
      </c>
      <c r="N3636" s="55">
        <f>_xlfn.XLOOKUP(Survey!$K3636,pipedata[ID],pipedata[WT])</f>
        <v>0.74</v>
      </c>
      <c r="O3636" s="56">
        <f>_xlfn.XLOOKUP(Survey!$K3636,pipedata[ID],pipedata[104%])</f>
        <v>2565.3333333333335</v>
      </c>
      <c r="P3636" s="57">
        <f t="shared" si="56"/>
        <v>1850</v>
      </c>
      <c r="Q3636" s="58">
        <f>_xlfn.MAXIFS(Survey!$G$2:$G$3647,Survey!$M$2:$M$3647,Survey!$M3636)-Survey!$G3636</f>
        <v>627.31810757947028</v>
      </c>
      <c r="R3636" s="59">
        <f>Survey!$P3636+(Survey!$Q3636*0.433)</f>
        <v>2121.6287405819107</v>
      </c>
    </row>
    <row r="3637" spans="1:18" x14ac:dyDescent="0.25">
      <c r="A3637" s="60" t="s">
        <v>17</v>
      </c>
      <c r="B3637" s="61" t="s">
        <v>23</v>
      </c>
      <c r="C3637" s="62" t="s">
        <v>19</v>
      </c>
      <c r="D3637" s="63">
        <v>253.88087571089901</v>
      </c>
      <c r="E3637" s="79">
        <v>1372249</v>
      </c>
      <c r="F3637" s="80">
        <v>1341551</v>
      </c>
      <c r="G3637" s="66">
        <v>1439.0220387259512</v>
      </c>
      <c r="H3637" s="67">
        <v>2</v>
      </c>
      <c r="I3637" s="68" t="s">
        <v>21</v>
      </c>
      <c r="J3637" s="69">
        <v>34</v>
      </c>
      <c r="K3637" s="70">
        <v>4</v>
      </c>
      <c r="L3637" s="68">
        <v>1</v>
      </c>
      <c r="M3637" s="68">
        <f>_xlfn.XLOOKUP(Survey!$F3637,sections[Start],sections[Test Section],,-1,1)</f>
        <v>9</v>
      </c>
      <c r="N3637" s="55">
        <f>_xlfn.XLOOKUP(Survey!$K3637,pipedata[ID],pipedata[WT])</f>
        <v>0.74</v>
      </c>
      <c r="O3637" s="56">
        <f>_xlfn.XLOOKUP(Survey!$K3637,pipedata[ID],pipedata[104%])</f>
        <v>2565.3333333333335</v>
      </c>
      <c r="P3637" s="57">
        <f t="shared" si="56"/>
        <v>1850</v>
      </c>
      <c r="Q3637" s="58">
        <f>_xlfn.MAXIFS(Survey!$G$2:$G$3647,Survey!$M$2:$M$3647,Survey!$M3637)-Survey!$G3637</f>
        <v>627.31810757947028</v>
      </c>
      <c r="R3637" s="59">
        <f>Survey!$P3637+(Survey!$Q3637*0.433)</f>
        <v>2121.6287405819107</v>
      </c>
    </row>
    <row r="3638" spans="1:18" x14ac:dyDescent="0.25">
      <c r="A3638" s="71" t="s">
        <v>17</v>
      </c>
      <c r="B3638" s="72" t="s">
        <v>23</v>
      </c>
      <c r="C3638" s="73" t="s">
        <v>19</v>
      </c>
      <c r="D3638" s="74">
        <v>253.88948556209357</v>
      </c>
      <c r="E3638" s="81">
        <v>1372283</v>
      </c>
      <c r="F3638" s="82">
        <v>1341591</v>
      </c>
      <c r="G3638" s="75">
        <v>1436.0146147273658</v>
      </c>
      <c r="H3638" s="76">
        <v>1</v>
      </c>
      <c r="I3638" s="54" t="s">
        <v>20</v>
      </c>
      <c r="J3638" s="77">
        <v>46</v>
      </c>
      <c r="K3638" s="78">
        <v>1</v>
      </c>
      <c r="L3638" s="54">
        <v>1</v>
      </c>
      <c r="M3638" s="54">
        <f>_xlfn.XLOOKUP(Survey!$F3638,sections[Start],sections[Test Section],,-1,1)</f>
        <v>9</v>
      </c>
      <c r="N3638" s="55">
        <f>_xlfn.XLOOKUP(Survey!$K3638,pipedata[ID],pipedata[WT])</f>
        <v>0.61699999999999999</v>
      </c>
      <c r="O3638" s="56">
        <f>_xlfn.XLOOKUP(Survey!$K3638,pipedata[ID],pipedata[104%])</f>
        <v>2138.9333333333334</v>
      </c>
      <c r="P3638" s="57">
        <f t="shared" si="56"/>
        <v>1850</v>
      </c>
      <c r="Q3638" s="58">
        <f>_xlfn.MAXIFS(Survey!$G$2:$G$3647,Survey!$M$2:$M$3647,Survey!$M3638)-Survey!$G3638</f>
        <v>630.32553157805569</v>
      </c>
      <c r="R3638" s="59">
        <f>Survey!$P3638+(Survey!$Q3638*0.433)</f>
        <v>2122.9309551732981</v>
      </c>
    </row>
    <row r="3639" spans="1:18" x14ac:dyDescent="0.25">
      <c r="A3639" s="60" t="s">
        <v>17</v>
      </c>
      <c r="B3639" s="61" t="s">
        <v>23</v>
      </c>
      <c r="C3639" s="62" t="s">
        <v>19</v>
      </c>
      <c r="D3639" s="63">
        <v>253.89696213846685</v>
      </c>
      <c r="E3639" s="79">
        <v>1372329</v>
      </c>
      <c r="F3639" s="80">
        <v>1341630.3921568627</v>
      </c>
      <c r="G3639" s="66">
        <v>1436.7013551063969</v>
      </c>
      <c r="H3639" s="67">
        <v>1</v>
      </c>
      <c r="I3639" s="68" t="s">
        <v>20</v>
      </c>
      <c r="J3639" s="69">
        <v>40</v>
      </c>
      <c r="K3639" s="70">
        <v>1</v>
      </c>
      <c r="L3639" s="68">
        <v>1</v>
      </c>
      <c r="M3639" s="68">
        <f>_xlfn.XLOOKUP(Survey!$F3639,sections[Start],sections[Test Section],,-1,1)</f>
        <v>9</v>
      </c>
      <c r="N3639" s="55">
        <f>_xlfn.XLOOKUP(Survey!$K3639,pipedata[ID],pipedata[WT])</f>
        <v>0.61699999999999999</v>
      </c>
      <c r="O3639" s="56">
        <f>_xlfn.XLOOKUP(Survey!$K3639,pipedata[ID],pipedata[104%])</f>
        <v>2138.9333333333334</v>
      </c>
      <c r="P3639" s="57">
        <f t="shared" si="56"/>
        <v>1850</v>
      </c>
      <c r="Q3639" s="58">
        <f>_xlfn.MAXIFS(Survey!$G$2:$G$3647,Survey!$M$2:$M$3647,Survey!$M3639)-Survey!$G3639</f>
        <v>629.63879119902458</v>
      </c>
      <c r="R3639" s="59">
        <f>Survey!$P3639+(Survey!$Q3639*0.433)</f>
        <v>2122.6335965891776</v>
      </c>
    </row>
    <row r="3640" spans="1:18" x14ac:dyDescent="0.25">
      <c r="A3640" s="71" t="s">
        <v>17</v>
      </c>
      <c r="B3640" s="72" t="s">
        <v>23</v>
      </c>
      <c r="C3640" s="73" t="s">
        <v>19</v>
      </c>
      <c r="D3640" s="74">
        <v>253.90419754957199</v>
      </c>
      <c r="E3640" s="81">
        <v>1372369</v>
      </c>
      <c r="F3640" s="82">
        <v>1341669.7843137253</v>
      </c>
      <c r="G3640" s="75">
        <v>1446.5321353403851</v>
      </c>
      <c r="H3640" s="76">
        <v>1</v>
      </c>
      <c r="I3640" s="54" t="s">
        <v>20</v>
      </c>
      <c r="J3640" s="77">
        <v>40</v>
      </c>
      <c r="K3640" s="78">
        <v>1</v>
      </c>
      <c r="L3640" s="54">
        <v>1</v>
      </c>
      <c r="M3640" s="54">
        <f>_xlfn.XLOOKUP(Survey!$F3640,sections[Start],sections[Test Section],,-1,1)</f>
        <v>9</v>
      </c>
      <c r="N3640" s="55">
        <f>_xlfn.XLOOKUP(Survey!$K3640,pipedata[ID],pipedata[WT])</f>
        <v>0.61699999999999999</v>
      </c>
      <c r="O3640" s="56">
        <f>_xlfn.XLOOKUP(Survey!$K3640,pipedata[ID],pipedata[104%])</f>
        <v>2138.9333333333334</v>
      </c>
      <c r="P3640" s="57">
        <f t="shared" si="56"/>
        <v>1850</v>
      </c>
      <c r="Q3640" s="58">
        <f>_xlfn.MAXIFS(Survey!$G$2:$G$3647,Survey!$M$2:$M$3647,Survey!$M3640)-Survey!$G3640</f>
        <v>619.80801096503637</v>
      </c>
      <c r="R3640" s="59">
        <f>Survey!$P3640+(Survey!$Q3640*0.433)</f>
        <v>2118.3768687478605</v>
      </c>
    </row>
    <row r="3641" spans="1:18" x14ac:dyDescent="0.25">
      <c r="A3641" s="60" t="s">
        <v>17</v>
      </c>
      <c r="B3641" s="61" t="s">
        <v>23</v>
      </c>
      <c r="C3641" s="62" t="s">
        <v>19</v>
      </c>
      <c r="D3641" s="63">
        <v>253.91153862686704</v>
      </c>
      <c r="E3641" s="79">
        <v>1372409</v>
      </c>
      <c r="F3641" s="80">
        <v>1341709.176470588</v>
      </c>
      <c r="G3641" s="66">
        <v>1455.8915371200701</v>
      </c>
      <c r="H3641" s="67">
        <v>1</v>
      </c>
      <c r="I3641" s="68" t="s">
        <v>20</v>
      </c>
      <c r="J3641" s="69">
        <v>40</v>
      </c>
      <c r="K3641" s="70">
        <v>1</v>
      </c>
      <c r="L3641" s="68">
        <v>1</v>
      </c>
      <c r="M3641" s="68">
        <f>_xlfn.XLOOKUP(Survey!$F3641,sections[Start],sections[Test Section],,-1,1)</f>
        <v>9</v>
      </c>
      <c r="N3641" s="55">
        <f>_xlfn.XLOOKUP(Survey!$K3641,pipedata[ID],pipedata[WT])</f>
        <v>0.61699999999999999</v>
      </c>
      <c r="O3641" s="56">
        <f>_xlfn.XLOOKUP(Survey!$K3641,pipedata[ID],pipedata[104%])</f>
        <v>2138.9333333333334</v>
      </c>
      <c r="P3641" s="57">
        <f t="shared" si="56"/>
        <v>1850</v>
      </c>
      <c r="Q3641" s="58">
        <f>_xlfn.MAXIFS(Survey!$G$2:$G$3647,Survey!$M$2:$M$3647,Survey!$M3641)-Survey!$G3641</f>
        <v>610.44860918535142</v>
      </c>
      <c r="R3641" s="59">
        <f>Survey!$P3641+(Survey!$Q3641*0.433)</f>
        <v>2114.3242477772574</v>
      </c>
    </row>
    <row r="3642" spans="1:18" x14ac:dyDescent="0.25">
      <c r="A3642" s="71" t="s">
        <v>17</v>
      </c>
      <c r="B3642" s="72" t="s">
        <v>23</v>
      </c>
      <c r="C3642" s="73" t="s">
        <v>19</v>
      </c>
      <c r="D3642" s="74">
        <v>253.91898867440787</v>
      </c>
      <c r="E3642" s="81">
        <v>1372449</v>
      </c>
      <c r="F3642" s="82">
        <v>1341748.5686274506</v>
      </c>
      <c r="G3642" s="75">
        <v>1467.9783291213214</v>
      </c>
      <c r="H3642" s="76">
        <v>1</v>
      </c>
      <c r="I3642" s="54" t="s">
        <v>20</v>
      </c>
      <c r="J3642" s="77">
        <v>40</v>
      </c>
      <c r="K3642" s="78">
        <v>1</v>
      </c>
      <c r="L3642" s="54">
        <v>1</v>
      </c>
      <c r="M3642" s="54">
        <f>_xlfn.XLOOKUP(Survey!$F3642,sections[Start],sections[Test Section],,-1,1)</f>
        <v>9</v>
      </c>
      <c r="N3642" s="55">
        <f>_xlfn.XLOOKUP(Survey!$K3642,pipedata[ID],pipedata[WT])</f>
        <v>0.61699999999999999</v>
      </c>
      <c r="O3642" s="56">
        <f>_xlfn.XLOOKUP(Survey!$K3642,pipedata[ID],pipedata[104%])</f>
        <v>2138.9333333333334</v>
      </c>
      <c r="P3642" s="57">
        <f t="shared" si="56"/>
        <v>1850</v>
      </c>
      <c r="Q3642" s="58">
        <f>_xlfn.MAXIFS(Survey!$G$2:$G$3647,Survey!$M$2:$M$3647,Survey!$M3642)-Survey!$G3642</f>
        <v>598.36181718410012</v>
      </c>
      <c r="R3642" s="59">
        <f>Survey!$P3642+(Survey!$Q3642*0.433)</f>
        <v>2109.0906668407151</v>
      </c>
    </row>
    <row r="3643" spans="1:18" x14ac:dyDescent="0.25">
      <c r="A3643" s="60" t="s">
        <v>17</v>
      </c>
      <c r="B3643" s="61" t="s">
        <v>23</v>
      </c>
      <c r="C3643" s="62" t="s">
        <v>19</v>
      </c>
      <c r="D3643" s="63">
        <v>253.92643872194836</v>
      </c>
      <c r="E3643" s="79">
        <v>1372489</v>
      </c>
      <c r="F3643" s="80">
        <v>1341787.9607843133</v>
      </c>
      <c r="G3643" s="66">
        <v>1475.0325420975537</v>
      </c>
      <c r="H3643" s="67">
        <v>1</v>
      </c>
      <c r="I3643" s="68" t="s">
        <v>20</v>
      </c>
      <c r="J3643" s="69">
        <v>40</v>
      </c>
      <c r="K3643" s="70">
        <v>1</v>
      </c>
      <c r="L3643" s="68">
        <v>1</v>
      </c>
      <c r="M3643" s="68">
        <f>_xlfn.XLOOKUP(Survey!$F3643,sections[Start],sections[Test Section],,-1,1)</f>
        <v>9</v>
      </c>
      <c r="N3643" s="55">
        <f>_xlfn.XLOOKUP(Survey!$K3643,pipedata[ID],pipedata[WT])</f>
        <v>0.61699999999999999</v>
      </c>
      <c r="O3643" s="56">
        <f>_xlfn.XLOOKUP(Survey!$K3643,pipedata[ID],pipedata[104%])</f>
        <v>2138.9333333333334</v>
      </c>
      <c r="P3643" s="57">
        <f t="shared" si="56"/>
        <v>1850</v>
      </c>
      <c r="Q3643" s="58">
        <f>_xlfn.MAXIFS(Survey!$G$2:$G$3647,Survey!$M$2:$M$3647,Survey!$M3643)-Survey!$G3643</f>
        <v>591.30760420786783</v>
      </c>
      <c r="R3643" s="59">
        <f>Survey!$P3643+(Survey!$Q3643*0.433)</f>
        <v>2106.0361926220066</v>
      </c>
    </row>
    <row r="3644" spans="1:18" x14ac:dyDescent="0.25">
      <c r="A3644" s="71" t="s">
        <v>17</v>
      </c>
      <c r="B3644" s="72" t="s">
        <v>23</v>
      </c>
      <c r="C3644" s="73" t="s">
        <v>19</v>
      </c>
      <c r="D3644" s="74">
        <v>253.93388876948919</v>
      </c>
      <c r="E3644" s="81">
        <v>1372529</v>
      </c>
      <c r="F3644" s="82">
        <v>1341827.3529411759</v>
      </c>
      <c r="G3644" s="75">
        <v>1481.4736467361661</v>
      </c>
      <c r="H3644" s="76">
        <v>1</v>
      </c>
      <c r="I3644" s="54" t="s">
        <v>20</v>
      </c>
      <c r="J3644" s="77">
        <v>40</v>
      </c>
      <c r="K3644" s="78">
        <v>1</v>
      </c>
      <c r="L3644" s="54">
        <v>1</v>
      </c>
      <c r="M3644" s="54">
        <f>_xlfn.XLOOKUP(Survey!$F3644,sections[Start],sections[Test Section],,-1,1)</f>
        <v>9</v>
      </c>
      <c r="N3644" s="55">
        <f>_xlfn.XLOOKUP(Survey!$K3644,pipedata[ID],pipedata[WT])</f>
        <v>0.61699999999999999</v>
      </c>
      <c r="O3644" s="56">
        <f>_xlfn.XLOOKUP(Survey!$K3644,pipedata[ID],pipedata[104%])</f>
        <v>2138.9333333333334</v>
      </c>
      <c r="P3644" s="57">
        <f t="shared" si="56"/>
        <v>1850</v>
      </c>
      <c r="Q3644" s="58">
        <f>_xlfn.MAXIFS(Survey!$G$2:$G$3647,Survey!$M$2:$M$3647,Survey!$M3644)-Survey!$G3644</f>
        <v>584.86649956925544</v>
      </c>
      <c r="R3644" s="59">
        <f>Survey!$P3644+(Survey!$Q3644*0.433)</f>
        <v>2103.2471943134874</v>
      </c>
    </row>
    <row r="3645" spans="1:18" x14ac:dyDescent="0.25">
      <c r="A3645" s="60" t="s">
        <v>17</v>
      </c>
      <c r="B3645" s="61" t="s">
        <v>23</v>
      </c>
      <c r="C3645" s="62" t="s">
        <v>19</v>
      </c>
      <c r="D3645" s="63">
        <v>253.9415237513374</v>
      </c>
      <c r="E3645" s="79">
        <v>1372569</v>
      </c>
      <c r="F3645" s="80">
        <v>1341866.7450980386</v>
      </c>
      <c r="G3645" s="66">
        <v>1484.75239697589</v>
      </c>
      <c r="H3645" s="67">
        <v>1</v>
      </c>
      <c r="I3645" s="68" t="s">
        <v>20</v>
      </c>
      <c r="J3645" s="69">
        <v>40</v>
      </c>
      <c r="K3645" s="70">
        <v>1</v>
      </c>
      <c r="L3645" s="68">
        <v>1</v>
      </c>
      <c r="M3645" s="68">
        <f>_xlfn.XLOOKUP(Survey!$F3645,sections[Start],sections[Test Section],,-1,1)</f>
        <v>9</v>
      </c>
      <c r="N3645" s="55">
        <f>_xlfn.XLOOKUP(Survey!$K3645,pipedata[ID],pipedata[WT])</f>
        <v>0.61699999999999999</v>
      </c>
      <c r="O3645" s="56">
        <f>_xlfn.XLOOKUP(Survey!$K3645,pipedata[ID],pipedata[104%])</f>
        <v>2138.9333333333334</v>
      </c>
      <c r="P3645" s="57">
        <f t="shared" si="56"/>
        <v>1850</v>
      </c>
      <c r="Q3645" s="58">
        <f>_xlfn.MAXIFS(Survey!$G$2:$G$3647,Survey!$M$2:$M$3647,Survey!$M3645)-Survey!$G3645</f>
        <v>581.58774932953156</v>
      </c>
      <c r="R3645" s="59">
        <f>Survey!$P3645+(Survey!$Q3645*0.433)</f>
        <v>2101.8274954596873</v>
      </c>
    </row>
    <row r="3646" spans="1:18" x14ac:dyDescent="0.25">
      <c r="A3646" s="71" t="s">
        <v>17</v>
      </c>
      <c r="B3646" s="72" t="s">
        <v>23</v>
      </c>
      <c r="C3646" s="73" t="s">
        <v>19</v>
      </c>
      <c r="D3646" s="74">
        <v>253.94878886457079</v>
      </c>
      <c r="E3646" s="81">
        <v>1372609</v>
      </c>
      <c r="F3646" s="82">
        <v>1341906.1372549012</v>
      </c>
      <c r="G3646" s="75">
        <v>1485.7948498555309</v>
      </c>
      <c r="H3646" s="76">
        <v>1</v>
      </c>
      <c r="I3646" s="54" t="s">
        <v>20</v>
      </c>
      <c r="J3646" s="77">
        <v>40</v>
      </c>
      <c r="K3646" s="78">
        <v>1</v>
      </c>
      <c r="L3646" s="54">
        <v>1</v>
      </c>
      <c r="M3646" s="54">
        <f>_xlfn.XLOOKUP(Survey!$F3646,sections[Start],sections[Test Section],,-1,1)</f>
        <v>9</v>
      </c>
      <c r="N3646" s="55">
        <f>_xlfn.XLOOKUP(Survey!$K3646,pipedata[ID],pipedata[WT])</f>
        <v>0.61699999999999999</v>
      </c>
      <c r="O3646" s="56">
        <f>_xlfn.XLOOKUP(Survey!$K3646,pipedata[ID],pipedata[104%])</f>
        <v>2138.9333333333334</v>
      </c>
      <c r="P3646" s="57">
        <f t="shared" si="56"/>
        <v>1850</v>
      </c>
      <c r="Q3646" s="58">
        <f>_xlfn.MAXIFS(Survey!$G$2:$G$3647,Survey!$M$2:$M$3647,Survey!$M3646)-Survey!$G3646</f>
        <v>580.54529644989066</v>
      </c>
      <c r="R3646" s="59">
        <f>Survey!$P3646+(Survey!$Q3646*0.433)</f>
        <v>2101.3761133628027</v>
      </c>
    </row>
    <row r="3647" spans="1:18" x14ac:dyDescent="0.25">
      <c r="A3647" s="83" t="s">
        <v>17</v>
      </c>
      <c r="B3647" s="84" t="s">
        <v>23</v>
      </c>
      <c r="C3647" s="85" t="s">
        <v>19</v>
      </c>
      <c r="D3647" s="86">
        <v>253.95623891211201</v>
      </c>
      <c r="E3647" s="87">
        <v>1372649</v>
      </c>
      <c r="F3647" s="88">
        <v>1341945.5294117639</v>
      </c>
      <c r="G3647" s="89">
        <v>1485.3123292851187</v>
      </c>
      <c r="H3647" s="90">
        <v>1</v>
      </c>
      <c r="I3647" s="91" t="s">
        <v>20</v>
      </c>
      <c r="J3647" s="92">
        <v>40</v>
      </c>
      <c r="K3647" s="93">
        <v>1</v>
      </c>
      <c r="L3647" s="91">
        <v>1</v>
      </c>
      <c r="M3647" s="91">
        <f>_xlfn.XLOOKUP(Survey!$F3647,sections[Start],sections[Test Section],,-1,1)</f>
        <v>9</v>
      </c>
      <c r="N3647" s="94">
        <f>_xlfn.XLOOKUP(Survey!$K3647,pipedata[ID],pipedata[WT])</f>
        <v>0.61699999999999999</v>
      </c>
      <c r="O3647" s="95">
        <f>_xlfn.XLOOKUP(Survey!$K3647,pipedata[ID],pipedata[104%])</f>
        <v>2138.9333333333334</v>
      </c>
      <c r="P3647" s="96">
        <f t="shared" si="56"/>
        <v>1850</v>
      </c>
      <c r="Q3647" s="27">
        <f>_xlfn.MAXIFS(Survey!$G$2:$G$3647,Survey!$M$2:$M$3647,Survey!$M3647)-Survey!$G3647</f>
        <v>581.02781702030279</v>
      </c>
      <c r="R3647" s="3">
        <f>Survey!$P3647+(Survey!$Q3647*0.433)</f>
        <v>2101.5850447697912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22F3-ABBC-41FB-A4B9-B21BA193879C}">
  <dimension ref="A1:N10"/>
  <sheetViews>
    <sheetView workbookViewId="0">
      <selection activeCell="C2" sqref="C2"/>
    </sheetView>
  </sheetViews>
  <sheetFormatPr defaultRowHeight="15" x14ac:dyDescent="0.25"/>
  <cols>
    <col min="1" max="1" width="14.28515625" customWidth="1"/>
    <col min="2" max="3" width="9.140625" style="5"/>
    <col min="4" max="4" width="11" style="5" customWidth="1"/>
    <col min="5" max="5" width="9.85546875" style="5" customWidth="1"/>
    <col min="6" max="6" width="14.7109375" style="5" customWidth="1"/>
    <col min="7" max="7" width="19.140625" style="6" customWidth="1"/>
    <col min="8" max="8" width="14.5703125" style="5" customWidth="1"/>
    <col min="9" max="9" width="14" style="5" customWidth="1"/>
    <col min="10" max="10" width="15.85546875" style="5" customWidth="1"/>
    <col min="11" max="11" width="14.7109375" customWidth="1"/>
    <col min="12" max="12" width="19.5703125" customWidth="1"/>
    <col min="13" max="13" width="11" style="17" customWidth="1"/>
    <col min="14" max="14" width="15.85546875" style="17" customWidth="1"/>
  </cols>
  <sheetData>
    <row r="1" spans="1:14" x14ac:dyDescent="0.25">
      <c r="A1" t="s">
        <v>24</v>
      </c>
      <c r="B1" s="5" t="s">
        <v>25</v>
      </c>
      <c r="C1" s="5" t="s">
        <v>26</v>
      </c>
      <c r="D1" s="5" t="s">
        <v>28</v>
      </c>
      <c r="E1" s="5" t="s">
        <v>29</v>
      </c>
      <c r="F1" s="5" t="s">
        <v>30</v>
      </c>
      <c r="G1" s="6" t="s">
        <v>27</v>
      </c>
      <c r="H1" s="5" t="s">
        <v>31</v>
      </c>
      <c r="I1" s="5" t="s">
        <v>32</v>
      </c>
      <c r="J1" s="5" t="s">
        <v>37</v>
      </c>
      <c r="K1" s="5" t="s">
        <v>33</v>
      </c>
      <c r="L1" s="5" t="s">
        <v>34</v>
      </c>
      <c r="M1" s="17" t="s">
        <v>35</v>
      </c>
      <c r="N1" s="17" t="s">
        <v>36</v>
      </c>
    </row>
    <row r="2" spans="1:14" x14ac:dyDescent="0.25">
      <c r="A2" s="7">
        <v>1</v>
      </c>
      <c r="B2" s="8">
        <v>1200495</v>
      </c>
      <c r="C2" s="8">
        <v>1218848</v>
      </c>
      <c r="D2" s="8">
        <v>1218848</v>
      </c>
      <c r="E2" s="8">
        <v>1200495</v>
      </c>
      <c r="F2" s="8">
        <v>1218848.0859241362</v>
      </c>
      <c r="G2" s="9">
        <v>1850</v>
      </c>
      <c r="H2" s="10">
        <f>_xlfn.MAXIFS(Survey!G:G,Survey!F:F,"&gt;="&amp;TSInputs!B2,Survey!F:F,"&lt;="&amp;TSInputs!C2)</f>
        <v>2354.1500875877655</v>
      </c>
      <c r="I2" s="10">
        <f>_xlfn.MINIFS(Survey!G:G,Survey!F:F,"&gt;="&amp;TSInputs!B2,Survey!F:F,"&lt;="&amp;TSInputs!C2)</f>
        <v>1312.7686381225567</v>
      </c>
      <c r="J2" s="10">
        <f>_xlfn.XLOOKUP(D2,Survey!F:F,Survey!G:G,,1)</f>
        <v>1310.51</v>
      </c>
      <c r="K2" s="11">
        <f>_xlfn.XLOOKUP(E2,Survey!F:F,Survey!G:G,,1)</f>
        <v>1581.2958003040851</v>
      </c>
      <c r="L2" s="11">
        <f>_xlfn.XLOOKUP(F2,Survey!F:F,Survey!G:G,,1)</f>
        <v>1310.51</v>
      </c>
      <c r="M2" s="18">
        <f t="shared" ref="M2:M10" si="0">(H2-J2)*0.433</f>
        <v>451.89615792550245</v>
      </c>
      <c r="N2" s="18">
        <f t="shared" ref="N2:N7" si="1">(H2-J2)*0.433</f>
        <v>451.89615792550245</v>
      </c>
    </row>
    <row r="3" spans="1:14" x14ac:dyDescent="0.25">
      <c r="A3" s="12">
        <v>2</v>
      </c>
      <c r="B3" s="13">
        <v>1218848</v>
      </c>
      <c r="C3" s="13">
        <v>1240940</v>
      </c>
      <c r="D3" s="13">
        <v>1237450</v>
      </c>
      <c r="E3" s="13">
        <v>1237450</v>
      </c>
      <c r="F3" s="13">
        <v>1218848</v>
      </c>
      <c r="G3" s="14">
        <v>1850</v>
      </c>
      <c r="H3" s="15">
        <f>_xlfn.MAXIFS(Survey!G:G,Survey!F:F,"&gt;="&amp;TSInputs!B3,Survey!F:F,"&lt;="&amp;TSInputs!C3)</f>
        <v>2763.6662442017423</v>
      </c>
      <c r="I3" s="15">
        <f>_xlfn.MINIFS(Survey!G:G,Survey!F:F,"&gt;="&amp;TSInputs!B3,Survey!F:F,"&lt;="&amp;TSInputs!C3)</f>
        <v>1264.7654212956131</v>
      </c>
      <c r="J3" s="15">
        <f>_xlfn.XLOOKUP(D3,Survey!F:F,Survey!G:G,,1)</f>
        <v>1313.5066357870828</v>
      </c>
      <c r="K3" s="16">
        <f>_xlfn.XLOOKUP(E3,Survey!F:F,Survey!G:G,,1)</f>
        <v>1313.5066357870828</v>
      </c>
      <c r="L3" s="16">
        <f>_xlfn.XLOOKUP(F3,Survey!F:F,Survey!G:G,,1)</f>
        <v>1310.51</v>
      </c>
      <c r="M3" s="19">
        <f t="shared" si="0"/>
        <v>627.91911044354754</v>
      </c>
      <c r="N3" s="19">
        <f t="shared" si="1"/>
        <v>627.91911044354754</v>
      </c>
    </row>
    <row r="4" spans="1:14" x14ac:dyDescent="0.25">
      <c r="A4" s="12">
        <v>3</v>
      </c>
      <c r="B4" s="13">
        <v>1240940</v>
      </c>
      <c r="C4" s="13">
        <v>1244521</v>
      </c>
      <c r="D4" s="13">
        <v>1240940</v>
      </c>
      <c r="E4" s="13">
        <v>1240940</v>
      </c>
      <c r="F4" s="13">
        <v>1244521</v>
      </c>
      <c r="G4" s="14">
        <v>1850</v>
      </c>
      <c r="H4" s="15">
        <f>_xlfn.MAXIFS(Survey!G:G,Survey!F:F,"&gt;="&amp;TSInputs!B4,Survey!F:F,"&lt;="&amp;TSInputs!C4)</f>
        <v>1377.8847966834783</v>
      </c>
      <c r="I4" s="15">
        <f>_xlfn.MINIFS(Survey!G:G,Survey!F:F,"&gt;="&amp;TSInputs!B4,Survey!F:F,"&lt;="&amp;TSInputs!C4)</f>
        <v>1165.7219601388238</v>
      </c>
      <c r="J4" s="15">
        <f>_xlfn.XLOOKUP(D4,Survey!F:F,Survey!G:G,,1)</f>
        <v>1377.8847966834783</v>
      </c>
      <c r="K4" s="16">
        <f>_xlfn.XLOOKUP(E4,Survey!F:F,Survey!G:G,,1)</f>
        <v>1377.8847966834783</v>
      </c>
      <c r="L4" s="16">
        <f>_xlfn.XLOOKUP(F4,Survey!F:F,Survey!G:G,,1)</f>
        <v>1218.8918399261186</v>
      </c>
      <c r="M4" s="19">
        <f t="shared" si="0"/>
        <v>0</v>
      </c>
      <c r="N4" s="19">
        <f t="shared" si="1"/>
        <v>0</v>
      </c>
    </row>
    <row r="5" spans="1:14" x14ac:dyDescent="0.25">
      <c r="A5" s="12">
        <v>4</v>
      </c>
      <c r="B5" s="13">
        <v>1244521</v>
      </c>
      <c r="C5" s="13">
        <v>1248271</v>
      </c>
      <c r="D5" s="13">
        <v>1244521</v>
      </c>
      <c r="E5" s="13">
        <v>1248271</v>
      </c>
      <c r="F5" s="13">
        <v>1248271</v>
      </c>
      <c r="G5" s="14">
        <v>1850</v>
      </c>
      <c r="H5" s="15">
        <f>_xlfn.MAXIFS(Survey!G:G,Survey!F:F,"&gt;="&amp;TSInputs!B5,Survey!F:F,"&lt;="&amp;TSInputs!C5)</f>
        <v>1571.8150586256081</v>
      </c>
      <c r="I5" s="15">
        <f>_xlfn.MINIFS(Survey!G:G,Survey!F:F,"&gt;="&amp;TSInputs!B5,Survey!F:F,"&lt;="&amp;TSInputs!C5)</f>
        <v>1212.8204549822403</v>
      </c>
      <c r="J5" s="15">
        <f>_xlfn.XLOOKUP(D5,Survey!F:F,Survey!G:G,,1)</f>
        <v>1218.8918399261186</v>
      </c>
      <c r="K5" s="16">
        <f>_xlfn.XLOOKUP(E5,Survey!F:F,Survey!G:G,,1)</f>
        <v>1542.8530050537715</v>
      </c>
      <c r="L5" s="16">
        <f>_xlfn.XLOOKUP(F5,Survey!F:F,Survey!G:G,,1)</f>
        <v>1542.8530050537715</v>
      </c>
      <c r="M5" s="19">
        <f t="shared" si="0"/>
        <v>152.81575369687897</v>
      </c>
      <c r="N5" s="19">
        <f t="shared" si="1"/>
        <v>152.81575369687897</v>
      </c>
    </row>
    <row r="6" spans="1:14" x14ac:dyDescent="0.25">
      <c r="A6" s="12">
        <v>5</v>
      </c>
      <c r="B6" s="13">
        <v>1248271</v>
      </c>
      <c r="C6" s="13">
        <v>1269063</v>
      </c>
      <c r="D6" s="13">
        <v>1248271</v>
      </c>
      <c r="E6" s="13">
        <v>1248271</v>
      </c>
      <c r="F6" s="13">
        <v>1248271</v>
      </c>
      <c r="G6" s="14">
        <v>1850</v>
      </c>
      <c r="H6" s="15">
        <f>_xlfn.MAXIFS(Survey!G:G,Survey!F:F,"&gt;="&amp;TSInputs!B6,Survey!F:F,"&lt;="&amp;TSInputs!C6)</f>
        <v>3735.3768393252712</v>
      </c>
      <c r="I6" s="15">
        <f>_xlfn.MINIFS(Survey!G:G,Survey!F:F,"&gt;="&amp;TSInputs!B6,Survey!F:F,"&lt;="&amp;TSInputs!C6)</f>
        <v>1481.4738510501675</v>
      </c>
      <c r="J6" s="15">
        <f>_xlfn.XLOOKUP(D6,Survey!F:F,Survey!G:G,,1)</f>
        <v>1542.8530050537715</v>
      </c>
      <c r="K6" s="16">
        <f>_xlfn.XLOOKUP(E6,Survey!F:F,Survey!G:G,,1)</f>
        <v>1542.8530050537715</v>
      </c>
      <c r="L6" s="16">
        <f>_xlfn.XLOOKUP(F6,Survey!F:F,Survey!G:G,,1)</f>
        <v>1542.8530050537715</v>
      </c>
      <c r="M6" s="19">
        <f t="shared" si="0"/>
        <v>949.36282023955937</v>
      </c>
      <c r="N6" s="19">
        <f t="shared" si="1"/>
        <v>949.36282023955937</v>
      </c>
    </row>
    <row r="7" spans="1:14" x14ac:dyDescent="0.25">
      <c r="A7" s="12">
        <v>6</v>
      </c>
      <c r="B7" s="13">
        <v>1269063</v>
      </c>
      <c r="C7" s="13">
        <v>1289484</v>
      </c>
      <c r="D7" s="13">
        <v>1289484</v>
      </c>
      <c r="E7" s="13">
        <v>1289484</v>
      </c>
      <c r="F7" s="13">
        <v>1269063</v>
      </c>
      <c r="G7" s="14">
        <v>1850</v>
      </c>
      <c r="H7" s="15">
        <f>_xlfn.MAXIFS(Survey!G:G,Survey!F:F,"&gt;="&amp;TSInputs!B7,Survey!F:F,"&lt;="&amp;TSInputs!C7)</f>
        <v>3734.4246402284166</v>
      </c>
      <c r="I7" s="15">
        <f>_xlfn.MINIFS(Survey!G:G,Survey!F:F,"&gt;="&amp;TSInputs!B7,Survey!F:F,"&lt;="&amp;TSInputs!C7)</f>
        <v>2604.5758079962247</v>
      </c>
      <c r="J7" s="15">
        <f>_xlfn.XLOOKUP(D7,Survey!F:F,Survey!G:G,,1)</f>
        <v>2618.209645588996</v>
      </c>
      <c r="K7" s="16">
        <f>_xlfn.XLOOKUP(E7,Survey!F:F,Survey!G:G,,1)</f>
        <v>2618.209645588996</v>
      </c>
      <c r="L7" s="16">
        <f>_xlfn.XLOOKUP(F7,Survey!F:F,Survey!G:G,,1)</f>
        <v>3734.4246402284166</v>
      </c>
      <c r="M7" s="19">
        <f t="shared" si="0"/>
        <v>483.32109267886915</v>
      </c>
      <c r="N7" s="19">
        <f t="shared" si="1"/>
        <v>483.32109267886915</v>
      </c>
    </row>
    <row r="8" spans="1:14" x14ac:dyDescent="0.25">
      <c r="A8" s="12">
        <v>7</v>
      </c>
      <c r="B8" s="13">
        <v>1289484</v>
      </c>
      <c r="C8" s="13">
        <v>1303339</v>
      </c>
      <c r="D8" s="13">
        <v>1303339</v>
      </c>
      <c r="E8" s="13">
        <v>1303339</v>
      </c>
      <c r="F8" s="13">
        <v>1289484</v>
      </c>
      <c r="G8" s="14">
        <v>1850</v>
      </c>
      <c r="H8" s="15">
        <f>_xlfn.MAXIFS(Survey!G:G,Survey!F:F,"&gt;="&amp;TSInputs!B8,Survey!F:F,"&lt;="&amp;TSInputs!C8)</f>
        <v>2834.9737774139739</v>
      </c>
      <c r="I8" s="15">
        <f>_xlfn.MINIFS(Survey!G:G,Survey!F:F,"&gt;="&amp;TSInputs!B8,Survey!F:F,"&lt;="&amp;TSInputs!C8)</f>
        <v>2552.296951394896</v>
      </c>
      <c r="J8" s="15">
        <f>_xlfn.XLOOKUP(D8,Survey!F:F,Survey!G:G,,1)</f>
        <v>2723.7582782976574</v>
      </c>
      <c r="K8" s="16">
        <f>_xlfn.XLOOKUP(E8,Survey!F:F,Survey!G:G,,1)</f>
        <v>2723.7582782976574</v>
      </c>
      <c r="L8" s="16">
        <f>_xlfn.XLOOKUP(F8,Survey!F:F,Survey!G:G,,1)</f>
        <v>2618.209645588996</v>
      </c>
      <c r="M8" s="19">
        <f t="shared" si="0"/>
        <v>48.156311117365064</v>
      </c>
      <c r="N8" s="19">
        <f>(H8-J8)*0.433</f>
        <v>48.156311117365064</v>
      </c>
    </row>
    <row r="9" spans="1:14" x14ac:dyDescent="0.25">
      <c r="A9" s="12">
        <v>8</v>
      </c>
      <c r="B9" s="13">
        <v>1303339</v>
      </c>
      <c r="C9" s="13">
        <v>1319661</v>
      </c>
      <c r="D9" s="13">
        <v>1319661</v>
      </c>
      <c r="E9" s="13">
        <v>1319661</v>
      </c>
      <c r="F9" s="13">
        <v>1303339</v>
      </c>
      <c r="G9" s="14">
        <v>1850</v>
      </c>
      <c r="H9" s="15">
        <f>_xlfn.MAXIFS(Survey!G:G,Survey!F:F,"&gt;="&amp;TSInputs!B9,Survey!F:F,"&lt;="&amp;TSInputs!C9)</f>
        <v>3187.7094928178699</v>
      </c>
      <c r="I9" s="15">
        <f>_xlfn.MINIFS(Survey!G:G,Survey!F:F,"&gt;="&amp;TSInputs!B9,Survey!F:F,"&lt;="&amp;TSInputs!C9)</f>
        <v>1432.9109500617105</v>
      </c>
      <c r="J9" s="15">
        <f>_xlfn.XLOOKUP(D9,Survey!F:F,Survey!G:G,,1)</f>
        <v>1433.7684093357047</v>
      </c>
      <c r="K9" s="16">
        <f>_xlfn.XLOOKUP(E9,Survey!F:F,Survey!G:G,,1)</f>
        <v>1433.7684093357047</v>
      </c>
      <c r="L9" s="16">
        <f>_xlfn.XLOOKUP(F9,Survey!F:F,Survey!G:G,,1)</f>
        <v>2723.7582782976574</v>
      </c>
      <c r="M9" s="19">
        <f t="shared" si="0"/>
        <v>759.45648914777746</v>
      </c>
      <c r="N9" s="19">
        <f>(H9-J9)*0.433</f>
        <v>759.45648914777746</v>
      </c>
    </row>
    <row r="10" spans="1:14" x14ac:dyDescent="0.25">
      <c r="A10" s="12">
        <v>9</v>
      </c>
      <c r="B10" s="13">
        <v>1319661</v>
      </c>
      <c r="C10" s="13">
        <v>1341511</v>
      </c>
      <c r="D10" s="13">
        <v>1341511</v>
      </c>
      <c r="E10" s="13">
        <v>1341511</v>
      </c>
      <c r="F10" s="13">
        <v>1319661</v>
      </c>
      <c r="G10" s="14">
        <v>1850</v>
      </c>
      <c r="H10" s="15">
        <f>_xlfn.MAXIFS(Survey!G:G,Survey!F:F,"&gt;="&amp;TSInputs!B10,Survey!F:F,"&lt;="&amp;TSInputs!C10)</f>
        <v>2066.3401463054215</v>
      </c>
      <c r="I10" s="15">
        <f>_xlfn.MINIFS(Survey!G:G,Survey!F:F,"&gt;="&amp;TSInputs!B10,Survey!F:F,"&lt;="&amp;TSInputs!C10)</f>
        <v>1373.041598595418</v>
      </c>
      <c r="J10" s="15">
        <f>_xlfn.XLOOKUP(D10,Survey!F:F,Survey!G:G,,1)</f>
        <v>1438.502003913097</v>
      </c>
      <c r="K10" s="16">
        <f>_xlfn.XLOOKUP(E10,Survey!F:F,Survey!G:G,,1)</f>
        <v>1438.502003913097</v>
      </c>
      <c r="L10" s="16">
        <f>_xlfn.XLOOKUP(F10,Survey!F:F,Survey!G:G,,1)</f>
        <v>1433.7684093357047</v>
      </c>
      <c r="M10" s="19">
        <f t="shared" si="0"/>
        <v>271.85391565587651</v>
      </c>
      <c r="N10" s="19">
        <f>(H10-J10)*0.433</f>
        <v>271.85391565587651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FF5B-EF9C-409F-9905-3B5C89622D2D}">
  <dimension ref="A1:Y37"/>
  <sheetViews>
    <sheetView workbookViewId="0">
      <selection activeCell="F2" sqref="F2"/>
    </sheetView>
  </sheetViews>
  <sheetFormatPr defaultRowHeight="15" x14ac:dyDescent="0.25"/>
  <sheetData>
    <row r="1" spans="1:2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s="28" t="s">
        <v>46</v>
      </c>
    </row>
    <row r="2" spans="1:25" x14ac:dyDescent="0.25">
      <c r="A2">
        <v>1</v>
      </c>
      <c r="B2">
        <v>0.61699999999999999</v>
      </c>
      <c r="C2">
        <v>42</v>
      </c>
      <c r="D2">
        <v>70000</v>
      </c>
      <c r="E2">
        <f>2*D2*B2/C2</f>
        <v>2056.6666666666665</v>
      </c>
      <c r="F2">
        <f>pipedata[[#This Row],[SMYS]]*1.04</f>
        <v>2138.9333333333334</v>
      </c>
    </row>
    <row r="3" spans="1:25" x14ac:dyDescent="0.25">
      <c r="A3">
        <v>2</v>
      </c>
      <c r="B3">
        <v>0.74</v>
      </c>
      <c r="C3">
        <v>42</v>
      </c>
      <c r="D3">
        <v>70000</v>
      </c>
      <c r="E3">
        <f t="shared" ref="E3:E10" si="0">2*D3*B3/C3</f>
        <v>2466.6666666666665</v>
      </c>
      <c r="F3">
        <f>pipedata[[#This Row],[SMYS]]*1.04</f>
        <v>2565.3333333333335</v>
      </c>
    </row>
    <row r="4" spans="1:25" x14ac:dyDescent="0.25">
      <c r="A4">
        <v>3</v>
      </c>
      <c r="B4">
        <v>0.88800000000000001</v>
      </c>
      <c r="C4">
        <v>42</v>
      </c>
      <c r="D4">
        <v>70000</v>
      </c>
      <c r="E4">
        <f t="shared" si="0"/>
        <v>2960</v>
      </c>
      <c r="F4">
        <f>pipedata[[#This Row],[SMYS]]*1.04</f>
        <v>3078.4</v>
      </c>
    </row>
    <row r="5" spans="1:25" x14ac:dyDescent="0.25">
      <c r="A5">
        <v>4</v>
      </c>
      <c r="B5">
        <v>0.74</v>
      </c>
      <c r="C5">
        <v>42</v>
      </c>
      <c r="D5">
        <v>70000</v>
      </c>
      <c r="E5">
        <f t="shared" si="0"/>
        <v>2466.6666666666665</v>
      </c>
      <c r="F5">
        <f>pipedata[[#This Row],[SMYS]]*1.04</f>
        <v>2565.3333333333335</v>
      </c>
    </row>
    <row r="6" spans="1:25" x14ac:dyDescent="0.25">
      <c r="A6">
        <v>5</v>
      </c>
      <c r="B6">
        <v>0.88800000000000001</v>
      </c>
      <c r="C6">
        <v>42</v>
      </c>
      <c r="D6">
        <v>70000</v>
      </c>
      <c r="E6">
        <f t="shared" si="0"/>
        <v>2960</v>
      </c>
      <c r="F6">
        <f>pipedata[[#This Row],[SMYS]]*1.04</f>
        <v>3078.4</v>
      </c>
    </row>
    <row r="7" spans="1:25" x14ac:dyDescent="0.25">
      <c r="A7">
        <v>6</v>
      </c>
      <c r="B7">
        <v>0.61699999999999999</v>
      </c>
      <c r="C7">
        <v>42</v>
      </c>
      <c r="D7">
        <v>70000</v>
      </c>
      <c r="E7">
        <f t="shared" si="0"/>
        <v>2056.6666666666665</v>
      </c>
      <c r="F7">
        <f>pipedata[[#This Row],[SMYS]]*1.04</f>
        <v>2138.9333333333334</v>
      </c>
    </row>
    <row r="8" spans="1:25" x14ac:dyDescent="0.25">
      <c r="A8">
        <v>7</v>
      </c>
      <c r="E8">
        <v>1480</v>
      </c>
      <c r="F8">
        <f>pipedata[[#This Row],[SMYS]]*1.04</f>
        <v>1539.2</v>
      </c>
    </row>
    <row r="9" spans="1:25" ht="15.75" thickBot="1" x14ac:dyDescent="0.3">
      <c r="A9">
        <v>8</v>
      </c>
      <c r="E9">
        <v>2220</v>
      </c>
      <c r="F9">
        <f>pipedata[[#This Row],[SMYS]]*1.04</f>
        <v>2308.8000000000002</v>
      </c>
    </row>
    <row r="10" spans="1:25" ht="15.75" thickBot="1" x14ac:dyDescent="0.3">
      <c r="A10">
        <v>9</v>
      </c>
      <c r="B10">
        <v>0.88800000000000001</v>
      </c>
      <c r="C10">
        <v>42</v>
      </c>
      <c r="D10">
        <v>70000</v>
      </c>
      <c r="E10">
        <f t="shared" si="0"/>
        <v>2960</v>
      </c>
      <c r="F10">
        <f>pipedata[[#This Row],[SMYS]]*1.04</f>
        <v>3078.4</v>
      </c>
      <c r="R10" s="29"/>
      <c r="S10" s="32" t="s">
        <v>43</v>
      </c>
      <c r="T10" s="33"/>
      <c r="U10" s="33"/>
      <c r="V10" s="33"/>
      <c r="W10" s="33"/>
      <c r="X10" s="33"/>
      <c r="Y10" s="34"/>
    </row>
    <row r="11" spans="1:25" ht="15.75" thickBot="1" x14ac:dyDescent="0.3">
      <c r="R11" s="30"/>
      <c r="S11" s="32" t="s">
        <v>44</v>
      </c>
      <c r="T11" s="33"/>
      <c r="U11" s="33"/>
      <c r="V11" s="33"/>
      <c r="W11" s="33"/>
      <c r="X11" s="33"/>
      <c r="Y11" s="34"/>
    </row>
    <row r="12" spans="1:25" ht="15.75" thickBot="1" x14ac:dyDescent="0.3">
      <c r="R12" s="31"/>
      <c r="S12" s="20">
        <v>150</v>
      </c>
      <c r="T12" s="20">
        <v>300</v>
      </c>
      <c r="U12" s="20">
        <v>400</v>
      </c>
      <c r="V12" s="20">
        <v>600</v>
      </c>
      <c r="W12" s="20">
        <v>900</v>
      </c>
      <c r="X12" s="20">
        <v>1500</v>
      </c>
      <c r="Y12" s="20">
        <v>2500</v>
      </c>
    </row>
    <row r="13" spans="1:25" ht="15.75" thickBot="1" x14ac:dyDescent="0.3">
      <c r="R13" s="22">
        <f>-29 - 38</f>
        <v>-67</v>
      </c>
      <c r="S13" s="21">
        <v>19.600000000000001</v>
      </c>
      <c r="T13" s="21">
        <v>51.1</v>
      </c>
      <c r="U13" s="21">
        <v>68.099999999999994</v>
      </c>
      <c r="V13" s="21">
        <v>102.1</v>
      </c>
      <c r="W13" s="21">
        <v>153.19999999999999</v>
      </c>
      <c r="X13" s="21">
        <v>255.3</v>
      </c>
      <c r="Y13" s="23">
        <v>425.5</v>
      </c>
    </row>
    <row r="14" spans="1:25" ht="15.75" thickBot="1" x14ac:dyDescent="0.3">
      <c r="R14" s="22">
        <v>50</v>
      </c>
      <c r="S14" s="21">
        <v>19.2</v>
      </c>
      <c r="T14" s="21">
        <v>50.1</v>
      </c>
      <c r="U14" s="21">
        <v>66.8</v>
      </c>
      <c r="V14" s="21">
        <v>100.2</v>
      </c>
      <c r="W14" s="21">
        <v>150.4</v>
      </c>
      <c r="X14" s="21">
        <v>250.6</v>
      </c>
      <c r="Y14" s="23">
        <v>417.7</v>
      </c>
    </row>
    <row r="15" spans="1:25" ht="15.75" thickBot="1" x14ac:dyDescent="0.3">
      <c r="R15" s="22">
        <v>100</v>
      </c>
      <c r="S15" s="21">
        <v>17.7</v>
      </c>
      <c r="T15" s="21">
        <v>46.6</v>
      </c>
      <c r="U15" s="21">
        <v>62.1</v>
      </c>
      <c r="V15" s="21">
        <v>93.2</v>
      </c>
      <c r="W15" s="21">
        <v>139.80000000000001</v>
      </c>
      <c r="X15" s="21">
        <v>233</v>
      </c>
      <c r="Y15" s="23">
        <v>388.3</v>
      </c>
    </row>
    <row r="16" spans="1:25" ht="15.75" thickBot="1" x14ac:dyDescent="0.3">
      <c r="R16" s="22">
        <v>150</v>
      </c>
      <c r="S16" s="21">
        <v>15.8</v>
      </c>
      <c r="T16" s="21">
        <v>45.1</v>
      </c>
      <c r="U16" s="21">
        <v>60.1</v>
      </c>
      <c r="V16" s="21">
        <v>90.2</v>
      </c>
      <c r="W16" s="21">
        <v>135.19999999999999</v>
      </c>
      <c r="X16" s="21">
        <v>225.4</v>
      </c>
      <c r="Y16" s="23">
        <v>375.6</v>
      </c>
    </row>
    <row r="17" spans="18:25" ht="15.75" thickBot="1" x14ac:dyDescent="0.3">
      <c r="R17" s="22">
        <v>200</v>
      </c>
      <c r="S17" s="21">
        <v>13.8</v>
      </c>
      <c r="T17" s="21">
        <v>43.8</v>
      </c>
      <c r="U17" s="21">
        <v>58.4</v>
      </c>
      <c r="V17" s="21">
        <v>87.6</v>
      </c>
      <c r="W17" s="21">
        <v>131.4</v>
      </c>
      <c r="X17" s="21">
        <v>219</v>
      </c>
      <c r="Y17" s="23">
        <v>365</v>
      </c>
    </row>
    <row r="18" spans="18:25" ht="15.75" thickBot="1" x14ac:dyDescent="0.3">
      <c r="R18" s="22">
        <v>250</v>
      </c>
      <c r="S18" s="21">
        <v>12.1</v>
      </c>
      <c r="T18" s="21">
        <v>41.9</v>
      </c>
      <c r="U18" s="21">
        <v>55.9</v>
      </c>
      <c r="V18" s="21">
        <v>83.9</v>
      </c>
      <c r="W18" s="21">
        <v>125.8</v>
      </c>
      <c r="X18" s="21">
        <v>209.7</v>
      </c>
      <c r="Y18" s="23">
        <v>349.5</v>
      </c>
    </row>
    <row r="19" spans="18:25" ht="15.75" thickBot="1" x14ac:dyDescent="0.3">
      <c r="R19" s="22">
        <v>300</v>
      </c>
      <c r="S19" s="21">
        <v>10.199999999999999</v>
      </c>
      <c r="T19" s="21">
        <v>39.799999999999997</v>
      </c>
      <c r="U19" s="21">
        <v>53.1</v>
      </c>
      <c r="V19" s="21">
        <v>79.599999999999994</v>
      </c>
      <c r="W19" s="21">
        <v>119.5</v>
      </c>
      <c r="X19" s="21">
        <v>199.1</v>
      </c>
      <c r="Y19" s="23">
        <v>331.8</v>
      </c>
    </row>
    <row r="20" spans="18:25" ht="15.75" thickBot="1" x14ac:dyDescent="0.3">
      <c r="R20" s="22">
        <v>325</v>
      </c>
      <c r="S20" s="21">
        <v>9.3000000000000007</v>
      </c>
      <c r="T20" s="21">
        <v>38.700000000000003</v>
      </c>
      <c r="U20" s="21">
        <v>51.6</v>
      </c>
      <c r="V20" s="21">
        <v>77.400000000000006</v>
      </c>
      <c r="W20" s="21">
        <v>116.1</v>
      </c>
      <c r="X20" s="21">
        <v>193.6</v>
      </c>
      <c r="Y20" s="23">
        <v>322.60000000000002</v>
      </c>
    </row>
    <row r="21" spans="18:25" ht="15.75" thickBot="1" x14ac:dyDescent="0.3">
      <c r="R21" s="22">
        <v>350</v>
      </c>
      <c r="S21" s="21">
        <v>8.4</v>
      </c>
      <c r="T21" s="21">
        <v>37.6</v>
      </c>
      <c r="U21" s="21">
        <v>50.1</v>
      </c>
      <c r="V21" s="21">
        <v>75.099999999999994</v>
      </c>
      <c r="W21" s="21">
        <v>112.7</v>
      </c>
      <c r="X21" s="21">
        <v>187.8</v>
      </c>
      <c r="Y21" s="23">
        <v>313</v>
      </c>
    </row>
    <row r="22" spans="18:25" ht="15.75" thickBot="1" x14ac:dyDescent="0.3">
      <c r="R22" s="22">
        <v>375</v>
      </c>
      <c r="S22" s="21">
        <v>7.4</v>
      </c>
      <c r="T22" s="21">
        <v>36.4</v>
      </c>
      <c r="U22" s="21">
        <v>48.5</v>
      </c>
      <c r="V22" s="21">
        <v>72.7</v>
      </c>
      <c r="W22" s="21">
        <v>109.1</v>
      </c>
      <c r="X22" s="21">
        <v>181.8</v>
      </c>
      <c r="Y22" s="23">
        <v>303.10000000000002</v>
      </c>
    </row>
    <row r="23" spans="18:25" ht="15.75" thickBot="1" x14ac:dyDescent="0.3">
      <c r="R23" s="22">
        <v>400</v>
      </c>
      <c r="S23" s="21">
        <v>6.5</v>
      </c>
      <c r="T23" s="21">
        <v>34.700000000000003</v>
      </c>
      <c r="U23" s="21">
        <v>46.3</v>
      </c>
      <c r="V23" s="21">
        <v>69.400000000000006</v>
      </c>
      <c r="W23" s="21">
        <v>104.2</v>
      </c>
      <c r="X23" s="21">
        <v>173.6</v>
      </c>
      <c r="Y23" s="23">
        <v>289.3</v>
      </c>
    </row>
    <row r="24" spans="18:25" ht="15.75" thickBot="1" x14ac:dyDescent="0.3">
      <c r="R24" s="22">
        <v>425</v>
      </c>
      <c r="S24" s="21">
        <v>5.5</v>
      </c>
      <c r="T24" s="21">
        <v>28.8</v>
      </c>
      <c r="U24" s="21">
        <v>38.4</v>
      </c>
      <c r="V24" s="21">
        <v>57.5</v>
      </c>
      <c r="W24" s="21">
        <v>86.3</v>
      </c>
      <c r="X24" s="21">
        <v>143.80000000000001</v>
      </c>
      <c r="Y24" s="23">
        <v>239.7</v>
      </c>
    </row>
    <row r="25" spans="18:25" ht="15.75" thickBot="1" x14ac:dyDescent="0.3">
      <c r="R25" s="22">
        <v>450</v>
      </c>
      <c r="S25" s="21">
        <v>4.5999999999999996</v>
      </c>
      <c r="T25" s="21">
        <v>23</v>
      </c>
      <c r="U25" s="21">
        <v>30.7</v>
      </c>
      <c r="V25" s="21">
        <v>46</v>
      </c>
      <c r="W25" s="21">
        <v>69</v>
      </c>
      <c r="X25" s="21">
        <v>115</v>
      </c>
      <c r="Y25" s="23">
        <v>191.7</v>
      </c>
    </row>
    <row r="26" spans="18:25" ht="15.75" thickBot="1" x14ac:dyDescent="0.3">
      <c r="R26" s="22">
        <v>475</v>
      </c>
      <c r="S26" s="21">
        <v>3.7</v>
      </c>
      <c r="T26" s="21">
        <v>17.399999999999999</v>
      </c>
      <c r="U26" s="21">
        <v>23.2</v>
      </c>
      <c r="V26" s="21">
        <v>34.9</v>
      </c>
      <c r="W26" s="21">
        <v>52.3</v>
      </c>
      <c r="X26" s="21">
        <v>87.2</v>
      </c>
      <c r="Y26" s="23">
        <v>145.30000000000001</v>
      </c>
    </row>
    <row r="27" spans="18:25" ht="15.75" thickBot="1" x14ac:dyDescent="0.3">
      <c r="R27" s="22">
        <v>500</v>
      </c>
      <c r="S27" s="21">
        <v>2.8</v>
      </c>
      <c r="T27" s="21">
        <v>11.8</v>
      </c>
      <c r="U27" s="21">
        <v>15.7</v>
      </c>
      <c r="V27" s="21">
        <v>23.5</v>
      </c>
      <c r="W27" s="21">
        <v>35.299999999999997</v>
      </c>
      <c r="X27" s="21">
        <v>58.8</v>
      </c>
      <c r="Y27" s="23">
        <v>97.9</v>
      </c>
    </row>
    <row r="28" spans="18:25" ht="15.75" thickBot="1" x14ac:dyDescent="0.3">
      <c r="R28" s="24">
        <v>538</v>
      </c>
      <c r="S28" s="25">
        <v>1.4</v>
      </c>
      <c r="T28" s="25">
        <v>5.9</v>
      </c>
      <c r="U28" s="25">
        <v>7.9</v>
      </c>
      <c r="V28" s="25">
        <v>11.8</v>
      </c>
      <c r="W28" s="25">
        <v>17.7</v>
      </c>
      <c r="X28" s="25">
        <v>29.5</v>
      </c>
      <c r="Y28" s="26">
        <v>49.2</v>
      </c>
    </row>
    <row r="32" spans="18:25" x14ac:dyDescent="0.25">
      <c r="S32" cm="1">
        <f t="array" ref="S32:Y32">S12:Y12</f>
        <v>150</v>
      </c>
      <c r="T32">
        <v>300</v>
      </c>
      <c r="U32">
        <v>400</v>
      </c>
      <c r="V32">
        <v>600</v>
      </c>
      <c r="W32">
        <v>900</v>
      </c>
      <c r="X32">
        <v>1500</v>
      </c>
      <c r="Y32">
        <v>2500</v>
      </c>
    </row>
    <row r="33" spans="19:25" x14ac:dyDescent="0.25">
      <c r="S33" cm="1">
        <f t="array" ref="S33:Y33">_xlfn.MAP(S13:Y13,_xlfn.LAMBDA(_xlpm.array,PRODUCT(_xlpm.array,14.5038)))</f>
        <v>284.27448000000004</v>
      </c>
      <c r="T33">
        <v>741.14418000000001</v>
      </c>
      <c r="U33">
        <v>987.70877999999993</v>
      </c>
      <c r="V33">
        <v>1480.83798</v>
      </c>
      <c r="W33">
        <v>2221.98216</v>
      </c>
      <c r="X33">
        <v>3702.8201400000003</v>
      </c>
      <c r="Y33">
        <v>6171.3669</v>
      </c>
    </row>
    <row r="36" spans="19:25" x14ac:dyDescent="0.25">
      <c r="S36">
        <v>150</v>
      </c>
      <c r="T36">
        <v>300</v>
      </c>
      <c r="U36">
        <v>400</v>
      </c>
      <c r="V36">
        <v>600</v>
      </c>
      <c r="W36">
        <v>900</v>
      </c>
      <c r="X36">
        <v>1500</v>
      </c>
      <c r="Y36">
        <v>2500</v>
      </c>
    </row>
    <row r="37" spans="19:25" x14ac:dyDescent="0.25">
      <c r="S37">
        <v>284.27448000000004</v>
      </c>
      <c r="T37">
        <v>741.14418000000001</v>
      </c>
      <c r="U37">
        <v>987.70877999999993</v>
      </c>
      <c r="V37">
        <v>1480.83798</v>
      </c>
      <c r="W37">
        <v>2221.98216</v>
      </c>
      <c r="X37">
        <v>3702.8201400000003</v>
      </c>
      <c r="Y37">
        <v>6171.3669</v>
      </c>
    </row>
  </sheetData>
  <mergeCells count="3">
    <mergeCell ref="R10:R12"/>
    <mergeCell ref="S10:Y10"/>
    <mergeCell ref="S11:Y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TSInputs</vt:lpstr>
      <vt:lpstr>PipeInputs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O'Rourke</dc:creator>
  <cp:lastModifiedBy>Brendan O'Rourke</cp:lastModifiedBy>
  <dcterms:created xsi:type="dcterms:W3CDTF">2025-11-25T20:54:48Z</dcterms:created>
  <dcterms:modified xsi:type="dcterms:W3CDTF">2026-02-02T17:48:16Z</dcterms:modified>
</cp:coreProperties>
</file>